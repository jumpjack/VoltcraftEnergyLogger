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2635" windowHeight="14565"/>
  </bookViews>
  <sheets>
    <sheet name="Dati-CSV" sheetId="8" r:id="rId1"/>
    <sheet name="Pot.Att" sheetId="9" r:id="rId2"/>
    <sheet name="Costi" sheetId="10" r:id="rId3"/>
    <sheet name="Distribuzione" sheetId="11" r:id="rId4"/>
  </sheets>
  <calcPr calcId="125725"/>
</workbook>
</file>

<file path=xl/calcChain.xml><?xml version="1.0" encoding="utf-8"?>
<calcChain xmlns="http://schemas.openxmlformats.org/spreadsheetml/2006/main">
  <c r="I2" i="8"/>
  <c r="I4"/>
  <c r="H3"/>
  <c r="M2"/>
  <c r="L2"/>
  <c r="J2"/>
  <c r="L7002"/>
  <c r="J7002"/>
  <c r="L7001"/>
  <c r="J7001"/>
  <c r="L7000"/>
  <c r="J7000"/>
  <c r="L6999"/>
  <c r="J6999"/>
  <c r="L6998"/>
  <c r="J6998"/>
  <c r="L6997"/>
  <c r="J6997"/>
  <c r="L6996"/>
  <c r="J6996"/>
  <c r="L6995"/>
  <c r="J6995"/>
  <c r="L6994"/>
  <c r="J6994"/>
  <c r="L6993"/>
  <c r="J6993"/>
  <c r="L6992"/>
  <c r="J6992"/>
  <c r="L6991"/>
  <c r="J6991"/>
  <c r="L6990"/>
  <c r="J6990"/>
  <c r="L6989"/>
  <c r="J6989"/>
  <c r="L6988"/>
  <c r="J6988"/>
  <c r="L6987"/>
  <c r="J6987"/>
  <c r="L6986"/>
  <c r="J6986"/>
  <c r="L6985"/>
  <c r="J6985"/>
  <c r="L6984"/>
  <c r="J6984"/>
  <c r="L6983"/>
  <c r="J6983"/>
  <c r="L6982"/>
  <c r="J6982"/>
  <c r="L6981"/>
  <c r="J6981"/>
  <c r="L6980"/>
  <c r="J6980"/>
  <c r="L6979"/>
  <c r="J6979"/>
  <c r="L6978"/>
  <c r="J6978"/>
  <c r="L6977"/>
  <c r="J6977"/>
  <c r="L6976"/>
  <c r="J6976"/>
  <c r="L6975"/>
  <c r="J6975"/>
  <c r="L6974"/>
  <c r="J6974"/>
  <c r="L6973"/>
  <c r="J6973"/>
  <c r="L6972"/>
  <c r="J6972"/>
  <c r="L6971"/>
  <c r="J6971"/>
  <c r="L6970"/>
  <c r="J6970"/>
  <c r="L6969"/>
  <c r="J6969"/>
  <c r="L6968"/>
  <c r="J6968"/>
  <c r="L6967"/>
  <c r="J6967"/>
  <c r="L6966"/>
  <c r="J6966"/>
  <c r="L6965"/>
  <c r="J6965"/>
  <c r="L6964"/>
  <c r="J6964"/>
  <c r="L6963"/>
  <c r="J6963"/>
  <c r="L6962"/>
  <c r="J6962"/>
  <c r="L6961"/>
  <c r="J6961"/>
  <c r="L6960"/>
  <c r="J6960"/>
  <c r="L6959"/>
  <c r="J6959"/>
  <c r="L6958"/>
  <c r="J6958"/>
  <c r="L6957"/>
  <c r="J6957"/>
  <c r="L6956"/>
  <c r="J6956"/>
  <c r="L6955"/>
  <c r="J6955"/>
  <c r="L6954"/>
  <c r="J6954"/>
  <c r="L6953"/>
  <c r="J6953"/>
  <c r="L6952"/>
  <c r="J6952"/>
  <c r="L6951"/>
  <c r="J6951"/>
  <c r="L6950"/>
  <c r="J6950"/>
  <c r="L6949"/>
  <c r="J6949"/>
  <c r="L6948"/>
  <c r="J6948"/>
  <c r="L6947"/>
  <c r="J6947"/>
  <c r="L6946"/>
  <c r="J6946"/>
  <c r="L6945"/>
  <c r="J6945"/>
  <c r="L6944"/>
  <c r="J6944"/>
  <c r="L6943"/>
  <c r="J6943"/>
  <c r="L6942"/>
  <c r="J6942"/>
  <c r="L6941"/>
  <c r="J6941"/>
  <c r="L6940"/>
  <c r="J6940"/>
  <c r="L6939"/>
  <c r="J6939"/>
  <c r="L6938"/>
  <c r="J6938"/>
  <c r="L6937"/>
  <c r="J6937"/>
  <c r="L6936"/>
  <c r="J6936"/>
  <c r="L6935"/>
  <c r="J6935"/>
  <c r="L6934"/>
  <c r="J6934"/>
  <c r="L6933"/>
  <c r="J6933"/>
  <c r="L6932"/>
  <c r="J6932"/>
  <c r="L6931"/>
  <c r="J6931"/>
  <c r="L6930"/>
  <c r="J6930"/>
  <c r="L6929"/>
  <c r="J6929"/>
  <c r="L6928"/>
  <c r="J6928"/>
  <c r="L6927"/>
  <c r="J6927"/>
  <c r="L6926"/>
  <c r="J6926"/>
  <c r="L6925"/>
  <c r="J6925"/>
  <c r="L6924"/>
  <c r="J6924"/>
  <c r="L6923"/>
  <c r="J6923"/>
  <c r="L6922"/>
  <c r="J6922"/>
  <c r="L6921"/>
  <c r="J6921"/>
  <c r="L6920"/>
  <c r="J6920"/>
  <c r="L6919"/>
  <c r="J6919"/>
  <c r="L6918"/>
  <c r="J6918"/>
  <c r="L6917"/>
  <c r="J6917"/>
  <c r="L6916"/>
  <c r="J6916"/>
  <c r="L6915"/>
  <c r="J6915"/>
  <c r="L6914"/>
  <c r="J6914"/>
  <c r="L6913"/>
  <c r="J6913"/>
  <c r="L6912"/>
  <c r="J6912"/>
  <c r="L6911"/>
  <c r="J6911"/>
  <c r="L6910"/>
  <c r="J6910"/>
  <c r="L6909"/>
  <c r="J6909"/>
  <c r="L6908"/>
  <c r="J6908"/>
  <c r="L6907"/>
  <c r="J6907"/>
  <c r="L6906"/>
  <c r="J6906"/>
  <c r="L6905"/>
  <c r="J6905"/>
  <c r="L6904"/>
  <c r="J6904"/>
  <c r="L6903"/>
  <c r="J6903"/>
  <c r="L6902"/>
  <c r="J6902"/>
  <c r="L6901"/>
  <c r="J6901"/>
  <c r="L6900"/>
  <c r="J6900"/>
  <c r="L6899"/>
  <c r="J6899"/>
  <c r="L6898"/>
  <c r="J6898"/>
  <c r="L6897"/>
  <c r="J6897"/>
  <c r="L6896"/>
  <c r="J6896"/>
  <c r="L6895"/>
  <c r="J6895"/>
  <c r="L6894"/>
  <c r="J6894"/>
  <c r="L6893"/>
  <c r="J6893"/>
  <c r="L6892"/>
  <c r="J6892"/>
  <c r="L6891"/>
  <c r="J6891"/>
  <c r="L6890"/>
  <c r="J6890"/>
  <c r="L6889"/>
  <c r="J6889"/>
  <c r="L6888"/>
  <c r="J6888"/>
  <c r="L6887"/>
  <c r="J6887"/>
  <c r="L6886"/>
  <c r="J6886"/>
  <c r="L6885"/>
  <c r="J6885"/>
  <c r="L6884"/>
  <c r="J6884"/>
  <c r="L6883"/>
  <c r="J6883"/>
  <c r="L6882"/>
  <c r="J6882"/>
  <c r="L6881"/>
  <c r="J6881"/>
  <c r="L6880"/>
  <c r="J6880"/>
  <c r="L6879"/>
  <c r="J6879"/>
  <c r="L6878"/>
  <c r="J6878"/>
  <c r="L6877"/>
  <c r="J6877"/>
  <c r="L6876"/>
  <c r="J6876"/>
  <c r="L6875"/>
  <c r="J6875"/>
  <c r="L6874"/>
  <c r="J6874"/>
  <c r="L6873"/>
  <c r="J6873"/>
  <c r="L6872"/>
  <c r="J6872"/>
  <c r="L6871"/>
  <c r="J6871"/>
  <c r="L6870"/>
  <c r="J6870"/>
  <c r="L6869"/>
  <c r="J6869"/>
  <c r="L6868"/>
  <c r="J6868"/>
  <c r="L6867"/>
  <c r="J6867"/>
  <c r="L6866"/>
  <c r="J6866"/>
  <c r="L6865"/>
  <c r="J6865"/>
  <c r="L6864"/>
  <c r="J6864"/>
  <c r="L6863"/>
  <c r="J6863"/>
  <c r="L6862"/>
  <c r="J6862"/>
  <c r="L6861"/>
  <c r="J6861"/>
  <c r="L6860"/>
  <c r="J6860"/>
  <c r="L6859"/>
  <c r="J6859"/>
  <c r="L6858"/>
  <c r="J6858"/>
  <c r="L6857"/>
  <c r="J6857"/>
  <c r="L6856"/>
  <c r="J6856"/>
  <c r="L6855"/>
  <c r="J6855"/>
  <c r="L6854"/>
  <c r="J6854"/>
  <c r="L6853"/>
  <c r="J6853"/>
  <c r="L6852"/>
  <c r="J6852"/>
  <c r="L6851"/>
  <c r="J6851"/>
  <c r="L6850"/>
  <c r="J6850"/>
  <c r="L6849"/>
  <c r="J6849"/>
  <c r="L6848"/>
  <c r="J6848"/>
  <c r="L6847"/>
  <c r="J6847"/>
  <c r="L6846"/>
  <c r="J6846"/>
  <c r="L6845"/>
  <c r="J6845"/>
  <c r="L6844"/>
  <c r="J6844"/>
  <c r="L6843"/>
  <c r="J6843"/>
  <c r="L6842"/>
  <c r="J6842"/>
  <c r="L6841"/>
  <c r="J6841"/>
  <c r="L6840"/>
  <c r="J6840"/>
  <c r="L6839"/>
  <c r="J6839"/>
  <c r="L6838"/>
  <c r="J6838"/>
  <c r="L6837"/>
  <c r="J6837"/>
  <c r="L6836"/>
  <c r="J6836"/>
  <c r="L6835"/>
  <c r="J6835"/>
  <c r="L6834"/>
  <c r="J6834"/>
  <c r="L6833"/>
  <c r="J6833"/>
  <c r="L6832"/>
  <c r="J6832"/>
  <c r="L6831"/>
  <c r="J6831"/>
  <c r="L6830"/>
  <c r="J6830"/>
  <c r="L6829"/>
  <c r="J6829"/>
  <c r="L6828"/>
  <c r="J6828"/>
  <c r="L6827"/>
  <c r="J6827"/>
  <c r="L6826"/>
  <c r="J6826"/>
  <c r="L6825"/>
  <c r="J6825"/>
  <c r="L6824"/>
  <c r="J6824"/>
  <c r="L6823"/>
  <c r="J6823"/>
  <c r="L6822"/>
  <c r="J6822"/>
  <c r="L6821"/>
  <c r="J6821"/>
  <c r="L6820"/>
  <c r="J6820"/>
  <c r="L6819"/>
  <c r="J6819"/>
  <c r="L6818"/>
  <c r="J6818"/>
  <c r="L6817"/>
  <c r="J6817"/>
  <c r="L6816"/>
  <c r="J6816"/>
  <c r="L6815"/>
  <c r="J6815"/>
  <c r="L6814"/>
  <c r="J6814"/>
  <c r="L6813"/>
  <c r="J6813"/>
  <c r="L6812"/>
  <c r="J6812"/>
  <c r="L6811"/>
  <c r="J6811"/>
  <c r="L6810"/>
  <c r="J6810"/>
  <c r="L6809"/>
  <c r="J6809"/>
  <c r="L6808"/>
  <c r="J6808"/>
  <c r="L6807"/>
  <c r="J6807"/>
  <c r="L6806"/>
  <c r="J6806"/>
  <c r="L6805"/>
  <c r="J6805"/>
  <c r="L6804"/>
  <c r="J6804"/>
  <c r="L6803"/>
  <c r="J6803"/>
  <c r="L6802"/>
  <c r="J6802"/>
  <c r="L6801"/>
  <c r="J6801"/>
  <c r="L6800"/>
  <c r="J6800"/>
  <c r="L6799"/>
  <c r="J6799"/>
  <c r="L6798"/>
  <c r="J6798"/>
  <c r="L6797"/>
  <c r="J6797"/>
  <c r="L6796"/>
  <c r="J6796"/>
  <c r="L6795"/>
  <c r="J6795"/>
  <c r="L6794"/>
  <c r="J6794"/>
  <c r="L6793"/>
  <c r="J6793"/>
  <c r="L6792"/>
  <c r="J6792"/>
  <c r="L6791"/>
  <c r="J6791"/>
  <c r="L6790"/>
  <c r="J6790"/>
  <c r="L6789"/>
  <c r="J6789"/>
  <c r="L6788"/>
  <c r="J6788"/>
  <c r="L6787"/>
  <c r="J6787"/>
  <c r="L6786"/>
  <c r="J6786"/>
  <c r="L6785"/>
  <c r="J6785"/>
  <c r="L6784"/>
  <c r="J6784"/>
  <c r="L6783"/>
  <c r="J6783"/>
  <c r="L6782"/>
  <c r="J6782"/>
  <c r="L6781"/>
  <c r="J6781"/>
  <c r="L6780"/>
  <c r="J6780"/>
  <c r="L6779"/>
  <c r="J6779"/>
  <c r="L6778"/>
  <c r="J6778"/>
  <c r="L6777"/>
  <c r="J6777"/>
  <c r="L6776"/>
  <c r="J6776"/>
  <c r="L6775"/>
  <c r="J6775"/>
  <c r="L6774"/>
  <c r="J6774"/>
  <c r="L6773"/>
  <c r="J6773"/>
  <c r="L6772"/>
  <c r="J6772"/>
  <c r="L6771"/>
  <c r="J6771"/>
  <c r="L6770"/>
  <c r="J6770"/>
  <c r="L6769"/>
  <c r="J6769"/>
  <c r="L6768"/>
  <c r="J6768"/>
  <c r="L6767"/>
  <c r="J6767"/>
  <c r="L6766"/>
  <c r="J6766"/>
  <c r="L6765"/>
  <c r="J6765"/>
  <c r="L6764"/>
  <c r="J6764"/>
  <c r="L6763"/>
  <c r="J6763"/>
  <c r="L6762"/>
  <c r="J6762"/>
  <c r="L6761"/>
  <c r="J6761"/>
  <c r="L6760"/>
  <c r="J6760"/>
  <c r="L6759"/>
  <c r="J6759"/>
  <c r="L6758"/>
  <c r="J6758"/>
  <c r="L6757"/>
  <c r="J6757"/>
  <c r="L6756"/>
  <c r="J6756"/>
  <c r="L6755"/>
  <c r="J6755"/>
  <c r="L6754"/>
  <c r="J6754"/>
  <c r="L6753"/>
  <c r="J6753"/>
  <c r="L6752"/>
  <c r="J6752"/>
  <c r="L6751"/>
  <c r="J6751"/>
  <c r="L6750"/>
  <c r="J6750"/>
  <c r="L6749"/>
  <c r="J6749"/>
  <c r="L6748"/>
  <c r="J6748"/>
  <c r="L6747"/>
  <c r="J6747"/>
  <c r="L6746"/>
  <c r="J6746"/>
  <c r="L6745"/>
  <c r="J6745"/>
  <c r="L6744"/>
  <c r="J6744"/>
  <c r="L6743"/>
  <c r="J6743"/>
  <c r="L6742"/>
  <c r="J6742"/>
  <c r="L6741"/>
  <c r="J6741"/>
  <c r="L6740"/>
  <c r="J6740"/>
  <c r="L6739"/>
  <c r="J6739"/>
  <c r="L6738"/>
  <c r="J6738"/>
  <c r="L6737"/>
  <c r="J6737"/>
  <c r="L6736"/>
  <c r="J6736"/>
  <c r="L6735"/>
  <c r="J6735"/>
  <c r="L6734"/>
  <c r="J6734"/>
  <c r="L6733"/>
  <c r="J6733"/>
  <c r="L6732"/>
  <c r="J6732"/>
  <c r="L6731"/>
  <c r="J6731"/>
  <c r="L6730"/>
  <c r="J6730"/>
  <c r="L6729"/>
  <c r="J6729"/>
  <c r="L6728"/>
  <c r="J6728"/>
  <c r="L6727"/>
  <c r="J6727"/>
  <c r="L6726"/>
  <c r="J6726"/>
  <c r="L6725"/>
  <c r="J6725"/>
  <c r="L6724"/>
  <c r="J6724"/>
  <c r="L6723"/>
  <c r="J6723"/>
  <c r="L6722"/>
  <c r="J6722"/>
  <c r="L6721"/>
  <c r="J6721"/>
  <c r="L6720"/>
  <c r="J6720"/>
  <c r="L6719"/>
  <c r="J6719"/>
  <c r="L6718"/>
  <c r="J6718"/>
  <c r="L6717"/>
  <c r="J6717"/>
  <c r="L6716"/>
  <c r="J6716"/>
  <c r="L6715"/>
  <c r="J6715"/>
  <c r="L6714"/>
  <c r="J6714"/>
  <c r="L6713"/>
  <c r="J6713"/>
  <c r="L6712"/>
  <c r="J6712"/>
  <c r="L6711"/>
  <c r="J6711"/>
  <c r="L6710"/>
  <c r="J6710"/>
  <c r="L6709"/>
  <c r="J6709"/>
  <c r="L6708"/>
  <c r="J6708"/>
  <c r="L6707"/>
  <c r="J6707"/>
  <c r="L6706"/>
  <c r="J6706"/>
  <c r="L6705"/>
  <c r="J6705"/>
  <c r="L6704"/>
  <c r="J6704"/>
  <c r="L6703"/>
  <c r="J6703"/>
  <c r="L6702"/>
  <c r="J6702"/>
  <c r="L6701"/>
  <c r="J6701"/>
  <c r="L6700"/>
  <c r="J6700"/>
  <c r="L6699"/>
  <c r="J6699"/>
  <c r="L6698"/>
  <c r="J6698"/>
  <c r="L6697"/>
  <c r="J6697"/>
  <c r="L6696"/>
  <c r="J6696"/>
  <c r="L6695"/>
  <c r="J6695"/>
  <c r="L6694"/>
  <c r="J6694"/>
  <c r="L6693"/>
  <c r="J6693"/>
  <c r="L6692"/>
  <c r="J6692"/>
  <c r="L6691"/>
  <c r="J6691"/>
  <c r="L6690"/>
  <c r="J6690"/>
  <c r="L6689"/>
  <c r="J6689"/>
  <c r="L6688"/>
  <c r="J6688"/>
  <c r="L6687"/>
  <c r="J6687"/>
  <c r="L6686"/>
  <c r="J6686"/>
  <c r="L6685"/>
  <c r="J6685"/>
  <c r="L6684"/>
  <c r="J6684"/>
  <c r="L6683"/>
  <c r="J6683"/>
  <c r="L6682"/>
  <c r="J6682"/>
  <c r="L6681"/>
  <c r="J6681"/>
  <c r="L6680"/>
  <c r="J6680"/>
  <c r="L6679"/>
  <c r="J6679"/>
  <c r="L6678"/>
  <c r="J6678"/>
  <c r="L6677"/>
  <c r="J6677"/>
  <c r="L6676"/>
  <c r="J6676"/>
  <c r="L6675"/>
  <c r="J6675"/>
  <c r="L6674"/>
  <c r="J6674"/>
  <c r="L6673"/>
  <c r="J6673"/>
  <c r="L6672"/>
  <c r="J6672"/>
  <c r="L6671"/>
  <c r="J6671"/>
  <c r="L6670"/>
  <c r="J6670"/>
  <c r="L6669"/>
  <c r="J6669"/>
  <c r="L6668"/>
  <c r="J6668"/>
  <c r="L6667"/>
  <c r="J6667"/>
  <c r="L6666"/>
  <c r="J6666"/>
  <c r="L6665"/>
  <c r="J6665"/>
  <c r="L6664"/>
  <c r="J6664"/>
  <c r="L6663"/>
  <c r="J6663"/>
  <c r="L6662"/>
  <c r="J6662"/>
  <c r="L6661"/>
  <c r="J6661"/>
  <c r="L6660"/>
  <c r="J6660"/>
  <c r="L6659"/>
  <c r="J6659"/>
  <c r="L6658"/>
  <c r="J6658"/>
  <c r="L6657"/>
  <c r="J6657"/>
  <c r="L6656"/>
  <c r="J6656"/>
  <c r="L6655"/>
  <c r="J6655"/>
  <c r="L6654"/>
  <c r="J6654"/>
  <c r="L6653"/>
  <c r="J6653"/>
  <c r="L6652"/>
  <c r="J6652"/>
  <c r="L6651"/>
  <c r="J6651"/>
  <c r="L6650"/>
  <c r="J6650"/>
  <c r="L6649"/>
  <c r="J6649"/>
  <c r="L6648"/>
  <c r="J6648"/>
  <c r="L6647"/>
  <c r="J6647"/>
  <c r="L6646"/>
  <c r="J6646"/>
  <c r="L6645"/>
  <c r="J6645"/>
  <c r="L6644"/>
  <c r="J6644"/>
  <c r="L6643"/>
  <c r="J6643"/>
  <c r="L6642"/>
  <c r="J6642"/>
  <c r="L6641"/>
  <c r="J6641"/>
  <c r="L6640"/>
  <c r="J6640"/>
  <c r="L6639"/>
  <c r="J6639"/>
  <c r="L6638"/>
  <c r="J6638"/>
  <c r="L6637"/>
  <c r="J6637"/>
  <c r="L6636"/>
  <c r="J6636"/>
  <c r="L6635"/>
  <c r="J6635"/>
  <c r="L6634"/>
  <c r="J6634"/>
  <c r="L6633"/>
  <c r="J6633"/>
  <c r="L6632"/>
  <c r="J6632"/>
  <c r="L6631"/>
  <c r="J6631"/>
  <c r="L6630"/>
  <c r="J6630"/>
  <c r="L6629"/>
  <c r="J6629"/>
  <c r="L6628"/>
  <c r="J6628"/>
  <c r="L6627"/>
  <c r="J6627"/>
  <c r="L6626"/>
  <c r="J6626"/>
  <c r="L6625"/>
  <c r="J6625"/>
  <c r="L6624"/>
  <c r="J6624"/>
  <c r="L6623"/>
  <c r="J6623"/>
  <c r="L6622"/>
  <c r="J6622"/>
  <c r="L6621"/>
  <c r="J6621"/>
  <c r="L6620"/>
  <c r="J6620"/>
  <c r="L6619"/>
  <c r="J6619"/>
  <c r="L6618"/>
  <c r="J6618"/>
  <c r="L6617"/>
  <c r="J6617"/>
  <c r="L6616"/>
  <c r="J6616"/>
  <c r="L6615"/>
  <c r="J6615"/>
  <c r="L6614"/>
  <c r="J6614"/>
  <c r="L6613"/>
  <c r="J6613"/>
  <c r="L6612"/>
  <c r="J6612"/>
  <c r="L6611"/>
  <c r="J6611"/>
  <c r="L6610"/>
  <c r="J6610"/>
  <c r="L6609"/>
  <c r="J6609"/>
  <c r="L6608"/>
  <c r="J6608"/>
  <c r="L6607"/>
  <c r="J6607"/>
  <c r="L6606"/>
  <c r="J6606"/>
  <c r="L6605"/>
  <c r="J6605"/>
  <c r="L6604"/>
  <c r="J6604"/>
  <c r="L6603"/>
  <c r="J6603"/>
  <c r="L6602"/>
  <c r="J6602"/>
  <c r="L6601"/>
  <c r="J6601"/>
  <c r="L6600"/>
  <c r="J6600"/>
  <c r="L6599"/>
  <c r="J6599"/>
  <c r="L6598"/>
  <c r="J6598"/>
  <c r="L6597"/>
  <c r="J6597"/>
  <c r="L6596"/>
  <c r="J6596"/>
  <c r="L6595"/>
  <c r="J6595"/>
  <c r="L6594"/>
  <c r="J6594"/>
  <c r="L6593"/>
  <c r="J6593"/>
  <c r="L6592"/>
  <c r="J6592"/>
  <c r="L6591"/>
  <c r="J6591"/>
  <c r="L6590"/>
  <c r="J6590"/>
  <c r="L6589"/>
  <c r="J6589"/>
  <c r="L6588"/>
  <c r="J6588"/>
  <c r="L6587"/>
  <c r="J6587"/>
  <c r="L6586"/>
  <c r="J6586"/>
  <c r="L6585"/>
  <c r="J6585"/>
  <c r="L6584"/>
  <c r="J6584"/>
  <c r="L6583"/>
  <c r="J6583"/>
  <c r="L6582"/>
  <c r="J6582"/>
  <c r="L6581"/>
  <c r="J6581"/>
  <c r="L6580"/>
  <c r="J6580"/>
  <c r="L6579"/>
  <c r="J6579"/>
  <c r="L6578"/>
  <c r="J6578"/>
  <c r="L6577"/>
  <c r="J6577"/>
  <c r="L6576"/>
  <c r="J6576"/>
  <c r="L6575"/>
  <c r="J6575"/>
  <c r="L6574"/>
  <c r="J6574"/>
  <c r="L6573"/>
  <c r="J6573"/>
  <c r="L6572"/>
  <c r="J6572"/>
  <c r="L6571"/>
  <c r="J6571"/>
  <c r="L6570"/>
  <c r="J6570"/>
  <c r="L6569"/>
  <c r="J6569"/>
  <c r="L6568"/>
  <c r="J6568"/>
  <c r="L6567"/>
  <c r="J6567"/>
  <c r="L6566"/>
  <c r="J6566"/>
  <c r="L6565"/>
  <c r="J6565"/>
  <c r="L6564"/>
  <c r="J6564"/>
  <c r="L6563"/>
  <c r="J6563"/>
  <c r="L6562"/>
  <c r="J6562"/>
  <c r="L6561"/>
  <c r="J6561"/>
  <c r="L6560"/>
  <c r="J6560"/>
  <c r="L6559"/>
  <c r="J6559"/>
  <c r="L6558"/>
  <c r="J6558"/>
  <c r="L6557"/>
  <c r="J6557"/>
  <c r="L6556"/>
  <c r="J6556"/>
  <c r="L6555"/>
  <c r="J6555"/>
  <c r="L6554"/>
  <c r="J6554"/>
  <c r="L6553"/>
  <c r="J6553"/>
  <c r="L6552"/>
  <c r="J6552"/>
  <c r="L6551"/>
  <c r="J6551"/>
  <c r="L6550"/>
  <c r="J6550"/>
  <c r="L6549"/>
  <c r="J6549"/>
  <c r="L6548"/>
  <c r="J6548"/>
  <c r="L6547"/>
  <c r="J6547"/>
  <c r="L6546"/>
  <c r="J6546"/>
  <c r="L6545"/>
  <c r="J6545"/>
  <c r="L6544"/>
  <c r="J6544"/>
  <c r="L6543"/>
  <c r="J6543"/>
  <c r="L6542"/>
  <c r="J6542"/>
  <c r="L6541"/>
  <c r="J6541"/>
  <c r="L6540"/>
  <c r="J6540"/>
  <c r="L6539"/>
  <c r="J6539"/>
  <c r="L6538"/>
  <c r="J6538"/>
  <c r="L6537"/>
  <c r="J6537"/>
  <c r="L6536"/>
  <c r="J6536"/>
  <c r="L6535"/>
  <c r="J6535"/>
  <c r="L6534"/>
  <c r="J6534"/>
  <c r="L6533"/>
  <c r="J6533"/>
  <c r="L6532"/>
  <c r="J6532"/>
  <c r="L6531"/>
  <c r="J6531"/>
  <c r="L6530"/>
  <c r="J6530"/>
  <c r="L6529"/>
  <c r="J6529"/>
  <c r="L6528"/>
  <c r="J6528"/>
  <c r="L6527"/>
  <c r="J6527"/>
  <c r="L6526"/>
  <c r="J6526"/>
  <c r="L6525"/>
  <c r="J6525"/>
  <c r="L6524"/>
  <c r="J6524"/>
  <c r="L6523"/>
  <c r="J6523"/>
  <c r="L6522"/>
  <c r="J6522"/>
  <c r="L6521"/>
  <c r="J6521"/>
  <c r="L6520"/>
  <c r="J6520"/>
  <c r="L6519"/>
  <c r="J6519"/>
  <c r="L6518"/>
  <c r="J6518"/>
  <c r="L6517"/>
  <c r="J6517"/>
  <c r="L6516"/>
  <c r="J6516"/>
  <c r="L6515"/>
  <c r="J6515"/>
  <c r="L6514"/>
  <c r="J6514"/>
  <c r="L6513"/>
  <c r="J6513"/>
  <c r="L6512"/>
  <c r="J6512"/>
  <c r="L6511"/>
  <c r="J6511"/>
  <c r="L6510"/>
  <c r="J6510"/>
  <c r="L6509"/>
  <c r="J6509"/>
  <c r="L6508"/>
  <c r="J6508"/>
  <c r="L6507"/>
  <c r="J6507"/>
  <c r="L6506"/>
  <c r="J6506"/>
  <c r="L6505"/>
  <c r="J6505"/>
  <c r="L6504"/>
  <c r="J6504"/>
  <c r="L6503"/>
  <c r="J6503"/>
  <c r="L6502"/>
  <c r="J6502"/>
  <c r="L6501"/>
  <c r="J6501"/>
  <c r="L6500"/>
  <c r="J6500"/>
  <c r="L6499"/>
  <c r="J6499"/>
  <c r="L6498"/>
  <c r="J6498"/>
  <c r="L6497"/>
  <c r="J6497"/>
  <c r="L6496"/>
  <c r="J6496"/>
  <c r="L6495"/>
  <c r="J6495"/>
  <c r="L6494"/>
  <c r="J6494"/>
  <c r="L6493"/>
  <c r="J6493"/>
  <c r="L6492"/>
  <c r="J6492"/>
  <c r="L6491"/>
  <c r="J6491"/>
  <c r="L6490"/>
  <c r="J6490"/>
  <c r="L6489"/>
  <c r="J6489"/>
  <c r="L6488"/>
  <c r="J6488"/>
  <c r="L6487"/>
  <c r="J6487"/>
  <c r="L6486"/>
  <c r="J6486"/>
  <c r="L6485"/>
  <c r="J6485"/>
  <c r="L6484"/>
  <c r="J6484"/>
  <c r="L6483"/>
  <c r="J6483"/>
  <c r="L6482"/>
  <c r="J6482"/>
  <c r="L6481"/>
  <c r="J6481"/>
  <c r="L6480"/>
  <c r="J6480"/>
  <c r="L6479"/>
  <c r="J6479"/>
  <c r="L6478"/>
  <c r="J6478"/>
  <c r="L6477"/>
  <c r="J6477"/>
  <c r="L6476"/>
  <c r="J6476"/>
  <c r="L6475"/>
  <c r="J6475"/>
  <c r="L6474"/>
  <c r="J6474"/>
  <c r="L6473"/>
  <c r="J6473"/>
  <c r="L6472"/>
  <c r="J6472"/>
  <c r="L6471"/>
  <c r="J6471"/>
  <c r="L6470"/>
  <c r="J6470"/>
  <c r="L6469"/>
  <c r="J6469"/>
  <c r="L6468"/>
  <c r="J6468"/>
  <c r="L6467"/>
  <c r="J6467"/>
  <c r="L6466"/>
  <c r="J6466"/>
  <c r="L6465"/>
  <c r="J6465"/>
  <c r="L6464"/>
  <c r="J6464"/>
  <c r="L6463"/>
  <c r="J6463"/>
  <c r="L6462"/>
  <c r="J6462"/>
  <c r="L6461"/>
  <c r="J6461"/>
  <c r="L6460"/>
  <c r="J6460"/>
  <c r="L6459"/>
  <c r="J6459"/>
  <c r="L6458"/>
  <c r="J6458"/>
  <c r="L6457"/>
  <c r="J6457"/>
  <c r="L6456"/>
  <c r="J6456"/>
  <c r="L6455"/>
  <c r="J6455"/>
  <c r="L6454"/>
  <c r="J6454"/>
  <c r="L6453"/>
  <c r="J6453"/>
  <c r="L6452"/>
  <c r="J6452"/>
  <c r="L6451"/>
  <c r="J6451"/>
  <c r="L6450"/>
  <c r="J6450"/>
  <c r="L6449"/>
  <c r="J6449"/>
  <c r="L6448"/>
  <c r="J6448"/>
  <c r="L6447"/>
  <c r="J6447"/>
  <c r="L6446"/>
  <c r="J6446"/>
  <c r="L6445"/>
  <c r="J6445"/>
  <c r="L6444"/>
  <c r="J6444"/>
  <c r="L6443"/>
  <c r="J6443"/>
  <c r="L6442"/>
  <c r="J6442"/>
  <c r="L6441"/>
  <c r="J6441"/>
  <c r="L6440"/>
  <c r="J6440"/>
  <c r="L6439"/>
  <c r="J6439"/>
  <c r="L6438"/>
  <c r="J6438"/>
  <c r="L6437"/>
  <c r="J6437"/>
  <c r="L6436"/>
  <c r="J6436"/>
  <c r="L6435"/>
  <c r="J6435"/>
  <c r="L6434"/>
  <c r="J6434"/>
  <c r="L6433"/>
  <c r="J6433"/>
  <c r="L6432"/>
  <c r="J6432"/>
  <c r="L6431"/>
  <c r="J6431"/>
  <c r="L6430"/>
  <c r="J6430"/>
  <c r="L6429"/>
  <c r="J6429"/>
  <c r="L6428"/>
  <c r="J6428"/>
  <c r="L6427"/>
  <c r="J6427"/>
  <c r="L6426"/>
  <c r="J6426"/>
  <c r="L6425"/>
  <c r="J6425"/>
  <c r="L6424"/>
  <c r="J6424"/>
  <c r="L6423"/>
  <c r="J6423"/>
  <c r="L6422"/>
  <c r="J6422"/>
  <c r="L6421"/>
  <c r="J6421"/>
  <c r="L6420"/>
  <c r="J6420"/>
  <c r="L6419"/>
  <c r="J6419"/>
  <c r="L6418"/>
  <c r="J6418"/>
  <c r="L6417"/>
  <c r="J6417"/>
  <c r="L6416"/>
  <c r="J6416"/>
  <c r="L6415"/>
  <c r="J6415"/>
  <c r="L6414"/>
  <c r="J6414"/>
  <c r="L6413"/>
  <c r="J6413"/>
  <c r="L6412"/>
  <c r="J6412"/>
  <c r="L6411"/>
  <c r="J6411"/>
  <c r="L6410"/>
  <c r="J6410"/>
  <c r="L6409"/>
  <c r="J6409"/>
  <c r="L6408"/>
  <c r="J6408"/>
  <c r="L6407"/>
  <c r="J6407"/>
  <c r="L6406"/>
  <c r="J6406"/>
  <c r="L6405"/>
  <c r="J6405"/>
  <c r="L6404"/>
  <c r="J6404"/>
  <c r="L6403"/>
  <c r="J6403"/>
  <c r="L6402"/>
  <c r="J6402"/>
  <c r="L6401"/>
  <c r="J6401"/>
  <c r="L6400"/>
  <c r="J6400"/>
  <c r="L6399"/>
  <c r="J6399"/>
  <c r="L6398"/>
  <c r="J6398"/>
  <c r="L6397"/>
  <c r="J6397"/>
  <c r="L6396"/>
  <c r="J6396"/>
  <c r="L6395"/>
  <c r="J6395"/>
  <c r="L6394"/>
  <c r="J6394"/>
  <c r="L6393"/>
  <c r="J6393"/>
  <c r="L6392"/>
  <c r="J6392"/>
  <c r="L6391"/>
  <c r="J6391"/>
  <c r="L6390"/>
  <c r="J6390"/>
  <c r="L6389"/>
  <c r="J6389"/>
  <c r="L6388"/>
  <c r="J6388"/>
  <c r="L6387"/>
  <c r="J6387"/>
  <c r="L6386"/>
  <c r="J6386"/>
  <c r="L6385"/>
  <c r="J6385"/>
  <c r="L6384"/>
  <c r="J6384"/>
  <c r="L6383"/>
  <c r="J6383"/>
  <c r="L6382"/>
  <c r="J6382"/>
  <c r="L6381"/>
  <c r="J6381"/>
  <c r="L6380"/>
  <c r="J6380"/>
  <c r="L6379"/>
  <c r="J6379"/>
  <c r="L6378"/>
  <c r="J6378"/>
  <c r="L6377"/>
  <c r="J6377"/>
  <c r="L6376"/>
  <c r="J6376"/>
  <c r="L6375"/>
  <c r="J6375"/>
  <c r="L6374"/>
  <c r="J6374"/>
  <c r="L6373"/>
  <c r="J6373"/>
  <c r="L6372"/>
  <c r="J6372"/>
  <c r="L6371"/>
  <c r="J6371"/>
  <c r="L6370"/>
  <c r="J6370"/>
  <c r="L6369"/>
  <c r="J6369"/>
  <c r="L6368"/>
  <c r="J6368"/>
  <c r="L6367"/>
  <c r="J6367"/>
  <c r="L6366"/>
  <c r="J6366"/>
  <c r="L6365"/>
  <c r="J6365"/>
  <c r="L6364"/>
  <c r="J6364"/>
  <c r="L6363"/>
  <c r="J6363"/>
  <c r="L6362"/>
  <c r="J6362"/>
  <c r="L6361"/>
  <c r="J6361"/>
  <c r="L6360"/>
  <c r="J6360"/>
  <c r="L6359"/>
  <c r="J6359"/>
  <c r="L6358"/>
  <c r="J6358"/>
  <c r="L6357"/>
  <c r="J6357"/>
  <c r="L6356"/>
  <c r="J6356"/>
  <c r="L6355"/>
  <c r="J6355"/>
  <c r="L6354"/>
  <c r="J6354"/>
  <c r="L6353"/>
  <c r="J6353"/>
  <c r="L6352"/>
  <c r="J6352"/>
  <c r="L6351"/>
  <c r="J6351"/>
  <c r="L6350"/>
  <c r="J6350"/>
  <c r="L6349"/>
  <c r="J6349"/>
  <c r="L6348"/>
  <c r="J6348"/>
  <c r="L6347"/>
  <c r="J6347"/>
  <c r="L6346"/>
  <c r="J6346"/>
  <c r="L6345"/>
  <c r="J6345"/>
  <c r="L6344"/>
  <c r="J6344"/>
  <c r="L6343"/>
  <c r="J6343"/>
  <c r="L6342"/>
  <c r="J6342"/>
  <c r="L6341"/>
  <c r="J6341"/>
  <c r="L6340"/>
  <c r="J6340"/>
  <c r="L6339"/>
  <c r="J6339"/>
  <c r="L6338"/>
  <c r="J6338"/>
  <c r="L6337"/>
  <c r="J6337"/>
  <c r="L6336"/>
  <c r="J6336"/>
  <c r="L6335"/>
  <c r="J6335"/>
  <c r="L6334"/>
  <c r="J6334"/>
  <c r="L6333"/>
  <c r="J6333"/>
  <c r="L6332"/>
  <c r="J6332"/>
  <c r="L6331"/>
  <c r="J6331"/>
  <c r="L6330"/>
  <c r="J6330"/>
  <c r="L6329"/>
  <c r="J6329"/>
  <c r="L6328"/>
  <c r="J6328"/>
  <c r="L6327"/>
  <c r="J6327"/>
  <c r="L6326"/>
  <c r="J6326"/>
  <c r="L6325"/>
  <c r="J6325"/>
  <c r="L6324"/>
  <c r="J6324"/>
  <c r="L6323"/>
  <c r="J6323"/>
  <c r="L6322"/>
  <c r="J6322"/>
  <c r="L6321"/>
  <c r="J6321"/>
  <c r="L6320"/>
  <c r="J6320"/>
  <c r="L6319"/>
  <c r="J6319"/>
  <c r="L6318"/>
  <c r="J6318"/>
  <c r="L6317"/>
  <c r="J6317"/>
  <c r="L6316"/>
  <c r="J6316"/>
  <c r="L6315"/>
  <c r="J6315"/>
  <c r="L6314"/>
  <c r="J6314"/>
  <c r="L6313"/>
  <c r="J6313"/>
  <c r="L6312"/>
  <c r="J6312"/>
  <c r="L6311"/>
  <c r="J6311"/>
  <c r="L6310"/>
  <c r="J6310"/>
  <c r="L6309"/>
  <c r="J6309"/>
  <c r="L6308"/>
  <c r="J6308"/>
  <c r="L6307"/>
  <c r="J6307"/>
  <c r="L6306"/>
  <c r="J6306"/>
  <c r="L6305"/>
  <c r="J6305"/>
  <c r="L6304"/>
  <c r="J6304"/>
  <c r="L6303"/>
  <c r="J6303"/>
  <c r="L6302"/>
  <c r="J6302"/>
  <c r="L6301"/>
  <c r="J6301"/>
  <c r="L6300"/>
  <c r="J6300"/>
  <c r="L6299"/>
  <c r="J6299"/>
  <c r="L6298"/>
  <c r="J6298"/>
  <c r="L6297"/>
  <c r="J6297"/>
  <c r="L6296"/>
  <c r="J6296"/>
  <c r="L6295"/>
  <c r="J6295"/>
  <c r="L6294"/>
  <c r="J6294"/>
  <c r="L6293"/>
  <c r="J6293"/>
  <c r="L6292"/>
  <c r="J6292"/>
  <c r="L6291"/>
  <c r="J6291"/>
  <c r="L6290"/>
  <c r="J6290"/>
  <c r="L6289"/>
  <c r="J6289"/>
  <c r="L6288"/>
  <c r="J6288"/>
  <c r="L6287"/>
  <c r="J6287"/>
  <c r="L6286"/>
  <c r="J6286"/>
  <c r="L6285"/>
  <c r="J6285"/>
  <c r="L6284"/>
  <c r="J6284"/>
  <c r="L6283"/>
  <c r="J6283"/>
  <c r="L6282"/>
  <c r="J6282"/>
  <c r="L6281"/>
  <c r="J6281"/>
  <c r="L6280"/>
  <c r="J6280"/>
  <c r="L6279"/>
  <c r="J6279"/>
  <c r="L6278"/>
  <c r="J6278"/>
  <c r="L6277"/>
  <c r="J6277"/>
  <c r="L6276"/>
  <c r="J6276"/>
  <c r="L6275"/>
  <c r="J6275"/>
  <c r="L6274"/>
  <c r="J6274"/>
  <c r="L6273"/>
  <c r="J6273"/>
  <c r="L6272"/>
  <c r="J6272"/>
  <c r="L6271"/>
  <c r="J6271"/>
  <c r="L6270"/>
  <c r="J6270"/>
  <c r="L6269"/>
  <c r="J6269"/>
  <c r="L6268"/>
  <c r="J6268"/>
  <c r="L6267"/>
  <c r="J6267"/>
  <c r="L6266"/>
  <c r="J6266"/>
  <c r="L6265"/>
  <c r="J6265"/>
  <c r="L6264"/>
  <c r="J6264"/>
  <c r="L6263"/>
  <c r="J6263"/>
  <c r="L6262"/>
  <c r="J6262"/>
  <c r="L6261"/>
  <c r="J6261"/>
  <c r="L6260"/>
  <c r="J6260"/>
  <c r="L6259"/>
  <c r="J6259"/>
  <c r="L6258"/>
  <c r="J6258"/>
  <c r="L6257"/>
  <c r="J6257"/>
  <c r="L6256"/>
  <c r="J6256"/>
  <c r="L6255"/>
  <c r="J6255"/>
  <c r="L6254"/>
  <c r="J6254"/>
  <c r="L6253"/>
  <c r="J6253"/>
  <c r="L6252"/>
  <c r="J6252"/>
  <c r="L6251"/>
  <c r="J6251"/>
  <c r="L6250"/>
  <c r="J6250"/>
  <c r="L6249"/>
  <c r="J6249"/>
  <c r="L6248"/>
  <c r="J6248"/>
  <c r="L6247"/>
  <c r="J6247"/>
  <c r="L6246"/>
  <c r="J6246"/>
  <c r="L6245"/>
  <c r="J6245"/>
  <c r="L6244"/>
  <c r="J6244"/>
  <c r="L6243"/>
  <c r="J6243"/>
  <c r="L6242"/>
  <c r="J6242"/>
  <c r="L6241"/>
  <c r="J6241"/>
  <c r="L6240"/>
  <c r="J6240"/>
  <c r="L6239"/>
  <c r="J6239"/>
  <c r="L6238"/>
  <c r="J6238"/>
  <c r="L6237"/>
  <c r="J6237"/>
  <c r="L6236"/>
  <c r="J6236"/>
  <c r="L6235"/>
  <c r="J6235"/>
  <c r="L6234"/>
  <c r="J6234"/>
  <c r="L6233"/>
  <c r="J6233"/>
  <c r="L6232"/>
  <c r="J6232"/>
  <c r="L6231"/>
  <c r="J6231"/>
  <c r="L6230"/>
  <c r="J6230"/>
  <c r="L6229"/>
  <c r="J6229"/>
  <c r="L6228"/>
  <c r="J6228"/>
  <c r="L6227"/>
  <c r="J6227"/>
  <c r="L6226"/>
  <c r="J6226"/>
  <c r="L6225"/>
  <c r="J6225"/>
  <c r="L6224"/>
  <c r="J6224"/>
  <c r="L6223"/>
  <c r="J6223"/>
  <c r="L6222"/>
  <c r="J6222"/>
  <c r="L6221"/>
  <c r="J6221"/>
  <c r="L6220"/>
  <c r="J6220"/>
  <c r="L6219"/>
  <c r="J6219"/>
  <c r="L6218"/>
  <c r="J6218"/>
  <c r="L6217"/>
  <c r="J6217"/>
  <c r="L6216"/>
  <c r="J6216"/>
  <c r="L6215"/>
  <c r="J6215"/>
  <c r="L6214"/>
  <c r="J6214"/>
  <c r="L6213"/>
  <c r="J6213"/>
  <c r="L6212"/>
  <c r="J6212"/>
  <c r="L6211"/>
  <c r="J6211"/>
  <c r="L6210"/>
  <c r="J6210"/>
  <c r="L6209"/>
  <c r="J6209"/>
  <c r="L6208"/>
  <c r="J6208"/>
  <c r="L6207"/>
  <c r="J6207"/>
  <c r="L6206"/>
  <c r="J6206"/>
  <c r="L6205"/>
  <c r="J6205"/>
  <c r="L6204"/>
  <c r="J6204"/>
  <c r="L6203"/>
  <c r="J6203"/>
  <c r="L6202"/>
  <c r="J6202"/>
  <c r="L6201"/>
  <c r="J6201"/>
  <c r="L6200"/>
  <c r="J6200"/>
  <c r="L6199"/>
  <c r="J6199"/>
  <c r="L6198"/>
  <c r="J6198"/>
  <c r="L6197"/>
  <c r="J6197"/>
  <c r="L6196"/>
  <c r="J6196"/>
  <c r="L6195"/>
  <c r="J6195"/>
  <c r="L6194"/>
  <c r="J6194"/>
  <c r="L6193"/>
  <c r="J6193"/>
  <c r="L6192"/>
  <c r="J6192"/>
  <c r="L6191"/>
  <c r="J6191"/>
  <c r="L6190"/>
  <c r="J6190"/>
  <c r="L6189"/>
  <c r="J6189"/>
  <c r="L6188"/>
  <c r="J6188"/>
  <c r="L6187"/>
  <c r="J6187"/>
  <c r="L6186"/>
  <c r="J6186"/>
  <c r="L6185"/>
  <c r="J6185"/>
  <c r="L6184"/>
  <c r="J6184"/>
  <c r="L6183"/>
  <c r="J6183"/>
  <c r="L6182"/>
  <c r="J6182"/>
  <c r="L6181"/>
  <c r="J6181"/>
  <c r="L6180"/>
  <c r="J6180"/>
  <c r="L6179"/>
  <c r="J6179"/>
  <c r="L6178"/>
  <c r="J6178"/>
  <c r="L6177"/>
  <c r="J6177"/>
  <c r="L6176"/>
  <c r="J6176"/>
  <c r="L6175"/>
  <c r="J6175"/>
  <c r="L6174"/>
  <c r="J6174"/>
  <c r="L6173"/>
  <c r="J6173"/>
  <c r="L6172"/>
  <c r="J6172"/>
  <c r="L6171"/>
  <c r="J6171"/>
  <c r="L6170"/>
  <c r="J6170"/>
  <c r="L6169"/>
  <c r="J6169"/>
  <c r="L6168"/>
  <c r="J6168"/>
  <c r="L6167"/>
  <c r="J6167"/>
  <c r="L6166"/>
  <c r="J6166"/>
  <c r="L6165"/>
  <c r="J6165"/>
  <c r="L6164"/>
  <c r="J6164"/>
  <c r="L6163"/>
  <c r="J6163"/>
  <c r="L6162"/>
  <c r="J6162"/>
  <c r="L6161"/>
  <c r="J6161"/>
  <c r="L6160"/>
  <c r="J6160"/>
  <c r="L6159"/>
  <c r="J6159"/>
  <c r="L6158"/>
  <c r="J6158"/>
  <c r="L6157"/>
  <c r="J6157"/>
  <c r="L6156"/>
  <c r="J6156"/>
  <c r="L6155"/>
  <c r="J6155"/>
  <c r="L6154"/>
  <c r="J6154"/>
  <c r="L6153"/>
  <c r="J6153"/>
  <c r="L6152"/>
  <c r="J6152"/>
  <c r="L6151"/>
  <c r="J6151"/>
  <c r="L6150"/>
  <c r="J6150"/>
  <c r="L6149"/>
  <c r="J6149"/>
  <c r="L6148"/>
  <c r="J6148"/>
  <c r="L6147"/>
  <c r="J6147"/>
  <c r="L6146"/>
  <c r="J6146"/>
  <c r="L6145"/>
  <c r="J6145"/>
  <c r="L6144"/>
  <c r="J6144"/>
  <c r="L6143"/>
  <c r="J6143"/>
  <c r="L6142"/>
  <c r="J6142"/>
  <c r="L6141"/>
  <c r="J6141"/>
  <c r="L6140"/>
  <c r="J6140"/>
  <c r="L6139"/>
  <c r="J6139"/>
  <c r="L6138"/>
  <c r="J6138"/>
  <c r="L6137"/>
  <c r="J6137"/>
  <c r="L6136"/>
  <c r="J6136"/>
  <c r="L6135"/>
  <c r="J6135"/>
  <c r="L6134"/>
  <c r="J6134"/>
  <c r="L6133"/>
  <c r="J6133"/>
  <c r="L6132"/>
  <c r="J6132"/>
  <c r="L6131"/>
  <c r="J6131"/>
  <c r="L6130"/>
  <c r="J6130"/>
  <c r="L6129"/>
  <c r="J6129"/>
  <c r="L6128"/>
  <c r="J6128"/>
  <c r="L6127"/>
  <c r="J6127"/>
  <c r="L6126"/>
  <c r="J6126"/>
  <c r="L6125"/>
  <c r="J6125"/>
  <c r="L6124"/>
  <c r="J6124"/>
  <c r="L6123"/>
  <c r="J6123"/>
  <c r="L6122"/>
  <c r="J6122"/>
  <c r="L6121"/>
  <c r="J6121"/>
  <c r="L6120"/>
  <c r="J6120"/>
  <c r="L6119"/>
  <c r="J6119"/>
  <c r="L6118"/>
  <c r="J6118"/>
  <c r="L6117"/>
  <c r="J6117"/>
  <c r="L6116"/>
  <c r="J6116"/>
  <c r="L6115"/>
  <c r="J6115"/>
  <c r="L6114"/>
  <c r="J6114"/>
  <c r="L6113"/>
  <c r="J6113"/>
  <c r="L6112"/>
  <c r="J6112"/>
  <c r="L6111"/>
  <c r="J6111"/>
  <c r="L6110"/>
  <c r="J6110"/>
  <c r="L6109"/>
  <c r="J6109"/>
  <c r="L6108"/>
  <c r="J6108"/>
  <c r="L6107"/>
  <c r="J6107"/>
  <c r="L6106"/>
  <c r="J6106"/>
  <c r="L6105"/>
  <c r="J6105"/>
  <c r="L6104"/>
  <c r="J6104"/>
  <c r="L6103"/>
  <c r="J6103"/>
  <c r="L6102"/>
  <c r="J6102"/>
  <c r="L6101"/>
  <c r="J6101"/>
  <c r="L6100"/>
  <c r="J6100"/>
  <c r="L6099"/>
  <c r="J6099"/>
  <c r="L6098"/>
  <c r="J6098"/>
  <c r="L6097"/>
  <c r="J6097"/>
  <c r="L6096"/>
  <c r="J6096"/>
  <c r="L6095"/>
  <c r="J6095"/>
  <c r="L6094"/>
  <c r="J6094"/>
  <c r="L6093"/>
  <c r="J6093"/>
  <c r="L6092"/>
  <c r="J6092"/>
  <c r="L6091"/>
  <c r="J6091"/>
  <c r="L6090"/>
  <c r="J6090"/>
  <c r="L6089"/>
  <c r="J6089"/>
  <c r="L6088"/>
  <c r="J6088"/>
  <c r="L6087"/>
  <c r="J6087"/>
  <c r="L6086"/>
  <c r="J6086"/>
  <c r="L6085"/>
  <c r="J6085"/>
  <c r="L6084"/>
  <c r="J6084"/>
  <c r="L6083"/>
  <c r="J6083"/>
  <c r="L6082"/>
  <c r="J6082"/>
  <c r="L6081"/>
  <c r="J6081"/>
  <c r="L6080"/>
  <c r="J6080"/>
  <c r="L6079"/>
  <c r="J6079"/>
  <c r="L6078"/>
  <c r="J6078"/>
  <c r="L6077"/>
  <c r="J6077"/>
  <c r="L6076"/>
  <c r="J6076"/>
  <c r="L6075"/>
  <c r="J6075"/>
  <c r="L6074"/>
  <c r="J6074"/>
  <c r="L6073"/>
  <c r="J6073"/>
  <c r="L6072"/>
  <c r="J6072"/>
  <c r="L6071"/>
  <c r="J6071"/>
  <c r="L6070"/>
  <c r="J6070"/>
  <c r="L6069"/>
  <c r="J6069"/>
  <c r="L6068"/>
  <c r="J6068"/>
  <c r="L6067"/>
  <c r="J6067"/>
  <c r="L6066"/>
  <c r="J6066"/>
  <c r="L6065"/>
  <c r="J6065"/>
  <c r="L6064"/>
  <c r="J6064"/>
  <c r="L6063"/>
  <c r="J6063"/>
  <c r="L6062"/>
  <c r="J6062"/>
  <c r="L6061"/>
  <c r="J6061"/>
  <c r="L6060"/>
  <c r="J6060"/>
  <c r="L6059"/>
  <c r="J6059"/>
  <c r="L6058"/>
  <c r="J6058"/>
  <c r="L6057"/>
  <c r="J6057"/>
  <c r="L6056"/>
  <c r="J6056"/>
  <c r="L6055"/>
  <c r="J6055"/>
  <c r="L6054"/>
  <c r="J6054"/>
  <c r="L6053"/>
  <c r="J6053"/>
  <c r="L6052"/>
  <c r="J6052"/>
  <c r="L6051"/>
  <c r="J6051"/>
  <c r="L6050"/>
  <c r="J6050"/>
  <c r="L6049"/>
  <c r="J6049"/>
  <c r="L6048"/>
  <c r="J6048"/>
  <c r="L6047"/>
  <c r="J6047"/>
  <c r="L6046"/>
  <c r="J6046"/>
  <c r="L6045"/>
  <c r="J6045"/>
  <c r="L6044"/>
  <c r="J6044"/>
  <c r="L6043"/>
  <c r="J6043"/>
  <c r="L6042"/>
  <c r="J6042"/>
  <c r="L6041"/>
  <c r="J6041"/>
  <c r="L6040"/>
  <c r="J6040"/>
  <c r="L6039"/>
  <c r="J6039"/>
  <c r="L6038"/>
  <c r="J6038"/>
  <c r="L6037"/>
  <c r="J6037"/>
  <c r="L6036"/>
  <c r="J6036"/>
  <c r="L6035"/>
  <c r="J6035"/>
  <c r="L6034"/>
  <c r="J6034"/>
  <c r="L6033"/>
  <c r="J6033"/>
  <c r="L6032"/>
  <c r="J6032"/>
  <c r="L6031"/>
  <c r="J6031"/>
  <c r="L6030"/>
  <c r="J6030"/>
  <c r="L6029"/>
  <c r="J6029"/>
  <c r="L6028"/>
  <c r="J6028"/>
  <c r="L6027"/>
  <c r="J6027"/>
  <c r="L6026"/>
  <c r="J6026"/>
  <c r="L6025"/>
  <c r="J6025"/>
  <c r="L6024"/>
  <c r="J6024"/>
  <c r="L6023"/>
  <c r="J6023"/>
  <c r="L6022"/>
  <c r="J6022"/>
  <c r="L6021"/>
  <c r="J6021"/>
  <c r="L6020"/>
  <c r="J6020"/>
  <c r="L6019"/>
  <c r="J6019"/>
  <c r="L6018"/>
  <c r="J6018"/>
  <c r="L6017"/>
  <c r="J6017"/>
  <c r="L6016"/>
  <c r="J6016"/>
  <c r="L6015"/>
  <c r="J6015"/>
  <c r="L6014"/>
  <c r="J6014"/>
  <c r="L6013"/>
  <c r="J6013"/>
  <c r="L6012"/>
  <c r="J6012"/>
  <c r="L6011"/>
  <c r="J6011"/>
  <c r="L6010"/>
  <c r="J6010"/>
  <c r="L6009"/>
  <c r="J6009"/>
  <c r="L6008"/>
  <c r="J6008"/>
  <c r="L6007"/>
  <c r="J6007"/>
  <c r="L6006"/>
  <c r="J6006"/>
  <c r="L6005"/>
  <c r="J6005"/>
  <c r="L6004"/>
  <c r="J6004"/>
  <c r="L6003"/>
  <c r="J6003"/>
  <c r="L6002"/>
  <c r="J6002"/>
  <c r="L6001"/>
  <c r="J6001"/>
  <c r="L6000"/>
  <c r="J6000"/>
  <c r="L5999"/>
  <c r="J5999"/>
  <c r="L5998"/>
  <c r="J5998"/>
  <c r="L5997"/>
  <c r="J5997"/>
  <c r="L5996"/>
  <c r="J5996"/>
  <c r="L5995"/>
  <c r="J5995"/>
  <c r="L5994"/>
  <c r="J5994"/>
  <c r="L5993"/>
  <c r="J5993"/>
  <c r="L5992"/>
  <c r="J5992"/>
  <c r="L5991"/>
  <c r="J5991"/>
  <c r="L5990"/>
  <c r="J5990"/>
  <c r="L5989"/>
  <c r="J5989"/>
  <c r="L5988"/>
  <c r="J5988"/>
  <c r="L5987"/>
  <c r="J5987"/>
  <c r="L5986"/>
  <c r="J5986"/>
  <c r="L5985"/>
  <c r="J5985"/>
  <c r="L5984"/>
  <c r="J5984"/>
  <c r="L5983"/>
  <c r="J5983"/>
  <c r="L5982"/>
  <c r="J5982"/>
  <c r="L5981"/>
  <c r="J5981"/>
  <c r="L5980"/>
  <c r="J5980"/>
  <c r="L5979"/>
  <c r="J5979"/>
  <c r="L5978"/>
  <c r="J5978"/>
  <c r="L5977"/>
  <c r="J5977"/>
  <c r="L5976"/>
  <c r="J5976"/>
  <c r="L5975"/>
  <c r="J5975"/>
  <c r="L5974"/>
  <c r="J5974"/>
  <c r="L5973"/>
  <c r="J5973"/>
  <c r="L5972"/>
  <c r="J5972"/>
  <c r="L5971"/>
  <c r="J5971"/>
  <c r="L5970"/>
  <c r="J5970"/>
  <c r="L5969"/>
  <c r="J5969"/>
  <c r="L5968"/>
  <c r="J5968"/>
  <c r="L5967"/>
  <c r="J5967"/>
  <c r="L5966"/>
  <c r="J5966"/>
  <c r="L5965"/>
  <c r="J5965"/>
  <c r="L5964"/>
  <c r="J5964"/>
  <c r="L5963"/>
  <c r="J5963"/>
  <c r="L5962"/>
  <c r="J5962"/>
  <c r="L5961"/>
  <c r="J5961"/>
  <c r="L5960"/>
  <c r="J5960"/>
  <c r="L5959"/>
  <c r="J5959"/>
  <c r="L5958"/>
  <c r="J5958"/>
  <c r="L5957"/>
  <c r="J5957"/>
  <c r="L5956"/>
  <c r="J5956"/>
  <c r="L5955"/>
  <c r="J5955"/>
  <c r="L5954"/>
  <c r="J5954"/>
  <c r="L5953"/>
  <c r="J5953"/>
  <c r="L5952"/>
  <c r="J5952"/>
  <c r="L5951"/>
  <c r="J5951"/>
  <c r="L5950"/>
  <c r="J5950"/>
  <c r="L5949"/>
  <c r="J5949"/>
  <c r="L5948"/>
  <c r="J5948"/>
  <c r="L5947"/>
  <c r="J5947"/>
  <c r="L5946"/>
  <c r="J5946"/>
  <c r="L5945"/>
  <c r="J5945"/>
  <c r="L5944"/>
  <c r="J5944"/>
  <c r="L5943"/>
  <c r="J5943"/>
  <c r="L5942"/>
  <c r="J5942"/>
  <c r="L5941"/>
  <c r="J5941"/>
  <c r="L5940"/>
  <c r="J5940"/>
  <c r="L5939"/>
  <c r="J5939"/>
  <c r="L5938"/>
  <c r="J5938"/>
  <c r="L5937"/>
  <c r="J5937"/>
  <c r="L5936"/>
  <c r="J5936"/>
  <c r="L5935"/>
  <c r="J5935"/>
  <c r="L5934"/>
  <c r="J5934"/>
  <c r="L5933"/>
  <c r="J5933"/>
  <c r="L5932"/>
  <c r="J5932"/>
  <c r="L5931"/>
  <c r="J5931"/>
  <c r="L5930"/>
  <c r="J5930"/>
  <c r="L5929"/>
  <c r="J5929"/>
  <c r="L5928"/>
  <c r="J5928"/>
  <c r="L5927"/>
  <c r="J5927"/>
  <c r="L5926"/>
  <c r="J5926"/>
  <c r="L5925"/>
  <c r="J5925"/>
  <c r="L5924"/>
  <c r="J5924"/>
  <c r="L5923"/>
  <c r="J5923"/>
  <c r="L5922"/>
  <c r="J5922"/>
  <c r="L5921"/>
  <c r="J5921"/>
  <c r="L5920"/>
  <c r="J5920"/>
  <c r="L5919"/>
  <c r="J5919"/>
  <c r="L5918"/>
  <c r="J5918"/>
  <c r="L5917"/>
  <c r="J5917"/>
  <c r="L5916"/>
  <c r="J5916"/>
  <c r="L5915"/>
  <c r="J5915"/>
  <c r="L5914"/>
  <c r="J5914"/>
  <c r="L5913"/>
  <c r="J5913"/>
  <c r="L5912"/>
  <c r="J5912"/>
  <c r="L5911"/>
  <c r="J5911"/>
  <c r="L5910"/>
  <c r="J5910"/>
  <c r="L5909"/>
  <c r="J5909"/>
  <c r="L5908"/>
  <c r="J5908"/>
  <c r="L5907"/>
  <c r="J5907"/>
  <c r="L5906"/>
  <c r="J5906"/>
  <c r="L5905"/>
  <c r="J5905"/>
  <c r="L5904"/>
  <c r="J5904"/>
  <c r="L5903"/>
  <c r="J5903"/>
  <c r="L5902"/>
  <c r="J5902"/>
  <c r="L5901"/>
  <c r="J5901"/>
  <c r="L5900"/>
  <c r="J5900"/>
  <c r="L5899"/>
  <c r="J5899"/>
  <c r="L5898"/>
  <c r="J5898"/>
  <c r="L5897"/>
  <c r="J5897"/>
  <c r="L5896"/>
  <c r="J5896"/>
  <c r="L5895"/>
  <c r="J5895"/>
  <c r="L5894"/>
  <c r="J5894"/>
  <c r="L5893"/>
  <c r="J5893"/>
  <c r="L5892"/>
  <c r="J5892"/>
  <c r="L5891"/>
  <c r="J5891"/>
  <c r="L5890"/>
  <c r="J5890"/>
  <c r="L5889"/>
  <c r="J5889"/>
  <c r="L5888"/>
  <c r="J5888"/>
  <c r="L5887"/>
  <c r="J5887"/>
  <c r="L5886"/>
  <c r="J5886"/>
  <c r="L5885"/>
  <c r="J5885"/>
  <c r="L5884"/>
  <c r="J5884"/>
  <c r="L5883"/>
  <c r="J5883"/>
  <c r="L5882"/>
  <c r="J5882"/>
  <c r="L5881"/>
  <c r="J5881"/>
  <c r="L5880"/>
  <c r="J5880"/>
  <c r="L5879"/>
  <c r="J5879"/>
  <c r="L5878"/>
  <c r="J5878"/>
  <c r="L5877"/>
  <c r="J5877"/>
  <c r="L5876"/>
  <c r="J5876"/>
  <c r="L5875"/>
  <c r="J5875"/>
  <c r="L5874"/>
  <c r="J5874"/>
  <c r="L5873"/>
  <c r="J5873"/>
  <c r="L5872"/>
  <c r="J5872"/>
  <c r="L5871"/>
  <c r="J5871"/>
  <c r="L5870"/>
  <c r="J5870"/>
  <c r="L5869"/>
  <c r="J5869"/>
  <c r="L5868"/>
  <c r="J5868"/>
  <c r="L5867"/>
  <c r="J5867"/>
  <c r="L5866"/>
  <c r="J5866"/>
  <c r="L5865"/>
  <c r="J5865"/>
  <c r="L5864"/>
  <c r="J5864"/>
  <c r="L5863"/>
  <c r="J5863"/>
  <c r="L5862"/>
  <c r="J5862"/>
  <c r="L5861"/>
  <c r="J5861"/>
  <c r="L5860"/>
  <c r="J5860"/>
  <c r="L5859"/>
  <c r="J5859"/>
  <c r="L5858"/>
  <c r="J5858"/>
  <c r="L5857"/>
  <c r="J5857"/>
  <c r="L5856"/>
  <c r="J5856"/>
  <c r="L5855"/>
  <c r="J5855"/>
  <c r="L5854"/>
  <c r="J5854"/>
  <c r="L5853"/>
  <c r="J5853"/>
  <c r="L5852"/>
  <c r="J5852"/>
  <c r="L5851"/>
  <c r="J5851"/>
  <c r="L5850"/>
  <c r="J5850"/>
  <c r="L5849"/>
  <c r="J5849"/>
  <c r="L5848"/>
  <c r="J5848"/>
  <c r="L5847"/>
  <c r="J5847"/>
  <c r="L5846"/>
  <c r="J5846"/>
  <c r="L5845"/>
  <c r="J5845"/>
  <c r="L5844"/>
  <c r="J5844"/>
  <c r="L5843"/>
  <c r="J5843"/>
  <c r="L5842"/>
  <c r="J5842"/>
  <c r="L5841"/>
  <c r="J5841"/>
  <c r="L5840"/>
  <c r="J5840"/>
  <c r="L5839"/>
  <c r="J5839"/>
  <c r="L5838"/>
  <c r="J5838"/>
  <c r="L5837"/>
  <c r="J5837"/>
  <c r="L5836"/>
  <c r="J5836"/>
  <c r="L5835"/>
  <c r="J5835"/>
  <c r="L5834"/>
  <c r="J5834"/>
  <c r="L5833"/>
  <c r="J5833"/>
  <c r="L5832"/>
  <c r="J5832"/>
  <c r="L5831"/>
  <c r="J5831"/>
  <c r="L5830"/>
  <c r="J5830"/>
  <c r="L5829"/>
  <c r="J5829"/>
  <c r="L5828"/>
  <c r="J5828"/>
  <c r="L5827"/>
  <c r="J5827"/>
  <c r="L5826"/>
  <c r="J5826"/>
  <c r="L5825"/>
  <c r="J5825"/>
  <c r="L5824"/>
  <c r="J5824"/>
  <c r="L5823"/>
  <c r="J5823"/>
  <c r="L5822"/>
  <c r="J5822"/>
  <c r="L5821"/>
  <c r="J5821"/>
  <c r="L5820"/>
  <c r="J5820"/>
  <c r="L5819"/>
  <c r="J5819"/>
  <c r="L5818"/>
  <c r="J5818"/>
  <c r="L5817"/>
  <c r="J5817"/>
  <c r="L5816"/>
  <c r="J5816"/>
  <c r="L5815"/>
  <c r="J5815"/>
  <c r="L5814"/>
  <c r="J5814"/>
  <c r="L5813"/>
  <c r="J5813"/>
  <c r="L5812"/>
  <c r="J5812"/>
  <c r="L5811"/>
  <c r="J5811"/>
  <c r="L5810"/>
  <c r="J5810"/>
  <c r="L5809"/>
  <c r="J5809"/>
  <c r="L5808"/>
  <c r="J5808"/>
  <c r="L5807"/>
  <c r="J5807"/>
  <c r="L5806"/>
  <c r="J5806"/>
  <c r="L5805"/>
  <c r="J5805"/>
  <c r="L5804"/>
  <c r="J5804"/>
  <c r="L5803"/>
  <c r="J5803"/>
  <c r="L5802"/>
  <c r="J5802"/>
  <c r="L5801"/>
  <c r="J5801"/>
  <c r="L5800"/>
  <c r="J5800"/>
  <c r="L5799"/>
  <c r="J5799"/>
  <c r="L5798"/>
  <c r="J5798"/>
  <c r="L5797"/>
  <c r="J5797"/>
  <c r="L5796"/>
  <c r="J5796"/>
  <c r="L5795"/>
  <c r="J5795"/>
  <c r="L5794"/>
  <c r="J5794"/>
  <c r="L5793"/>
  <c r="J5793"/>
  <c r="L5792"/>
  <c r="J5792"/>
  <c r="L5791"/>
  <c r="J5791"/>
  <c r="L5790"/>
  <c r="J5790"/>
  <c r="L5789"/>
  <c r="J5789"/>
  <c r="L5788"/>
  <c r="J5788"/>
  <c r="L5787"/>
  <c r="J5787"/>
  <c r="L5786"/>
  <c r="J5786"/>
  <c r="L5785"/>
  <c r="J5785"/>
  <c r="L5784"/>
  <c r="J5784"/>
  <c r="L5783"/>
  <c r="J5783"/>
  <c r="L5782"/>
  <c r="J5782"/>
  <c r="L5781"/>
  <c r="J5781"/>
  <c r="L5780"/>
  <c r="J5780"/>
  <c r="L5779"/>
  <c r="J5779"/>
  <c r="L5778"/>
  <c r="J5778"/>
  <c r="L5777"/>
  <c r="J5777"/>
  <c r="L5776"/>
  <c r="J5776"/>
  <c r="L5775"/>
  <c r="J5775"/>
  <c r="L5774"/>
  <c r="J5774"/>
  <c r="L5773"/>
  <c r="J5773"/>
  <c r="L5772"/>
  <c r="J5772"/>
  <c r="L5771"/>
  <c r="J5771"/>
  <c r="L5770"/>
  <c r="J5770"/>
  <c r="L5769"/>
  <c r="J5769"/>
  <c r="L5768"/>
  <c r="J5768"/>
  <c r="L5767"/>
  <c r="J5767"/>
  <c r="L5766"/>
  <c r="J5766"/>
  <c r="L5765"/>
  <c r="J5765"/>
  <c r="L5764"/>
  <c r="J5764"/>
  <c r="L5763"/>
  <c r="J5763"/>
  <c r="L5762"/>
  <c r="J5762"/>
  <c r="L5761"/>
  <c r="J5761"/>
  <c r="L5760"/>
  <c r="J5760"/>
  <c r="L5759"/>
  <c r="J5759"/>
  <c r="L5758"/>
  <c r="J5758"/>
  <c r="L5757"/>
  <c r="J5757"/>
  <c r="L5756"/>
  <c r="J5756"/>
  <c r="L5755"/>
  <c r="J5755"/>
  <c r="L5754"/>
  <c r="J5754"/>
  <c r="L5753"/>
  <c r="J5753"/>
  <c r="L5752"/>
  <c r="J5752"/>
  <c r="L5751"/>
  <c r="J5751"/>
  <c r="L5750"/>
  <c r="J5750"/>
  <c r="L5749"/>
  <c r="J5749"/>
  <c r="L5748"/>
  <c r="J5748"/>
  <c r="L5747"/>
  <c r="J5747"/>
  <c r="L5746"/>
  <c r="J5746"/>
  <c r="L5745"/>
  <c r="J5745"/>
  <c r="L5744"/>
  <c r="J5744"/>
  <c r="L5743"/>
  <c r="J5743"/>
  <c r="L5742"/>
  <c r="J5742"/>
  <c r="L5741"/>
  <c r="J5741"/>
  <c r="L5740"/>
  <c r="J5740"/>
  <c r="L5739"/>
  <c r="J5739"/>
  <c r="L5738"/>
  <c r="J5738"/>
  <c r="L5737"/>
  <c r="J5737"/>
  <c r="L5736"/>
  <c r="J5736"/>
  <c r="L5735"/>
  <c r="J5735"/>
  <c r="L5734"/>
  <c r="J5734"/>
  <c r="L5733"/>
  <c r="J5733"/>
  <c r="L5732"/>
  <c r="J5732"/>
  <c r="L5731"/>
  <c r="J5731"/>
  <c r="L5730"/>
  <c r="J5730"/>
  <c r="L5729"/>
  <c r="J5729"/>
  <c r="L5728"/>
  <c r="J5728"/>
  <c r="L5727"/>
  <c r="J5727"/>
  <c r="L5726"/>
  <c r="J5726"/>
  <c r="L5725"/>
  <c r="J5725"/>
  <c r="L5724"/>
  <c r="J5724"/>
  <c r="L5723"/>
  <c r="J5723"/>
  <c r="L5722"/>
  <c r="J5722"/>
  <c r="L5721"/>
  <c r="J5721"/>
  <c r="L5720"/>
  <c r="J5720"/>
  <c r="L5719"/>
  <c r="J5719"/>
  <c r="L5718"/>
  <c r="J5718"/>
  <c r="L5717"/>
  <c r="J5717"/>
  <c r="L5716"/>
  <c r="J5716"/>
  <c r="L5715"/>
  <c r="J5715"/>
  <c r="L5714"/>
  <c r="J5714"/>
  <c r="L5713"/>
  <c r="J5713"/>
  <c r="L5712"/>
  <c r="J5712"/>
  <c r="L5711"/>
  <c r="J5711"/>
  <c r="L5710"/>
  <c r="J5710"/>
  <c r="L5709"/>
  <c r="J5709"/>
  <c r="L5708"/>
  <c r="J5708"/>
  <c r="L5707"/>
  <c r="J5707"/>
  <c r="L5706"/>
  <c r="J5706"/>
  <c r="L5705"/>
  <c r="J5705"/>
  <c r="L5704"/>
  <c r="J5704"/>
  <c r="L5703"/>
  <c r="J5703"/>
  <c r="L5702"/>
  <c r="J5702"/>
  <c r="L5701"/>
  <c r="J5701"/>
  <c r="L5700"/>
  <c r="J5700"/>
  <c r="L5699"/>
  <c r="J5699"/>
  <c r="L5698"/>
  <c r="J5698"/>
  <c r="L5697"/>
  <c r="J5697"/>
  <c r="L5696"/>
  <c r="J5696"/>
  <c r="L5695"/>
  <c r="J5695"/>
  <c r="L5694"/>
  <c r="J5694"/>
  <c r="L5693"/>
  <c r="J5693"/>
  <c r="L5692"/>
  <c r="J5692"/>
  <c r="L5691"/>
  <c r="J5691"/>
  <c r="L5690"/>
  <c r="J5690"/>
  <c r="L5689"/>
  <c r="J5689"/>
  <c r="L5688"/>
  <c r="J5688"/>
  <c r="L5687"/>
  <c r="J5687"/>
  <c r="L5686"/>
  <c r="J5686"/>
  <c r="L5685"/>
  <c r="J5685"/>
  <c r="L5684"/>
  <c r="J5684"/>
  <c r="L5683"/>
  <c r="J5683"/>
  <c r="L5682"/>
  <c r="J5682"/>
  <c r="L5681"/>
  <c r="J5681"/>
  <c r="L5680"/>
  <c r="J5680"/>
  <c r="L5679"/>
  <c r="J5679"/>
  <c r="L5678"/>
  <c r="J5678"/>
  <c r="L5677"/>
  <c r="J5677"/>
  <c r="L5676"/>
  <c r="J5676"/>
  <c r="L5675"/>
  <c r="J5675"/>
  <c r="L5674"/>
  <c r="J5674"/>
  <c r="L5673"/>
  <c r="J5673"/>
  <c r="L5672"/>
  <c r="J5672"/>
  <c r="L5671"/>
  <c r="J5671"/>
  <c r="L5670"/>
  <c r="J5670"/>
  <c r="L5669"/>
  <c r="J5669"/>
  <c r="L5668"/>
  <c r="J5668"/>
  <c r="L5667"/>
  <c r="J5667"/>
  <c r="L5666"/>
  <c r="J5666"/>
  <c r="L5665"/>
  <c r="J5665"/>
  <c r="L5664"/>
  <c r="J5664"/>
  <c r="L5663"/>
  <c r="J5663"/>
  <c r="L5662"/>
  <c r="J5662"/>
  <c r="L5661"/>
  <c r="J5661"/>
  <c r="L5660"/>
  <c r="J5660"/>
  <c r="L5659"/>
  <c r="J5659"/>
  <c r="L5658"/>
  <c r="J5658"/>
  <c r="L5657"/>
  <c r="J5657"/>
  <c r="L5656"/>
  <c r="J5656"/>
  <c r="L5655"/>
  <c r="J5655"/>
  <c r="L5654"/>
  <c r="J5654"/>
  <c r="L5653"/>
  <c r="J5653"/>
  <c r="L5652"/>
  <c r="J5652"/>
  <c r="L5651"/>
  <c r="J5651"/>
  <c r="L5650"/>
  <c r="J5650"/>
  <c r="L5649"/>
  <c r="J5649"/>
  <c r="L5648"/>
  <c r="J5648"/>
  <c r="L5647"/>
  <c r="J5647"/>
  <c r="L5646"/>
  <c r="J5646"/>
  <c r="L5645"/>
  <c r="J5645"/>
  <c r="L5644"/>
  <c r="J5644"/>
  <c r="L5643"/>
  <c r="J5643"/>
  <c r="L5642"/>
  <c r="J5642"/>
  <c r="L5641"/>
  <c r="J5641"/>
  <c r="L5640"/>
  <c r="J5640"/>
  <c r="L5639"/>
  <c r="J5639"/>
  <c r="L5638"/>
  <c r="J5638"/>
  <c r="L5637"/>
  <c r="J5637"/>
  <c r="L5636"/>
  <c r="J5636"/>
  <c r="L5635"/>
  <c r="J5635"/>
  <c r="L5634"/>
  <c r="J5634"/>
  <c r="L5633"/>
  <c r="J5633"/>
  <c r="L5632"/>
  <c r="J5632"/>
  <c r="L5631"/>
  <c r="J5631"/>
  <c r="L5630"/>
  <c r="J5630"/>
  <c r="L5629"/>
  <c r="J5629"/>
  <c r="L5628"/>
  <c r="J5628"/>
  <c r="L5627"/>
  <c r="J5627"/>
  <c r="L5626"/>
  <c r="J5626"/>
  <c r="L5625"/>
  <c r="J5625"/>
  <c r="L5624"/>
  <c r="J5624"/>
  <c r="L5623"/>
  <c r="J5623"/>
  <c r="L5622"/>
  <c r="J5622"/>
  <c r="L5621"/>
  <c r="J5621"/>
  <c r="L5620"/>
  <c r="J5620"/>
  <c r="L5619"/>
  <c r="J5619"/>
  <c r="L5618"/>
  <c r="J5618"/>
  <c r="L5617"/>
  <c r="J5617"/>
  <c r="L5616"/>
  <c r="J5616"/>
  <c r="L5615"/>
  <c r="J5615"/>
  <c r="L5614"/>
  <c r="J5614"/>
  <c r="L5613"/>
  <c r="J5613"/>
  <c r="L5612"/>
  <c r="J5612"/>
  <c r="L5611"/>
  <c r="J5611"/>
  <c r="L5610"/>
  <c r="J5610"/>
  <c r="L5609"/>
  <c r="J5609"/>
  <c r="L5608"/>
  <c r="J5608"/>
  <c r="L5607"/>
  <c r="J5607"/>
  <c r="L5606"/>
  <c r="J5606"/>
  <c r="L5605"/>
  <c r="J5605"/>
  <c r="L5604"/>
  <c r="J5604"/>
  <c r="L5603"/>
  <c r="J5603"/>
  <c r="L5602"/>
  <c r="J5602"/>
  <c r="L5601"/>
  <c r="J5601"/>
  <c r="L5600"/>
  <c r="J5600"/>
  <c r="L5599"/>
  <c r="J5599"/>
  <c r="L5598"/>
  <c r="J5598"/>
  <c r="L5597"/>
  <c r="J5597"/>
  <c r="L5596"/>
  <c r="J5596"/>
  <c r="L5595"/>
  <c r="J5595"/>
  <c r="L5594"/>
  <c r="J5594"/>
  <c r="L5593"/>
  <c r="J5593"/>
  <c r="L5592"/>
  <c r="J5592"/>
  <c r="L5591"/>
  <c r="J5591"/>
  <c r="L5590"/>
  <c r="J5590"/>
  <c r="L5589"/>
  <c r="J5589"/>
  <c r="L5588"/>
  <c r="J5588"/>
  <c r="L5587"/>
  <c r="J5587"/>
  <c r="L5586"/>
  <c r="J5586"/>
  <c r="L5585"/>
  <c r="J5585"/>
  <c r="L5584"/>
  <c r="J5584"/>
  <c r="L5583"/>
  <c r="J5583"/>
  <c r="L5582"/>
  <c r="J5582"/>
  <c r="L5581"/>
  <c r="J5581"/>
  <c r="L5580"/>
  <c r="J5580"/>
  <c r="L5579"/>
  <c r="J5579"/>
  <c r="L5578"/>
  <c r="J5578"/>
  <c r="L5577"/>
  <c r="J5577"/>
  <c r="L5576"/>
  <c r="J5576"/>
  <c r="L5575"/>
  <c r="J5575"/>
  <c r="L5574"/>
  <c r="J5574"/>
  <c r="L5573"/>
  <c r="J5573"/>
  <c r="L5572"/>
  <c r="J5572"/>
  <c r="L5571"/>
  <c r="J5571"/>
  <c r="L5570"/>
  <c r="J5570"/>
  <c r="L5569"/>
  <c r="J5569"/>
  <c r="L5568"/>
  <c r="J5568"/>
  <c r="L5567"/>
  <c r="J5567"/>
  <c r="L5566"/>
  <c r="J5566"/>
  <c r="L5565"/>
  <c r="J5565"/>
  <c r="L5564"/>
  <c r="J5564"/>
  <c r="L5563"/>
  <c r="J5563"/>
  <c r="L5562"/>
  <c r="J5562"/>
  <c r="L5561"/>
  <c r="J5561"/>
  <c r="L5560"/>
  <c r="J5560"/>
  <c r="L5559"/>
  <c r="J5559"/>
  <c r="L5558"/>
  <c r="J5558"/>
  <c r="L5557"/>
  <c r="J5557"/>
  <c r="L5556"/>
  <c r="J5556"/>
  <c r="L5555"/>
  <c r="J5555"/>
  <c r="L5554"/>
  <c r="J5554"/>
  <c r="L5553"/>
  <c r="J5553"/>
  <c r="L5552"/>
  <c r="J5552"/>
  <c r="L5551"/>
  <c r="J5551"/>
  <c r="L5550"/>
  <c r="J5550"/>
  <c r="L5549"/>
  <c r="J5549"/>
  <c r="L5548"/>
  <c r="J5548"/>
  <c r="L5547"/>
  <c r="J5547"/>
  <c r="L5546"/>
  <c r="J5546"/>
  <c r="L5545"/>
  <c r="J5545"/>
  <c r="L5544"/>
  <c r="J5544"/>
  <c r="L5543"/>
  <c r="J5543"/>
  <c r="L5542"/>
  <c r="J5542"/>
  <c r="L5541"/>
  <c r="J5541"/>
  <c r="L5540"/>
  <c r="J5540"/>
  <c r="L5539"/>
  <c r="J5539"/>
  <c r="L5538"/>
  <c r="J5538"/>
  <c r="L5537"/>
  <c r="J5537"/>
  <c r="L5536"/>
  <c r="J5536"/>
  <c r="L5535"/>
  <c r="J5535"/>
  <c r="L5534"/>
  <c r="J5534"/>
  <c r="L5533"/>
  <c r="J5533"/>
  <c r="L5532"/>
  <c r="J5532"/>
  <c r="L5531"/>
  <c r="J5531"/>
  <c r="L5530"/>
  <c r="J5530"/>
  <c r="L5529"/>
  <c r="J5529"/>
  <c r="L5528"/>
  <c r="J5528"/>
  <c r="L5527"/>
  <c r="J5527"/>
  <c r="L5526"/>
  <c r="J5526"/>
  <c r="L5525"/>
  <c r="J5525"/>
  <c r="L5524"/>
  <c r="J5524"/>
  <c r="L5523"/>
  <c r="J5523"/>
  <c r="L5522"/>
  <c r="J5522"/>
  <c r="L5521"/>
  <c r="J5521"/>
  <c r="L5520"/>
  <c r="J5520"/>
  <c r="L5519"/>
  <c r="J5519"/>
  <c r="L5518"/>
  <c r="J5518"/>
  <c r="L5517"/>
  <c r="J5517"/>
  <c r="L5516"/>
  <c r="J5516"/>
  <c r="L5515"/>
  <c r="J5515"/>
  <c r="L5514"/>
  <c r="J5514"/>
  <c r="L5513"/>
  <c r="J5513"/>
  <c r="L5512"/>
  <c r="J5512"/>
  <c r="L5511"/>
  <c r="J5511"/>
  <c r="L5510"/>
  <c r="J5510"/>
  <c r="L5509"/>
  <c r="J5509"/>
  <c r="L5508"/>
  <c r="J5508"/>
  <c r="L5507"/>
  <c r="J5507"/>
  <c r="L5506"/>
  <c r="J5506"/>
  <c r="L5505"/>
  <c r="J5505"/>
  <c r="L5504"/>
  <c r="J5504"/>
  <c r="L5503"/>
  <c r="J5503"/>
  <c r="L5502"/>
  <c r="J5502"/>
  <c r="L5501"/>
  <c r="J5501"/>
  <c r="L5500"/>
  <c r="J5500"/>
  <c r="L5499"/>
  <c r="J5499"/>
  <c r="L5498"/>
  <c r="J5498"/>
  <c r="L5497"/>
  <c r="J5497"/>
  <c r="L5496"/>
  <c r="J5496"/>
  <c r="L5495"/>
  <c r="J5495"/>
  <c r="L5494"/>
  <c r="J5494"/>
  <c r="L5493"/>
  <c r="J5493"/>
  <c r="L5492"/>
  <c r="J5492"/>
  <c r="L5491"/>
  <c r="J5491"/>
  <c r="L5490"/>
  <c r="J5490"/>
  <c r="L5489"/>
  <c r="J5489"/>
  <c r="L5488"/>
  <c r="J5488"/>
  <c r="L5487"/>
  <c r="J5487"/>
  <c r="L5486"/>
  <c r="J5486"/>
  <c r="L5485"/>
  <c r="J5485"/>
  <c r="L5484"/>
  <c r="J5484"/>
  <c r="L5483"/>
  <c r="J5483"/>
  <c r="L5482"/>
  <c r="J5482"/>
  <c r="L5481"/>
  <c r="J5481"/>
  <c r="L5480"/>
  <c r="J5480"/>
  <c r="L5479"/>
  <c r="J5479"/>
  <c r="L5478"/>
  <c r="J5478"/>
  <c r="L5477"/>
  <c r="J5477"/>
  <c r="L5476"/>
  <c r="J5476"/>
  <c r="L5475"/>
  <c r="J5475"/>
  <c r="L5474"/>
  <c r="J5474"/>
  <c r="L5473"/>
  <c r="J5473"/>
  <c r="L5472"/>
  <c r="J5472"/>
  <c r="L5471"/>
  <c r="J5471"/>
  <c r="L5470"/>
  <c r="J5470"/>
  <c r="L5469"/>
  <c r="J5469"/>
  <c r="L5468"/>
  <c r="J5468"/>
  <c r="L5467"/>
  <c r="J5467"/>
  <c r="L5466"/>
  <c r="J5466"/>
  <c r="L5465"/>
  <c r="J5465"/>
  <c r="L5464"/>
  <c r="J5464"/>
  <c r="L5463"/>
  <c r="J5463"/>
  <c r="L5462"/>
  <c r="J5462"/>
  <c r="L5461"/>
  <c r="J5461"/>
  <c r="L5460"/>
  <c r="J5460"/>
  <c r="L5459"/>
  <c r="J5459"/>
  <c r="L5458"/>
  <c r="J5458"/>
  <c r="L5457"/>
  <c r="J5457"/>
  <c r="L5456"/>
  <c r="J5456"/>
  <c r="L5455"/>
  <c r="J5455"/>
  <c r="L5454"/>
  <c r="J5454"/>
  <c r="L5453"/>
  <c r="J5453"/>
  <c r="L5452"/>
  <c r="J5452"/>
  <c r="L5451"/>
  <c r="J5451"/>
  <c r="L5450"/>
  <c r="J5450"/>
  <c r="L5449"/>
  <c r="J5449"/>
  <c r="L5448"/>
  <c r="J5448"/>
  <c r="L5447"/>
  <c r="J5447"/>
  <c r="L5446"/>
  <c r="J5446"/>
  <c r="L5445"/>
  <c r="J5445"/>
  <c r="L5444"/>
  <c r="J5444"/>
  <c r="L5443"/>
  <c r="J5443"/>
  <c r="L5442"/>
  <c r="J5442"/>
  <c r="L5441"/>
  <c r="J5441"/>
  <c r="L5440"/>
  <c r="J5440"/>
  <c r="L5439"/>
  <c r="J5439"/>
  <c r="L5438"/>
  <c r="J5438"/>
  <c r="L5437"/>
  <c r="J5437"/>
  <c r="L5436"/>
  <c r="J5436"/>
  <c r="L5435"/>
  <c r="J5435"/>
  <c r="L5434"/>
  <c r="J5434"/>
  <c r="L5433"/>
  <c r="J5433"/>
  <c r="L5432"/>
  <c r="J5432"/>
  <c r="L5431"/>
  <c r="J5431"/>
  <c r="L5430"/>
  <c r="J5430"/>
  <c r="L5429"/>
  <c r="J5429"/>
  <c r="L5428"/>
  <c r="J5428"/>
  <c r="L5427"/>
  <c r="J5427"/>
  <c r="L5426"/>
  <c r="J5426"/>
  <c r="L5425"/>
  <c r="J5425"/>
  <c r="L5424"/>
  <c r="J5424"/>
  <c r="L5423"/>
  <c r="J5423"/>
  <c r="L5422"/>
  <c r="J5422"/>
  <c r="L5421"/>
  <c r="J5421"/>
  <c r="L5420"/>
  <c r="J5420"/>
  <c r="L5419"/>
  <c r="J5419"/>
  <c r="L5418"/>
  <c r="J5418"/>
  <c r="L5417"/>
  <c r="J5417"/>
  <c r="L5416"/>
  <c r="J5416"/>
  <c r="L5415"/>
  <c r="J5415"/>
  <c r="L5414"/>
  <c r="J5414"/>
  <c r="L5413"/>
  <c r="J5413"/>
  <c r="L5412"/>
  <c r="J5412"/>
  <c r="L5411"/>
  <c r="J5411"/>
  <c r="L5410"/>
  <c r="J5410"/>
  <c r="L5409"/>
  <c r="J5409"/>
  <c r="L5408"/>
  <c r="J5408"/>
  <c r="L5407"/>
  <c r="J5407"/>
  <c r="L5406"/>
  <c r="J5406"/>
  <c r="L5405"/>
  <c r="J5405"/>
  <c r="L5404"/>
  <c r="J5404"/>
  <c r="L5403"/>
  <c r="J5403"/>
  <c r="L5402"/>
  <c r="J5402"/>
  <c r="L5401"/>
  <c r="J5401"/>
  <c r="L5400"/>
  <c r="J5400"/>
  <c r="L5399"/>
  <c r="J5399"/>
  <c r="L5398"/>
  <c r="J5398"/>
  <c r="L5397"/>
  <c r="J5397"/>
  <c r="L5396"/>
  <c r="J5396"/>
  <c r="L5395"/>
  <c r="J5395"/>
  <c r="L5394"/>
  <c r="J5394"/>
  <c r="L5393"/>
  <c r="J5393"/>
  <c r="L5392"/>
  <c r="J5392"/>
  <c r="L5391"/>
  <c r="J5391"/>
  <c r="L5390"/>
  <c r="J5390"/>
  <c r="L5389"/>
  <c r="J5389"/>
  <c r="L5388"/>
  <c r="J5388"/>
  <c r="L5387"/>
  <c r="J5387"/>
  <c r="L5386"/>
  <c r="J5386"/>
  <c r="L5385"/>
  <c r="J5385"/>
  <c r="L5384"/>
  <c r="J5384"/>
  <c r="L5383"/>
  <c r="J5383"/>
  <c r="L5382"/>
  <c r="J5382"/>
  <c r="L5381"/>
  <c r="J5381"/>
  <c r="L5380"/>
  <c r="J5380"/>
  <c r="L5379"/>
  <c r="J5379"/>
  <c r="L5378"/>
  <c r="J5378"/>
  <c r="L5377"/>
  <c r="J5377"/>
  <c r="L5376"/>
  <c r="J5376"/>
  <c r="L5375"/>
  <c r="J5375"/>
  <c r="L5374"/>
  <c r="J5374"/>
  <c r="L5373"/>
  <c r="J5373"/>
  <c r="L5372"/>
  <c r="J5372"/>
  <c r="L5371"/>
  <c r="J5371"/>
  <c r="L5370"/>
  <c r="J5370"/>
  <c r="L5369"/>
  <c r="J5369"/>
  <c r="L5368"/>
  <c r="J5368"/>
  <c r="L5367"/>
  <c r="J5367"/>
  <c r="L5366"/>
  <c r="J5366"/>
  <c r="L5365"/>
  <c r="J5365"/>
  <c r="L5364"/>
  <c r="J5364"/>
  <c r="L5363"/>
  <c r="J5363"/>
  <c r="L5362"/>
  <c r="J5362"/>
  <c r="L5361"/>
  <c r="J5361"/>
  <c r="L5360"/>
  <c r="J5360"/>
  <c r="L5359"/>
  <c r="J5359"/>
  <c r="L5358"/>
  <c r="J5358"/>
  <c r="L5357"/>
  <c r="J5357"/>
  <c r="L5356"/>
  <c r="J5356"/>
  <c r="L5355"/>
  <c r="J5355"/>
  <c r="L5354"/>
  <c r="J5354"/>
  <c r="L5353"/>
  <c r="J5353"/>
  <c r="L5352"/>
  <c r="J5352"/>
  <c r="L5351"/>
  <c r="J5351"/>
  <c r="L5350"/>
  <c r="J5350"/>
  <c r="L5349"/>
  <c r="J5349"/>
  <c r="L5348"/>
  <c r="J5348"/>
  <c r="L5347"/>
  <c r="J5347"/>
  <c r="L5346"/>
  <c r="J5346"/>
  <c r="L5345"/>
  <c r="J5345"/>
  <c r="L5344"/>
  <c r="J5344"/>
  <c r="L5343"/>
  <c r="J5343"/>
  <c r="L5342"/>
  <c r="J5342"/>
  <c r="L5341"/>
  <c r="J5341"/>
  <c r="L5340"/>
  <c r="J5340"/>
  <c r="L5339"/>
  <c r="J5339"/>
  <c r="L5338"/>
  <c r="J5338"/>
  <c r="L5337"/>
  <c r="J5337"/>
  <c r="L5336"/>
  <c r="J5336"/>
  <c r="L5335"/>
  <c r="J5335"/>
  <c r="L5334"/>
  <c r="J5334"/>
  <c r="L5333"/>
  <c r="J5333"/>
  <c r="L5332"/>
  <c r="J5332"/>
  <c r="L5331"/>
  <c r="J5331"/>
  <c r="L5330"/>
  <c r="J5330"/>
  <c r="L5329"/>
  <c r="J5329"/>
  <c r="L5328"/>
  <c r="J5328"/>
  <c r="L5327"/>
  <c r="J5327"/>
  <c r="L5326"/>
  <c r="J5326"/>
  <c r="L5325"/>
  <c r="J5325"/>
  <c r="L5324"/>
  <c r="J5324"/>
  <c r="L5323"/>
  <c r="J5323"/>
  <c r="L5322"/>
  <c r="J5322"/>
  <c r="L5321"/>
  <c r="J5321"/>
  <c r="L5320"/>
  <c r="J5320"/>
  <c r="L5319"/>
  <c r="J5319"/>
  <c r="L5318"/>
  <c r="J5318"/>
  <c r="L5317"/>
  <c r="J5317"/>
  <c r="L5316"/>
  <c r="J5316"/>
  <c r="L5315"/>
  <c r="J5315"/>
  <c r="L5314"/>
  <c r="J5314"/>
  <c r="L5313"/>
  <c r="J5313"/>
  <c r="L5312"/>
  <c r="J5312"/>
  <c r="L5311"/>
  <c r="J5311"/>
  <c r="L5310"/>
  <c r="J5310"/>
  <c r="L5309"/>
  <c r="J5309"/>
  <c r="L5308"/>
  <c r="J5308"/>
  <c r="L5307"/>
  <c r="J5307"/>
  <c r="L5306"/>
  <c r="J5306"/>
  <c r="L5305"/>
  <c r="J5305"/>
  <c r="L5304"/>
  <c r="J5304"/>
  <c r="L5303"/>
  <c r="J5303"/>
  <c r="L5302"/>
  <c r="J5302"/>
  <c r="L5301"/>
  <c r="J5301"/>
  <c r="L5300"/>
  <c r="J5300"/>
  <c r="L5299"/>
  <c r="J5299"/>
  <c r="L5298"/>
  <c r="J5298"/>
  <c r="L5297"/>
  <c r="J5297"/>
  <c r="L5296"/>
  <c r="J5296"/>
  <c r="L5295"/>
  <c r="J5295"/>
  <c r="L5294"/>
  <c r="J5294"/>
  <c r="L5293"/>
  <c r="J5293"/>
  <c r="L5292"/>
  <c r="J5292"/>
  <c r="L5291"/>
  <c r="J5291"/>
  <c r="L5290"/>
  <c r="J5290"/>
  <c r="L5289"/>
  <c r="J5289"/>
  <c r="L5288"/>
  <c r="J5288"/>
  <c r="L5287"/>
  <c r="J5287"/>
  <c r="L5286"/>
  <c r="J5286"/>
  <c r="L5285"/>
  <c r="J5285"/>
  <c r="L5284"/>
  <c r="J5284"/>
  <c r="L5283"/>
  <c r="J5283"/>
  <c r="L5282"/>
  <c r="J5282"/>
  <c r="L5281"/>
  <c r="J5281"/>
  <c r="L5280"/>
  <c r="J5280"/>
  <c r="L5279"/>
  <c r="J5279"/>
  <c r="L5278"/>
  <c r="J5278"/>
  <c r="L5277"/>
  <c r="J5277"/>
  <c r="L5276"/>
  <c r="J5276"/>
  <c r="L5275"/>
  <c r="J5275"/>
  <c r="L5274"/>
  <c r="J5274"/>
  <c r="L5273"/>
  <c r="J5273"/>
  <c r="L5272"/>
  <c r="J5272"/>
  <c r="L5271"/>
  <c r="J5271"/>
  <c r="L5270"/>
  <c r="J5270"/>
  <c r="L5269"/>
  <c r="J5269"/>
  <c r="L5268"/>
  <c r="J5268"/>
  <c r="L5267"/>
  <c r="J5267"/>
  <c r="L5266"/>
  <c r="J5266"/>
  <c r="L5265"/>
  <c r="J5265"/>
  <c r="L5264"/>
  <c r="J5264"/>
  <c r="L5263"/>
  <c r="J5263"/>
  <c r="L5262"/>
  <c r="J5262"/>
  <c r="L5261"/>
  <c r="J5261"/>
  <c r="L5260"/>
  <c r="J5260"/>
  <c r="L5259"/>
  <c r="J5259"/>
  <c r="L5258"/>
  <c r="J5258"/>
  <c r="L5257"/>
  <c r="J5257"/>
  <c r="L5256"/>
  <c r="J5256"/>
  <c r="L5255"/>
  <c r="J5255"/>
  <c r="L5254"/>
  <c r="J5254"/>
  <c r="L5253"/>
  <c r="J5253"/>
  <c r="L5252"/>
  <c r="J5252"/>
  <c r="L5251"/>
  <c r="J5251"/>
  <c r="L5250"/>
  <c r="J5250"/>
  <c r="L5249"/>
  <c r="J5249"/>
  <c r="L5248"/>
  <c r="J5248"/>
  <c r="L5247"/>
  <c r="J5247"/>
  <c r="L5246"/>
  <c r="J5246"/>
  <c r="L5245"/>
  <c r="J5245"/>
  <c r="L5244"/>
  <c r="J5244"/>
  <c r="L5243"/>
  <c r="J5243"/>
  <c r="L5242"/>
  <c r="J5242"/>
  <c r="L5241"/>
  <c r="J5241"/>
  <c r="L5240"/>
  <c r="J5240"/>
  <c r="L5239"/>
  <c r="J5239"/>
  <c r="L5238"/>
  <c r="J5238"/>
  <c r="L5237"/>
  <c r="J5237"/>
  <c r="L5236"/>
  <c r="J5236"/>
  <c r="L5235"/>
  <c r="J5235"/>
  <c r="L5234"/>
  <c r="J5234"/>
  <c r="L5233"/>
  <c r="J5233"/>
  <c r="L5232"/>
  <c r="J5232"/>
  <c r="L5231"/>
  <c r="J5231"/>
  <c r="L5230"/>
  <c r="J5230"/>
  <c r="L5229"/>
  <c r="J5229"/>
  <c r="L5228"/>
  <c r="J5228"/>
  <c r="L5227"/>
  <c r="J5227"/>
  <c r="L5226"/>
  <c r="J5226"/>
  <c r="L5225"/>
  <c r="J5225"/>
  <c r="L5224"/>
  <c r="J5224"/>
  <c r="L5223"/>
  <c r="J5223"/>
  <c r="L5222"/>
  <c r="J5222"/>
  <c r="L5221"/>
  <c r="J5221"/>
  <c r="L5220"/>
  <c r="J5220"/>
  <c r="L5219"/>
  <c r="J5219"/>
  <c r="L5218"/>
  <c r="J5218"/>
  <c r="L5217"/>
  <c r="J5217"/>
  <c r="L5216"/>
  <c r="J5216"/>
  <c r="L5215"/>
  <c r="J5215"/>
  <c r="L5214"/>
  <c r="J5214"/>
  <c r="L5213"/>
  <c r="J5213"/>
  <c r="L5212"/>
  <c r="J5212"/>
  <c r="L5211"/>
  <c r="J5211"/>
  <c r="L5210"/>
  <c r="J5210"/>
  <c r="L5209"/>
  <c r="J5209"/>
  <c r="L5208"/>
  <c r="J5208"/>
  <c r="L5207"/>
  <c r="J5207"/>
  <c r="L5206"/>
  <c r="J5206"/>
  <c r="L5205"/>
  <c r="J5205"/>
  <c r="L5204"/>
  <c r="J5204"/>
  <c r="L5203"/>
  <c r="J5203"/>
  <c r="L5202"/>
  <c r="J5202"/>
  <c r="L5201"/>
  <c r="J5201"/>
  <c r="L5200"/>
  <c r="J5200"/>
  <c r="L5199"/>
  <c r="J5199"/>
  <c r="L5198"/>
  <c r="J5198"/>
  <c r="L5197"/>
  <c r="J5197"/>
  <c r="L5196"/>
  <c r="J5196"/>
  <c r="L5195"/>
  <c r="J5195"/>
  <c r="L5194"/>
  <c r="J5194"/>
  <c r="L5193"/>
  <c r="J5193"/>
  <c r="L5192"/>
  <c r="J5192"/>
  <c r="L5191"/>
  <c r="J5191"/>
  <c r="L5190"/>
  <c r="J5190"/>
  <c r="L5189"/>
  <c r="J5189"/>
  <c r="L5188"/>
  <c r="J5188"/>
  <c r="L5187"/>
  <c r="J5187"/>
  <c r="L5186"/>
  <c r="J5186"/>
  <c r="L5185"/>
  <c r="J5185"/>
  <c r="L5184"/>
  <c r="J5184"/>
  <c r="L5183"/>
  <c r="J5183"/>
  <c r="L5182"/>
  <c r="J5182"/>
  <c r="L5181"/>
  <c r="J5181"/>
  <c r="L5180"/>
  <c r="J5180"/>
  <c r="L5179"/>
  <c r="J5179"/>
  <c r="L5178"/>
  <c r="J5178"/>
  <c r="L5177"/>
  <c r="J5177"/>
  <c r="L5176"/>
  <c r="J5176"/>
  <c r="L5175"/>
  <c r="J5175"/>
  <c r="L5174"/>
  <c r="J5174"/>
  <c r="L5173"/>
  <c r="J5173"/>
  <c r="L5172"/>
  <c r="J5172"/>
  <c r="L5171"/>
  <c r="J5171"/>
  <c r="L5170"/>
  <c r="J5170"/>
  <c r="L5169"/>
  <c r="J5169"/>
  <c r="L5168"/>
  <c r="J5168"/>
  <c r="L5167"/>
  <c r="J5167"/>
  <c r="L5166"/>
  <c r="J5166"/>
  <c r="L5165"/>
  <c r="J5165"/>
  <c r="L5164"/>
  <c r="J5164"/>
  <c r="L5163"/>
  <c r="J5163"/>
  <c r="L5162"/>
  <c r="J5162"/>
  <c r="L5161"/>
  <c r="J5161"/>
  <c r="L5160"/>
  <c r="J5160"/>
  <c r="L5159"/>
  <c r="J5159"/>
  <c r="L5158"/>
  <c r="J5158"/>
  <c r="L5157"/>
  <c r="J5157"/>
  <c r="L5156"/>
  <c r="J5156"/>
  <c r="L5155"/>
  <c r="J5155"/>
  <c r="L5154"/>
  <c r="J5154"/>
  <c r="L5153"/>
  <c r="J5153"/>
  <c r="L5152"/>
  <c r="J5152"/>
  <c r="L5151"/>
  <c r="J5151"/>
  <c r="L5150"/>
  <c r="J5150"/>
  <c r="L5149"/>
  <c r="J5149"/>
  <c r="L5148"/>
  <c r="J5148"/>
  <c r="L5147"/>
  <c r="J5147"/>
  <c r="L5146"/>
  <c r="J5146"/>
  <c r="L5145"/>
  <c r="J5145"/>
  <c r="L5144"/>
  <c r="J5144"/>
  <c r="L5143"/>
  <c r="J5143"/>
  <c r="L5142"/>
  <c r="J5142"/>
  <c r="L5141"/>
  <c r="J5141"/>
  <c r="L5140"/>
  <c r="J5140"/>
  <c r="L5139"/>
  <c r="J5139"/>
  <c r="L5138"/>
  <c r="J5138"/>
  <c r="L5137"/>
  <c r="J5137"/>
  <c r="L5136"/>
  <c r="J5136"/>
  <c r="L5135"/>
  <c r="J5135"/>
  <c r="L5134"/>
  <c r="J5134"/>
  <c r="L5133"/>
  <c r="J5133"/>
  <c r="L5132"/>
  <c r="J5132"/>
  <c r="L5131"/>
  <c r="J5131"/>
  <c r="L5130"/>
  <c r="J5130"/>
  <c r="L5129"/>
  <c r="J5129"/>
  <c r="L5128"/>
  <c r="J5128"/>
  <c r="L5127"/>
  <c r="J5127"/>
  <c r="L5126"/>
  <c r="J5126"/>
  <c r="L5125"/>
  <c r="J5125"/>
  <c r="L5124"/>
  <c r="J5124"/>
  <c r="L5123"/>
  <c r="J5123"/>
  <c r="L5122"/>
  <c r="J5122"/>
  <c r="L5121"/>
  <c r="J5121"/>
  <c r="L5120"/>
  <c r="J5120"/>
  <c r="L5119"/>
  <c r="J5119"/>
  <c r="L5118"/>
  <c r="J5118"/>
  <c r="L5117"/>
  <c r="J5117"/>
  <c r="L5116"/>
  <c r="J5116"/>
  <c r="L5115"/>
  <c r="J5115"/>
  <c r="L5114"/>
  <c r="J5114"/>
  <c r="L5113"/>
  <c r="J5113"/>
  <c r="L5112"/>
  <c r="J5112"/>
  <c r="L5111"/>
  <c r="J5111"/>
  <c r="L5110"/>
  <c r="J5110"/>
  <c r="L5109"/>
  <c r="J5109"/>
  <c r="L5108"/>
  <c r="J5108"/>
  <c r="L5107"/>
  <c r="J5107"/>
  <c r="L5106"/>
  <c r="J5106"/>
  <c r="L5105"/>
  <c r="J5105"/>
  <c r="L5104"/>
  <c r="J5104"/>
  <c r="L5103"/>
  <c r="J5103"/>
  <c r="L5102"/>
  <c r="J5102"/>
  <c r="L5101"/>
  <c r="J5101"/>
  <c r="L5100"/>
  <c r="J5100"/>
  <c r="L5099"/>
  <c r="J5099"/>
  <c r="L5098"/>
  <c r="J5098"/>
  <c r="L5097"/>
  <c r="J5097"/>
  <c r="L5096"/>
  <c r="J5096"/>
  <c r="L5095"/>
  <c r="J5095"/>
  <c r="L5094"/>
  <c r="J5094"/>
  <c r="L5093"/>
  <c r="J5093"/>
  <c r="L5092"/>
  <c r="J5092"/>
  <c r="L5091"/>
  <c r="J5091"/>
  <c r="L5090"/>
  <c r="J5090"/>
  <c r="L5089"/>
  <c r="J5089"/>
  <c r="L5088"/>
  <c r="J5088"/>
  <c r="L5087"/>
  <c r="J5087"/>
  <c r="L5086"/>
  <c r="J5086"/>
  <c r="L5085"/>
  <c r="J5085"/>
  <c r="L5084"/>
  <c r="J5084"/>
  <c r="L5083"/>
  <c r="J5083"/>
  <c r="L5082"/>
  <c r="J5082"/>
  <c r="L5081"/>
  <c r="J5081"/>
  <c r="L5080"/>
  <c r="J5080"/>
  <c r="L5079"/>
  <c r="J5079"/>
  <c r="L5078"/>
  <c r="J5078"/>
  <c r="L5077"/>
  <c r="J5077"/>
  <c r="L5076"/>
  <c r="J5076"/>
  <c r="L5075"/>
  <c r="J5075"/>
  <c r="L5074"/>
  <c r="J5074"/>
  <c r="L5073"/>
  <c r="J5073"/>
  <c r="L5072"/>
  <c r="J5072"/>
  <c r="L5071"/>
  <c r="J5071"/>
  <c r="L5070"/>
  <c r="J5070"/>
  <c r="L5069"/>
  <c r="J5069"/>
  <c r="L5068"/>
  <c r="J5068"/>
  <c r="L5067"/>
  <c r="J5067"/>
  <c r="L5066"/>
  <c r="J5066"/>
  <c r="L5065"/>
  <c r="J5065"/>
  <c r="L5064"/>
  <c r="J5064"/>
  <c r="L5063"/>
  <c r="J5063"/>
  <c r="L5062"/>
  <c r="J5062"/>
  <c r="L5061"/>
  <c r="J5061"/>
  <c r="L5060"/>
  <c r="J5060"/>
  <c r="L5059"/>
  <c r="J5059"/>
  <c r="L5058"/>
  <c r="J5058"/>
  <c r="L5057"/>
  <c r="J5057"/>
  <c r="L5056"/>
  <c r="J5056"/>
  <c r="L5055"/>
  <c r="J5055"/>
  <c r="L5054"/>
  <c r="J5054"/>
  <c r="L5053"/>
  <c r="J5053"/>
  <c r="L5052"/>
  <c r="J5052"/>
  <c r="L5051"/>
  <c r="J5051"/>
  <c r="L5050"/>
  <c r="J5050"/>
  <c r="L5049"/>
  <c r="J5049"/>
  <c r="L5048"/>
  <c r="J5048"/>
  <c r="L5047"/>
  <c r="J5047"/>
  <c r="L5046"/>
  <c r="J5046"/>
  <c r="L5045"/>
  <c r="J5045"/>
  <c r="L5044"/>
  <c r="J5044"/>
  <c r="L5043"/>
  <c r="J5043"/>
  <c r="L5042"/>
  <c r="J5042"/>
  <c r="L5041"/>
  <c r="J5041"/>
  <c r="L5040"/>
  <c r="J5040"/>
  <c r="L5039"/>
  <c r="J5039"/>
  <c r="L5038"/>
  <c r="J5038"/>
  <c r="L5037"/>
  <c r="J5037"/>
  <c r="L5036"/>
  <c r="J5036"/>
  <c r="L5035"/>
  <c r="J5035"/>
  <c r="L5034"/>
  <c r="J5034"/>
  <c r="L5033"/>
  <c r="J5033"/>
  <c r="L5032"/>
  <c r="J5032"/>
  <c r="L5031"/>
  <c r="J5031"/>
  <c r="L5030"/>
  <c r="J5030"/>
  <c r="L5029"/>
  <c r="J5029"/>
  <c r="L5028"/>
  <c r="J5028"/>
  <c r="L5027"/>
  <c r="J5027"/>
  <c r="L5026"/>
  <c r="J5026"/>
  <c r="L5025"/>
  <c r="J5025"/>
  <c r="L5024"/>
  <c r="J5024"/>
  <c r="L5023"/>
  <c r="J5023"/>
  <c r="L5022"/>
  <c r="J5022"/>
  <c r="L5021"/>
  <c r="J5021"/>
  <c r="L5020"/>
  <c r="J5020"/>
  <c r="L5019"/>
  <c r="J5019"/>
  <c r="L5018"/>
  <c r="J5018"/>
  <c r="L5017"/>
  <c r="J5017"/>
  <c r="L5016"/>
  <c r="J5016"/>
  <c r="L5015"/>
  <c r="J5015"/>
  <c r="L5014"/>
  <c r="J5014"/>
  <c r="L5013"/>
  <c r="J5013"/>
  <c r="L5012"/>
  <c r="J5012"/>
  <c r="L5011"/>
  <c r="J5011"/>
  <c r="L5010"/>
  <c r="J5010"/>
  <c r="L5009"/>
  <c r="J5009"/>
  <c r="L5008"/>
  <c r="J5008"/>
  <c r="L5007"/>
  <c r="J5007"/>
  <c r="L5006"/>
  <c r="J5006"/>
  <c r="L5005"/>
  <c r="J5005"/>
  <c r="L5004"/>
  <c r="J5004"/>
  <c r="L5003"/>
  <c r="J5003"/>
  <c r="L5002"/>
  <c r="J5002"/>
  <c r="L5001"/>
  <c r="J5001"/>
  <c r="L5000"/>
  <c r="J5000"/>
  <c r="L4999"/>
  <c r="J4999"/>
  <c r="L4998"/>
  <c r="J4998"/>
  <c r="L4997"/>
  <c r="J4997"/>
  <c r="L4996"/>
  <c r="J4996"/>
  <c r="L4995"/>
  <c r="J4995"/>
  <c r="L4994"/>
  <c r="J4994"/>
  <c r="L4993"/>
  <c r="J4993"/>
  <c r="L4992"/>
  <c r="J4992"/>
  <c r="L4991"/>
  <c r="J4991"/>
  <c r="L4990"/>
  <c r="J4990"/>
  <c r="L4989"/>
  <c r="J4989"/>
  <c r="L4988"/>
  <c r="J4988"/>
  <c r="L4987"/>
  <c r="J4987"/>
  <c r="L4986"/>
  <c r="J4986"/>
  <c r="L4985"/>
  <c r="J4985"/>
  <c r="L4984"/>
  <c r="J4984"/>
  <c r="L4983"/>
  <c r="J4983"/>
  <c r="L4982"/>
  <c r="J4982"/>
  <c r="L4981"/>
  <c r="J4981"/>
  <c r="L4980"/>
  <c r="J4980"/>
  <c r="L4979"/>
  <c r="J4979"/>
  <c r="L4978"/>
  <c r="J4978"/>
  <c r="L4977"/>
  <c r="J4977"/>
  <c r="L4976"/>
  <c r="J4976"/>
  <c r="L4975"/>
  <c r="J4975"/>
  <c r="L4974"/>
  <c r="J4974"/>
  <c r="L4973"/>
  <c r="J4973"/>
  <c r="L4972"/>
  <c r="J4972"/>
  <c r="L4971"/>
  <c r="J4971"/>
  <c r="L4970"/>
  <c r="J4970"/>
  <c r="L4969"/>
  <c r="J4969"/>
  <c r="L4968"/>
  <c r="J4968"/>
  <c r="L4967"/>
  <c r="J4967"/>
  <c r="L4966"/>
  <c r="J4966"/>
  <c r="L4965"/>
  <c r="J4965"/>
  <c r="L4964"/>
  <c r="J4964"/>
  <c r="L4963"/>
  <c r="J4963"/>
  <c r="L4962"/>
  <c r="J4962"/>
  <c r="L4961"/>
  <c r="J4961"/>
  <c r="L4960"/>
  <c r="J4960"/>
  <c r="L4959"/>
  <c r="J4959"/>
  <c r="L4958"/>
  <c r="J4958"/>
  <c r="L4957"/>
  <c r="J4957"/>
  <c r="L4956"/>
  <c r="J4956"/>
  <c r="L4955"/>
  <c r="J4955"/>
  <c r="L4954"/>
  <c r="J4954"/>
  <c r="L4953"/>
  <c r="J4953"/>
  <c r="L4952"/>
  <c r="J4952"/>
  <c r="L4951"/>
  <c r="J4951"/>
  <c r="L4950"/>
  <c r="J4950"/>
  <c r="L4949"/>
  <c r="J4949"/>
  <c r="L4948"/>
  <c r="J4948"/>
  <c r="L4947"/>
  <c r="J4947"/>
  <c r="L4946"/>
  <c r="J4946"/>
  <c r="L4945"/>
  <c r="J4945"/>
  <c r="L4944"/>
  <c r="J4944"/>
  <c r="L4943"/>
  <c r="J4943"/>
  <c r="L4942"/>
  <c r="J4942"/>
  <c r="L4941"/>
  <c r="J4941"/>
  <c r="L4940"/>
  <c r="J4940"/>
  <c r="L4939"/>
  <c r="J4939"/>
  <c r="L4938"/>
  <c r="J4938"/>
  <c r="L4937"/>
  <c r="J4937"/>
  <c r="L4936"/>
  <c r="J4936"/>
  <c r="L4935"/>
  <c r="J4935"/>
  <c r="L4934"/>
  <c r="J4934"/>
  <c r="L4933"/>
  <c r="J4933"/>
  <c r="L4932"/>
  <c r="J4932"/>
  <c r="L4931"/>
  <c r="J4931"/>
  <c r="L4930"/>
  <c r="J4930"/>
  <c r="L4929"/>
  <c r="J4929"/>
  <c r="L4928"/>
  <c r="J4928"/>
  <c r="L4927"/>
  <c r="J4927"/>
  <c r="L4926"/>
  <c r="J4926"/>
  <c r="L4925"/>
  <c r="J4925"/>
  <c r="L4924"/>
  <c r="J4924"/>
  <c r="L4923"/>
  <c r="J4923"/>
  <c r="L4922"/>
  <c r="J4922"/>
  <c r="L4921"/>
  <c r="J4921"/>
  <c r="L4920"/>
  <c r="J4920"/>
  <c r="L4919"/>
  <c r="J4919"/>
  <c r="L4918"/>
  <c r="J4918"/>
  <c r="L4917"/>
  <c r="J4917"/>
  <c r="L4916"/>
  <c r="J4916"/>
  <c r="L4915"/>
  <c r="J4915"/>
  <c r="L4914"/>
  <c r="J4914"/>
  <c r="L4913"/>
  <c r="J4913"/>
  <c r="L4912"/>
  <c r="J4912"/>
  <c r="L4911"/>
  <c r="J4911"/>
  <c r="L4910"/>
  <c r="J4910"/>
  <c r="L4909"/>
  <c r="J4909"/>
  <c r="L4908"/>
  <c r="J4908"/>
  <c r="L4907"/>
  <c r="J4907"/>
  <c r="L4906"/>
  <c r="J4906"/>
  <c r="L4905"/>
  <c r="J4905"/>
  <c r="L4904"/>
  <c r="J4904"/>
  <c r="L4903"/>
  <c r="J4903"/>
  <c r="L4902"/>
  <c r="J4902"/>
  <c r="L4901"/>
  <c r="J4901"/>
  <c r="L4900"/>
  <c r="J4900"/>
  <c r="L4899"/>
  <c r="J4899"/>
  <c r="L4898"/>
  <c r="J4898"/>
  <c r="L4897"/>
  <c r="J4897"/>
  <c r="L4896"/>
  <c r="J4896"/>
  <c r="L4895"/>
  <c r="J4895"/>
  <c r="L4894"/>
  <c r="J4894"/>
  <c r="L4893"/>
  <c r="J4893"/>
  <c r="L4892"/>
  <c r="J4892"/>
  <c r="L4891"/>
  <c r="J4891"/>
  <c r="L4890"/>
  <c r="J4890"/>
  <c r="L4889"/>
  <c r="J4889"/>
  <c r="L4888"/>
  <c r="J4888"/>
  <c r="L4887"/>
  <c r="J4887"/>
  <c r="L4886"/>
  <c r="J4886"/>
  <c r="L4885"/>
  <c r="J4885"/>
  <c r="L4884"/>
  <c r="J4884"/>
  <c r="L4883"/>
  <c r="J4883"/>
  <c r="L4882"/>
  <c r="J4882"/>
  <c r="L4881"/>
  <c r="J4881"/>
  <c r="L4880"/>
  <c r="J4880"/>
  <c r="L4879"/>
  <c r="J4879"/>
  <c r="L4878"/>
  <c r="J4878"/>
  <c r="L4877"/>
  <c r="J4877"/>
  <c r="L4876"/>
  <c r="J4876"/>
  <c r="L4875"/>
  <c r="J4875"/>
  <c r="L4874"/>
  <c r="J4874"/>
  <c r="L4873"/>
  <c r="J4873"/>
  <c r="L4872"/>
  <c r="J4872"/>
  <c r="L4871"/>
  <c r="J4871"/>
  <c r="L4870"/>
  <c r="J4870"/>
  <c r="L4869"/>
  <c r="J4869"/>
  <c r="L4868"/>
  <c r="J4868"/>
  <c r="L4867"/>
  <c r="J4867"/>
  <c r="L4866"/>
  <c r="J4866"/>
  <c r="L4865"/>
  <c r="J4865"/>
  <c r="L4864"/>
  <c r="J4864"/>
  <c r="L4863"/>
  <c r="J4863"/>
  <c r="L4862"/>
  <c r="J4862"/>
  <c r="L4861"/>
  <c r="J4861"/>
  <c r="L4860"/>
  <c r="J4860"/>
  <c r="L4859"/>
  <c r="J4859"/>
  <c r="L4858"/>
  <c r="J4858"/>
  <c r="L4857"/>
  <c r="J4857"/>
  <c r="L4856"/>
  <c r="J4856"/>
  <c r="L4855"/>
  <c r="J4855"/>
  <c r="L4854"/>
  <c r="J4854"/>
  <c r="L4853"/>
  <c r="J4853"/>
  <c r="L4852"/>
  <c r="J4852"/>
  <c r="L4851"/>
  <c r="J4851"/>
  <c r="L4850"/>
  <c r="J4850"/>
  <c r="L4849"/>
  <c r="J4849"/>
  <c r="L4848"/>
  <c r="J4848"/>
  <c r="L4847"/>
  <c r="J4847"/>
  <c r="L4846"/>
  <c r="J4846"/>
  <c r="L4845"/>
  <c r="J4845"/>
  <c r="L4844"/>
  <c r="J4844"/>
  <c r="L4843"/>
  <c r="J4843"/>
  <c r="L4842"/>
  <c r="J4842"/>
  <c r="L4841"/>
  <c r="J4841"/>
  <c r="L4840"/>
  <c r="J4840"/>
  <c r="L4839"/>
  <c r="J4839"/>
  <c r="L4838"/>
  <c r="J4838"/>
  <c r="L4837"/>
  <c r="J4837"/>
  <c r="L4836"/>
  <c r="J4836"/>
  <c r="L4835"/>
  <c r="J4835"/>
  <c r="L4834"/>
  <c r="J4834"/>
  <c r="L4833"/>
  <c r="J4833"/>
  <c r="L4832"/>
  <c r="J4832"/>
  <c r="L4831"/>
  <c r="J4831"/>
  <c r="L4830"/>
  <c r="J4830"/>
  <c r="L4829"/>
  <c r="J4829"/>
  <c r="L4828"/>
  <c r="J4828"/>
  <c r="L4827"/>
  <c r="J4827"/>
  <c r="L4826"/>
  <c r="J4826"/>
  <c r="L4825"/>
  <c r="J4825"/>
  <c r="L4824"/>
  <c r="J4824"/>
  <c r="L4823"/>
  <c r="J4823"/>
  <c r="L4822"/>
  <c r="J4822"/>
  <c r="L4821"/>
  <c r="J4821"/>
  <c r="L4820"/>
  <c r="J4820"/>
  <c r="L4819"/>
  <c r="J4819"/>
  <c r="L4818"/>
  <c r="J4818"/>
  <c r="L4817"/>
  <c r="J4817"/>
  <c r="L4816"/>
  <c r="J4816"/>
  <c r="L4815"/>
  <c r="J4815"/>
  <c r="L4814"/>
  <c r="J4814"/>
  <c r="L4813"/>
  <c r="J4813"/>
  <c r="L4812"/>
  <c r="J4812"/>
  <c r="L4811"/>
  <c r="J4811"/>
  <c r="L4810"/>
  <c r="J4810"/>
  <c r="L4809"/>
  <c r="J4809"/>
  <c r="L4808"/>
  <c r="J4808"/>
  <c r="L4807"/>
  <c r="J4807"/>
  <c r="L4806"/>
  <c r="J4806"/>
  <c r="L4805"/>
  <c r="J4805"/>
  <c r="L4804"/>
  <c r="J4804"/>
  <c r="L4803"/>
  <c r="J4803"/>
  <c r="L4802"/>
  <c r="J4802"/>
  <c r="L4801"/>
  <c r="J4801"/>
  <c r="L4800"/>
  <c r="J4800"/>
  <c r="L4799"/>
  <c r="J4799"/>
  <c r="L4798"/>
  <c r="J4798"/>
  <c r="L4797"/>
  <c r="J4797"/>
  <c r="L4796"/>
  <c r="J4796"/>
  <c r="L4795"/>
  <c r="J4795"/>
  <c r="L4794"/>
  <c r="J4794"/>
  <c r="L4793"/>
  <c r="J4793"/>
  <c r="L4792"/>
  <c r="J4792"/>
  <c r="L4791"/>
  <c r="J4791"/>
  <c r="L4790"/>
  <c r="J4790"/>
  <c r="L4789"/>
  <c r="J4789"/>
  <c r="L4788"/>
  <c r="J4788"/>
  <c r="L4787"/>
  <c r="J4787"/>
  <c r="L4786"/>
  <c r="J4786"/>
  <c r="L4785"/>
  <c r="J4785"/>
  <c r="L4784"/>
  <c r="J4784"/>
  <c r="L4783"/>
  <c r="J4783"/>
  <c r="L4782"/>
  <c r="J4782"/>
  <c r="L4781"/>
  <c r="J4781"/>
  <c r="L4780"/>
  <c r="J4780"/>
  <c r="L4779"/>
  <c r="J4779"/>
  <c r="L4778"/>
  <c r="J4778"/>
  <c r="L4777"/>
  <c r="J4777"/>
  <c r="L4776"/>
  <c r="J4776"/>
  <c r="L4775"/>
  <c r="J4775"/>
  <c r="L4774"/>
  <c r="J4774"/>
  <c r="L4773"/>
  <c r="J4773"/>
  <c r="L4772"/>
  <c r="J4772"/>
  <c r="L4771"/>
  <c r="J4771"/>
  <c r="L4770"/>
  <c r="J4770"/>
  <c r="L4769"/>
  <c r="J4769"/>
  <c r="L4768"/>
  <c r="J4768"/>
  <c r="L4767"/>
  <c r="J4767"/>
  <c r="L4766"/>
  <c r="J4766"/>
  <c r="L4765"/>
  <c r="J4765"/>
  <c r="L4764"/>
  <c r="J4764"/>
  <c r="L4763"/>
  <c r="J4763"/>
  <c r="L4762"/>
  <c r="J4762"/>
  <c r="L4761"/>
  <c r="J4761"/>
  <c r="L4760"/>
  <c r="J4760"/>
  <c r="L4759"/>
  <c r="J4759"/>
  <c r="L4758"/>
  <c r="J4758"/>
  <c r="L4757"/>
  <c r="J4757"/>
  <c r="L4756"/>
  <c r="J4756"/>
  <c r="L4755"/>
  <c r="J4755"/>
  <c r="L4754"/>
  <c r="J4754"/>
  <c r="L4753"/>
  <c r="J4753"/>
  <c r="L4752"/>
  <c r="J4752"/>
  <c r="L4751"/>
  <c r="J4751"/>
  <c r="L4750"/>
  <c r="J4750"/>
  <c r="L4749"/>
  <c r="J4749"/>
  <c r="L4748"/>
  <c r="J4748"/>
  <c r="L4747"/>
  <c r="J4747"/>
  <c r="L4746"/>
  <c r="J4746"/>
  <c r="L4745"/>
  <c r="J4745"/>
  <c r="L4744"/>
  <c r="J4744"/>
  <c r="L4743"/>
  <c r="J4743"/>
  <c r="L4742"/>
  <c r="J4742"/>
  <c r="L4741"/>
  <c r="J4741"/>
  <c r="L4740"/>
  <c r="J4740"/>
  <c r="L4739"/>
  <c r="J4739"/>
  <c r="L4738"/>
  <c r="J4738"/>
  <c r="L4737"/>
  <c r="J4737"/>
  <c r="L4736"/>
  <c r="J4736"/>
  <c r="L4735"/>
  <c r="J4735"/>
  <c r="L4734"/>
  <c r="J4734"/>
  <c r="L4733"/>
  <c r="J4733"/>
  <c r="L4732"/>
  <c r="J4732"/>
  <c r="L4731"/>
  <c r="J4731"/>
  <c r="L4730"/>
  <c r="J4730"/>
  <c r="L4729"/>
  <c r="J4729"/>
  <c r="L4728"/>
  <c r="J4728"/>
  <c r="L4727"/>
  <c r="J4727"/>
  <c r="L4726"/>
  <c r="J4726"/>
  <c r="L4725"/>
  <c r="J4725"/>
  <c r="L4724"/>
  <c r="J4724"/>
  <c r="L4723"/>
  <c r="J4723"/>
  <c r="L4722"/>
  <c r="J4722"/>
  <c r="L4721"/>
  <c r="J4721"/>
  <c r="L4720"/>
  <c r="J4720"/>
  <c r="L4719"/>
  <c r="J4719"/>
  <c r="L4718"/>
  <c r="J4718"/>
  <c r="L4717"/>
  <c r="J4717"/>
  <c r="L4716"/>
  <c r="J4716"/>
  <c r="L4715"/>
  <c r="J4715"/>
  <c r="L4714"/>
  <c r="J4714"/>
  <c r="L4713"/>
  <c r="J4713"/>
  <c r="L4712"/>
  <c r="J4712"/>
  <c r="L4711"/>
  <c r="J4711"/>
  <c r="L4710"/>
  <c r="J4710"/>
  <c r="L4709"/>
  <c r="J4709"/>
  <c r="L4708"/>
  <c r="J4708"/>
  <c r="L4707"/>
  <c r="J4707"/>
  <c r="L4706"/>
  <c r="J4706"/>
  <c r="L4705"/>
  <c r="J4705"/>
  <c r="L4704"/>
  <c r="J4704"/>
  <c r="L4703"/>
  <c r="J4703"/>
  <c r="L4702"/>
  <c r="J4702"/>
  <c r="L4701"/>
  <c r="J4701"/>
  <c r="L4700"/>
  <c r="J4700"/>
  <c r="L4699"/>
  <c r="J4699"/>
  <c r="L4698"/>
  <c r="J4698"/>
  <c r="L4697"/>
  <c r="J4697"/>
  <c r="L4696"/>
  <c r="J4696"/>
  <c r="L4695"/>
  <c r="J4695"/>
  <c r="L4694"/>
  <c r="J4694"/>
  <c r="L4693"/>
  <c r="J4693"/>
  <c r="L4692"/>
  <c r="J4692"/>
  <c r="L4691"/>
  <c r="J4691"/>
  <c r="L4690"/>
  <c r="J4690"/>
  <c r="L4689"/>
  <c r="J4689"/>
  <c r="L4688"/>
  <c r="J4688"/>
  <c r="L4687"/>
  <c r="J4687"/>
  <c r="L4686"/>
  <c r="J4686"/>
  <c r="L4685"/>
  <c r="J4685"/>
  <c r="L4684"/>
  <c r="J4684"/>
  <c r="L4683"/>
  <c r="J4683"/>
  <c r="L4682"/>
  <c r="J4682"/>
  <c r="L4681"/>
  <c r="J4681"/>
  <c r="L4680"/>
  <c r="J4680"/>
  <c r="L4679"/>
  <c r="J4679"/>
  <c r="L4678"/>
  <c r="J4678"/>
  <c r="L4677"/>
  <c r="J4677"/>
  <c r="L4676"/>
  <c r="J4676"/>
  <c r="L4675"/>
  <c r="J4675"/>
  <c r="L4674"/>
  <c r="J4674"/>
  <c r="L4673"/>
  <c r="J4673"/>
  <c r="L4672"/>
  <c r="J4672"/>
  <c r="L4671"/>
  <c r="J4671"/>
  <c r="L4670"/>
  <c r="J4670"/>
  <c r="L4669"/>
  <c r="J4669"/>
  <c r="L4668"/>
  <c r="J4668"/>
  <c r="L4667"/>
  <c r="J4667"/>
  <c r="L4666"/>
  <c r="J4666"/>
  <c r="L4665"/>
  <c r="J4665"/>
  <c r="L4664"/>
  <c r="J4664"/>
  <c r="L4663"/>
  <c r="J4663"/>
  <c r="L4662"/>
  <c r="J4662"/>
  <c r="L4661"/>
  <c r="J4661"/>
  <c r="L4660"/>
  <c r="J4660"/>
  <c r="L4659"/>
  <c r="J4659"/>
  <c r="L4658"/>
  <c r="J4658"/>
  <c r="L4657"/>
  <c r="J4657"/>
  <c r="L4656"/>
  <c r="J4656"/>
  <c r="L4655"/>
  <c r="J4655"/>
  <c r="L4654"/>
  <c r="J4654"/>
  <c r="L4653"/>
  <c r="J4653"/>
  <c r="L4652"/>
  <c r="J4652"/>
  <c r="L4651"/>
  <c r="J4651"/>
  <c r="L4650"/>
  <c r="J4650"/>
  <c r="L4649"/>
  <c r="J4649"/>
  <c r="L4648"/>
  <c r="J4648"/>
  <c r="L4647"/>
  <c r="J4647"/>
  <c r="L4646"/>
  <c r="J4646"/>
  <c r="L4645"/>
  <c r="J4645"/>
  <c r="L4644"/>
  <c r="J4644"/>
  <c r="L4643"/>
  <c r="J4643"/>
  <c r="L4642"/>
  <c r="J4642"/>
  <c r="L4641"/>
  <c r="J4641"/>
  <c r="L4640"/>
  <c r="J4640"/>
  <c r="L4639"/>
  <c r="J4639"/>
  <c r="L4638"/>
  <c r="J4638"/>
  <c r="L4637"/>
  <c r="J4637"/>
  <c r="L4636"/>
  <c r="J4636"/>
  <c r="L4635"/>
  <c r="J4635"/>
  <c r="L4634"/>
  <c r="J4634"/>
  <c r="L4633"/>
  <c r="J4633"/>
  <c r="L4632"/>
  <c r="J4632"/>
  <c r="L4631"/>
  <c r="J4631"/>
  <c r="L4630"/>
  <c r="J4630"/>
  <c r="L4629"/>
  <c r="J4629"/>
  <c r="L4628"/>
  <c r="J4628"/>
  <c r="L4627"/>
  <c r="J4627"/>
  <c r="L4626"/>
  <c r="J4626"/>
  <c r="L4625"/>
  <c r="J4625"/>
  <c r="L4624"/>
  <c r="J4624"/>
  <c r="L4623"/>
  <c r="J4623"/>
  <c r="L4622"/>
  <c r="J4622"/>
  <c r="L4621"/>
  <c r="J4621"/>
  <c r="L4620"/>
  <c r="J4620"/>
  <c r="L4619"/>
  <c r="J4619"/>
  <c r="L4618"/>
  <c r="J4618"/>
  <c r="L4617"/>
  <c r="J4617"/>
  <c r="L4616"/>
  <c r="J4616"/>
  <c r="L4615"/>
  <c r="J4615"/>
  <c r="L4614"/>
  <c r="J4614"/>
  <c r="L4613"/>
  <c r="J4613"/>
  <c r="L4612"/>
  <c r="J4612"/>
  <c r="L4611"/>
  <c r="J4611"/>
  <c r="L4610"/>
  <c r="J4610"/>
  <c r="L4609"/>
  <c r="J4609"/>
  <c r="L4608"/>
  <c r="J4608"/>
  <c r="L4607"/>
  <c r="J4607"/>
  <c r="L4606"/>
  <c r="J4606"/>
  <c r="L4605"/>
  <c r="J4605"/>
  <c r="L4604"/>
  <c r="J4604"/>
  <c r="L4603"/>
  <c r="J4603"/>
  <c r="L4602"/>
  <c r="J4602"/>
  <c r="L4601"/>
  <c r="J4601"/>
  <c r="L4600"/>
  <c r="J4600"/>
  <c r="L4599"/>
  <c r="J4599"/>
  <c r="L4598"/>
  <c r="J4598"/>
  <c r="L4597"/>
  <c r="J4597"/>
  <c r="L4596"/>
  <c r="J4596"/>
  <c r="L4595"/>
  <c r="J4595"/>
  <c r="L4594"/>
  <c r="J4594"/>
  <c r="L4593"/>
  <c r="J4593"/>
  <c r="L4592"/>
  <c r="J4592"/>
  <c r="L4591"/>
  <c r="J4591"/>
  <c r="L4590"/>
  <c r="J4590"/>
  <c r="L4589"/>
  <c r="J4589"/>
  <c r="L4588"/>
  <c r="J4588"/>
  <c r="L4587"/>
  <c r="J4587"/>
  <c r="L4586"/>
  <c r="J4586"/>
  <c r="L4585"/>
  <c r="J4585"/>
  <c r="L4584"/>
  <c r="J4584"/>
  <c r="L4583"/>
  <c r="J4583"/>
  <c r="L4582"/>
  <c r="J4582"/>
  <c r="L4581"/>
  <c r="J4581"/>
  <c r="L4580"/>
  <c r="J4580"/>
  <c r="L4579"/>
  <c r="J4579"/>
  <c r="L4578"/>
  <c r="J4578"/>
  <c r="L4577"/>
  <c r="J4577"/>
  <c r="L4576"/>
  <c r="J4576"/>
  <c r="L4575"/>
  <c r="J4575"/>
  <c r="L4574"/>
  <c r="J4574"/>
  <c r="L4573"/>
  <c r="J4573"/>
  <c r="L4572"/>
  <c r="J4572"/>
  <c r="L4571"/>
  <c r="J4571"/>
  <c r="L4570"/>
  <c r="J4570"/>
  <c r="L4569"/>
  <c r="J4569"/>
  <c r="L4568"/>
  <c r="J4568"/>
  <c r="L4567"/>
  <c r="J4567"/>
  <c r="L4566"/>
  <c r="J4566"/>
  <c r="L4565"/>
  <c r="J4565"/>
  <c r="L4564"/>
  <c r="J4564"/>
  <c r="L4563"/>
  <c r="J4563"/>
  <c r="L4562"/>
  <c r="J4562"/>
  <c r="L4561"/>
  <c r="J4561"/>
  <c r="L4560"/>
  <c r="J4560"/>
  <c r="L4559"/>
  <c r="J4559"/>
  <c r="L4558"/>
  <c r="J4558"/>
  <c r="L4557"/>
  <c r="J4557"/>
  <c r="L4556"/>
  <c r="J4556"/>
  <c r="L4555"/>
  <c r="J4555"/>
  <c r="L4554"/>
  <c r="J4554"/>
  <c r="L4553"/>
  <c r="J4553"/>
  <c r="L4552"/>
  <c r="J4552"/>
  <c r="L4551"/>
  <c r="J4551"/>
  <c r="L4550"/>
  <c r="J4550"/>
  <c r="L4549"/>
  <c r="J4549"/>
  <c r="L4548"/>
  <c r="J4548"/>
  <c r="L4547"/>
  <c r="J4547"/>
  <c r="L4546"/>
  <c r="J4546"/>
  <c r="L4545"/>
  <c r="J4545"/>
  <c r="L4544"/>
  <c r="J4544"/>
  <c r="L4543"/>
  <c r="J4543"/>
  <c r="L4542"/>
  <c r="J4542"/>
  <c r="L4541"/>
  <c r="J4541"/>
  <c r="L4540"/>
  <c r="J4540"/>
  <c r="L4539"/>
  <c r="J4539"/>
  <c r="L4538"/>
  <c r="J4538"/>
  <c r="L4537"/>
  <c r="J4537"/>
  <c r="L4536"/>
  <c r="J4536"/>
  <c r="L4535"/>
  <c r="J4535"/>
  <c r="L4534"/>
  <c r="J4534"/>
  <c r="L4533"/>
  <c r="J4533"/>
  <c r="L4532"/>
  <c r="J4532"/>
  <c r="L4531"/>
  <c r="J4531"/>
  <c r="L4530"/>
  <c r="J4530"/>
  <c r="L4529"/>
  <c r="J4529"/>
  <c r="L4528"/>
  <c r="J4528"/>
  <c r="L4527"/>
  <c r="J4527"/>
  <c r="L4526"/>
  <c r="J4526"/>
  <c r="L4525"/>
  <c r="J4525"/>
  <c r="L4524"/>
  <c r="J4524"/>
  <c r="L4523"/>
  <c r="J4523"/>
  <c r="L4522"/>
  <c r="J4522"/>
  <c r="L4521"/>
  <c r="J4521"/>
  <c r="L4520"/>
  <c r="J4520"/>
  <c r="L4519"/>
  <c r="J4519"/>
  <c r="L4518"/>
  <c r="J4518"/>
  <c r="L4517"/>
  <c r="J4517"/>
  <c r="L4516"/>
  <c r="J4516"/>
  <c r="L4515"/>
  <c r="J4515"/>
  <c r="L4514"/>
  <c r="J4514"/>
  <c r="L4513"/>
  <c r="J4513"/>
  <c r="L4512"/>
  <c r="J4512"/>
  <c r="L4511"/>
  <c r="J4511"/>
  <c r="L4510"/>
  <c r="J4510"/>
  <c r="L4509"/>
  <c r="J4509"/>
  <c r="L4508"/>
  <c r="J4508"/>
  <c r="L4507"/>
  <c r="J4507"/>
  <c r="L4506"/>
  <c r="J4506"/>
  <c r="L4505"/>
  <c r="J4505"/>
  <c r="L4504"/>
  <c r="J4504"/>
  <c r="L4503"/>
  <c r="J4503"/>
  <c r="L4502"/>
  <c r="J4502"/>
  <c r="L4501"/>
  <c r="J4501"/>
  <c r="L4500"/>
  <c r="J4500"/>
  <c r="L4499"/>
  <c r="J4499"/>
  <c r="L4498"/>
  <c r="J4498"/>
  <c r="L4497"/>
  <c r="J4497"/>
  <c r="L4496"/>
  <c r="J4496"/>
  <c r="L4495"/>
  <c r="J4495"/>
  <c r="L4494"/>
  <c r="J4494"/>
  <c r="L4493"/>
  <c r="J4493"/>
  <c r="L4492"/>
  <c r="J4492"/>
  <c r="L4491"/>
  <c r="J4491"/>
  <c r="L4490"/>
  <c r="J4490"/>
  <c r="L4489"/>
  <c r="J4489"/>
  <c r="L4488"/>
  <c r="J4488"/>
  <c r="L4487"/>
  <c r="J4487"/>
  <c r="L4486"/>
  <c r="J4486"/>
  <c r="L4485"/>
  <c r="J4485"/>
  <c r="L4484"/>
  <c r="J4484"/>
  <c r="L4483"/>
  <c r="J4483"/>
  <c r="L4482"/>
  <c r="J4482"/>
  <c r="L4481"/>
  <c r="J4481"/>
  <c r="L4480"/>
  <c r="J4480"/>
  <c r="L4479"/>
  <c r="J4479"/>
  <c r="L4478"/>
  <c r="J4478"/>
  <c r="L4477"/>
  <c r="J4477"/>
  <c r="L4476"/>
  <c r="J4476"/>
  <c r="L4475"/>
  <c r="J4475"/>
  <c r="L4474"/>
  <c r="J4474"/>
  <c r="L4473"/>
  <c r="J4473"/>
  <c r="L4472"/>
  <c r="J4472"/>
  <c r="L4471"/>
  <c r="J4471"/>
  <c r="L4470"/>
  <c r="J4470"/>
  <c r="L4469"/>
  <c r="J4469"/>
  <c r="L4468"/>
  <c r="J4468"/>
  <c r="L4467"/>
  <c r="J4467"/>
  <c r="L4466"/>
  <c r="J4466"/>
  <c r="L4465"/>
  <c r="J4465"/>
  <c r="L4464"/>
  <c r="J4464"/>
  <c r="L4463"/>
  <c r="J4463"/>
  <c r="L4462"/>
  <c r="J4462"/>
  <c r="L4461"/>
  <c r="J4461"/>
  <c r="L4460"/>
  <c r="J4460"/>
  <c r="L4459"/>
  <c r="J4459"/>
  <c r="L4458"/>
  <c r="J4458"/>
  <c r="L4457"/>
  <c r="J4457"/>
  <c r="L4456"/>
  <c r="J4456"/>
  <c r="L4455"/>
  <c r="J4455"/>
  <c r="L4454"/>
  <c r="J4454"/>
  <c r="L4453"/>
  <c r="J4453"/>
  <c r="L4452"/>
  <c r="J4452"/>
  <c r="L4451"/>
  <c r="J4451"/>
  <c r="L4450"/>
  <c r="J4450"/>
  <c r="L4449"/>
  <c r="J4449"/>
  <c r="L4448"/>
  <c r="J4448"/>
  <c r="L4447"/>
  <c r="J4447"/>
  <c r="L4446"/>
  <c r="J4446"/>
  <c r="L4445"/>
  <c r="J4445"/>
  <c r="L4444"/>
  <c r="J4444"/>
  <c r="L4443"/>
  <c r="J4443"/>
  <c r="L4442"/>
  <c r="J4442"/>
  <c r="L4441"/>
  <c r="J4441"/>
  <c r="L4440"/>
  <c r="J4440"/>
  <c r="L4439"/>
  <c r="J4439"/>
  <c r="L4438"/>
  <c r="J4438"/>
  <c r="L4437"/>
  <c r="J4437"/>
  <c r="L4436"/>
  <c r="J4436"/>
  <c r="L4435"/>
  <c r="J4435"/>
  <c r="L4434"/>
  <c r="J4434"/>
  <c r="L4433"/>
  <c r="J4433"/>
  <c r="L4432"/>
  <c r="J4432"/>
  <c r="L4431"/>
  <c r="J4431"/>
  <c r="L4430"/>
  <c r="J4430"/>
  <c r="L4429"/>
  <c r="J4429"/>
  <c r="L4428"/>
  <c r="J4428"/>
  <c r="L4427"/>
  <c r="J4427"/>
  <c r="L4426"/>
  <c r="J4426"/>
  <c r="L4425"/>
  <c r="J4425"/>
  <c r="L4424"/>
  <c r="J4424"/>
  <c r="L4423"/>
  <c r="J4423"/>
  <c r="L4422"/>
  <c r="J4422"/>
  <c r="L4421"/>
  <c r="J4421"/>
  <c r="L4420"/>
  <c r="J4420"/>
  <c r="L4419"/>
  <c r="J4419"/>
  <c r="L4418"/>
  <c r="J4418"/>
  <c r="L4417"/>
  <c r="J4417"/>
  <c r="L4416"/>
  <c r="J4416"/>
  <c r="L4415"/>
  <c r="J4415"/>
  <c r="L4414"/>
  <c r="J4414"/>
  <c r="L4413"/>
  <c r="J4413"/>
  <c r="L4412"/>
  <c r="J4412"/>
  <c r="L4411"/>
  <c r="J4411"/>
  <c r="L4410"/>
  <c r="J4410"/>
  <c r="L4409"/>
  <c r="J4409"/>
  <c r="L4408"/>
  <c r="J4408"/>
  <c r="L4407"/>
  <c r="J4407"/>
  <c r="L4406"/>
  <c r="J4406"/>
  <c r="L4405"/>
  <c r="J4405"/>
  <c r="L4404"/>
  <c r="J4404"/>
  <c r="L4403"/>
  <c r="J4403"/>
  <c r="L4402"/>
  <c r="J4402"/>
  <c r="L4401"/>
  <c r="J4401"/>
  <c r="L4400"/>
  <c r="J4400"/>
  <c r="L4399"/>
  <c r="J4399"/>
  <c r="L4398"/>
  <c r="J4398"/>
  <c r="L4397"/>
  <c r="J4397"/>
  <c r="L4396"/>
  <c r="J4396"/>
  <c r="L4395"/>
  <c r="J4395"/>
  <c r="L4394"/>
  <c r="J4394"/>
  <c r="L4393"/>
  <c r="J4393"/>
  <c r="L4392"/>
  <c r="J4392"/>
  <c r="L4391"/>
  <c r="J4391"/>
  <c r="L4390"/>
  <c r="J4390"/>
  <c r="L4389"/>
  <c r="J4389"/>
  <c r="L4388"/>
  <c r="J4388"/>
  <c r="L4387"/>
  <c r="J4387"/>
  <c r="L4386"/>
  <c r="J4386"/>
  <c r="L4385"/>
  <c r="J4385"/>
  <c r="L4384"/>
  <c r="J4384"/>
  <c r="L4383"/>
  <c r="J4383"/>
  <c r="L4382"/>
  <c r="J4382"/>
  <c r="L4381"/>
  <c r="J4381"/>
  <c r="L4380"/>
  <c r="J4380"/>
  <c r="L4379"/>
  <c r="J4379"/>
  <c r="L4378"/>
  <c r="J4378"/>
  <c r="L4377"/>
  <c r="J4377"/>
  <c r="L4376"/>
  <c r="J4376"/>
  <c r="L4375"/>
  <c r="J4375"/>
  <c r="L4374"/>
  <c r="J4374"/>
  <c r="L4373"/>
  <c r="J4373"/>
  <c r="L4372"/>
  <c r="J4372"/>
  <c r="L4371"/>
  <c r="J4371"/>
  <c r="L4370"/>
  <c r="J4370"/>
  <c r="L4369"/>
  <c r="J4369"/>
  <c r="L4368"/>
  <c r="J4368"/>
  <c r="L4367"/>
  <c r="J4367"/>
  <c r="L4366"/>
  <c r="J4366"/>
  <c r="L4365"/>
  <c r="J4365"/>
  <c r="L4364"/>
  <c r="J4364"/>
  <c r="L4363"/>
  <c r="J4363"/>
  <c r="L4362"/>
  <c r="J4362"/>
  <c r="L4361"/>
  <c r="J4361"/>
  <c r="L4360"/>
  <c r="J4360"/>
  <c r="L4359"/>
  <c r="J4359"/>
  <c r="L4358"/>
  <c r="J4358"/>
  <c r="L4357"/>
  <c r="J4357"/>
  <c r="L4356"/>
  <c r="J4356"/>
  <c r="L4355"/>
  <c r="J4355"/>
  <c r="L4354"/>
  <c r="J4354"/>
  <c r="L4353"/>
  <c r="J4353"/>
  <c r="L4352"/>
  <c r="J4352"/>
  <c r="L4351"/>
  <c r="J4351"/>
  <c r="L4350"/>
  <c r="J4350"/>
  <c r="L4349"/>
  <c r="J4349"/>
  <c r="L4348"/>
  <c r="J4348"/>
  <c r="L4347"/>
  <c r="J4347"/>
  <c r="L4346"/>
  <c r="J4346"/>
  <c r="L4345"/>
  <c r="J4345"/>
  <c r="L4344"/>
  <c r="J4344"/>
  <c r="L4343"/>
  <c r="J4343"/>
  <c r="L4342"/>
  <c r="J4342"/>
  <c r="L4341"/>
  <c r="J4341"/>
  <c r="L4340"/>
  <c r="J4340"/>
  <c r="L4339"/>
  <c r="J4339"/>
  <c r="L4338"/>
  <c r="J4338"/>
  <c r="L4337"/>
  <c r="J4337"/>
  <c r="L4336"/>
  <c r="J4336"/>
  <c r="L4335"/>
  <c r="J4335"/>
  <c r="L4334"/>
  <c r="J4334"/>
  <c r="L4333"/>
  <c r="J4333"/>
  <c r="L4332"/>
  <c r="J4332"/>
  <c r="L4331"/>
  <c r="J4331"/>
  <c r="L4330"/>
  <c r="J4330"/>
  <c r="L4329"/>
  <c r="J4329"/>
  <c r="L4328"/>
  <c r="J4328"/>
  <c r="L4327"/>
  <c r="J4327"/>
  <c r="L4326"/>
  <c r="J4326"/>
  <c r="L4325"/>
  <c r="J4325"/>
  <c r="L4324"/>
  <c r="J4324"/>
  <c r="L4323"/>
  <c r="J4323"/>
  <c r="L4322"/>
  <c r="J4322"/>
  <c r="L4321"/>
  <c r="J4321"/>
  <c r="L4320"/>
  <c r="J4320"/>
  <c r="L4319"/>
  <c r="J4319"/>
  <c r="L4318"/>
  <c r="J4318"/>
  <c r="L4317"/>
  <c r="J4317"/>
  <c r="L4316"/>
  <c r="J4316"/>
  <c r="L4315"/>
  <c r="J4315"/>
  <c r="L4314"/>
  <c r="J4314"/>
  <c r="L4313"/>
  <c r="J4313"/>
  <c r="L4312"/>
  <c r="J4312"/>
  <c r="L4311"/>
  <c r="J4311"/>
  <c r="L4310"/>
  <c r="J4310"/>
  <c r="L4309"/>
  <c r="J4309"/>
  <c r="L4308"/>
  <c r="J4308"/>
  <c r="L4307"/>
  <c r="J4307"/>
  <c r="L4306"/>
  <c r="J4306"/>
  <c r="L4305"/>
  <c r="J4305"/>
  <c r="L4304"/>
  <c r="J4304"/>
  <c r="L4303"/>
  <c r="J4303"/>
  <c r="L4302"/>
  <c r="J4302"/>
  <c r="L4301"/>
  <c r="J4301"/>
  <c r="L4300"/>
  <c r="J4300"/>
  <c r="L4299"/>
  <c r="J4299"/>
  <c r="L4298"/>
  <c r="J4298"/>
  <c r="L4297"/>
  <c r="J4297"/>
  <c r="L4296"/>
  <c r="J4296"/>
  <c r="L4295"/>
  <c r="J4295"/>
  <c r="L4294"/>
  <c r="J4294"/>
  <c r="L4293"/>
  <c r="J4293"/>
  <c r="L4292"/>
  <c r="J4292"/>
  <c r="L4291"/>
  <c r="J4291"/>
  <c r="L4290"/>
  <c r="J4290"/>
  <c r="L4289"/>
  <c r="J4289"/>
  <c r="L4288"/>
  <c r="J4288"/>
  <c r="L4287"/>
  <c r="J4287"/>
  <c r="L4286"/>
  <c r="J4286"/>
  <c r="L4285"/>
  <c r="J4285"/>
  <c r="L4284"/>
  <c r="J4284"/>
  <c r="L4283"/>
  <c r="J4283"/>
  <c r="L4282"/>
  <c r="J4282"/>
  <c r="L4281"/>
  <c r="J4281"/>
  <c r="L4280"/>
  <c r="J4280"/>
  <c r="L4279"/>
  <c r="J4279"/>
  <c r="L4278"/>
  <c r="J4278"/>
  <c r="L4277"/>
  <c r="J4277"/>
  <c r="L4276"/>
  <c r="J4276"/>
  <c r="L4275"/>
  <c r="J4275"/>
  <c r="L4274"/>
  <c r="J4274"/>
  <c r="L4273"/>
  <c r="J4273"/>
  <c r="L4272"/>
  <c r="J4272"/>
  <c r="L4271"/>
  <c r="J4271"/>
  <c r="L4270"/>
  <c r="J4270"/>
  <c r="L4269"/>
  <c r="J4269"/>
  <c r="L4268"/>
  <c r="J4268"/>
  <c r="L4267"/>
  <c r="J4267"/>
  <c r="L4266"/>
  <c r="J4266"/>
  <c r="L4265"/>
  <c r="J4265"/>
  <c r="L4264"/>
  <c r="J4264"/>
  <c r="L4263"/>
  <c r="J4263"/>
  <c r="L4262"/>
  <c r="J4262"/>
  <c r="L4261"/>
  <c r="J4261"/>
  <c r="L4260"/>
  <c r="J4260"/>
  <c r="L4259"/>
  <c r="J4259"/>
  <c r="L4258"/>
  <c r="J4258"/>
  <c r="L4257"/>
  <c r="J4257"/>
  <c r="L4256"/>
  <c r="J4256"/>
  <c r="L4255"/>
  <c r="J4255"/>
  <c r="L4254"/>
  <c r="J4254"/>
  <c r="L4253"/>
  <c r="J4253"/>
  <c r="L4252"/>
  <c r="J4252"/>
  <c r="L4251"/>
  <c r="J4251"/>
  <c r="L4250"/>
  <c r="J4250"/>
  <c r="L4249"/>
  <c r="J4249"/>
  <c r="L4248"/>
  <c r="J4248"/>
  <c r="L4247"/>
  <c r="J4247"/>
  <c r="L4246"/>
  <c r="J4246"/>
  <c r="L4245"/>
  <c r="J4245"/>
  <c r="L4244"/>
  <c r="J4244"/>
  <c r="L4243"/>
  <c r="J4243"/>
  <c r="L4242"/>
  <c r="J4242"/>
  <c r="L4241"/>
  <c r="J4241"/>
  <c r="L4240"/>
  <c r="J4240"/>
  <c r="L4239"/>
  <c r="J4239"/>
  <c r="L4238"/>
  <c r="J4238"/>
  <c r="L4237"/>
  <c r="J4237"/>
  <c r="L4236"/>
  <c r="J4236"/>
  <c r="L4235"/>
  <c r="J4235"/>
  <c r="L4234"/>
  <c r="J4234"/>
  <c r="L4233"/>
  <c r="J4233"/>
  <c r="L4232"/>
  <c r="J4232"/>
  <c r="L4231"/>
  <c r="J4231"/>
  <c r="L4230"/>
  <c r="J4230"/>
  <c r="L4229"/>
  <c r="J4229"/>
  <c r="L4228"/>
  <c r="J4228"/>
  <c r="L4227"/>
  <c r="J4227"/>
  <c r="L4226"/>
  <c r="J4226"/>
  <c r="L4225"/>
  <c r="J4225"/>
  <c r="L4224"/>
  <c r="J4224"/>
  <c r="L4223"/>
  <c r="J4223"/>
  <c r="L4222"/>
  <c r="J4222"/>
  <c r="L4221"/>
  <c r="J4221"/>
  <c r="L4220"/>
  <c r="J4220"/>
  <c r="L4219"/>
  <c r="J4219"/>
  <c r="L4218"/>
  <c r="J4218"/>
  <c r="L4217"/>
  <c r="J4217"/>
  <c r="L4216"/>
  <c r="J4216"/>
  <c r="L4215"/>
  <c r="J4215"/>
  <c r="L4214"/>
  <c r="J4214"/>
  <c r="L4213"/>
  <c r="J4213"/>
  <c r="L4212"/>
  <c r="J4212"/>
  <c r="L4211"/>
  <c r="J4211"/>
  <c r="L4210"/>
  <c r="J4210"/>
  <c r="L4209"/>
  <c r="J4209"/>
  <c r="L4208"/>
  <c r="J4208"/>
  <c r="L4207"/>
  <c r="J4207"/>
  <c r="L4206"/>
  <c r="J4206"/>
  <c r="L4205"/>
  <c r="J4205"/>
  <c r="L4204"/>
  <c r="J4204"/>
  <c r="L4203"/>
  <c r="J4203"/>
  <c r="L4202"/>
  <c r="J4202"/>
  <c r="L4201"/>
  <c r="J4201"/>
  <c r="L4200"/>
  <c r="J4200"/>
  <c r="L4199"/>
  <c r="J4199"/>
  <c r="L4198"/>
  <c r="J4198"/>
  <c r="L4197"/>
  <c r="J4197"/>
  <c r="L4196"/>
  <c r="J4196"/>
  <c r="L4195"/>
  <c r="J4195"/>
  <c r="L4194"/>
  <c r="J4194"/>
  <c r="L4193"/>
  <c r="J4193"/>
  <c r="L4192"/>
  <c r="J4192"/>
  <c r="L4191"/>
  <c r="J4191"/>
  <c r="L4190"/>
  <c r="J4190"/>
  <c r="L4189"/>
  <c r="J4189"/>
  <c r="L4188"/>
  <c r="J4188"/>
  <c r="L4187"/>
  <c r="J4187"/>
  <c r="L4186"/>
  <c r="J4186"/>
  <c r="L4185"/>
  <c r="J4185"/>
  <c r="L4184"/>
  <c r="J4184"/>
  <c r="L4183"/>
  <c r="J4183"/>
  <c r="L4182"/>
  <c r="J4182"/>
  <c r="L4181"/>
  <c r="J4181"/>
  <c r="L4180"/>
  <c r="J4180"/>
  <c r="L4179"/>
  <c r="J4179"/>
  <c r="L4178"/>
  <c r="J4178"/>
  <c r="L4177"/>
  <c r="J4177"/>
  <c r="L4176"/>
  <c r="J4176"/>
  <c r="L4175"/>
  <c r="J4175"/>
  <c r="L4174"/>
  <c r="J4174"/>
  <c r="L4173"/>
  <c r="J4173"/>
  <c r="L4172"/>
  <c r="J4172"/>
  <c r="L4171"/>
  <c r="J4171"/>
  <c r="L4170"/>
  <c r="J4170"/>
  <c r="L4169"/>
  <c r="J4169"/>
  <c r="L4168"/>
  <c r="J4168"/>
  <c r="L4167"/>
  <c r="J4167"/>
  <c r="L4166"/>
  <c r="J4166"/>
  <c r="L4165"/>
  <c r="J4165"/>
  <c r="L4164"/>
  <c r="J4164"/>
  <c r="L4163"/>
  <c r="J4163"/>
  <c r="L4162"/>
  <c r="J4162"/>
  <c r="L4161"/>
  <c r="J4161"/>
  <c r="L4160"/>
  <c r="J4160"/>
  <c r="L4159"/>
  <c r="J4159"/>
  <c r="L4158"/>
  <c r="J4158"/>
  <c r="L4157"/>
  <c r="J4157"/>
  <c r="L4156"/>
  <c r="J4156"/>
  <c r="L4155"/>
  <c r="J4155"/>
  <c r="L4154"/>
  <c r="J4154"/>
  <c r="L4153"/>
  <c r="J4153"/>
  <c r="L4152"/>
  <c r="J4152"/>
  <c r="L4151"/>
  <c r="J4151"/>
  <c r="L4150"/>
  <c r="J4150"/>
  <c r="L4149"/>
  <c r="J4149"/>
  <c r="L4148"/>
  <c r="J4148"/>
  <c r="L4147"/>
  <c r="J4147"/>
  <c r="L4146"/>
  <c r="J4146"/>
  <c r="L4145"/>
  <c r="J4145"/>
  <c r="L4144"/>
  <c r="J4144"/>
  <c r="L4143"/>
  <c r="J4143"/>
  <c r="L4142"/>
  <c r="J4142"/>
  <c r="L4141"/>
  <c r="J4141"/>
  <c r="L4140"/>
  <c r="J4140"/>
  <c r="L4139"/>
  <c r="J4139"/>
  <c r="L4138"/>
  <c r="J4138"/>
  <c r="L4137"/>
  <c r="J4137"/>
  <c r="L4136"/>
  <c r="J4136"/>
  <c r="L4135"/>
  <c r="J4135"/>
  <c r="L4134"/>
  <c r="J4134"/>
  <c r="L4133"/>
  <c r="J4133"/>
  <c r="L4132"/>
  <c r="J4132"/>
  <c r="L4131"/>
  <c r="J4131"/>
  <c r="L4130"/>
  <c r="J4130"/>
  <c r="L4129"/>
  <c r="J4129"/>
  <c r="L4128"/>
  <c r="J4128"/>
  <c r="L4127"/>
  <c r="J4127"/>
  <c r="L4126"/>
  <c r="J4126"/>
  <c r="L4125"/>
  <c r="J4125"/>
  <c r="L4124"/>
  <c r="J4124"/>
  <c r="L4123"/>
  <c r="J4123"/>
  <c r="L4122"/>
  <c r="J4122"/>
  <c r="L4121"/>
  <c r="J4121"/>
  <c r="L4120"/>
  <c r="J4120"/>
  <c r="L4119"/>
  <c r="J4119"/>
  <c r="L4118"/>
  <c r="J4118"/>
  <c r="L4117"/>
  <c r="J4117"/>
  <c r="L4116"/>
  <c r="J4116"/>
  <c r="L4115"/>
  <c r="J4115"/>
  <c r="L4114"/>
  <c r="J4114"/>
  <c r="L4113"/>
  <c r="J4113"/>
  <c r="L4112"/>
  <c r="J4112"/>
  <c r="L4111"/>
  <c r="J4111"/>
  <c r="L4110"/>
  <c r="J4110"/>
  <c r="L4109"/>
  <c r="J4109"/>
  <c r="L4108"/>
  <c r="J4108"/>
  <c r="L4107"/>
  <c r="J4107"/>
  <c r="L4106"/>
  <c r="J4106"/>
  <c r="L4105"/>
  <c r="J4105"/>
  <c r="L4104"/>
  <c r="J4104"/>
  <c r="L4103"/>
  <c r="J4103"/>
  <c r="L4102"/>
  <c r="J4102"/>
  <c r="L4101"/>
  <c r="J4101"/>
  <c r="L4100"/>
  <c r="J4100"/>
  <c r="L4099"/>
  <c r="J4099"/>
  <c r="L4098"/>
  <c r="J4098"/>
  <c r="L4097"/>
  <c r="J4097"/>
  <c r="L4096"/>
  <c r="J4096"/>
  <c r="L4095"/>
  <c r="J4095"/>
  <c r="L4094"/>
  <c r="J4094"/>
  <c r="L4093"/>
  <c r="J4093"/>
  <c r="L4092"/>
  <c r="J4092"/>
  <c r="L4091"/>
  <c r="J4091"/>
  <c r="L4090"/>
  <c r="J4090"/>
  <c r="L4089"/>
  <c r="J4089"/>
  <c r="L4088"/>
  <c r="J4088"/>
  <c r="L4087"/>
  <c r="J4087"/>
  <c r="L4086"/>
  <c r="J4086"/>
  <c r="L4085"/>
  <c r="J4085"/>
  <c r="L4084"/>
  <c r="J4084"/>
  <c r="L4083"/>
  <c r="J4083"/>
  <c r="L4082"/>
  <c r="J4082"/>
  <c r="L4081"/>
  <c r="J4081"/>
  <c r="L4080"/>
  <c r="J4080"/>
  <c r="L4079"/>
  <c r="J4079"/>
  <c r="L4078"/>
  <c r="J4078"/>
  <c r="L4077"/>
  <c r="J4077"/>
  <c r="L4076"/>
  <c r="J4076"/>
  <c r="L4075"/>
  <c r="J4075"/>
  <c r="L4074"/>
  <c r="J4074"/>
  <c r="L4073"/>
  <c r="J4073"/>
  <c r="L4072"/>
  <c r="J4072"/>
  <c r="L4071"/>
  <c r="J4071"/>
  <c r="L4070"/>
  <c r="J4070"/>
  <c r="L4069"/>
  <c r="J4069"/>
  <c r="L4068"/>
  <c r="J4068"/>
  <c r="L4067"/>
  <c r="J4067"/>
  <c r="L4066"/>
  <c r="J4066"/>
  <c r="L4065"/>
  <c r="J4065"/>
  <c r="L4064"/>
  <c r="J4064"/>
  <c r="L4063"/>
  <c r="J4063"/>
  <c r="L4062"/>
  <c r="J4062"/>
  <c r="L4061"/>
  <c r="J4061"/>
  <c r="L4060"/>
  <c r="J4060"/>
  <c r="L4059"/>
  <c r="J4059"/>
  <c r="L4058"/>
  <c r="J4058"/>
  <c r="L4057"/>
  <c r="J4057"/>
  <c r="L4056"/>
  <c r="J4056"/>
  <c r="L4055"/>
  <c r="J4055"/>
  <c r="L4054"/>
  <c r="J4054"/>
  <c r="L4053"/>
  <c r="J4053"/>
  <c r="L4052"/>
  <c r="J4052"/>
  <c r="L4051"/>
  <c r="J4051"/>
  <c r="L4050"/>
  <c r="J4050"/>
  <c r="L4049"/>
  <c r="J4049"/>
  <c r="L4048"/>
  <c r="J4048"/>
  <c r="L4047"/>
  <c r="J4047"/>
  <c r="L4046"/>
  <c r="J4046"/>
  <c r="L4045"/>
  <c r="J4045"/>
  <c r="L4044"/>
  <c r="J4044"/>
  <c r="L4043"/>
  <c r="J4043"/>
  <c r="L4042"/>
  <c r="J4042"/>
  <c r="L4041"/>
  <c r="J4041"/>
  <c r="L4040"/>
  <c r="J4040"/>
  <c r="L4039"/>
  <c r="J4039"/>
  <c r="L4038"/>
  <c r="J4038"/>
  <c r="L4037"/>
  <c r="J4037"/>
  <c r="L4036"/>
  <c r="J4036"/>
  <c r="L4035"/>
  <c r="J4035"/>
  <c r="L4034"/>
  <c r="J4034"/>
  <c r="L4033"/>
  <c r="J4033"/>
  <c r="L4032"/>
  <c r="J4032"/>
  <c r="L4031"/>
  <c r="J4031"/>
  <c r="L4030"/>
  <c r="J4030"/>
  <c r="L4029"/>
  <c r="J4029"/>
  <c r="L4028"/>
  <c r="J4028"/>
  <c r="L4027"/>
  <c r="J4027"/>
  <c r="L4026"/>
  <c r="J4026"/>
  <c r="L4025"/>
  <c r="J4025"/>
  <c r="L4024"/>
  <c r="J4024"/>
  <c r="L4023"/>
  <c r="J4023"/>
  <c r="L4022"/>
  <c r="J4022"/>
  <c r="L4021"/>
  <c r="J4021"/>
  <c r="L4020"/>
  <c r="J4020"/>
  <c r="L4019"/>
  <c r="J4019"/>
  <c r="L4018"/>
  <c r="J4018"/>
  <c r="L4017"/>
  <c r="J4017"/>
  <c r="L4016"/>
  <c r="J4016"/>
  <c r="L4015"/>
  <c r="J4015"/>
  <c r="L4014"/>
  <c r="J4014"/>
  <c r="L4013"/>
  <c r="J4013"/>
  <c r="L4012"/>
  <c r="J4012"/>
  <c r="L4011"/>
  <c r="J4011"/>
  <c r="L4010"/>
  <c r="J4010"/>
  <c r="L4009"/>
  <c r="J4009"/>
  <c r="L4008"/>
  <c r="J4008"/>
  <c r="L4007"/>
  <c r="J4007"/>
  <c r="L4006"/>
  <c r="J4006"/>
  <c r="L4005"/>
  <c r="J4005"/>
  <c r="L4004"/>
  <c r="J4004"/>
  <c r="L4003"/>
  <c r="J4003"/>
  <c r="L4002"/>
  <c r="J4002"/>
  <c r="L4001"/>
  <c r="J4001"/>
  <c r="L4000"/>
  <c r="J4000"/>
  <c r="L3999"/>
  <c r="J3999"/>
  <c r="L3998"/>
  <c r="J3998"/>
  <c r="L3997"/>
  <c r="J3997"/>
  <c r="L3996"/>
  <c r="J3996"/>
  <c r="L3995"/>
  <c r="J3995"/>
  <c r="L3994"/>
  <c r="J3994"/>
  <c r="L3993"/>
  <c r="J3993"/>
  <c r="L3992"/>
  <c r="J3992"/>
  <c r="L3991"/>
  <c r="J3991"/>
  <c r="L3990"/>
  <c r="J3990"/>
  <c r="L3989"/>
  <c r="J3989"/>
  <c r="L3988"/>
  <c r="J3988"/>
  <c r="L3987"/>
  <c r="J3987"/>
  <c r="L3986"/>
  <c r="J3986"/>
  <c r="L3985"/>
  <c r="J3985"/>
  <c r="L3984"/>
  <c r="J3984"/>
  <c r="L3983"/>
  <c r="J3983"/>
  <c r="L3982"/>
  <c r="J3982"/>
  <c r="L3981"/>
  <c r="J3981"/>
  <c r="L3980"/>
  <c r="J3980"/>
  <c r="L3979"/>
  <c r="J3979"/>
  <c r="L3978"/>
  <c r="J3978"/>
  <c r="L3977"/>
  <c r="J3977"/>
  <c r="L3976"/>
  <c r="J3976"/>
  <c r="L3975"/>
  <c r="J3975"/>
  <c r="L3974"/>
  <c r="J3974"/>
  <c r="L3973"/>
  <c r="J3973"/>
  <c r="L3972"/>
  <c r="J3972"/>
  <c r="L3971"/>
  <c r="J3971"/>
  <c r="L3970"/>
  <c r="J3970"/>
  <c r="L3969"/>
  <c r="J3969"/>
  <c r="L3968"/>
  <c r="J3968"/>
  <c r="L3967"/>
  <c r="J3967"/>
  <c r="L3966"/>
  <c r="J3966"/>
  <c r="L3965"/>
  <c r="J3965"/>
  <c r="L3964"/>
  <c r="J3964"/>
  <c r="L3963"/>
  <c r="J3963"/>
  <c r="L3962"/>
  <c r="J3962"/>
  <c r="L3961"/>
  <c r="J3961"/>
  <c r="L3960"/>
  <c r="J3960"/>
  <c r="L3959"/>
  <c r="J3959"/>
  <c r="L3958"/>
  <c r="J3958"/>
  <c r="L3957"/>
  <c r="J3957"/>
  <c r="L3956"/>
  <c r="J3956"/>
  <c r="L3955"/>
  <c r="J3955"/>
  <c r="L3954"/>
  <c r="J3954"/>
  <c r="L3953"/>
  <c r="J3953"/>
  <c r="L3952"/>
  <c r="J3952"/>
  <c r="L3951"/>
  <c r="J3951"/>
  <c r="L3950"/>
  <c r="J3950"/>
  <c r="L3949"/>
  <c r="J3949"/>
  <c r="L3948"/>
  <c r="J3948"/>
  <c r="L3947"/>
  <c r="J3947"/>
  <c r="L3946"/>
  <c r="J3946"/>
  <c r="L3945"/>
  <c r="J3945"/>
  <c r="L3944"/>
  <c r="J3944"/>
  <c r="L3943"/>
  <c r="J3943"/>
  <c r="L3942"/>
  <c r="J3942"/>
  <c r="L3941"/>
  <c r="J3941"/>
  <c r="L3940"/>
  <c r="J3940"/>
  <c r="L3939"/>
  <c r="J3939"/>
  <c r="L3938"/>
  <c r="J3938"/>
  <c r="L3937"/>
  <c r="J3937"/>
  <c r="L3936"/>
  <c r="J3936"/>
  <c r="L3935"/>
  <c r="J3935"/>
  <c r="L3934"/>
  <c r="J3934"/>
  <c r="L3933"/>
  <c r="J3933"/>
  <c r="L3932"/>
  <c r="J3932"/>
  <c r="L3931"/>
  <c r="J3931"/>
  <c r="L3930"/>
  <c r="J3930"/>
  <c r="L3929"/>
  <c r="J3929"/>
  <c r="L3928"/>
  <c r="J3928"/>
  <c r="L3927"/>
  <c r="J3927"/>
  <c r="L3926"/>
  <c r="J3926"/>
  <c r="L3925"/>
  <c r="J3925"/>
  <c r="L3924"/>
  <c r="J3924"/>
  <c r="L3923"/>
  <c r="J3923"/>
  <c r="L3922"/>
  <c r="J3922"/>
  <c r="L3921"/>
  <c r="J3921"/>
  <c r="L3920"/>
  <c r="J3920"/>
  <c r="L3919"/>
  <c r="J3919"/>
  <c r="L3918"/>
  <c r="J3918"/>
  <c r="L3917"/>
  <c r="J3917"/>
  <c r="L3916"/>
  <c r="J3916"/>
  <c r="L3915"/>
  <c r="J3915"/>
  <c r="L3914"/>
  <c r="J3914"/>
  <c r="L3913"/>
  <c r="J3913"/>
  <c r="L3912"/>
  <c r="J3912"/>
  <c r="L3911"/>
  <c r="J3911"/>
  <c r="L3910"/>
  <c r="J3910"/>
  <c r="L3909"/>
  <c r="J3909"/>
  <c r="L3908"/>
  <c r="J3908"/>
  <c r="L3907"/>
  <c r="J3907"/>
  <c r="L3906"/>
  <c r="J3906"/>
  <c r="L3905"/>
  <c r="J3905"/>
  <c r="L3904"/>
  <c r="J3904"/>
  <c r="L3903"/>
  <c r="J3903"/>
  <c r="L3902"/>
  <c r="J3902"/>
  <c r="L3901"/>
  <c r="J3901"/>
  <c r="L3900"/>
  <c r="J3900"/>
  <c r="L3899"/>
  <c r="J3899"/>
  <c r="L3898"/>
  <c r="J3898"/>
  <c r="L3897"/>
  <c r="J3897"/>
  <c r="L3896"/>
  <c r="J3896"/>
  <c r="L3895"/>
  <c r="J3895"/>
  <c r="L3894"/>
  <c r="J3894"/>
  <c r="L3893"/>
  <c r="J3893"/>
  <c r="L3892"/>
  <c r="J3892"/>
  <c r="L3891"/>
  <c r="J3891"/>
  <c r="L3890"/>
  <c r="J3890"/>
  <c r="L3889"/>
  <c r="J3889"/>
  <c r="L3888"/>
  <c r="J3888"/>
  <c r="L3887"/>
  <c r="J3887"/>
  <c r="L3886"/>
  <c r="J3886"/>
  <c r="L3885"/>
  <c r="J3885"/>
  <c r="L3884"/>
  <c r="J3884"/>
  <c r="L3883"/>
  <c r="J3883"/>
  <c r="L3882"/>
  <c r="J3882"/>
  <c r="L3881"/>
  <c r="J3881"/>
  <c r="L3880"/>
  <c r="J3880"/>
  <c r="L3879"/>
  <c r="J3879"/>
  <c r="L3878"/>
  <c r="J3878"/>
  <c r="L3877"/>
  <c r="J3877"/>
  <c r="L3876"/>
  <c r="J3876"/>
  <c r="L3875"/>
  <c r="J3875"/>
  <c r="L3874"/>
  <c r="J3874"/>
  <c r="L3873"/>
  <c r="J3873"/>
  <c r="L3872"/>
  <c r="J3872"/>
  <c r="L3871"/>
  <c r="J3871"/>
  <c r="L3870"/>
  <c r="J3870"/>
  <c r="L3869"/>
  <c r="J3869"/>
  <c r="L3868"/>
  <c r="J3868"/>
  <c r="L3867"/>
  <c r="J3867"/>
  <c r="L3866"/>
  <c r="J3866"/>
  <c r="L3865"/>
  <c r="J3865"/>
  <c r="L3864"/>
  <c r="J3864"/>
  <c r="L3863"/>
  <c r="J3863"/>
  <c r="L3862"/>
  <c r="J3862"/>
  <c r="L3861"/>
  <c r="J3861"/>
  <c r="L3860"/>
  <c r="J3860"/>
  <c r="L3859"/>
  <c r="J3859"/>
  <c r="L3858"/>
  <c r="J3858"/>
  <c r="L3857"/>
  <c r="J3857"/>
  <c r="L3856"/>
  <c r="J3856"/>
  <c r="L3855"/>
  <c r="J3855"/>
  <c r="L3854"/>
  <c r="J3854"/>
  <c r="L3853"/>
  <c r="J3853"/>
  <c r="L3852"/>
  <c r="J3852"/>
  <c r="L3851"/>
  <c r="J3851"/>
  <c r="L3850"/>
  <c r="J3850"/>
  <c r="L3849"/>
  <c r="J3849"/>
  <c r="L3848"/>
  <c r="J3848"/>
  <c r="L3847"/>
  <c r="J3847"/>
  <c r="L3846"/>
  <c r="J3846"/>
  <c r="L3845"/>
  <c r="J3845"/>
  <c r="L3844"/>
  <c r="J3844"/>
  <c r="L3843"/>
  <c r="J3843"/>
  <c r="L3842"/>
  <c r="J3842"/>
  <c r="L3841"/>
  <c r="J3841"/>
  <c r="L3840"/>
  <c r="J3840"/>
  <c r="L3839"/>
  <c r="J3839"/>
  <c r="L3838"/>
  <c r="J3838"/>
  <c r="L3837"/>
  <c r="J3837"/>
  <c r="L3836"/>
  <c r="J3836"/>
  <c r="L3835"/>
  <c r="J3835"/>
  <c r="L3834"/>
  <c r="J3834"/>
  <c r="L3833"/>
  <c r="J3833"/>
  <c r="L3832"/>
  <c r="J3832"/>
  <c r="L3831"/>
  <c r="J3831"/>
  <c r="L3830"/>
  <c r="J3830"/>
  <c r="L3829"/>
  <c r="J3829"/>
  <c r="L3828"/>
  <c r="J3828"/>
  <c r="L3827"/>
  <c r="J3827"/>
  <c r="L3826"/>
  <c r="J3826"/>
  <c r="L3825"/>
  <c r="J3825"/>
  <c r="L3824"/>
  <c r="J3824"/>
  <c r="L3823"/>
  <c r="J3823"/>
  <c r="L3822"/>
  <c r="J3822"/>
  <c r="L3821"/>
  <c r="J3821"/>
  <c r="L3820"/>
  <c r="J3820"/>
  <c r="L3819"/>
  <c r="J3819"/>
  <c r="L3818"/>
  <c r="J3818"/>
  <c r="L3817"/>
  <c r="J3817"/>
  <c r="L3816"/>
  <c r="J3816"/>
  <c r="L3815"/>
  <c r="J3815"/>
  <c r="L3814"/>
  <c r="J3814"/>
  <c r="L3813"/>
  <c r="J3813"/>
  <c r="L3812"/>
  <c r="J3812"/>
  <c r="L3811"/>
  <c r="J3811"/>
  <c r="L3810"/>
  <c r="J3810"/>
  <c r="L3809"/>
  <c r="J3809"/>
  <c r="L3808"/>
  <c r="J3808"/>
  <c r="L3807"/>
  <c r="J3807"/>
  <c r="L3806"/>
  <c r="J3806"/>
  <c r="L3805"/>
  <c r="J3805"/>
  <c r="L3804"/>
  <c r="J3804"/>
  <c r="L3803"/>
  <c r="J3803"/>
  <c r="L3802"/>
  <c r="J3802"/>
  <c r="L3801"/>
  <c r="J3801"/>
  <c r="L3800"/>
  <c r="J3800"/>
  <c r="L3799"/>
  <c r="J3799"/>
  <c r="L3798"/>
  <c r="J3798"/>
  <c r="L3797"/>
  <c r="J3797"/>
  <c r="L3796"/>
  <c r="J3796"/>
  <c r="L3795"/>
  <c r="J3795"/>
  <c r="L3794"/>
  <c r="J3794"/>
  <c r="L3793"/>
  <c r="J3793"/>
  <c r="L3792"/>
  <c r="J3792"/>
  <c r="L3791"/>
  <c r="J3791"/>
  <c r="L3790"/>
  <c r="J3790"/>
  <c r="L3789"/>
  <c r="J3789"/>
  <c r="L3788"/>
  <c r="J3788"/>
  <c r="L3787"/>
  <c r="J3787"/>
  <c r="L3786"/>
  <c r="J3786"/>
  <c r="L3785"/>
  <c r="J3785"/>
  <c r="L3784"/>
  <c r="J3784"/>
  <c r="L3783"/>
  <c r="J3783"/>
  <c r="L3782"/>
  <c r="J3782"/>
  <c r="L3781"/>
  <c r="J3781"/>
  <c r="L3780"/>
  <c r="J3780"/>
  <c r="L3779"/>
  <c r="J3779"/>
  <c r="L3778"/>
  <c r="J3778"/>
  <c r="L3777"/>
  <c r="J3777"/>
  <c r="L3776"/>
  <c r="J3776"/>
  <c r="L3775"/>
  <c r="J3775"/>
  <c r="L3774"/>
  <c r="J3774"/>
  <c r="L3773"/>
  <c r="J3773"/>
  <c r="L3772"/>
  <c r="J3772"/>
  <c r="L3771"/>
  <c r="J3771"/>
  <c r="L3770"/>
  <c r="J3770"/>
  <c r="L3769"/>
  <c r="J3769"/>
  <c r="L3768"/>
  <c r="J3768"/>
  <c r="L3767"/>
  <c r="J3767"/>
  <c r="L3766"/>
  <c r="J3766"/>
  <c r="L3765"/>
  <c r="J3765"/>
  <c r="L3764"/>
  <c r="J3764"/>
  <c r="L3763"/>
  <c r="J3763"/>
  <c r="L3762"/>
  <c r="J3762"/>
  <c r="L3761"/>
  <c r="J3761"/>
  <c r="L3760"/>
  <c r="J3760"/>
  <c r="L3759"/>
  <c r="J3759"/>
  <c r="L3758"/>
  <c r="J3758"/>
  <c r="L3757"/>
  <c r="J3757"/>
  <c r="L3756"/>
  <c r="J3756"/>
  <c r="L3755"/>
  <c r="J3755"/>
  <c r="L3754"/>
  <c r="J3754"/>
  <c r="L3753"/>
  <c r="J3753"/>
  <c r="L3752"/>
  <c r="J3752"/>
  <c r="L3751"/>
  <c r="J3751"/>
  <c r="L3750"/>
  <c r="J3750"/>
  <c r="L3749"/>
  <c r="J3749"/>
  <c r="L3748"/>
  <c r="J3748"/>
  <c r="L3747"/>
  <c r="J3747"/>
  <c r="L3746"/>
  <c r="J3746"/>
  <c r="L3745"/>
  <c r="J3745"/>
  <c r="L3744"/>
  <c r="J3744"/>
  <c r="L3743"/>
  <c r="J3743"/>
  <c r="L3742"/>
  <c r="J3742"/>
  <c r="L3741"/>
  <c r="J3741"/>
  <c r="L3740"/>
  <c r="J3740"/>
  <c r="L3739"/>
  <c r="J3739"/>
  <c r="L3738"/>
  <c r="J3738"/>
  <c r="L3737"/>
  <c r="J3737"/>
  <c r="L3736"/>
  <c r="J3736"/>
  <c r="L3735"/>
  <c r="J3735"/>
  <c r="L3734"/>
  <c r="J3734"/>
  <c r="L3733"/>
  <c r="J3733"/>
  <c r="L3732"/>
  <c r="J3732"/>
  <c r="L3731"/>
  <c r="J3731"/>
  <c r="L3730"/>
  <c r="J3730"/>
  <c r="L3729"/>
  <c r="J3729"/>
  <c r="L3728"/>
  <c r="J3728"/>
  <c r="L3727"/>
  <c r="J3727"/>
  <c r="L3726"/>
  <c r="J3726"/>
  <c r="L3725"/>
  <c r="J3725"/>
  <c r="L3724"/>
  <c r="J3724"/>
  <c r="L3723"/>
  <c r="J3723"/>
  <c r="L3722"/>
  <c r="J3722"/>
  <c r="L3721"/>
  <c r="J3721"/>
  <c r="L3720"/>
  <c r="J3720"/>
  <c r="L3719"/>
  <c r="J3719"/>
  <c r="L3718"/>
  <c r="J3718"/>
  <c r="L3717"/>
  <c r="J3717"/>
  <c r="L3716"/>
  <c r="J3716"/>
  <c r="L3715"/>
  <c r="J3715"/>
  <c r="L3714"/>
  <c r="J3714"/>
  <c r="L3713"/>
  <c r="J3713"/>
  <c r="L3712"/>
  <c r="J3712"/>
  <c r="L3711"/>
  <c r="J3711"/>
  <c r="L3710"/>
  <c r="J3710"/>
  <c r="L3709"/>
  <c r="J3709"/>
  <c r="L3708"/>
  <c r="J3708"/>
  <c r="L3707"/>
  <c r="J3707"/>
  <c r="L3706"/>
  <c r="J3706"/>
  <c r="L3705"/>
  <c r="J3705"/>
  <c r="L3704"/>
  <c r="J3704"/>
  <c r="L3703"/>
  <c r="J3703"/>
  <c r="L3702"/>
  <c r="J3702"/>
  <c r="L3701"/>
  <c r="J3701"/>
  <c r="L3700"/>
  <c r="J3700"/>
  <c r="L3699"/>
  <c r="J3699"/>
  <c r="L3698"/>
  <c r="J3698"/>
  <c r="L3697"/>
  <c r="J3697"/>
  <c r="L3696"/>
  <c r="J3696"/>
  <c r="L3695"/>
  <c r="J3695"/>
  <c r="L3694"/>
  <c r="J3694"/>
  <c r="L3693"/>
  <c r="J3693"/>
  <c r="L3692"/>
  <c r="J3692"/>
  <c r="L3691"/>
  <c r="J3691"/>
  <c r="L3690"/>
  <c r="J3690"/>
  <c r="L3689"/>
  <c r="J3689"/>
  <c r="L3688"/>
  <c r="J3688"/>
  <c r="L3687"/>
  <c r="J3687"/>
  <c r="L3686"/>
  <c r="J3686"/>
  <c r="L3685"/>
  <c r="J3685"/>
  <c r="L3684"/>
  <c r="J3684"/>
  <c r="L3683"/>
  <c r="J3683"/>
  <c r="L3682"/>
  <c r="J3682"/>
  <c r="L3681"/>
  <c r="J3681"/>
  <c r="L3680"/>
  <c r="J3680"/>
  <c r="L3679"/>
  <c r="J3679"/>
  <c r="L3678"/>
  <c r="J3678"/>
  <c r="L3677"/>
  <c r="J3677"/>
  <c r="L3676"/>
  <c r="J3676"/>
  <c r="L3675"/>
  <c r="J3675"/>
  <c r="L3674"/>
  <c r="J3674"/>
  <c r="L3673"/>
  <c r="J3673"/>
  <c r="L3672"/>
  <c r="J3672"/>
  <c r="L3671"/>
  <c r="J3671"/>
  <c r="L3670"/>
  <c r="J3670"/>
  <c r="L3669"/>
  <c r="J3669"/>
  <c r="L3668"/>
  <c r="J3668"/>
  <c r="L3667"/>
  <c r="J3667"/>
  <c r="L3666"/>
  <c r="J3666"/>
  <c r="L3665"/>
  <c r="J3665"/>
  <c r="L3664"/>
  <c r="J3664"/>
  <c r="L3663"/>
  <c r="J3663"/>
  <c r="L3662"/>
  <c r="J3662"/>
  <c r="L3661"/>
  <c r="J3661"/>
  <c r="L3660"/>
  <c r="J3660"/>
  <c r="L3659"/>
  <c r="J3659"/>
  <c r="L3658"/>
  <c r="J3658"/>
  <c r="L3657"/>
  <c r="J3657"/>
  <c r="L3656"/>
  <c r="J3656"/>
  <c r="L3655"/>
  <c r="J3655"/>
  <c r="L3654"/>
  <c r="J3654"/>
  <c r="L3653"/>
  <c r="J3653"/>
  <c r="L3652"/>
  <c r="J3652"/>
  <c r="L3651"/>
  <c r="J3651"/>
  <c r="L3650"/>
  <c r="J3650"/>
  <c r="L3649"/>
  <c r="J3649"/>
  <c r="L3648"/>
  <c r="J3648"/>
  <c r="L3647"/>
  <c r="J3647"/>
  <c r="L3646"/>
  <c r="J3646"/>
  <c r="L3645"/>
  <c r="J3645"/>
  <c r="L3644"/>
  <c r="J3644"/>
  <c r="L3643"/>
  <c r="J3643"/>
  <c r="L3642"/>
  <c r="J3642"/>
  <c r="L3641"/>
  <c r="J3641"/>
  <c r="L3640"/>
  <c r="J3640"/>
  <c r="L3639"/>
  <c r="J3639"/>
  <c r="L3638"/>
  <c r="J3638"/>
  <c r="L3637"/>
  <c r="J3637"/>
  <c r="L3636"/>
  <c r="J3636"/>
  <c r="L3635"/>
  <c r="J3635"/>
  <c r="L3634"/>
  <c r="J3634"/>
  <c r="L3633"/>
  <c r="J3633"/>
  <c r="L3632"/>
  <c r="J3632"/>
  <c r="L3631"/>
  <c r="J3631"/>
  <c r="L3630"/>
  <c r="J3630"/>
  <c r="L3629"/>
  <c r="J3629"/>
  <c r="L3628"/>
  <c r="J3628"/>
  <c r="L3627"/>
  <c r="J3627"/>
  <c r="L3626"/>
  <c r="J3626"/>
  <c r="L3625"/>
  <c r="J3625"/>
  <c r="L3624"/>
  <c r="J3624"/>
  <c r="L3623"/>
  <c r="J3623"/>
  <c r="L3622"/>
  <c r="J3622"/>
  <c r="L3621"/>
  <c r="J3621"/>
  <c r="L3620"/>
  <c r="J3620"/>
  <c r="L3619"/>
  <c r="J3619"/>
  <c r="L3618"/>
  <c r="J3618"/>
  <c r="L3617"/>
  <c r="J3617"/>
  <c r="L3616"/>
  <c r="J3616"/>
  <c r="L3615"/>
  <c r="J3615"/>
  <c r="L3614"/>
  <c r="J3614"/>
  <c r="L3613"/>
  <c r="J3613"/>
  <c r="L3612"/>
  <c r="J3612"/>
  <c r="L3611"/>
  <c r="J3611"/>
  <c r="L3610"/>
  <c r="J3610"/>
  <c r="L3609"/>
  <c r="J3609"/>
  <c r="L3608"/>
  <c r="J3608"/>
  <c r="L3607"/>
  <c r="J3607"/>
  <c r="L3606"/>
  <c r="J3606"/>
  <c r="L3605"/>
  <c r="J3605"/>
  <c r="L3604"/>
  <c r="J3604"/>
  <c r="L3603"/>
  <c r="J3603"/>
  <c r="L3602"/>
  <c r="J3602"/>
  <c r="L3601"/>
  <c r="J3601"/>
  <c r="L3600"/>
  <c r="J3600"/>
  <c r="L3599"/>
  <c r="J3599"/>
  <c r="L3598"/>
  <c r="J3598"/>
  <c r="L3597"/>
  <c r="J3597"/>
  <c r="L3596"/>
  <c r="J3596"/>
  <c r="L3595"/>
  <c r="J3595"/>
  <c r="L3594"/>
  <c r="J3594"/>
  <c r="L3593"/>
  <c r="J3593"/>
  <c r="L3592"/>
  <c r="J3592"/>
  <c r="L3591"/>
  <c r="J3591"/>
  <c r="L3590"/>
  <c r="J3590"/>
  <c r="L3589"/>
  <c r="J3589"/>
  <c r="L3588"/>
  <c r="J3588"/>
  <c r="L3587"/>
  <c r="J3587"/>
  <c r="L3586"/>
  <c r="J3586"/>
  <c r="L3585"/>
  <c r="J3585"/>
  <c r="L3584"/>
  <c r="J3584"/>
  <c r="L3583"/>
  <c r="J3583"/>
  <c r="L3582"/>
  <c r="J3582"/>
  <c r="L3581"/>
  <c r="J3581"/>
  <c r="L3580"/>
  <c r="J3580"/>
  <c r="L3579"/>
  <c r="J3579"/>
  <c r="L3578"/>
  <c r="J3578"/>
  <c r="L3577"/>
  <c r="J3577"/>
  <c r="L3576"/>
  <c r="J3576"/>
  <c r="L3575"/>
  <c r="J3575"/>
  <c r="L3574"/>
  <c r="J3574"/>
  <c r="L3573"/>
  <c r="J3573"/>
  <c r="L3572"/>
  <c r="J3572"/>
  <c r="L3571"/>
  <c r="J3571"/>
  <c r="L3570"/>
  <c r="J3570"/>
  <c r="L3569"/>
  <c r="J3569"/>
  <c r="L3568"/>
  <c r="J3568"/>
  <c r="L3567"/>
  <c r="J3567"/>
  <c r="L3566"/>
  <c r="J3566"/>
  <c r="L3565"/>
  <c r="J3565"/>
  <c r="L3564"/>
  <c r="J3564"/>
  <c r="L3563"/>
  <c r="J3563"/>
  <c r="L3562"/>
  <c r="J3562"/>
  <c r="L3561"/>
  <c r="J3561"/>
  <c r="L3560"/>
  <c r="J3560"/>
  <c r="L3559"/>
  <c r="J3559"/>
  <c r="L3558"/>
  <c r="J3558"/>
  <c r="L3557"/>
  <c r="J3557"/>
  <c r="L3556"/>
  <c r="J3556"/>
  <c r="L3555"/>
  <c r="J3555"/>
  <c r="L3554"/>
  <c r="J3554"/>
  <c r="L3553"/>
  <c r="J3553"/>
  <c r="L3552"/>
  <c r="J3552"/>
  <c r="L3551"/>
  <c r="J3551"/>
  <c r="L3550"/>
  <c r="J3550"/>
  <c r="L3549"/>
  <c r="J3549"/>
  <c r="L3548"/>
  <c r="J3548"/>
  <c r="L3547"/>
  <c r="J3547"/>
  <c r="L3546"/>
  <c r="J3546"/>
  <c r="L3545"/>
  <c r="J3545"/>
  <c r="L3544"/>
  <c r="J3544"/>
  <c r="L3543"/>
  <c r="J3543"/>
  <c r="L3542"/>
  <c r="J3542"/>
  <c r="L3541"/>
  <c r="J3541"/>
  <c r="L3540"/>
  <c r="J3540"/>
  <c r="L3539"/>
  <c r="J3539"/>
  <c r="L3538"/>
  <c r="J3538"/>
  <c r="L3537"/>
  <c r="J3537"/>
  <c r="L3536"/>
  <c r="J3536"/>
  <c r="L3535"/>
  <c r="J3535"/>
  <c r="L3534"/>
  <c r="J3534"/>
  <c r="L3533"/>
  <c r="J3533"/>
  <c r="L3532"/>
  <c r="J3532"/>
  <c r="L3531"/>
  <c r="J3531"/>
  <c r="L3530"/>
  <c r="J3530"/>
  <c r="L3529"/>
  <c r="J3529"/>
  <c r="L3528"/>
  <c r="J3528"/>
  <c r="L3527"/>
  <c r="J3527"/>
  <c r="L3526"/>
  <c r="J3526"/>
  <c r="L3525"/>
  <c r="J3525"/>
  <c r="L3524"/>
  <c r="J3524"/>
  <c r="L3523"/>
  <c r="J3523"/>
  <c r="L3522"/>
  <c r="J3522"/>
  <c r="L3521"/>
  <c r="J3521"/>
  <c r="L3520"/>
  <c r="J3520"/>
  <c r="L3519"/>
  <c r="J3519"/>
  <c r="L3518"/>
  <c r="J3518"/>
  <c r="L3517"/>
  <c r="J3517"/>
  <c r="L3516"/>
  <c r="J3516"/>
  <c r="L3515"/>
  <c r="J3515"/>
  <c r="L3514"/>
  <c r="J3514"/>
  <c r="L3513"/>
  <c r="J3513"/>
  <c r="L3512"/>
  <c r="J3512"/>
  <c r="L3511"/>
  <c r="J3511"/>
  <c r="L3510"/>
  <c r="J3510"/>
  <c r="L3509"/>
  <c r="J3509"/>
  <c r="L3508"/>
  <c r="J3508"/>
  <c r="L3507"/>
  <c r="J3507"/>
  <c r="L3506"/>
  <c r="J3506"/>
  <c r="L3505"/>
  <c r="J3505"/>
  <c r="L3504"/>
  <c r="J3504"/>
  <c r="L3503"/>
  <c r="J3503"/>
  <c r="L3502"/>
  <c r="J3502"/>
  <c r="L3501"/>
  <c r="J3501"/>
  <c r="L3500"/>
  <c r="J3500"/>
  <c r="L3499"/>
  <c r="J3499"/>
  <c r="L3498"/>
  <c r="J3498"/>
  <c r="L3497"/>
  <c r="J3497"/>
  <c r="L3496"/>
  <c r="J3496"/>
  <c r="L3495"/>
  <c r="J3495"/>
  <c r="L3494"/>
  <c r="J3494"/>
  <c r="L3493"/>
  <c r="J3493"/>
  <c r="L3492"/>
  <c r="J3492"/>
  <c r="L3491"/>
  <c r="J3491"/>
  <c r="L3490"/>
  <c r="J3490"/>
  <c r="L3489"/>
  <c r="J3489"/>
  <c r="L3488"/>
  <c r="J3488"/>
  <c r="L3487"/>
  <c r="J3487"/>
  <c r="L3486"/>
  <c r="J3486"/>
  <c r="L3485"/>
  <c r="J3485"/>
  <c r="L3484"/>
  <c r="J3484"/>
  <c r="L3483"/>
  <c r="J3483"/>
  <c r="L3482"/>
  <c r="J3482"/>
  <c r="L3481"/>
  <c r="J3481"/>
  <c r="L3480"/>
  <c r="J3480"/>
  <c r="L3479"/>
  <c r="J3479"/>
  <c r="L3478"/>
  <c r="J3478"/>
  <c r="L3477"/>
  <c r="J3477"/>
  <c r="L3476"/>
  <c r="J3476"/>
  <c r="L3475"/>
  <c r="J3475"/>
  <c r="L3474"/>
  <c r="J3474"/>
  <c r="L3473"/>
  <c r="J3473"/>
  <c r="L3472"/>
  <c r="J3472"/>
  <c r="L3471"/>
  <c r="J3471"/>
  <c r="L3470"/>
  <c r="J3470"/>
  <c r="L3469"/>
  <c r="J3469"/>
  <c r="L3468"/>
  <c r="J3468"/>
  <c r="L3467"/>
  <c r="J3467"/>
  <c r="L3466"/>
  <c r="J3466"/>
  <c r="L3465"/>
  <c r="J3465"/>
  <c r="L3464"/>
  <c r="J3464"/>
  <c r="L3463"/>
  <c r="J3463"/>
  <c r="L3462"/>
  <c r="J3462"/>
  <c r="L3461"/>
  <c r="J3461"/>
  <c r="L3460"/>
  <c r="J3460"/>
  <c r="L3459"/>
  <c r="J3459"/>
  <c r="L3458"/>
  <c r="J3458"/>
  <c r="L3457"/>
  <c r="J3457"/>
  <c r="L3456"/>
  <c r="J3456"/>
  <c r="L3455"/>
  <c r="J3455"/>
  <c r="L3454"/>
  <c r="J3454"/>
  <c r="L3453"/>
  <c r="J3453"/>
  <c r="L3452"/>
  <c r="J3452"/>
  <c r="L3451"/>
  <c r="J3451"/>
  <c r="L3450"/>
  <c r="J3450"/>
  <c r="L3449"/>
  <c r="J3449"/>
  <c r="L3448"/>
  <c r="J3448"/>
  <c r="L3447"/>
  <c r="J3447"/>
  <c r="L3446"/>
  <c r="J3446"/>
  <c r="L3445"/>
  <c r="J3445"/>
  <c r="L3444"/>
  <c r="J3444"/>
  <c r="L3443"/>
  <c r="J3443"/>
  <c r="L3442"/>
  <c r="J3442"/>
  <c r="L3441"/>
  <c r="J3441"/>
  <c r="L3440"/>
  <c r="J3440"/>
  <c r="L3439"/>
  <c r="J3439"/>
  <c r="L3438"/>
  <c r="J3438"/>
  <c r="L3437"/>
  <c r="J3437"/>
  <c r="L3436"/>
  <c r="J3436"/>
  <c r="L3435"/>
  <c r="J3435"/>
  <c r="L3434"/>
  <c r="J3434"/>
  <c r="L3433"/>
  <c r="J3433"/>
  <c r="L3432"/>
  <c r="J3432"/>
  <c r="L3431"/>
  <c r="J3431"/>
  <c r="L3430"/>
  <c r="J3430"/>
  <c r="L3429"/>
  <c r="J3429"/>
  <c r="L3428"/>
  <c r="J3428"/>
  <c r="L3427"/>
  <c r="J3427"/>
  <c r="L3426"/>
  <c r="J3426"/>
  <c r="L3425"/>
  <c r="J3425"/>
  <c r="L3424"/>
  <c r="J3424"/>
  <c r="L3423"/>
  <c r="J3423"/>
  <c r="L3422"/>
  <c r="J3422"/>
  <c r="L3421"/>
  <c r="J3421"/>
  <c r="L3420"/>
  <c r="J3420"/>
  <c r="L3419"/>
  <c r="J3419"/>
  <c r="L3418"/>
  <c r="J3418"/>
  <c r="L3417"/>
  <c r="J3417"/>
  <c r="L3416"/>
  <c r="J3416"/>
  <c r="L3415"/>
  <c r="J3415"/>
  <c r="L3414"/>
  <c r="J3414"/>
  <c r="L3413"/>
  <c r="J3413"/>
  <c r="L3412"/>
  <c r="J3412"/>
  <c r="L3411"/>
  <c r="J3411"/>
  <c r="L3410"/>
  <c r="J3410"/>
  <c r="L3409"/>
  <c r="J3409"/>
  <c r="L3408"/>
  <c r="J3408"/>
  <c r="L3407"/>
  <c r="J3407"/>
  <c r="L3406"/>
  <c r="J3406"/>
  <c r="L3405"/>
  <c r="J3405"/>
  <c r="L3404"/>
  <c r="J3404"/>
  <c r="L3403"/>
  <c r="J3403"/>
  <c r="L3402"/>
  <c r="J3402"/>
  <c r="L3401"/>
  <c r="J3401"/>
  <c r="L3400"/>
  <c r="J3400"/>
  <c r="L3399"/>
  <c r="J3399"/>
  <c r="L3398"/>
  <c r="J3398"/>
  <c r="L3397"/>
  <c r="J3397"/>
  <c r="L3396"/>
  <c r="J3396"/>
  <c r="L3395"/>
  <c r="J3395"/>
  <c r="L3394"/>
  <c r="J3394"/>
  <c r="L3393"/>
  <c r="J3393"/>
  <c r="L3392"/>
  <c r="J3392"/>
  <c r="L3391"/>
  <c r="J3391"/>
  <c r="L3390"/>
  <c r="J3390"/>
  <c r="L3389"/>
  <c r="J3389"/>
  <c r="L3388"/>
  <c r="J3388"/>
  <c r="L3387"/>
  <c r="J3387"/>
  <c r="L3386"/>
  <c r="J3386"/>
  <c r="L3385"/>
  <c r="J3385"/>
  <c r="L3384"/>
  <c r="J3384"/>
  <c r="L3383"/>
  <c r="J3383"/>
  <c r="L3382"/>
  <c r="J3382"/>
  <c r="L3381"/>
  <c r="J3381"/>
  <c r="L3380"/>
  <c r="J3380"/>
  <c r="L3379"/>
  <c r="J3379"/>
  <c r="L3378"/>
  <c r="J3378"/>
  <c r="L3377"/>
  <c r="J3377"/>
  <c r="L3376"/>
  <c r="J3376"/>
  <c r="L3375"/>
  <c r="J3375"/>
  <c r="L3374"/>
  <c r="J3374"/>
  <c r="L3373"/>
  <c r="J3373"/>
  <c r="L3372"/>
  <c r="J3372"/>
  <c r="L3371"/>
  <c r="J3371"/>
  <c r="L3370"/>
  <c r="J3370"/>
  <c r="L3369"/>
  <c r="J3369"/>
  <c r="L3368"/>
  <c r="J3368"/>
  <c r="L3367"/>
  <c r="J3367"/>
  <c r="L3366"/>
  <c r="J3366"/>
  <c r="L3365"/>
  <c r="J3365"/>
  <c r="L3364"/>
  <c r="J3364"/>
  <c r="L3363"/>
  <c r="J3363"/>
  <c r="L3362"/>
  <c r="J3362"/>
  <c r="L3361"/>
  <c r="J3361"/>
  <c r="L3360"/>
  <c r="J3360"/>
  <c r="L3359"/>
  <c r="J3359"/>
  <c r="L3358"/>
  <c r="J3358"/>
  <c r="L3357"/>
  <c r="J3357"/>
  <c r="L3356"/>
  <c r="J3356"/>
  <c r="L3355"/>
  <c r="J3355"/>
  <c r="L3354"/>
  <c r="J3354"/>
  <c r="L3353"/>
  <c r="J3353"/>
  <c r="L3352"/>
  <c r="J3352"/>
  <c r="L3351"/>
  <c r="J3351"/>
  <c r="L3350"/>
  <c r="J3350"/>
  <c r="L3349"/>
  <c r="J3349"/>
  <c r="L3348"/>
  <c r="J3348"/>
  <c r="L3347"/>
  <c r="J3347"/>
  <c r="L3346"/>
  <c r="J3346"/>
  <c r="L3345"/>
  <c r="J3345"/>
  <c r="L3344"/>
  <c r="J3344"/>
  <c r="L3343"/>
  <c r="J3343"/>
  <c r="L3342"/>
  <c r="J3342"/>
  <c r="L3341"/>
  <c r="J3341"/>
  <c r="L3340"/>
  <c r="J3340"/>
  <c r="L3339"/>
  <c r="J3339"/>
  <c r="L3338"/>
  <c r="J3338"/>
  <c r="L3337"/>
  <c r="J3337"/>
  <c r="L3336"/>
  <c r="J3336"/>
  <c r="L3335"/>
  <c r="J3335"/>
  <c r="L3334"/>
  <c r="J3334"/>
  <c r="L3333"/>
  <c r="J3333"/>
  <c r="L3332"/>
  <c r="J3332"/>
  <c r="L3331"/>
  <c r="J3331"/>
  <c r="L3330"/>
  <c r="J3330"/>
  <c r="L3329"/>
  <c r="J3329"/>
  <c r="L3328"/>
  <c r="J3328"/>
  <c r="L3327"/>
  <c r="J3327"/>
  <c r="L3326"/>
  <c r="J3326"/>
  <c r="L3325"/>
  <c r="J3325"/>
  <c r="L3324"/>
  <c r="J3324"/>
  <c r="L3323"/>
  <c r="J3323"/>
  <c r="L3322"/>
  <c r="J3322"/>
  <c r="L3321"/>
  <c r="J3321"/>
  <c r="L3320"/>
  <c r="J3320"/>
  <c r="L3319"/>
  <c r="J3319"/>
  <c r="L3318"/>
  <c r="J3318"/>
  <c r="L3317"/>
  <c r="J3317"/>
  <c r="L3316"/>
  <c r="J3316"/>
  <c r="L3315"/>
  <c r="J3315"/>
  <c r="L3314"/>
  <c r="J3314"/>
  <c r="L3313"/>
  <c r="J3313"/>
  <c r="L3312"/>
  <c r="J3312"/>
  <c r="L3311"/>
  <c r="J3311"/>
  <c r="L3310"/>
  <c r="J3310"/>
  <c r="L3309"/>
  <c r="J3309"/>
  <c r="L3308"/>
  <c r="J3308"/>
  <c r="L3307"/>
  <c r="J3307"/>
  <c r="L3306"/>
  <c r="J3306"/>
  <c r="L3305"/>
  <c r="J3305"/>
  <c r="L3304"/>
  <c r="J3304"/>
  <c r="L3303"/>
  <c r="J3303"/>
  <c r="L3302"/>
  <c r="J3302"/>
  <c r="L3301"/>
  <c r="J3301"/>
  <c r="L3300"/>
  <c r="J3300"/>
  <c r="L3299"/>
  <c r="J3299"/>
  <c r="L3298"/>
  <c r="J3298"/>
  <c r="L3297"/>
  <c r="J3297"/>
  <c r="L3296"/>
  <c r="J3296"/>
  <c r="L3295"/>
  <c r="J3295"/>
  <c r="L3294"/>
  <c r="J3294"/>
  <c r="L3293"/>
  <c r="J3293"/>
  <c r="L3292"/>
  <c r="J3292"/>
  <c r="L3291"/>
  <c r="J3291"/>
  <c r="L3290"/>
  <c r="J3290"/>
  <c r="L3289"/>
  <c r="J3289"/>
  <c r="L3288"/>
  <c r="J3288"/>
  <c r="L3287"/>
  <c r="J3287"/>
  <c r="L3286"/>
  <c r="J3286"/>
  <c r="L3285"/>
  <c r="J3285"/>
  <c r="L3284"/>
  <c r="J3284"/>
  <c r="L3283"/>
  <c r="J3283"/>
  <c r="L3282"/>
  <c r="J3282"/>
  <c r="L3281"/>
  <c r="J3281"/>
  <c r="L3280"/>
  <c r="J3280"/>
  <c r="L3279"/>
  <c r="J3279"/>
  <c r="L3278"/>
  <c r="J3278"/>
  <c r="L3277"/>
  <c r="J3277"/>
  <c r="L3276"/>
  <c r="J3276"/>
  <c r="L3275"/>
  <c r="J3275"/>
  <c r="L3274"/>
  <c r="J3274"/>
  <c r="L3273"/>
  <c r="J3273"/>
  <c r="L3272"/>
  <c r="J3272"/>
  <c r="L3271"/>
  <c r="J3271"/>
  <c r="L3270"/>
  <c r="J3270"/>
  <c r="L3269"/>
  <c r="J3269"/>
  <c r="L3268"/>
  <c r="J3268"/>
  <c r="L3267"/>
  <c r="J3267"/>
  <c r="L3266"/>
  <c r="J3266"/>
  <c r="L3265"/>
  <c r="J3265"/>
  <c r="L3264"/>
  <c r="J3264"/>
  <c r="L3263"/>
  <c r="J3263"/>
  <c r="L3262"/>
  <c r="J3262"/>
  <c r="L3261"/>
  <c r="J3261"/>
  <c r="L3260"/>
  <c r="J3260"/>
  <c r="L3259"/>
  <c r="J3259"/>
  <c r="L3258"/>
  <c r="J3258"/>
  <c r="L3257"/>
  <c r="J3257"/>
  <c r="L3256"/>
  <c r="J3256"/>
  <c r="L3255"/>
  <c r="J3255"/>
  <c r="L3254"/>
  <c r="J3254"/>
  <c r="L3253"/>
  <c r="J3253"/>
  <c r="L3252"/>
  <c r="J3252"/>
  <c r="L3251"/>
  <c r="J3251"/>
  <c r="L3250"/>
  <c r="J3250"/>
  <c r="L3249"/>
  <c r="J3249"/>
  <c r="L3248"/>
  <c r="J3248"/>
  <c r="L3247"/>
  <c r="J3247"/>
  <c r="L3246"/>
  <c r="J3246"/>
  <c r="L3245"/>
  <c r="J3245"/>
  <c r="L3244"/>
  <c r="J3244"/>
  <c r="L3243"/>
  <c r="J3243"/>
  <c r="L3242"/>
  <c r="J3242"/>
  <c r="L3241"/>
  <c r="J3241"/>
  <c r="L3240"/>
  <c r="J3240"/>
  <c r="L3239"/>
  <c r="J3239"/>
  <c r="L3238"/>
  <c r="J3238"/>
  <c r="L3237"/>
  <c r="J3237"/>
  <c r="L3236"/>
  <c r="J3236"/>
  <c r="L3235"/>
  <c r="J3235"/>
  <c r="L3234"/>
  <c r="J3234"/>
  <c r="L3233"/>
  <c r="J3233"/>
  <c r="L3232"/>
  <c r="J3232"/>
  <c r="L3231"/>
  <c r="J3231"/>
  <c r="L3230"/>
  <c r="J3230"/>
  <c r="L3229"/>
  <c r="J3229"/>
  <c r="L3228"/>
  <c r="J3228"/>
  <c r="L3227"/>
  <c r="J3227"/>
  <c r="L3226"/>
  <c r="J3226"/>
  <c r="L3225"/>
  <c r="J3225"/>
  <c r="L3224"/>
  <c r="J3224"/>
  <c r="L3223"/>
  <c r="J3223"/>
  <c r="L3222"/>
  <c r="J3222"/>
  <c r="L3221"/>
  <c r="J3221"/>
  <c r="L3220"/>
  <c r="J3220"/>
  <c r="L3219"/>
  <c r="J3219"/>
  <c r="L3218"/>
  <c r="J3218"/>
  <c r="L3217"/>
  <c r="J3217"/>
  <c r="L3216"/>
  <c r="J3216"/>
  <c r="L3215"/>
  <c r="J3215"/>
  <c r="L3214"/>
  <c r="J3214"/>
  <c r="L3213"/>
  <c r="J3213"/>
  <c r="L3212"/>
  <c r="J3212"/>
  <c r="L3211"/>
  <c r="J3211"/>
  <c r="L3210"/>
  <c r="J3210"/>
  <c r="L3209"/>
  <c r="J3209"/>
  <c r="L3208"/>
  <c r="J3208"/>
  <c r="L3207"/>
  <c r="J3207"/>
  <c r="L3206"/>
  <c r="J3206"/>
  <c r="L3205"/>
  <c r="J3205"/>
  <c r="L3204"/>
  <c r="J3204"/>
  <c r="L3203"/>
  <c r="J3203"/>
  <c r="L3202"/>
  <c r="J3202"/>
  <c r="L3201"/>
  <c r="J3201"/>
  <c r="L3200"/>
  <c r="J3200"/>
  <c r="L3199"/>
  <c r="J3199"/>
  <c r="L3198"/>
  <c r="J3198"/>
  <c r="L3197"/>
  <c r="J3197"/>
  <c r="L3196"/>
  <c r="J3196"/>
  <c r="L3195"/>
  <c r="J3195"/>
  <c r="L3194"/>
  <c r="J3194"/>
  <c r="L3193"/>
  <c r="J3193"/>
  <c r="L3192"/>
  <c r="J3192"/>
  <c r="L3191"/>
  <c r="J3191"/>
  <c r="L3190"/>
  <c r="J3190"/>
  <c r="L3189"/>
  <c r="J3189"/>
  <c r="L3188"/>
  <c r="J3188"/>
  <c r="L3187"/>
  <c r="J3187"/>
  <c r="L3186"/>
  <c r="J3186"/>
  <c r="L3185"/>
  <c r="J3185"/>
  <c r="L3184"/>
  <c r="J3184"/>
  <c r="L3183"/>
  <c r="J3183"/>
  <c r="L3182"/>
  <c r="J3182"/>
  <c r="L3181"/>
  <c r="J3181"/>
  <c r="L3180"/>
  <c r="J3180"/>
  <c r="L3179"/>
  <c r="J3179"/>
  <c r="L3178"/>
  <c r="J3178"/>
  <c r="L3177"/>
  <c r="J3177"/>
  <c r="L3176"/>
  <c r="J3176"/>
  <c r="L3175"/>
  <c r="J3175"/>
  <c r="L3174"/>
  <c r="J3174"/>
  <c r="L3173"/>
  <c r="J3173"/>
  <c r="L3172"/>
  <c r="J3172"/>
  <c r="L3171"/>
  <c r="J3171"/>
  <c r="L3170"/>
  <c r="J3170"/>
  <c r="L3169"/>
  <c r="J3169"/>
  <c r="L3168"/>
  <c r="J3168"/>
  <c r="L3167"/>
  <c r="J3167"/>
  <c r="L3166"/>
  <c r="J3166"/>
  <c r="L3165"/>
  <c r="J3165"/>
  <c r="L3164"/>
  <c r="J3164"/>
  <c r="L3163"/>
  <c r="J3163"/>
  <c r="L3162"/>
  <c r="J3162"/>
  <c r="L3161"/>
  <c r="J3161"/>
  <c r="L3160"/>
  <c r="J3160"/>
  <c r="L3159"/>
  <c r="J3159"/>
  <c r="L3158"/>
  <c r="J3158"/>
  <c r="L3157"/>
  <c r="J3157"/>
  <c r="L3156"/>
  <c r="J3156"/>
  <c r="L3155"/>
  <c r="J3155"/>
  <c r="L3154"/>
  <c r="J3154"/>
  <c r="L3153"/>
  <c r="J3153"/>
  <c r="L3152"/>
  <c r="J3152"/>
  <c r="L3151"/>
  <c r="J3151"/>
  <c r="L3150"/>
  <c r="J3150"/>
  <c r="L3149"/>
  <c r="J3149"/>
  <c r="L3148"/>
  <c r="J3148"/>
  <c r="L3147"/>
  <c r="J3147"/>
  <c r="L3146"/>
  <c r="J3146"/>
  <c r="L3145"/>
  <c r="J3145"/>
  <c r="L3144"/>
  <c r="J3144"/>
  <c r="L3143"/>
  <c r="J3143"/>
  <c r="L3142"/>
  <c r="J3142"/>
  <c r="L3141"/>
  <c r="J3141"/>
  <c r="L3140"/>
  <c r="J3140"/>
  <c r="L3139"/>
  <c r="J3139"/>
  <c r="L3138"/>
  <c r="J3138"/>
  <c r="L3137"/>
  <c r="J3137"/>
  <c r="L3136"/>
  <c r="J3136"/>
  <c r="L3135"/>
  <c r="J3135"/>
  <c r="L3134"/>
  <c r="J3134"/>
  <c r="L3133"/>
  <c r="J3133"/>
  <c r="L3132"/>
  <c r="J3132"/>
  <c r="L3131"/>
  <c r="J3131"/>
  <c r="L3130"/>
  <c r="J3130"/>
  <c r="L3129"/>
  <c r="J3129"/>
  <c r="L3128"/>
  <c r="J3128"/>
  <c r="L3127"/>
  <c r="J3127"/>
  <c r="L3126"/>
  <c r="J3126"/>
  <c r="L3125"/>
  <c r="J3125"/>
  <c r="L3124"/>
  <c r="J3124"/>
  <c r="L3123"/>
  <c r="J3123"/>
  <c r="L3122"/>
  <c r="J3122"/>
  <c r="L3121"/>
  <c r="J3121"/>
  <c r="L3120"/>
  <c r="J3120"/>
  <c r="L3119"/>
  <c r="J3119"/>
  <c r="L3118"/>
  <c r="J3118"/>
  <c r="L3117"/>
  <c r="J3117"/>
  <c r="L3116"/>
  <c r="J3116"/>
  <c r="L3115"/>
  <c r="J3115"/>
  <c r="L3114"/>
  <c r="J3114"/>
  <c r="L3113"/>
  <c r="J3113"/>
  <c r="L3112"/>
  <c r="J3112"/>
  <c r="L3111"/>
  <c r="J3111"/>
  <c r="L3110"/>
  <c r="J3110"/>
  <c r="L3109"/>
  <c r="J3109"/>
  <c r="L3108"/>
  <c r="J3108"/>
  <c r="L3107"/>
  <c r="J3107"/>
  <c r="L3106"/>
  <c r="J3106"/>
  <c r="L3105"/>
  <c r="J3105"/>
  <c r="L3104"/>
  <c r="J3104"/>
  <c r="L3103"/>
  <c r="J3103"/>
  <c r="L3102"/>
  <c r="J3102"/>
  <c r="L3101"/>
  <c r="J3101"/>
  <c r="L3100"/>
  <c r="J3100"/>
  <c r="L3099"/>
  <c r="J3099"/>
  <c r="L3098"/>
  <c r="J3098"/>
  <c r="L3097"/>
  <c r="J3097"/>
  <c r="L3096"/>
  <c r="J3096"/>
  <c r="L3095"/>
  <c r="J3095"/>
  <c r="L3094"/>
  <c r="J3094"/>
  <c r="L3093"/>
  <c r="J3093"/>
  <c r="L3092"/>
  <c r="J3092"/>
  <c r="L3091"/>
  <c r="J3091"/>
  <c r="L3090"/>
  <c r="J3090"/>
  <c r="L3089"/>
  <c r="J3089"/>
  <c r="L3088"/>
  <c r="J3088"/>
  <c r="L3087"/>
  <c r="J3087"/>
  <c r="L3086"/>
  <c r="J3086"/>
  <c r="L3085"/>
  <c r="J3085"/>
  <c r="L3084"/>
  <c r="J3084"/>
  <c r="L3083"/>
  <c r="J3083"/>
  <c r="L3082"/>
  <c r="J3082"/>
  <c r="L3081"/>
  <c r="J3081"/>
  <c r="L3080"/>
  <c r="J3080"/>
  <c r="L3079"/>
  <c r="J3079"/>
  <c r="L3078"/>
  <c r="J3078"/>
  <c r="L3077"/>
  <c r="J3077"/>
  <c r="L3076"/>
  <c r="J3076"/>
  <c r="L3075"/>
  <c r="J3075"/>
  <c r="L3074"/>
  <c r="J3074"/>
  <c r="L3073"/>
  <c r="J3073"/>
  <c r="L3072"/>
  <c r="J3072"/>
  <c r="L3071"/>
  <c r="J3071"/>
  <c r="L3070"/>
  <c r="J3070"/>
  <c r="L3069"/>
  <c r="J3069"/>
  <c r="L3068"/>
  <c r="J3068"/>
  <c r="L3067"/>
  <c r="J3067"/>
  <c r="L3066"/>
  <c r="J3066"/>
  <c r="L3065"/>
  <c r="J3065"/>
  <c r="L3064"/>
  <c r="J3064"/>
  <c r="L3063"/>
  <c r="J3063"/>
  <c r="L3062"/>
  <c r="J3062"/>
  <c r="L3061"/>
  <c r="J3061"/>
  <c r="L3060"/>
  <c r="J3060"/>
  <c r="L3059"/>
  <c r="J3059"/>
  <c r="L3058"/>
  <c r="J3058"/>
  <c r="L3057"/>
  <c r="J3057"/>
  <c r="L3056"/>
  <c r="J3056"/>
  <c r="L3055"/>
  <c r="J3055"/>
  <c r="L3054"/>
  <c r="J3054"/>
  <c r="L3053"/>
  <c r="J3053"/>
  <c r="L3052"/>
  <c r="J3052"/>
  <c r="L3051"/>
  <c r="J3051"/>
  <c r="L3050"/>
  <c r="J3050"/>
  <c r="L3049"/>
  <c r="J3049"/>
  <c r="L3048"/>
  <c r="J3048"/>
  <c r="L3047"/>
  <c r="J3047"/>
  <c r="L3046"/>
  <c r="J3046"/>
  <c r="L3045"/>
  <c r="J3045"/>
  <c r="L3044"/>
  <c r="J3044"/>
  <c r="L3043"/>
  <c r="J3043"/>
  <c r="L3042"/>
  <c r="J3042"/>
  <c r="L3041"/>
  <c r="J3041"/>
  <c r="L3040"/>
  <c r="J3040"/>
  <c r="L3039"/>
  <c r="J3039"/>
  <c r="L3038"/>
  <c r="J3038"/>
  <c r="L3037"/>
  <c r="J3037"/>
  <c r="L3036"/>
  <c r="J3036"/>
  <c r="L3035"/>
  <c r="J3035"/>
  <c r="L3034"/>
  <c r="J3034"/>
  <c r="L3033"/>
  <c r="J3033"/>
  <c r="L3032"/>
  <c r="J3032"/>
  <c r="L3031"/>
  <c r="J3031"/>
  <c r="L3030"/>
  <c r="J3030"/>
  <c r="L3029"/>
  <c r="J3029"/>
  <c r="L3028"/>
  <c r="J3028"/>
  <c r="L3027"/>
  <c r="J3027"/>
  <c r="L3026"/>
  <c r="J3026"/>
  <c r="L3025"/>
  <c r="J3025"/>
  <c r="L3024"/>
  <c r="J3024"/>
  <c r="L3023"/>
  <c r="J3023"/>
  <c r="L3022"/>
  <c r="J3022"/>
  <c r="L3021"/>
  <c r="J3021"/>
  <c r="L3020"/>
  <c r="J3020"/>
  <c r="L3019"/>
  <c r="J3019"/>
  <c r="L3018"/>
  <c r="J3018"/>
  <c r="L3017"/>
  <c r="J3017"/>
  <c r="L3016"/>
  <c r="J3016"/>
  <c r="L3015"/>
  <c r="J3015"/>
  <c r="L3014"/>
  <c r="J3014"/>
  <c r="L3013"/>
  <c r="J3013"/>
  <c r="L3012"/>
  <c r="J3012"/>
  <c r="L3011"/>
  <c r="J3011"/>
  <c r="L3010"/>
  <c r="J3010"/>
  <c r="L3009"/>
  <c r="J3009"/>
  <c r="L3008"/>
  <c r="J3008"/>
  <c r="L3007"/>
  <c r="J3007"/>
  <c r="L3006"/>
  <c r="J3006"/>
  <c r="L3005"/>
  <c r="J3005"/>
  <c r="L3004"/>
  <c r="J3004"/>
  <c r="L3003"/>
  <c r="J3003"/>
  <c r="L3002"/>
  <c r="J3002"/>
  <c r="L3001"/>
  <c r="J3001"/>
  <c r="L3000"/>
  <c r="J3000"/>
  <c r="L2999"/>
  <c r="J2999"/>
  <c r="L2998"/>
  <c r="J2998"/>
  <c r="L2997"/>
  <c r="J2997"/>
  <c r="L2996"/>
  <c r="J2996"/>
  <c r="L2995"/>
  <c r="J2995"/>
  <c r="L2994"/>
  <c r="J2994"/>
  <c r="L2993"/>
  <c r="J2993"/>
  <c r="L2992"/>
  <c r="J2992"/>
  <c r="L2991"/>
  <c r="J2991"/>
  <c r="L2990"/>
  <c r="J2990"/>
  <c r="L2989"/>
  <c r="J2989"/>
  <c r="L2988"/>
  <c r="J2988"/>
  <c r="L2987"/>
  <c r="J2987"/>
  <c r="L2986"/>
  <c r="J2986"/>
  <c r="L2985"/>
  <c r="J2985"/>
  <c r="L2984"/>
  <c r="J2984"/>
  <c r="L2983"/>
  <c r="J2983"/>
  <c r="L2982"/>
  <c r="J2982"/>
  <c r="L2981"/>
  <c r="J2981"/>
  <c r="L2980"/>
  <c r="J2980"/>
  <c r="L2979"/>
  <c r="J2979"/>
  <c r="L2978"/>
  <c r="J2978"/>
  <c r="L2977"/>
  <c r="J2977"/>
  <c r="L2976"/>
  <c r="J2976"/>
  <c r="L2975"/>
  <c r="J2975"/>
  <c r="L2974"/>
  <c r="J2974"/>
  <c r="L2973"/>
  <c r="J2973"/>
  <c r="L2972"/>
  <c r="J2972"/>
  <c r="L2971"/>
  <c r="J2971"/>
  <c r="L2970"/>
  <c r="J2970"/>
  <c r="L2969"/>
  <c r="J2969"/>
  <c r="L2968"/>
  <c r="J2968"/>
  <c r="L2967"/>
  <c r="J2967"/>
  <c r="L2966"/>
  <c r="J2966"/>
  <c r="L2965"/>
  <c r="J2965"/>
  <c r="L2964"/>
  <c r="J2964"/>
  <c r="L2963"/>
  <c r="J2963"/>
  <c r="L2962"/>
  <c r="J2962"/>
  <c r="L2961"/>
  <c r="J2961"/>
  <c r="L2960"/>
  <c r="J2960"/>
  <c r="L2959"/>
  <c r="J2959"/>
  <c r="L2958"/>
  <c r="J2958"/>
  <c r="L2957"/>
  <c r="J2957"/>
  <c r="L2956"/>
  <c r="J2956"/>
  <c r="L2955"/>
  <c r="J2955"/>
  <c r="L2954"/>
  <c r="J2954"/>
  <c r="L2953"/>
  <c r="J2953"/>
  <c r="L2952"/>
  <c r="J2952"/>
  <c r="L2951"/>
  <c r="J2951"/>
  <c r="L2950"/>
  <c r="J2950"/>
  <c r="L2949"/>
  <c r="J2949"/>
  <c r="L2948"/>
  <c r="J2948"/>
  <c r="L2947"/>
  <c r="J2947"/>
  <c r="L2946"/>
  <c r="J2946"/>
  <c r="L2945"/>
  <c r="J2945"/>
  <c r="L2944"/>
  <c r="J2944"/>
  <c r="L2943"/>
  <c r="J2943"/>
  <c r="L2942"/>
  <c r="J2942"/>
  <c r="L2941"/>
  <c r="J2941"/>
  <c r="L2940"/>
  <c r="J2940"/>
  <c r="L2939"/>
  <c r="J2939"/>
  <c r="L2938"/>
  <c r="J2938"/>
  <c r="L2937"/>
  <c r="J2937"/>
  <c r="L2936"/>
  <c r="J2936"/>
  <c r="L2935"/>
  <c r="J2935"/>
  <c r="L2934"/>
  <c r="J2934"/>
  <c r="L2933"/>
  <c r="J2933"/>
  <c r="L2932"/>
  <c r="J2932"/>
  <c r="L2931"/>
  <c r="J2931"/>
  <c r="L2930"/>
  <c r="J2930"/>
  <c r="L2929"/>
  <c r="J2929"/>
  <c r="L2928"/>
  <c r="J2928"/>
  <c r="L2927"/>
  <c r="J2927"/>
  <c r="L2926"/>
  <c r="J2926"/>
  <c r="L2925"/>
  <c r="J2925"/>
  <c r="L2924"/>
  <c r="J2924"/>
  <c r="L2923"/>
  <c r="J2923"/>
  <c r="L2922"/>
  <c r="J2922"/>
  <c r="L2921"/>
  <c r="J2921"/>
  <c r="L2920"/>
  <c r="J2920"/>
  <c r="L2919"/>
  <c r="J2919"/>
  <c r="L2918"/>
  <c r="J2918"/>
  <c r="L2917"/>
  <c r="J2917"/>
  <c r="L2916"/>
  <c r="J2916"/>
  <c r="L2915"/>
  <c r="J2915"/>
  <c r="L2914"/>
  <c r="J2914"/>
  <c r="L2913"/>
  <c r="J2913"/>
  <c r="L2912"/>
  <c r="J2912"/>
  <c r="L2911"/>
  <c r="J2911"/>
  <c r="L2910"/>
  <c r="J2910"/>
  <c r="L2909"/>
  <c r="J2909"/>
  <c r="L2908"/>
  <c r="J2908"/>
  <c r="L2907"/>
  <c r="J2907"/>
  <c r="L2906"/>
  <c r="J2906"/>
  <c r="L2905"/>
  <c r="J2905"/>
  <c r="L2904"/>
  <c r="J2904"/>
  <c r="L2903"/>
  <c r="J2903"/>
  <c r="L2902"/>
  <c r="J2902"/>
  <c r="L2901"/>
  <c r="J2901"/>
  <c r="L2900"/>
  <c r="J2900"/>
  <c r="L2899"/>
  <c r="J2899"/>
  <c r="L2898"/>
  <c r="J2898"/>
  <c r="L2897"/>
  <c r="J2897"/>
  <c r="L2896"/>
  <c r="J2896"/>
  <c r="L2895"/>
  <c r="J2895"/>
  <c r="L2894"/>
  <c r="J2894"/>
  <c r="L2893"/>
  <c r="J2893"/>
  <c r="L2892"/>
  <c r="J2892"/>
  <c r="L2891"/>
  <c r="J2891"/>
  <c r="L2890"/>
  <c r="J2890"/>
  <c r="L2889"/>
  <c r="J2889"/>
  <c r="L2888"/>
  <c r="J2888"/>
  <c r="L2887"/>
  <c r="J2887"/>
  <c r="L2886"/>
  <c r="J2886"/>
  <c r="L2885"/>
  <c r="J2885"/>
  <c r="L2884"/>
  <c r="J2884"/>
  <c r="L2883"/>
  <c r="J2883"/>
  <c r="L2882"/>
  <c r="J2882"/>
  <c r="L2881"/>
  <c r="J2881"/>
  <c r="L2880"/>
  <c r="J2880"/>
  <c r="L2879"/>
  <c r="J2879"/>
  <c r="L2878"/>
  <c r="J2878"/>
  <c r="L2877"/>
  <c r="J2877"/>
  <c r="L2876"/>
  <c r="J2876"/>
  <c r="L2875"/>
  <c r="J2875"/>
  <c r="L2874"/>
  <c r="J2874"/>
  <c r="L2873"/>
  <c r="J2873"/>
  <c r="L2872"/>
  <c r="J2872"/>
  <c r="L2871"/>
  <c r="J2871"/>
  <c r="L2870"/>
  <c r="J2870"/>
  <c r="L2869"/>
  <c r="J2869"/>
  <c r="L2868"/>
  <c r="J2868"/>
  <c r="L2867"/>
  <c r="J2867"/>
  <c r="L2866"/>
  <c r="J2866"/>
  <c r="L2865"/>
  <c r="J2865"/>
  <c r="L2864"/>
  <c r="J2864"/>
  <c r="L2863"/>
  <c r="J2863"/>
  <c r="L2862"/>
  <c r="J2862"/>
  <c r="L2861"/>
  <c r="J2861"/>
  <c r="L2860"/>
  <c r="J2860"/>
  <c r="L2859"/>
  <c r="J2859"/>
  <c r="L2858"/>
  <c r="J2858"/>
  <c r="L2857"/>
  <c r="J2857"/>
  <c r="L2856"/>
  <c r="J2856"/>
  <c r="L2855"/>
  <c r="J2855"/>
  <c r="L2854"/>
  <c r="J2854"/>
  <c r="L2853"/>
  <c r="J2853"/>
  <c r="L2852"/>
  <c r="J2852"/>
  <c r="L2851"/>
  <c r="J2851"/>
  <c r="L2850"/>
  <c r="J2850"/>
  <c r="L2849"/>
  <c r="J2849"/>
  <c r="L2848"/>
  <c r="J2848"/>
  <c r="L2847"/>
  <c r="J2847"/>
  <c r="L2846"/>
  <c r="J2846"/>
  <c r="L2845"/>
  <c r="J2845"/>
  <c r="L2844"/>
  <c r="J2844"/>
  <c r="L2843"/>
  <c r="J2843"/>
  <c r="L2842"/>
  <c r="J2842"/>
  <c r="L2841"/>
  <c r="J2841"/>
  <c r="L2840"/>
  <c r="J2840"/>
  <c r="L2839"/>
  <c r="J2839"/>
  <c r="L2838"/>
  <c r="J2838"/>
  <c r="L2837"/>
  <c r="J2837"/>
  <c r="L2836"/>
  <c r="J2836"/>
  <c r="L2835"/>
  <c r="J2835"/>
  <c r="L2834"/>
  <c r="J2834"/>
  <c r="L2833"/>
  <c r="J2833"/>
  <c r="L2832"/>
  <c r="J2832"/>
  <c r="L2831"/>
  <c r="J2831"/>
  <c r="L2830"/>
  <c r="J2830"/>
  <c r="L2829"/>
  <c r="J2829"/>
  <c r="L2828"/>
  <c r="J2828"/>
  <c r="L2827"/>
  <c r="J2827"/>
  <c r="L2826"/>
  <c r="J2826"/>
  <c r="L2825"/>
  <c r="J2825"/>
  <c r="L2824"/>
  <c r="J2824"/>
  <c r="L2823"/>
  <c r="J2823"/>
  <c r="L2822"/>
  <c r="J2822"/>
  <c r="L2821"/>
  <c r="J2821"/>
  <c r="L2820"/>
  <c r="J2820"/>
  <c r="L2819"/>
  <c r="J2819"/>
  <c r="L2818"/>
  <c r="J2818"/>
  <c r="L2817"/>
  <c r="J2817"/>
  <c r="L2816"/>
  <c r="J2816"/>
  <c r="L2815"/>
  <c r="J2815"/>
  <c r="L2814"/>
  <c r="J2814"/>
  <c r="L2813"/>
  <c r="J2813"/>
  <c r="L2812"/>
  <c r="J2812"/>
  <c r="L2811"/>
  <c r="J2811"/>
  <c r="L2810"/>
  <c r="J2810"/>
  <c r="L2809"/>
  <c r="J2809"/>
  <c r="L2808"/>
  <c r="J2808"/>
  <c r="L2807"/>
  <c r="J2807"/>
  <c r="L2806"/>
  <c r="J2806"/>
  <c r="L2805"/>
  <c r="J2805"/>
  <c r="L2804"/>
  <c r="J2804"/>
  <c r="L2803"/>
  <c r="J2803"/>
  <c r="L2802"/>
  <c r="J2802"/>
  <c r="L2801"/>
  <c r="J2801"/>
  <c r="L2800"/>
  <c r="J2800"/>
  <c r="L2799"/>
  <c r="J2799"/>
  <c r="L2798"/>
  <c r="J2798"/>
  <c r="L2797"/>
  <c r="J2797"/>
  <c r="L2796"/>
  <c r="J2796"/>
  <c r="L2795"/>
  <c r="J2795"/>
  <c r="L2794"/>
  <c r="J2794"/>
  <c r="L2793"/>
  <c r="J2793"/>
  <c r="L2792"/>
  <c r="J2792"/>
  <c r="L2791"/>
  <c r="J2791"/>
  <c r="L2790"/>
  <c r="J2790"/>
  <c r="L2789"/>
  <c r="J2789"/>
  <c r="L2788"/>
  <c r="J2788"/>
  <c r="L2787"/>
  <c r="J2787"/>
  <c r="L2786"/>
  <c r="J2786"/>
  <c r="L2785"/>
  <c r="J2785"/>
  <c r="L2784"/>
  <c r="J2784"/>
  <c r="L2783"/>
  <c r="J2783"/>
  <c r="L2782"/>
  <c r="J2782"/>
  <c r="L2781"/>
  <c r="J2781"/>
  <c r="L2780"/>
  <c r="J2780"/>
  <c r="L2779"/>
  <c r="J2779"/>
  <c r="L2778"/>
  <c r="J2778"/>
  <c r="L2777"/>
  <c r="J2777"/>
  <c r="L2776"/>
  <c r="J2776"/>
  <c r="L2775"/>
  <c r="J2775"/>
  <c r="L2774"/>
  <c r="J2774"/>
  <c r="L2773"/>
  <c r="J2773"/>
  <c r="L2772"/>
  <c r="J2772"/>
  <c r="L2771"/>
  <c r="J2771"/>
  <c r="L2770"/>
  <c r="J2770"/>
  <c r="L2769"/>
  <c r="J2769"/>
  <c r="L2768"/>
  <c r="J2768"/>
  <c r="L2767"/>
  <c r="J2767"/>
  <c r="L2766"/>
  <c r="J2766"/>
  <c r="L2765"/>
  <c r="J2765"/>
  <c r="L2764"/>
  <c r="J2764"/>
  <c r="L2763"/>
  <c r="J2763"/>
  <c r="L2762"/>
  <c r="J2762"/>
  <c r="L2761"/>
  <c r="J2761"/>
  <c r="L2760"/>
  <c r="J2760"/>
  <c r="L2759"/>
  <c r="J2759"/>
  <c r="L2758"/>
  <c r="J2758"/>
  <c r="L2757"/>
  <c r="J2757"/>
  <c r="L2756"/>
  <c r="J2756"/>
  <c r="L2755"/>
  <c r="J2755"/>
  <c r="L2754"/>
  <c r="J2754"/>
  <c r="L2753"/>
  <c r="J2753"/>
  <c r="L2752"/>
  <c r="J2752"/>
  <c r="L2751"/>
  <c r="J2751"/>
  <c r="L2750"/>
  <c r="J2750"/>
  <c r="L2749"/>
  <c r="J2749"/>
  <c r="L2748"/>
  <c r="J2748"/>
  <c r="L2747"/>
  <c r="J2747"/>
  <c r="L2746"/>
  <c r="J2746"/>
  <c r="L2745"/>
  <c r="J2745"/>
  <c r="L2744"/>
  <c r="J2744"/>
  <c r="L2743"/>
  <c r="J2743"/>
  <c r="L2742"/>
  <c r="J2742"/>
  <c r="L2741"/>
  <c r="J2741"/>
  <c r="L2740"/>
  <c r="J2740"/>
  <c r="L2739"/>
  <c r="J2739"/>
  <c r="L2738"/>
  <c r="J2738"/>
  <c r="L2737"/>
  <c r="J2737"/>
  <c r="L2736"/>
  <c r="J2736"/>
  <c r="L2735"/>
  <c r="J2735"/>
  <c r="L2734"/>
  <c r="J2734"/>
  <c r="L2733"/>
  <c r="J2733"/>
  <c r="L2732"/>
  <c r="J2732"/>
  <c r="L2731"/>
  <c r="J2731"/>
  <c r="L2730"/>
  <c r="J2730"/>
  <c r="L2729"/>
  <c r="J2729"/>
  <c r="L2728"/>
  <c r="J2728"/>
  <c r="L2727"/>
  <c r="J2727"/>
  <c r="L2726"/>
  <c r="J2726"/>
  <c r="L2725"/>
  <c r="J2725"/>
  <c r="L2724"/>
  <c r="J2724"/>
  <c r="L2723"/>
  <c r="J2723"/>
  <c r="L2722"/>
  <c r="J2722"/>
  <c r="L2721"/>
  <c r="J2721"/>
  <c r="L2720"/>
  <c r="J2720"/>
  <c r="L2719"/>
  <c r="J2719"/>
  <c r="L2718"/>
  <c r="J2718"/>
  <c r="L2717"/>
  <c r="J2717"/>
  <c r="L2716"/>
  <c r="J2716"/>
  <c r="L2715"/>
  <c r="J2715"/>
  <c r="L2714"/>
  <c r="J2714"/>
  <c r="L2713"/>
  <c r="J2713"/>
  <c r="L2712"/>
  <c r="J2712"/>
  <c r="L2711"/>
  <c r="J2711"/>
  <c r="L2710"/>
  <c r="J2710"/>
  <c r="L2709"/>
  <c r="J2709"/>
  <c r="L2708"/>
  <c r="J2708"/>
  <c r="L2707"/>
  <c r="J2707"/>
  <c r="L2706"/>
  <c r="J2706"/>
  <c r="L2705"/>
  <c r="J2705"/>
  <c r="L2704"/>
  <c r="J2704"/>
  <c r="L2703"/>
  <c r="J2703"/>
  <c r="L2702"/>
  <c r="J2702"/>
  <c r="L2701"/>
  <c r="J2701"/>
  <c r="L2700"/>
  <c r="J2700"/>
  <c r="L2699"/>
  <c r="J2699"/>
  <c r="L2698"/>
  <c r="J2698"/>
  <c r="L2697"/>
  <c r="J2697"/>
  <c r="L2696"/>
  <c r="J2696"/>
  <c r="L2695"/>
  <c r="J2695"/>
  <c r="L2694"/>
  <c r="J2694"/>
  <c r="L2693"/>
  <c r="J2693"/>
  <c r="L2692"/>
  <c r="J2692"/>
  <c r="L2691"/>
  <c r="J2691"/>
  <c r="L2690"/>
  <c r="J2690"/>
  <c r="L2689"/>
  <c r="J2689"/>
  <c r="L2688"/>
  <c r="J2688"/>
  <c r="L2687"/>
  <c r="J2687"/>
  <c r="L2686"/>
  <c r="J2686"/>
  <c r="L2685"/>
  <c r="J2685"/>
  <c r="L2684"/>
  <c r="J2684"/>
  <c r="L2683"/>
  <c r="J2683"/>
  <c r="L2682"/>
  <c r="J2682"/>
  <c r="L2681"/>
  <c r="J2681"/>
  <c r="L2680"/>
  <c r="J2680"/>
  <c r="L2679"/>
  <c r="J2679"/>
  <c r="L2678"/>
  <c r="J2678"/>
  <c r="L2677"/>
  <c r="J2677"/>
  <c r="L2676"/>
  <c r="J2676"/>
  <c r="L2675"/>
  <c r="J2675"/>
  <c r="L2674"/>
  <c r="J2674"/>
  <c r="L2673"/>
  <c r="J2673"/>
  <c r="L2672"/>
  <c r="J2672"/>
  <c r="L2671"/>
  <c r="J2671"/>
  <c r="L2670"/>
  <c r="J2670"/>
  <c r="L2669"/>
  <c r="J2669"/>
  <c r="L2668"/>
  <c r="J2668"/>
  <c r="L2667"/>
  <c r="J2667"/>
  <c r="L2666"/>
  <c r="J2666"/>
  <c r="L2665"/>
  <c r="J2665"/>
  <c r="L2664"/>
  <c r="J2664"/>
  <c r="L2663"/>
  <c r="J2663"/>
  <c r="L2662"/>
  <c r="J2662"/>
  <c r="L2661"/>
  <c r="J2661"/>
  <c r="L2660"/>
  <c r="J2660"/>
  <c r="L2659"/>
  <c r="J2659"/>
  <c r="L2658"/>
  <c r="J2658"/>
  <c r="L2657"/>
  <c r="J2657"/>
  <c r="L2656"/>
  <c r="J2656"/>
  <c r="L2655"/>
  <c r="J2655"/>
  <c r="L2654"/>
  <c r="J2654"/>
  <c r="L2653"/>
  <c r="J2653"/>
  <c r="L2652"/>
  <c r="J2652"/>
  <c r="L2651"/>
  <c r="J2651"/>
  <c r="L2650"/>
  <c r="J2650"/>
  <c r="L2649"/>
  <c r="J2649"/>
  <c r="L2648"/>
  <c r="J2648"/>
  <c r="L2647"/>
  <c r="J2647"/>
  <c r="L2646"/>
  <c r="J2646"/>
  <c r="L2645"/>
  <c r="J2645"/>
  <c r="L2644"/>
  <c r="J2644"/>
  <c r="L2643"/>
  <c r="J2643"/>
  <c r="L2642"/>
  <c r="J2642"/>
  <c r="L2641"/>
  <c r="J2641"/>
  <c r="L2640"/>
  <c r="J2640"/>
  <c r="L2639"/>
  <c r="J2639"/>
  <c r="L2638"/>
  <c r="J2638"/>
  <c r="L2637"/>
  <c r="J2637"/>
  <c r="L2636"/>
  <c r="J2636"/>
  <c r="L2635"/>
  <c r="J2635"/>
  <c r="L2634"/>
  <c r="J2634"/>
  <c r="L2633"/>
  <c r="J2633"/>
  <c r="L2632"/>
  <c r="J2632"/>
  <c r="L2631"/>
  <c r="J2631"/>
  <c r="L2630"/>
  <c r="J2630"/>
  <c r="L2629"/>
  <c r="J2629"/>
  <c r="L2628"/>
  <c r="J2628"/>
  <c r="L2627"/>
  <c r="J2627"/>
  <c r="L2626"/>
  <c r="J2626"/>
  <c r="L2625"/>
  <c r="J2625"/>
  <c r="L2624"/>
  <c r="J2624"/>
  <c r="L2623"/>
  <c r="J2623"/>
  <c r="L2622"/>
  <c r="J2622"/>
  <c r="L2621"/>
  <c r="J2621"/>
  <c r="L2620"/>
  <c r="J2620"/>
  <c r="L2619"/>
  <c r="J2619"/>
  <c r="L2618"/>
  <c r="J2618"/>
  <c r="L2617"/>
  <c r="J2617"/>
  <c r="L2616"/>
  <c r="J2616"/>
  <c r="L2615"/>
  <c r="J2615"/>
  <c r="L2614"/>
  <c r="J2614"/>
  <c r="L2613"/>
  <c r="J2613"/>
  <c r="L2612"/>
  <c r="J2612"/>
  <c r="L2611"/>
  <c r="J2611"/>
  <c r="L2610"/>
  <c r="J2610"/>
  <c r="L2609"/>
  <c r="J2609"/>
  <c r="L2608"/>
  <c r="J2608"/>
  <c r="L2607"/>
  <c r="J2607"/>
  <c r="L2606"/>
  <c r="J2606"/>
  <c r="L2605"/>
  <c r="J2605"/>
  <c r="L2604"/>
  <c r="J2604"/>
  <c r="L2603"/>
  <c r="J2603"/>
  <c r="L2602"/>
  <c r="J2602"/>
  <c r="L2601"/>
  <c r="J2601"/>
  <c r="L2600"/>
  <c r="J2600"/>
  <c r="L2599"/>
  <c r="J2599"/>
  <c r="L2598"/>
  <c r="J2598"/>
  <c r="L2597"/>
  <c r="J2597"/>
  <c r="L2596"/>
  <c r="J2596"/>
  <c r="L2595"/>
  <c r="J2595"/>
  <c r="L2594"/>
  <c r="J2594"/>
  <c r="L2593"/>
  <c r="J2593"/>
  <c r="L2592"/>
  <c r="J2592"/>
  <c r="L2591"/>
  <c r="J2591"/>
  <c r="L2590"/>
  <c r="J2590"/>
  <c r="L2589"/>
  <c r="J2589"/>
  <c r="L2588"/>
  <c r="J2588"/>
  <c r="L2587"/>
  <c r="J2587"/>
  <c r="L2586"/>
  <c r="J2586"/>
  <c r="L2585"/>
  <c r="J2585"/>
  <c r="L2584"/>
  <c r="J2584"/>
  <c r="L2583"/>
  <c r="J2583"/>
  <c r="L2582"/>
  <c r="J2582"/>
  <c r="L2581"/>
  <c r="J2581"/>
  <c r="L2580"/>
  <c r="J2580"/>
  <c r="L2579"/>
  <c r="J2579"/>
  <c r="L2578"/>
  <c r="J2578"/>
  <c r="L2577"/>
  <c r="J2577"/>
  <c r="L2576"/>
  <c r="J2576"/>
  <c r="L2575"/>
  <c r="J2575"/>
  <c r="L2574"/>
  <c r="J2574"/>
  <c r="L2573"/>
  <c r="J2573"/>
  <c r="L2572"/>
  <c r="J2572"/>
  <c r="L2571"/>
  <c r="J2571"/>
  <c r="L2570"/>
  <c r="J2570"/>
  <c r="L2569"/>
  <c r="J2569"/>
  <c r="L2568"/>
  <c r="J2568"/>
  <c r="L2567"/>
  <c r="J2567"/>
  <c r="L2566"/>
  <c r="J2566"/>
  <c r="L2565"/>
  <c r="J2565"/>
  <c r="L2564"/>
  <c r="J2564"/>
  <c r="L2563"/>
  <c r="J2563"/>
  <c r="L2562"/>
  <c r="J2562"/>
  <c r="L2561"/>
  <c r="J2561"/>
  <c r="L2560"/>
  <c r="J2560"/>
  <c r="L2559"/>
  <c r="J2559"/>
  <c r="L2558"/>
  <c r="J2558"/>
  <c r="L2557"/>
  <c r="J2557"/>
  <c r="L2556"/>
  <c r="J2556"/>
  <c r="L2555"/>
  <c r="J2555"/>
  <c r="L2554"/>
  <c r="J2554"/>
  <c r="L2553"/>
  <c r="J2553"/>
  <c r="L2552"/>
  <c r="J2552"/>
  <c r="L2551"/>
  <c r="J2551"/>
  <c r="L2550"/>
  <c r="J2550"/>
  <c r="L2549"/>
  <c r="J2549"/>
  <c r="L2548"/>
  <c r="J2548"/>
  <c r="L2547"/>
  <c r="J2547"/>
  <c r="L2546"/>
  <c r="J2546"/>
  <c r="L2545"/>
  <c r="J2545"/>
  <c r="L2544"/>
  <c r="J2544"/>
  <c r="L2543"/>
  <c r="J2543"/>
  <c r="L2542"/>
  <c r="J2542"/>
  <c r="L2541"/>
  <c r="J2541"/>
  <c r="L2540"/>
  <c r="J2540"/>
  <c r="L2539"/>
  <c r="J2539"/>
  <c r="L2538"/>
  <c r="J2538"/>
  <c r="L2537"/>
  <c r="J2537"/>
  <c r="L2536"/>
  <c r="J2536"/>
  <c r="L2535"/>
  <c r="J2535"/>
  <c r="L2534"/>
  <c r="J2534"/>
  <c r="L2533"/>
  <c r="J2533"/>
  <c r="L2532"/>
  <c r="J2532"/>
  <c r="L2531"/>
  <c r="J2531"/>
  <c r="L2530"/>
  <c r="J2530"/>
  <c r="L2529"/>
  <c r="J2529"/>
  <c r="L2528"/>
  <c r="J2528"/>
  <c r="L2527"/>
  <c r="J2527"/>
  <c r="L2526"/>
  <c r="J2526"/>
  <c r="L2525"/>
  <c r="J2525"/>
  <c r="L2524"/>
  <c r="J2524"/>
  <c r="L2523"/>
  <c r="J2523"/>
  <c r="L2522"/>
  <c r="J2522"/>
  <c r="L2521"/>
  <c r="J2521"/>
  <c r="L2520"/>
  <c r="J2520"/>
  <c r="L2519"/>
  <c r="J2519"/>
  <c r="L2518"/>
  <c r="J2518"/>
  <c r="L2517"/>
  <c r="J2517"/>
  <c r="L2516"/>
  <c r="J2516"/>
  <c r="L2515"/>
  <c r="J2515"/>
  <c r="L2514"/>
  <c r="J2514"/>
  <c r="L2513"/>
  <c r="J2513"/>
  <c r="L2512"/>
  <c r="J2512"/>
  <c r="L2511"/>
  <c r="J2511"/>
  <c r="L2510"/>
  <c r="J2510"/>
  <c r="L2509"/>
  <c r="J2509"/>
  <c r="L2508"/>
  <c r="J2508"/>
  <c r="L2507"/>
  <c r="J2507"/>
  <c r="L2506"/>
  <c r="J2506"/>
  <c r="L2505"/>
  <c r="J2505"/>
  <c r="L2504"/>
  <c r="J2504"/>
  <c r="L2503"/>
  <c r="J2503"/>
  <c r="L2502"/>
  <c r="J2502"/>
  <c r="L2501"/>
  <c r="J2501"/>
  <c r="L2500"/>
  <c r="J2500"/>
  <c r="L2499"/>
  <c r="J2499"/>
  <c r="L2498"/>
  <c r="J2498"/>
  <c r="L2497"/>
  <c r="J2497"/>
  <c r="L2496"/>
  <c r="J2496"/>
  <c r="L2495"/>
  <c r="J2495"/>
  <c r="L2494"/>
  <c r="J2494"/>
  <c r="L2493"/>
  <c r="J2493"/>
  <c r="L2492"/>
  <c r="J2492"/>
  <c r="L2491"/>
  <c r="J2491"/>
  <c r="L2490"/>
  <c r="J2490"/>
  <c r="L2489"/>
  <c r="J2489"/>
  <c r="L2488"/>
  <c r="J2488"/>
  <c r="L2487"/>
  <c r="J2487"/>
  <c r="L2486"/>
  <c r="J2486"/>
  <c r="L2485"/>
  <c r="J2485"/>
  <c r="L2484"/>
  <c r="J2484"/>
  <c r="L2483"/>
  <c r="J2483"/>
  <c r="L2482"/>
  <c r="J2482"/>
  <c r="L2481"/>
  <c r="J2481"/>
  <c r="L2480"/>
  <c r="J2480"/>
  <c r="L2479"/>
  <c r="J2479"/>
  <c r="L2478"/>
  <c r="J2478"/>
  <c r="L2477"/>
  <c r="J2477"/>
  <c r="L2476"/>
  <c r="J2476"/>
  <c r="L2475"/>
  <c r="J2475"/>
  <c r="L2474"/>
  <c r="J2474"/>
  <c r="L2473"/>
  <c r="J2473"/>
  <c r="L2472"/>
  <c r="J2472"/>
  <c r="L2471"/>
  <c r="J2471"/>
  <c r="L2470"/>
  <c r="J2470"/>
  <c r="L2469"/>
  <c r="J2469"/>
  <c r="L2468"/>
  <c r="J2468"/>
  <c r="L2467"/>
  <c r="J2467"/>
  <c r="L2466"/>
  <c r="J2466"/>
  <c r="L2465"/>
  <c r="J2465"/>
  <c r="L2464"/>
  <c r="J2464"/>
  <c r="L2463"/>
  <c r="J2463"/>
  <c r="L2462"/>
  <c r="J2462"/>
  <c r="L2461"/>
  <c r="J2461"/>
  <c r="L2460"/>
  <c r="J2460"/>
  <c r="L2459"/>
  <c r="J2459"/>
  <c r="L2458"/>
  <c r="J2458"/>
  <c r="L2457"/>
  <c r="J2457"/>
  <c r="L2456"/>
  <c r="J2456"/>
  <c r="L2455"/>
  <c r="J2455"/>
  <c r="L2454"/>
  <c r="J2454"/>
  <c r="L2453"/>
  <c r="J2453"/>
  <c r="L2452"/>
  <c r="J2452"/>
  <c r="L2451"/>
  <c r="J2451"/>
  <c r="L2450"/>
  <c r="J2450"/>
  <c r="L2449"/>
  <c r="J2449"/>
  <c r="L2448"/>
  <c r="J2448"/>
  <c r="L2447"/>
  <c r="J2447"/>
  <c r="L2446"/>
  <c r="J2446"/>
  <c r="L2445"/>
  <c r="J2445"/>
  <c r="L2444"/>
  <c r="J2444"/>
  <c r="L2443"/>
  <c r="J2443"/>
  <c r="L2442"/>
  <c r="J2442"/>
  <c r="L2441"/>
  <c r="J2441"/>
  <c r="L2440"/>
  <c r="J2440"/>
  <c r="L2439"/>
  <c r="J2439"/>
  <c r="L2438"/>
  <c r="J2438"/>
  <c r="L2437"/>
  <c r="J2437"/>
  <c r="L2436"/>
  <c r="J2436"/>
  <c r="L2435"/>
  <c r="J2435"/>
  <c r="L2434"/>
  <c r="J2434"/>
  <c r="L2433"/>
  <c r="J2433"/>
  <c r="L2432"/>
  <c r="J2432"/>
  <c r="L2431"/>
  <c r="J2431"/>
  <c r="L2430"/>
  <c r="J2430"/>
  <c r="L2429"/>
  <c r="J2429"/>
  <c r="L2428"/>
  <c r="J2428"/>
  <c r="L2427"/>
  <c r="J2427"/>
  <c r="L2426"/>
  <c r="J2426"/>
  <c r="L2425"/>
  <c r="J2425"/>
  <c r="L2424"/>
  <c r="J2424"/>
  <c r="L2423"/>
  <c r="J2423"/>
  <c r="L2422"/>
  <c r="J2422"/>
  <c r="L2421"/>
  <c r="J2421"/>
  <c r="L2420"/>
  <c r="J2420"/>
  <c r="L2419"/>
  <c r="J2419"/>
  <c r="L2418"/>
  <c r="J2418"/>
  <c r="L2417"/>
  <c r="J2417"/>
  <c r="L2416"/>
  <c r="J2416"/>
  <c r="L2415"/>
  <c r="J2415"/>
  <c r="L2414"/>
  <c r="J2414"/>
  <c r="L2413"/>
  <c r="J2413"/>
  <c r="L2412"/>
  <c r="J2412"/>
  <c r="L2411"/>
  <c r="J2411"/>
  <c r="L2410"/>
  <c r="J2410"/>
  <c r="L2409"/>
  <c r="J2409"/>
  <c r="L2408"/>
  <c r="J2408"/>
  <c r="L2407"/>
  <c r="J2407"/>
  <c r="L2406"/>
  <c r="J2406"/>
  <c r="L2405"/>
  <c r="J2405"/>
  <c r="L2404"/>
  <c r="J2404"/>
  <c r="L2403"/>
  <c r="J2403"/>
  <c r="L2402"/>
  <c r="J2402"/>
  <c r="L2401"/>
  <c r="J2401"/>
  <c r="L2400"/>
  <c r="J2400"/>
  <c r="L2399"/>
  <c r="J2399"/>
  <c r="L2398"/>
  <c r="J2398"/>
  <c r="L2397"/>
  <c r="J2397"/>
  <c r="L2396"/>
  <c r="J2396"/>
  <c r="L2395"/>
  <c r="J2395"/>
  <c r="L2394"/>
  <c r="J2394"/>
  <c r="L2393"/>
  <c r="J2393"/>
  <c r="L2392"/>
  <c r="J2392"/>
  <c r="L2391"/>
  <c r="J2391"/>
  <c r="L2390"/>
  <c r="J2390"/>
  <c r="L2389"/>
  <c r="J2389"/>
  <c r="L2388"/>
  <c r="J2388"/>
  <c r="L2387"/>
  <c r="J2387"/>
  <c r="L2386"/>
  <c r="J2386"/>
  <c r="L2385"/>
  <c r="J2385"/>
  <c r="L2384"/>
  <c r="J2384"/>
  <c r="L2383"/>
  <c r="J2383"/>
  <c r="L2382"/>
  <c r="J2382"/>
  <c r="L2381"/>
  <c r="J2381"/>
  <c r="L2380"/>
  <c r="J2380"/>
  <c r="L2379"/>
  <c r="J2379"/>
  <c r="L2378"/>
  <c r="J2378"/>
  <c r="L2377"/>
  <c r="J2377"/>
  <c r="L2376"/>
  <c r="J2376"/>
  <c r="L2375"/>
  <c r="J2375"/>
  <c r="L2374"/>
  <c r="J2374"/>
  <c r="L2373"/>
  <c r="J2373"/>
  <c r="L2372"/>
  <c r="J2372"/>
  <c r="L2371"/>
  <c r="J2371"/>
  <c r="L2370"/>
  <c r="J2370"/>
  <c r="L2369"/>
  <c r="J2369"/>
  <c r="L2368"/>
  <c r="J2368"/>
  <c r="L2367"/>
  <c r="J2367"/>
  <c r="L2366"/>
  <c r="J2366"/>
  <c r="L2365"/>
  <c r="J2365"/>
  <c r="L2364"/>
  <c r="J2364"/>
  <c r="L2363"/>
  <c r="J2363"/>
  <c r="L2362"/>
  <c r="J2362"/>
  <c r="L2361"/>
  <c r="J2361"/>
  <c r="L2360"/>
  <c r="J2360"/>
  <c r="L2359"/>
  <c r="J2359"/>
  <c r="L2358"/>
  <c r="J2358"/>
  <c r="L2357"/>
  <c r="J2357"/>
  <c r="L2356"/>
  <c r="J2356"/>
  <c r="L2355"/>
  <c r="J2355"/>
  <c r="L2354"/>
  <c r="J2354"/>
  <c r="L2353"/>
  <c r="J2353"/>
  <c r="L2352"/>
  <c r="J2352"/>
  <c r="L2351"/>
  <c r="J2351"/>
  <c r="L2350"/>
  <c r="J2350"/>
  <c r="L2349"/>
  <c r="J2349"/>
  <c r="L2348"/>
  <c r="J2348"/>
  <c r="L2347"/>
  <c r="J2347"/>
  <c r="L2346"/>
  <c r="J2346"/>
  <c r="L2345"/>
  <c r="J2345"/>
  <c r="L2344"/>
  <c r="J2344"/>
  <c r="L2343"/>
  <c r="J2343"/>
  <c r="L2342"/>
  <c r="J2342"/>
  <c r="L2341"/>
  <c r="J2341"/>
  <c r="L2340"/>
  <c r="J2340"/>
  <c r="L2339"/>
  <c r="J2339"/>
  <c r="L2338"/>
  <c r="J2338"/>
  <c r="L2337"/>
  <c r="J2337"/>
  <c r="L2336"/>
  <c r="J2336"/>
  <c r="L2335"/>
  <c r="J2335"/>
  <c r="L2334"/>
  <c r="J2334"/>
  <c r="L2333"/>
  <c r="J2333"/>
  <c r="L2332"/>
  <c r="J2332"/>
  <c r="L2331"/>
  <c r="J2331"/>
  <c r="L2330"/>
  <c r="J2330"/>
  <c r="L2329"/>
  <c r="J2329"/>
  <c r="L2328"/>
  <c r="J2328"/>
  <c r="L2327"/>
  <c r="J2327"/>
  <c r="L2326"/>
  <c r="J2326"/>
  <c r="L2325"/>
  <c r="J2325"/>
  <c r="L2324"/>
  <c r="J2324"/>
  <c r="L2323"/>
  <c r="J2323"/>
  <c r="L2322"/>
  <c r="J2322"/>
  <c r="L2321"/>
  <c r="J2321"/>
  <c r="L2320"/>
  <c r="J2320"/>
  <c r="L2319"/>
  <c r="J2319"/>
  <c r="L2318"/>
  <c r="J2318"/>
  <c r="L2317"/>
  <c r="J2317"/>
  <c r="L2316"/>
  <c r="J2316"/>
  <c r="L2315"/>
  <c r="J2315"/>
  <c r="L2314"/>
  <c r="J2314"/>
  <c r="L2313"/>
  <c r="J2313"/>
  <c r="L2312"/>
  <c r="J2312"/>
  <c r="L2311"/>
  <c r="J2311"/>
  <c r="L2310"/>
  <c r="J2310"/>
  <c r="L2309"/>
  <c r="J2309"/>
  <c r="L2308"/>
  <c r="J2308"/>
  <c r="L2307"/>
  <c r="J2307"/>
  <c r="L2306"/>
  <c r="J2306"/>
  <c r="L2305"/>
  <c r="J2305"/>
  <c r="L2304"/>
  <c r="J2304"/>
  <c r="L2303"/>
  <c r="J2303"/>
  <c r="L2302"/>
  <c r="J2302"/>
  <c r="L2301"/>
  <c r="J2301"/>
  <c r="L2300"/>
  <c r="J2300"/>
  <c r="L2299"/>
  <c r="J2299"/>
  <c r="L2298"/>
  <c r="J2298"/>
  <c r="L2297"/>
  <c r="J2297"/>
  <c r="L2296"/>
  <c r="J2296"/>
  <c r="L2295"/>
  <c r="J2295"/>
  <c r="L2294"/>
  <c r="J2294"/>
  <c r="L2293"/>
  <c r="J2293"/>
  <c r="L2292"/>
  <c r="J2292"/>
  <c r="L2291"/>
  <c r="J2291"/>
  <c r="L2290"/>
  <c r="J2290"/>
  <c r="L2289"/>
  <c r="J2289"/>
  <c r="L2288"/>
  <c r="J2288"/>
  <c r="L2287"/>
  <c r="J2287"/>
  <c r="L2286"/>
  <c r="J2286"/>
  <c r="L2285"/>
  <c r="J2285"/>
  <c r="L2284"/>
  <c r="J2284"/>
  <c r="L2283"/>
  <c r="J2283"/>
  <c r="L2282"/>
  <c r="J2282"/>
  <c r="L2281"/>
  <c r="J2281"/>
  <c r="L2280"/>
  <c r="J2280"/>
  <c r="L2279"/>
  <c r="J2279"/>
  <c r="L2278"/>
  <c r="J2278"/>
  <c r="L2277"/>
  <c r="J2277"/>
  <c r="L2276"/>
  <c r="J2276"/>
  <c r="L2275"/>
  <c r="J2275"/>
  <c r="L2274"/>
  <c r="J2274"/>
  <c r="L2273"/>
  <c r="J2273"/>
  <c r="L2272"/>
  <c r="J2272"/>
  <c r="L2271"/>
  <c r="J2271"/>
  <c r="L2270"/>
  <c r="J2270"/>
  <c r="L2269"/>
  <c r="J2269"/>
  <c r="L2268"/>
  <c r="J2268"/>
  <c r="L2267"/>
  <c r="J2267"/>
  <c r="L2266"/>
  <c r="J2266"/>
  <c r="L2265"/>
  <c r="J2265"/>
  <c r="L2264"/>
  <c r="J2264"/>
  <c r="L2263"/>
  <c r="J2263"/>
  <c r="L2262"/>
  <c r="J2262"/>
  <c r="L2261"/>
  <c r="J2261"/>
  <c r="L2260"/>
  <c r="J2260"/>
  <c r="L2259"/>
  <c r="J2259"/>
  <c r="L2258"/>
  <c r="J2258"/>
  <c r="L2257"/>
  <c r="J2257"/>
  <c r="L2256"/>
  <c r="J2256"/>
  <c r="L2255"/>
  <c r="J2255"/>
  <c r="L2254"/>
  <c r="J2254"/>
  <c r="L2253"/>
  <c r="J2253"/>
  <c r="L2252"/>
  <c r="J2252"/>
  <c r="L2251"/>
  <c r="J2251"/>
  <c r="L2250"/>
  <c r="J2250"/>
  <c r="L2249"/>
  <c r="J2249"/>
  <c r="L2248"/>
  <c r="J2248"/>
  <c r="L2247"/>
  <c r="J2247"/>
  <c r="L2246"/>
  <c r="J2246"/>
  <c r="L2245"/>
  <c r="J2245"/>
  <c r="L2244"/>
  <c r="J2244"/>
  <c r="L2243"/>
  <c r="J2243"/>
  <c r="L2242"/>
  <c r="J2242"/>
  <c r="L2241"/>
  <c r="J2241"/>
  <c r="L2240"/>
  <c r="J2240"/>
  <c r="L2239"/>
  <c r="J2239"/>
  <c r="L2238"/>
  <c r="J2238"/>
  <c r="L2237"/>
  <c r="J2237"/>
  <c r="L2236"/>
  <c r="J2236"/>
  <c r="L2235"/>
  <c r="J2235"/>
  <c r="L2234"/>
  <c r="J2234"/>
  <c r="L2233"/>
  <c r="J2233"/>
  <c r="L2232"/>
  <c r="J2232"/>
  <c r="L2231"/>
  <c r="J2231"/>
  <c r="L2230"/>
  <c r="J2230"/>
  <c r="L2229"/>
  <c r="J2229"/>
  <c r="L2228"/>
  <c r="J2228"/>
  <c r="L2227"/>
  <c r="J2227"/>
  <c r="L2226"/>
  <c r="J2226"/>
  <c r="L2225"/>
  <c r="J2225"/>
  <c r="L2224"/>
  <c r="J2224"/>
  <c r="L2223"/>
  <c r="J2223"/>
  <c r="L2222"/>
  <c r="J2222"/>
  <c r="L2221"/>
  <c r="J2221"/>
  <c r="L2220"/>
  <c r="J2220"/>
  <c r="L2219"/>
  <c r="J2219"/>
  <c r="L2218"/>
  <c r="J2218"/>
  <c r="L2217"/>
  <c r="J2217"/>
  <c r="L2216"/>
  <c r="J2216"/>
  <c r="L2215"/>
  <c r="J2215"/>
  <c r="L2214"/>
  <c r="J2214"/>
  <c r="L2213"/>
  <c r="J2213"/>
  <c r="L2212"/>
  <c r="J2212"/>
  <c r="L2211"/>
  <c r="J2211"/>
  <c r="L2210"/>
  <c r="J2210"/>
  <c r="L2209"/>
  <c r="J2209"/>
  <c r="L2208"/>
  <c r="J2208"/>
  <c r="L2207"/>
  <c r="J2207"/>
  <c r="L2206"/>
  <c r="J2206"/>
  <c r="L2205"/>
  <c r="J2205"/>
  <c r="L2204"/>
  <c r="J2204"/>
  <c r="L2203"/>
  <c r="J2203"/>
  <c r="L2202"/>
  <c r="J2202"/>
  <c r="L2201"/>
  <c r="J2201"/>
  <c r="L2200"/>
  <c r="J2200"/>
  <c r="L2199"/>
  <c r="J2199"/>
  <c r="L2198"/>
  <c r="J2198"/>
  <c r="L2197"/>
  <c r="J2197"/>
  <c r="L2196"/>
  <c r="J2196"/>
  <c r="L2195"/>
  <c r="J2195"/>
  <c r="L2194"/>
  <c r="J2194"/>
  <c r="L2193"/>
  <c r="J2193"/>
  <c r="L2192"/>
  <c r="J2192"/>
  <c r="L2191"/>
  <c r="J2191"/>
  <c r="L2190"/>
  <c r="J2190"/>
  <c r="L2189"/>
  <c r="J2189"/>
  <c r="L2188"/>
  <c r="J2188"/>
  <c r="L2187"/>
  <c r="J2187"/>
  <c r="L2186"/>
  <c r="J2186"/>
  <c r="L2185"/>
  <c r="J2185"/>
  <c r="L2184"/>
  <c r="J2184"/>
  <c r="L2183"/>
  <c r="J2183"/>
  <c r="L2182"/>
  <c r="J2182"/>
  <c r="L2181"/>
  <c r="J2181"/>
  <c r="L2180"/>
  <c r="J2180"/>
  <c r="L2179"/>
  <c r="J2179"/>
  <c r="L2178"/>
  <c r="J2178"/>
  <c r="L2177"/>
  <c r="J2177"/>
  <c r="L2176"/>
  <c r="J2176"/>
  <c r="L2175"/>
  <c r="J2175"/>
  <c r="L2174"/>
  <c r="J2174"/>
  <c r="L2173"/>
  <c r="J2173"/>
  <c r="L2172"/>
  <c r="J2172"/>
  <c r="L2171"/>
  <c r="J2171"/>
  <c r="L2170"/>
  <c r="J2170"/>
  <c r="L2169"/>
  <c r="J2169"/>
  <c r="L2168"/>
  <c r="J2168"/>
  <c r="L2167"/>
  <c r="J2167"/>
  <c r="L2166"/>
  <c r="J2166"/>
  <c r="L2165"/>
  <c r="J2165"/>
  <c r="L2164"/>
  <c r="J2164"/>
  <c r="L2163"/>
  <c r="J2163"/>
  <c r="L2162"/>
  <c r="J2162"/>
  <c r="L2161"/>
  <c r="J2161"/>
  <c r="L2160"/>
  <c r="J2160"/>
  <c r="L2159"/>
  <c r="J2159"/>
  <c r="L2158"/>
  <c r="J2158"/>
  <c r="L2157"/>
  <c r="J2157"/>
  <c r="L2156"/>
  <c r="J2156"/>
  <c r="L2155"/>
  <c r="J2155"/>
  <c r="L2154"/>
  <c r="J2154"/>
  <c r="L2153"/>
  <c r="J2153"/>
  <c r="L2152"/>
  <c r="J2152"/>
  <c r="L2151"/>
  <c r="J2151"/>
  <c r="L2150"/>
  <c r="J2150"/>
  <c r="L2149"/>
  <c r="J2149"/>
  <c r="L2148"/>
  <c r="J2148"/>
  <c r="L2147"/>
  <c r="J2147"/>
  <c r="L2146"/>
  <c r="J2146"/>
  <c r="L2145"/>
  <c r="J2145"/>
  <c r="L2144"/>
  <c r="J2144"/>
  <c r="L2143"/>
  <c r="J2143"/>
  <c r="L2142"/>
  <c r="J2142"/>
  <c r="L2141"/>
  <c r="J2141"/>
  <c r="L2140"/>
  <c r="J2140"/>
  <c r="L2139"/>
  <c r="J2139"/>
  <c r="L2138"/>
  <c r="J2138"/>
  <c r="L2137"/>
  <c r="J2137"/>
  <c r="L2136"/>
  <c r="J2136"/>
  <c r="L2135"/>
  <c r="J2135"/>
  <c r="L2134"/>
  <c r="J2134"/>
  <c r="L2133"/>
  <c r="J2133"/>
  <c r="L2132"/>
  <c r="J2132"/>
  <c r="L2131"/>
  <c r="J2131"/>
  <c r="L2130"/>
  <c r="J2130"/>
  <c r="L2129"/>
  <c r="J2129"/>
  <c r="L2128"/>
  <c r="J2128"/>
  <c r="L2127"/>
  <c r="J2127"/>
  <c r="L2126"/>
  <c r="J2126"/>
  <c r="L2125"/>
  <c r="J2125"/>
  <c r="L2124"/>
  <c r="J2124"/>
  <c r="L2123"/>
  <c r="J2123"/>
  <c r="L2122"/>
  <c r="J2122"/>
  <c r="L2121"/>
  <c r="J2121"/>
  <c r="L2120"/>
  <c r="J2120"/>
  <c r="L2119"/>
  <c r="J2119"/>
  <c r="L2118"/>
  <c r="J2118"/>
  <c r="L2117"/>
  <c r="J2117"/>
  <c r="L2116"/>
  <c r="J2116"/>
  <c r="L2115"/>
  <c r="J2115"/>
  <c r="L2114"/>
  <c r="J2114"/>
  <c r="L2113"/>
  <c r="J2113"/>
  <c r="L2112"/>
  <c r="J2112"/>
  <c r="L2111"/>
  <c r="J2111"/>
  <c r="L2110"/>
  <c r="J2110"/>
  <c r="L2109"/>
  <c r="J2109"/>
  <c r="L2108"/>
  <c r="J2108"/>
  <c r="L2107"/>
  <c r="J2107"/>
  <c r="L2106"/>
  <c r="J2106"/>
  <c r="L2105"/>
  <c r="J2105"/>
  <c r="L2104"/>
  <c r="J2104"/>
  <c r="L2103"/>
  <c r="J2103"/>
  <c r="L2102"/>
  <c r="J2102"/>
  <c r="L2101"/>
  <c r="J2101"/>
  <c r="L2100"/>
  <c r="J2100"/>
  <c r="L2099"/>
  <c r="J2099"/>
  <c r="L2098"/>
  <c r="J2098"/>
  <c r="L2097"/>
  <c r="J2097"/>
  <c r="L2096"/>
  <c r="J2096"/>
  <c r="L2095"/>
  <c r="J2095"/>
  <c r="L2094"/>
  <c r="J2094"/>
  <c r="L2093"/>
  <c r="J2093"/>
  <c r="L2092"/>
  <c r="J2092"/>
  <c r="L2091"/>
  <c r="J2091"/>
  <c r="L2090"/>
  <c r="J2090"/>
  <c r="L2089"/>
  <c r="J2089"/>
  <c r="L2088"/>
  <c r="J2088"/>
  <c r="L2087"/>
  <c r="J2087"/>
  <c r="L2086"/>
  <c r="J2086"/>
  <c r="L2085"/>
  <c r="J2085"/>
  <c r="L2084"/>
  <c r="J2084"/>
  <c r="L2083"/>
  <c r="J2083"/>
  <c r="L2082"/>
  <c r="J2082"/>
  <c r="L2081"/>
  <c r="J2081"/>
  <c r="L2080"/>
  <c r="J2080"/>
  <c r="L2079"/>
  <c r="J2079"/>
  <c r="L2078"/>
  <c r="J2078"/>
  <c r="L2077"/>
  <c r="J2077"/>
  <c r="L2076"/>
  <c r="J2076"/>
  <c r="L2075"/>
  <c r="J2075"/>
  <c r="L2074"/>
  <c r="J2074"/>
  <c r="L2073"/>
  <c r="J2073"/>
  <c r="L2072"/>
  <c r="J2072"/>
  <c r="L2071"/>
  <c r="J2071"/>
  <c r="L2070"/>
  <c r="J2070"/>
  <c r="L2069"/>
  <c r="J2069"/>
  <c r="L2068"/>
  <c r="J2068"/>
  <c r="L2067"/>
  <c r="J2067"/>
  <c r="L2066"/>
  <c r="J2066"/>
  <c r="L2065"/>
  <c r="J2065"/>
  <c r="L2064"/>
  <c r="J2064"/>
  <c r="L2063"/>
  <c r="J2063"/>
  <c r="L2062"/>
  <c r="J2062"/>
  <c r="L2061"/>
  <c r="J2061"/>
  <c r="L2060"/>
  <c r="J2060"/>
  <c r="L2059"/>
  <c r="J2059"/>
  <c r="L2058"/>
  <c r="J2058"/>
  <c r="L2057"/>
  <c r="J2057"/>
  <c r="L2056"/>
  <c r="J2056"/>
  <c r="L2055"/>
  <c r="J2055"/>
  <c r="L2054"/>
  <c r="J2054"/>
  <c r="L2053"/>
  <c r="J2053"/>
  <c r="L2052"/>
  <c r="J2052"/>
  <c r="L2051"/>
  <c r="J2051"/>
  <c r="L2050"/>
  <c r="J2050"/>
  <c r="L2049"/>
  <c r="J2049"/>
  <c r="L2048"/>
  <c r="J2048"/>
  <c r="L2047"/>
  <c r="J2047"/>
  <c r="L2046"/>
  <c r="J2046"/>
  <c r="L2045"/>
  <c r="J2045"/>
  <c r="L2044"/>
  <c r="J2044"/>
  <c r="L2043"/>
  <c r="J2043"/>
  <c r="L2042"/>
  <c r="J2042"/>
  <c r="L2041"/>
  <c r="J2041"/>
  <c r="L2040"/>
  <c r="J2040"/>
  <c r="L2039"/>
  <c r="J2039"/>
  <c r="L2038"/>
  <c r="J2038"/>
  <c r="L2037"/>
  <c r="J2037"/>
  <c r="L2036"/>
  <c r="J2036"/>
  <c r="L2035"/>
  <c r="J2035"/>
  <c r="L2034"/>
  <c r="J2034"/>
  <c r="L2033"/>
  <c r="J2033"/>
  <c r="L2032"/>
  <c r="J2032"/>
  <c r="L2031"/>
  <c r="J2031"/>
  <c r="L2030"/>
  <c r="J2030"/>
  <c r="L2029"/>
  <c r="J2029"/>
  <c r="L2028"/>
  <c r="J2028"/>
  <c r="L2027"/>
  <c r="J2027"/>
  <c r="L2026"/>
  <c r="J2026"/>
  <c r="L2025"/>
  <c r="J2025"/>
  <c r="L2024"/>
  <c r="J2024"/>
  <c r="L2023"/>
  <c r="J2023"/>
  <c r="L2022"/>
  <c r="J2022"/>
  <c r="L2021"/>
  <c r="J2021"/>
  <c r="L2020"/>
  <c r="J2020"/>
  <c r="L2019"/>
  <c r="J2019"/>
  <c r="L2018"/>
  <c r="J2018"/>
  <c r="L2017"/>
  <c r="J2017"/>
  <c r="L2016"/>
  <c r="J2016"/>
  <c r="L2015"/>
  <c r="J2015"/>
  <c r="L2014"/>
  <c r="J2014"/>
  <c r="L2013"/>
  <c r="J2013"/>
  <c r="L2012"/>
  <c r="J2012"/>
  <c r="L2011"/>
  <c r="J2011"/>
  <c r="L2010"/>
  <c r="J2010"/>
  <c r="L2009"/>
  <c r="J2009"/>
  <c r="L2008"/>
  <c r="J2008"/>
  <c r="L2007"/>
  <c r="J2007"/>
  <c r="L2006"/>
  <c r="J2006"/>
  <c r="L2005"/>
  <c r="J2005"/>
  <c r="L2004"/>
  <c r="J2004"/>
  <c r="L2003"/>
  <c r="J2003"/>
  <c r="L2002"/>
  <c r="J2002"/>
  <c r="L2001"/>
  <c r="J2001"/>
  <c r="L2000"/>
  <c r="J2000"/>
  <c r="L1999"/>
  <c r="J1999"/>
  <c r="L1998"/>
  <c r="J1998"/>
  <c r="L1997"/>
  <c r="J1997"/>
  <c r="L1996"/>
  <c r="J1996"/>
  <c r="L1995"/>
  <c r="J1995"/>
  <c r="L1994"/>
  <c r="J1994"/>
  <c r="L1993"/>
  <c r="J1993"/>
  <c r="L1992"/>
  <c r="J1992"/>
  <c r="L1991"/>
  <c r="J1991"/>
  <c r="L1990"/>
  <c r="J1990"/>
  <c r="L1989"/>
  <c r="J1989"/>
  <c r="L1988"/>
  <c r="J1988"/>
  <c r="L1987"/>
  <c r="J1987"/>
  <c r="L1986"/>
  <c r="J1986"/>
  <c r="L1985"/>
  <c r="J1985"/>
  <c r="L1984"/>
  <c r="J1984"/>
  <c r="L1983"/>
  <c r="J1983"/>
  <c r="L1982"/>
  <c r="J1982"/>
  <c r="L1981"/>
  <c r="J1981"/>
  <c r="L1980"/>
  <c r="J1980"/>
  <c r="L1979"/>
  <c r="J1979"/>
  <c r="L1978"/>
  <c r="J1978"/>
  <c r="L1977"/>
  <c r="J1977"/>
  <c r="L1976"/>
  <c r="J1976"/>
  <c r="L1975"/>
  <c r="J1975"/>
  <c r="L1974"/>
  <c r="J1974"/>
  <c r="L1973"/>
  <c r="J1973"/>
  <c r="L1972"/>
  <c r="J1972"/>
  <c r="L1971"/>
  <c r="J1971"/>
  <c r="L1970"/>
  <c r="J1970"/>
  <c r="L1969"/>
  <c r="J1969"/>
  <c r="L1968"/>
  <c r="J1968"/>
  <c r="L1967"/>
  <c r="J1967"/>
  <c r="L1966"/>
  <c r="J1966"/>
  <c r="L1965"/>
  <c r="J1965"/>
  <c r="L1964"/>
  <c r="J1964"/>
  <c r="L1963"/>
  <c r="J1963"/>
  <c r="L1962"/>
  <c r="J1962"/>
  <c r="L1961"/>
  <c r="J1961"/>
  <c r="L1960"/>
  <c r="J1960"/>
  <c r="L1959"/>
  <c r="J1959"/>
  <c r="L1958"/>
  <c r="J1958"/>
  <c r="L1957"/>
  <c r="J1957"/>
  <c r="L1956"/>
  <c r="J1956"/>
  <c r="L1955"/>
  <c r="J1955"/>
  <c r="L1954"/>
  <c r="J1954"/>
  <c r="L1953"/>
  <c r="J1953"/>
  <c r="L1952"/>
  <c r="J1952"/>
  <c r="L1951"/>
  <c r="J1951"/>
  <c r="L1950"/>
  <c r="J1950"/>
  <c r="L1949"/>
  <c r="J1949"/>
  <c r="L1948"/>
  <c r="J1948"/>
  <c r="L1947"/>
  <c r="J1947"/>
  <c r="L1946"/>
  <c r="J1946"/>
  <c r="L1945"/>
  <c r="J1945"/>
  <c r="L1944"/>
  <c r="J1944"/>
  <c r="L1943"/>
  <c r="J1943"/>
  <c r="L1942"/>
  <c r="J1942"/>
  <c r="L1941"/>
  <c r="J1941"/>
  <c r="L1940"/>
  <c r="J1940"/>
  <c r="L1939"/>
  <c r="J1939"/>
  <c r="L1938"/>
  <c r="J1938"/>
  <c r="L1937"/>
  <c r="J1937"/>
  <c r="L1936"/>
  <c r="J1936"/>
  <c r="L1935"/>
  <c r="J1935"/>
  <c r="L1934"/>
  <c r="J1934"/>
  <c r="L1933"/>
  <c r="J1933"/>
  <c r="L1932"/>
  <c r="J1932"/>
  <c r="L1931"/>
  <c r="J1931"/>
  <c r="L1930"/>
  <c r="J1930"/>
  <c r="L1929"/>
  <c r="J1929"/>
  <c r="L1928"/>
  <c r="J1928"/>
  <c r="L1927"/>
  <c r="J1927"/>
  <c r="L1926"/>
  <c r="J1926"/>
  <c r="L1925"/>
  <c r="J1925"/>
  <c r="L1924"/>
  <c r="J1924"/>
  <c r="L1923"/>
  <c r="J1923"/>
  <c r="L1922"/>
  <c r="J1922"/>
  <c r="L1921"/>
  <c r="J1921"/>
  <c r="L1920"/>
  <c r="J1920"/>
  <c r="L1919"/>
  <c r="J1919"/>
  <c r="L1918"/>
  <c r="J1918"/>
  <c r="L1917"/>
  <c r="J1917"/>
  <c r="L1916"/>
  <c r="J1916"/>
  <c r="L1915"/>
  <c r="J1915"/>
  <c r="L1914"/>
  <c r="J1914"/>
  <c r="L1913"/>
  <c r="J1913"/>
  <c r="L1912"/>
  <c r="J1912"/>
  <c r="L1911"/>
  <c r="J1911"/>
  <c r="L1910"/>
  <c r="J1910"/>
  <c r="L1909"/>
  <c r="J1909"/>
  <c r="L1908"/>
  <c r="J1908"/>
  <c r="L1907"/>
  <c r="J1907"/>
  <c r="L1906"/>
  <c r="J1906"/>
  <c r="L1905"/>
  <c r="J1905"/>
  <c r="L1904"/>
  <c r="J1904"/>
  <c r="L1903"/>
  <c r="J1903"/>
  <c r="L1902"/>
  <c r="J1902"/>
  <c r="L1901"/>
  <c r="J1901"/>
  <c r="L1900"/>
  <c r="J1900"/>
  <c r="L1899"/>
  <c r="J1899"/>
  <c r="L1898"/>
  <c r="J1898"/>
  <c r="L1897"/>
  <c r="J1897"/>
  <c r="L1896"/>
  <c r="J1896"/>
  <c r="L1895"/>
  <c r="J1895"/>
  <c r="L1894"/>
  <c r="J1894"/>
  <c r="L1893"/>
  <c r="J1893"/>
  <c r="L1892"/>
  <c r="J1892"/>
  <c r="L1891"/>
  <c r="J1891"/>
  <c r="L1890"/>
  <c r="J1890"/>
  <c r="L1889"/>
  <c r="J1889"/>
  <c r="L1888"/>
  <c r="J1888"/>
  <c r="L1887"/>
  <c r="J1887"/>
  <c r="L1886"/>
  <c r="J1886"/>
  <c r="L1885"/>
  <c r="J1885"/>
  <c r="L1884"/>
  <c r="J1884"/>
  <c r="L1883"/>
  <c r="J1883"/>
  <c r="L1882"/>
  <c r="J1882"/>
  <c r="L1881"/>
  <c r="J1881"/>
  <c r="L1880"/>
  <c r="J1880"/>
  <c r="L1879"/>
  <c r="J1879"/>
  <c r="L1878"/>
  <c r="J1878"/>
  <c r="L1877"/>
  <c r="J1877"/>
  <c r="L1876"/>
  <c r="J1876"/>
  <c r="L1875"/>
  <c r="J1875"/>
  <c r="L1874"/>
  <c r="J1874"/>
  <c r="L1873"/>
  <c r="J1873"/>
  <c r="L1872"/>
  <c r="J1872"/>
  <c r="L1871"/>
  <c r="J1871"/>
  <c r="L1870"/>
  <c r="J1870"/>
  <c r="L1869"/>
  <c r="J1869"/>
  <c r="L1868"/>
  <c r="J1868"/>
  <c r="L1867"/>
  <c r="J1867"/>
  <c r="L1866"/>
  <c r="J1866"/>
  <c r="L1865"/>
  <c r="J1865"/>
  <c r="L1864"/>
  <c r="J1864"/>
  <c r="L1863"/>
  <c r="J1863"/>
  <c r="L1862"/>
  <c r="J1862"/>
  <c r="L1861"/>
  <c r="J1861"/>
  <c r="L1860"/>
  <c r="J1860"/>
  <c r="L1859"/>
  <c r="J1859"/>
  <c r="L1858"/>
  <c r="J1858"/>
  <c r="L1857"/>
  <c r="J1857"/>
  <c r="L1856"/>
  <c r="J1856"/>
  <c r="L1855"/>
  <c r="J1855"/>
  <c r="L1854"/>
  <c r="J1854"/>
  <c r="L1853"/>
  <c r="J1853"/>
  <c r="L1852"/>
  <c r="J1852"/>
  <c r="L1851"/>
  <c r="J1851"/>
  <c r="L1850"/>
  <c r="J1850"/>
  <c r="L1849"/>
  <c r="J1849"/>
  <c r="L1848"/>
  <c r="J1848"/>
  <c r="L1847"/>
  <c r="J1847"/>
  <c r="L1846"/>
  <c r="J1846"/>
  <c r="L1845"/>
  <c r="J1845"/>
  <c r="L1844"/>
  <c r="J1844"/>
  <c r="L1843"/>
  <c r="J1843"/>
  <c r="L1842"/>
  <c r="J1842"/>
  <c r="L1841"/>
  <c r="J1841"/>
  <c r="L1840"/>
  <c r="J1840"/>
  <c r="L1839"/>
  <c r="J1839"/>
  <c r="L1838"/>
  <c r="J1838"/>
  <c r="L1837"/>
  <c r="J1837"/>
  <c r="L1836"/>
  <c r="J1836"/>
  <c r="L1835"/>
  <c r="J1835"/>
  <c r="L1834"/>
  <c r="J1834"/>
  <c r="L1833"/>
  <c r="J1833"/>
  <c r="L1832"/>
  <c r="J1832"/>
  <c r="L1831"/>
  <c r="J1831"/>
  <c r="L1830"/>
  <c r="J1830"/>
  <c r="L1829"/>
  <c r="J1829"/>
  <c r="L1828"/>
  <c r="J1828"/>
  <c r="L1827"/>
  <c r="J1827"/>
  <c r="L1826"/>
  <c r="J1826"/>
  <c r="L1825"/>
  <c r="J1825"/>
  <c r="L1824"/>
  <c r="J1824"/>
  <c r="L1823"/>
  <c r="J1823"/>
  <c r="L1822"/>
  <c r="J1822"/>
  <c r="L1821"/>
  <c r="J1821"/>
  <c r="L1820"/>
  <c r="J1820"/>
  <c r="L1819"/>
  <c r="J1819"/>
  <c r="L1818"/>
  <c r="J1818"/>
  <c r="L1817"/>
  <c r="J1817"/>
  <c r="L1816"/>
  <c r="J1816"/>
  <c r="L1815"/>
  <c r="J1815"/>
  <c r="L1814"/>
  <c r="J1814"/>
  <c r="L1813"/>
  <c r="J1813"/>
  <c r="L1812"/>
  <c r="J1812"/>
  <c r="L1811"/>
  <c r="J1811"/>
  <c r="L1810"/>
  <c r="J1810"/>
  <c r="L1809"/>
  <c r="J1809"/>
  <c r="L1808"/>
  <c r="J1808"/>
  <c r="L1807"/>
  <c r="J1807"/>
  <c r="L1806"/>
  <c r="J1806"/>
  <c r="L1805"/>
  <c r="J1805"/>
  <c r="L1804"/>
  <c r="J1804"/>
  <c r="L1803"/>
  <c r="J1803"/>
  <c r="L1802"/>
  <c r="J1802"/>
  <c r="L1801"/>
  <c r="J1801"/>
  <c r="L1800"/>
  <c r="J1800"/>
  <c r="L1799"/>
  <c r="J1799"/>
  <c r="L1798"/>
  <c r="J1798"/>
  <c r="L1797"/>
  <c r="J1797"/>
  <c r="L1796"/>
  <c r="J1796"/>
  <c r="L1795"/>
  <c r="J1795"/>
  <c r="L1794"/>
  <c r="J1794"/>
  <c r="L1793"/>
  <c r="J1793"/>
  <c r="L1792"/>
  <c r="J1792"/>
  <c r="L1791"/>
  <c r="J1791"/>
  <c r="L1790"/>
  <c r="J1790"/>
  <c r="L1789"/>
  <c r="J1789"/>
  <c r="L1788"/>
  <c r="J1788"/>
  <c r="L1787"/>
  <c r="J1787"/>
  <c r="L1786"/>
  <c r="J1786"/>
  <c r="L1785"/>
  <c r="J1785"/>
  <c r="L1784"/>
  <c r="J1784"/>
  <c r="L1783"/>
  <c r="J1783"/>
  <c r="L1782"/>
  <c r="J1782"/>
  <c r="L1781"/>
  <c r="J1781"/>
  <c r="L1780"/>
  <c r="J1780"/>
  <c r="L1779"/>
  <c r="J1779"/>
  <c r="L1778"/>
  <c r="J1778"/>
  <c r="L1777"/>
  <c r="J1777"/>
  <c r="L1776"/>
  <c r="J1776"/>
  <c r="L1775"/>
  <c r="J1775"/>
  <c r="L1774"/>
  <c r="J1774"/>
  <c r="L1773"/>
  <c r="J1773"/>
  <c r="L1772"/>
  <c r="J1772"/>
  <c r="L1771"/>
  <c r="J1771"/>
  <c r="L1770"/>
  <c r="J1770"/>
  <c r="L1769"/>
  <c r="J1769"/>
  <c r="L1768"/>
  <c r="J1768"/>
  <c r="L1767"/>
  <c r="J1767"/>
  <c r="L1766"/>
  <c r="J1766"/>
  <c r="L1765"/>
  <c r="J1765"/>
  <c r="L1764"/>
  <c r="J1764"/>
  <c r="L1763"/>
  <c r="J1763"/>
  <c r="L1762"/>
  <c r="J1762"/>
  <c r="L1761"/>
  <c r="J1761"/>
  <c r="L1760"/>
  <c r="J1760"/>
  <c r="L1759"/>
  <c r="J1759"/>
  <c r="L1758"/>
  <c r="J1758"/>
  <c r="L1757"/>
  <c r="J1757"/>
  <c r="L1756"/>
  <c r="J1756"/>
  <c r="L1755"/>
  <c r="J1755"/>
  <c r="L1754"/>
  <c r="J1754"/>
  <c r="L1753"/>
  <c r="J1753"/>
  <c r="L1752"/>
  <c r="J1752"/>
  <c r="L1751"/>
  <c r="J1751"/>
  <c r="L1750"/>
  <c r="J1750"/>
  <c r="L1749"/>
  <c r="J1749"/>
  <c r="L1748"/>
  <c r="J1748"/>
  <c r="L1747"/>
  <c r="J1747"/>
  <c r="L1746"/>
  <c r="J1746"/>
  <c r="L1745"/>
  <c r="J1745"/>
  <c r="L1744"/>
  <c r="J1744"/>
  <c r="L1743"/>
  <c r="J1743"/>
  <c r="L1742"/>
  <c r="J1742"/>
  <c r="L1741"/>
  <c r="J1741"/>
  <c r="L1740"/>
  <c r="J1740"/>
  <c r="L1739"/>
  <c r="J1739"/>
  <c r="L1738"/>
  <c r="J1738"/>
  <c r="L1737"/>
  <c r="J1737"/>
  <c r="L1736"/>
  <c r="J1736"/>
  <c r="L1735"/>
  <c r="J1735"/>
  <c r="L1734"/>
  <c r="J1734"/>
  <c r="L1733"/>
  <c r="J1733"/>
  <c r="L1732"/>
  <c r="J1732"/>
  <c r="L1731"/>
  <c r="J1731"/>
  <c r="L1730"/>
  <c r="J1730"/>
  <c r="L1729"/>
  <c r="J1729"/>
  <c r="L1728"/>
  <c r="J1728"/>
  <c r="L1727"/>
  <c r="J1727"/>
  <c r="L1726"/>
  <c r="J1726"/>
  <c r="L1725"/>
  <c r="J1725"/>
  <c r="L1724"/>
  <c r="J1724"/>
  <c r="L1723"/>
  <c r="J1723"/>
  <c r="L1722"/>
  <c r="J1722"/>
  <c r="L1721"/>
  <c r="J1721"/>
  <c r="L1720"/>
  <c r="J1720"/>
  <c r="L1719"/>
  <c r="J1719"/>
  <c r="L1718"/>
  <c r="J1718"/>
  <c r="L1717"/>
  <c r="J1717"/>
  <c r="L1716"/>
  <c r="J1716"/>
  <c r="L1715"/>
  <c r="J1715"/>
  <c r="L1714"/>
  <c r="J1714"/>
  <c r="L1713"/>
  <c r="J1713"/>
  <c r="L1712"/>
  <c r="J1712"/>
  <c r="L1711"/>
  <c r="J1711"/>
  <c r="L1710"/>
  <c r="J1710"/>
  <c r="L1709"/>
  <c r="J1709"/>
  <c r="L1708"/>
  <c r="J1708"/>
  <c r="L1707"/>
  <c r="J1707"/>
  <c r="L1706"/>
  <c r="J1706"/>
  <c r="L1705"/>
  <c r="J1705"/>
  <c r="L1704"/>
  <c r="J1704"/>
  <c r="L1703"/>
  <c r="J1703"/>
  <c r="L1702"/>
  <c r="J1702"/>
  <c r="L1701"/>
  <c r="J1701"/>
  <c r="L1700"/>
  <c r="J1700"/>
  <c r="L1699"/>
  <c r="J1699"/>
  <c r="L1698"/>
  <c r="J1698"/>
  <c r="L1697"/>
  <c r="J1697"/>
  <c r="L1696"/>
  <c r="J1696"/>
  <c r="L1695"/>
  <c r="J1695"/>
  <c r="L1694"/>
  <c r="J1694"/>
  <c r="L1693"/>
  <c r="J1693"/>
  <c r="L1692"/>
  <c r="J1692"/>
  <c r="L1691"/>
  <c r="J1691"/>
  <c r="L1690"/>
  <c r="J1690"/>
  <c r="L1689"/>
  <c r="J1689"/>
  <c r="L1688"/>
  <c r="J1688"/>
  <c r="L1687"/>
  <c r="J1687"/>
  <c r="L1686"/>
  <c r="J1686"/>
  <c r="L1685"/>
  <c r="J1685"/>
  <c r="L1684"/>
  <c r="J1684"/>
  <c r="L1683"/>
  <c r="J1683"/>
  <c r="L1682"/>
  <c r="J1682"/>
  <c r="L1681"/>
  <c r="J1681"/>
  <c r="L1680"/>
  <c r="J1680"/>
  <c r="L1679"/>
  <c r="J1679"/>
  <c r="L1678"/>
  <c r="J1678"/>
  <c r="L1677"/>
  <c r="J1677"/>
  <c r="L1676"/>
  <c r="J1676"/>
  <c r="L1675"/>
  <c r="J1675"/>
  <c r="L1674"/>
  <c r="J1674"/>
  <c r="L1673"/>
  <c r="J1673"/>
  <c r="L1672"/>
  <c r="J1672"/>
  <c r="L1671"/>
  <c r="J1671"/>
  <c r="L1670"/>
  <c r="J1670"/>
  <c r="L1669"/>
  <c r="J1669"/>
  <c r="L1668"/>
  <c r="J1668"/>
  <c r="L1667"/>
  <c r="J1667"/>
  <c r="L1666"/>
  <c r="J1666"/>
  <c r="L1665"/>
  <c r="J1665"/>
  <c r="L1664"/>
  <c r="J1664"/>
  <c r="L1663"/>
  <c r="J1663"/>
  <c r="L1662"/>
  <c r="J1662"/>
  <c r="L1661"/>
  <c r="J1661"/>
  <c r="L1660"/>
  <c r="J1660"/>
  <c r="L1659"/>
  <c r="J1659"/>
  <c r="L1658"/>
  <c r="J1658"/>
  <c r="L1657"/>
  <c r="J1657"/>
  <c r="L1656"/>
  <c r="J1656"/>
  <c r="L1655"/>
  <c r="J1655"/>
  <c r="L1654"/>
  <c r="J1654"/>
  <c r="L1653"/>
  <c r="J1653"/>
  <c r="L1652"/>
  <c r="J1652"/>
  <c r="L1651"/>
  <c r="J1651"/>
  <c r="L1650"/>
  <c r="J1650"/>
  <c r="L1649"/>
  <c r="J1649"/>
  <c r="L1648"/>
  <c r="J1648"/>
  <c r="L1647"/>
  <c r="J1647"/>
  <c r="L1646"/>
  <c r="J1646"/>
  <c r="L1645"/>
  <c r="J1645"/>
  <c r="L1644"/>
  <c r="J1644"/>
  <c r="L1643"/>
  <c r="J1643"/>
  <c r="L1642"/>
  <c r="J1642"/>
  <c r="L1641"/>
  <c r="J1641"/>
  <c r="L1640"/>
  <c r="J1640"/>
  <c r="L1639"/>
  <c r="J1639"/>
  <c r="L1638"/>
  <c r="J1638"/>
  <c r="L1637"/>
  <c r="J1637"/>
  <c r="L1636"/>
  <c r="J1636"/>
  <c r="L1635"/>
  <c r="J1635"/>
  <c r="L1634"/>
  <c r="J1634"/>
  <c r="L1633"/>
  <c r="J1633"/>
  <c r="L1632"/>
  <c r="J1632"/>
  <c r="L1631"/>
  <c r="J1631"/>
  <c r="L1630"/>
  <c r="J1630"/>
  <c r="L1629"/>
  <c r="J1629"/>
  <c r="L1628"/>
  <c r="J1628"/>
  <c r="L1627"/>
  <c r="J1627"/>
  <c r="L1626"/>
  <c r="J1626"/>
  <c r="L1625"/>
  <c r="J1625"/>
  <c r="L1624"/>
  <c r="J1624"/>
  <c r="L1623"/>
  <c r="J1623"/>
  <c r="L1622"/>
  <c r="J1622"/>
  <c r="L1621"/>
  <c r="J1621"/>
  <c r="L1620"/>
  <c r="J1620"/>
  <c r="L1619"/>
  <c r="J1619"/>
  <c r="L1618"/>
  <c r="J1618"/>
  <c r="L1617"/>
  <c r="J1617"/>
  <c r="L1616"/>
  <c r="J1616"/>
  <c r="L1615"/>
  <c r="J1615"/>
  <c r="L1614"/>
  <c r="J1614"/>
  <c r="L1613"/>
  <c r="J1613"/>
  <c r="L1612"/>
  <c r="J1612"/>
  <c r="L1611"/>
  <c r="J1611"/>
  <c r="L1610"/>
  <c r="J1610"/>
  <c r="L1609"/>
  <c r="J1609"/>
  <c r="L1608"/>
  <c r="J1608"/>
  <c r="L1607"/>
  <c r="J1607"/>
  <c r="L1606"/>
  <c r="J1606"/>
  <c r="L1605"/>
  <c r="J1605"/>
  <c r="L1604"/>
  <c r="J1604"/>
  <c r="L1603"/>
  <c r="J1603"/>
  <c r="L1602"/>
  <c r="J1602"/>
  <c r="L1601"/>
  <c r="J1601"/>
  <c r="L1600"/>
  <c r="J1600"/>
  <c r="L1599"/>
  <c r="J1599"/>
  <c r="L1598"/>
  <c r="J1598"/>
  <c r="L1597"/>
  <c r="J1597"/>
  <c r="L1596"/>
  <c r="J1596"/>
  <c r="L1595"/>
  <c r="J1595"/>
  <c r="L1594"/>
  <c r="J1594"/>
  <c r="L1593"/>
  <c r="J1593"/>
  <c r="L1592"/>
  <c r="J1592"/>
  <c r="L1591"/>
  <c r="J1591"/>
  <c r="L1590"/>
  <c r="J1590"/>
  <c r="L1589"/>
  <c r="J1589"/>
  <c r="L1588"/>
  <c r="J1588"/>
  <c r="L1587"/>
  <c r="J1587"/>
  <c r="L1586"/>
  <c r="J1586"/>
  <c r="L1585"/>
  <c r="J1585"/>
  <c r="L1584"/>
  <c r="J1584"/>
  <c r="L1583"/>
  <c r="J1583"/>
  <c r="L1582"/>
  <c r="J1582"/>
  <c r="L1581"/>
  <c r="J1581"/>
  <c r="L1580"/>
  <c r="J1580"/>
  <c r="L1579"/>
  <c r="J1579"/>
  <c r="L1578"/>
  <c r="J1578"/>
  <c r="L1577"/>
  <c r="J1577"/>
  <c r="L1576"/>
  <c r="J1576"/>
  <c r="L1575"/>
  <c r="J1575"/>
  <c r="L1574"/>
  <c r="J1574"/>
  <c r="L1573"/>
  <c r="J1573"/>
  <c r="L1572"/>
  <c r="J1572"/>
  <c r="L1571"/>
  <c r="J1571"/>
  <c r="L1570"/>
  <c r="J1570"/>
  <c r="L1569"/>
  <c r="J1569"/>
  <c r="L1568"/>
  <c r="J1568"/>
  <c r="L1567"/>
  <c r="J1567"/>
  <c r="L1566"/>
  <c r="J1566"/>
  <c r="L1565"/>
  <c r="J1565"/>
  <c r="L1564"/>
  <c r="J1564"/>
  <c r="L1563"/>
  <c r="J1563"/>
  <c r="L1562"/>
  <c r="J1562"/>
  <c r="L1561"/>
  <c r="J1561"/>
  <c r="L1560"/>
  <c r="J1560"/>
  <c r="L1559"/>
  <c r="J1559"/>
  <c r="L1558"/>
  <c r="J1558"/>
  <c r="L1557"/>
  <c r="J1557"/>
  <c r="L1556"/>
  <c r="J1556"/>
  <c r="L1555"/>
  <c r="J1555"/>
  <c r="L1554"/>
  <c r="J1554"/>
  <c r="L1553"/>
  <c r="J1553"/>
  <c r="L1552"/>
  <c r="J1552"/>
  <c r="L1551"/>
  <c r="J1551"/>
  <c r="L1550"/>
  <c r="J1550"/>
  <c r="L1549"/>
  <c r="J1549"/>
  <c r="L1548"/>
  <c r="J1548"/>
  <c r="L1547"/>
  <c r="J1547"/>
  <c r="L1546"/>
  <c r="J1546"/>
  <c r="L1545"/>
  <c r="J1545"/>
  <c r="L1544"/>
  <c r="J1544"/>
  <c r="L1543"/>
  <c r="J1543"/>
  <c r="L1542"/>
  <c r="J1542"/>
  <c r="L1541"/>
  <c r="J1541"/>
  <c r="L1540"/>
  <c r="J1540"/>
  <c r="L1539"/>
  <c r="J1539"/>
  <c r="L1538"/>
  <c r="J1538"/>
  <c r="L1537"/>
  <c r="J1537"/>
  <c r="L1536"/>
  <c r="J1536"/>
  <c r="L1535"/>
  <c r="J1535"/>
  <c r="L1534"/>
  <c r="J1534"/>
  <c r="L1533"/>
  <c r="J1533"/>
  <c r="L1532"/>
  <c r="J1532"/>
  <c r="L1531"/>
  <c r="J1531"/>
  <c r="L1530"/>
  <c r="J1530"/>
  <c r="L1529"/>
  <c r="J1529"/>
  <c r="L1528"/>
  <c r="J1528"/>
  <c r="L1527"/>
  <c r="J1527"/>
  <c r="L1526"/>
  <c r="J1526"/>
  <c r="L1525"/>
  <c r="J1525"/>
  <c r="L1524"/>
  <c r="J1524"/>
  <c r="L1523"/>
  <c r="J1523"/>
  <c r="L1522"/>
  <c r="J1522"/>
  <c r="L1521"/>
  <c r="J1521"/>
  <c r="L1520"/>
  <c r="J1520"/>
  <c r="L1519"/>
  <c r="J1519"/>
  <c r="L1518"/>
  <c r="J1518"/>
  <c r="L1517"/>
  <c r="J1517"/>
  <c r="L1516"/>
  <c r="J1516"/>
  <c r="L1515"/>
  <c r="J1515"/>
  <c r="L1514"/>
  <c r="J1514"/>
  <c r="L1513"/>
  <c r="J1513"/>
  <c r="L1512"/>
  <c r="J1512"/>
  <c r="L1511"/>
  <c r="J1511"/>
  <c r="L1510"/>
  <c r="J1510"/>
  <c r="L1509"/>
  <c r="J1509"/>
  <c r="L1508"/>
  <c r="J1508"/>
  <c r="L1507"/>
  <c r="J1507"/>
  <c r="L1506"/>
  <c r="J1506"/>
  <c r="L1505"/>
  <c r="J1505"/>
  <c r="L1504"/>
  <c r="J1504"/>
  <c r="L1503"/>
  <c r="J1503"/>
  <c r="L1502"/>
  <c r="J1502"/>
  <c r="L1501"/>
  <c r="J1501"/>
  <c r="L1500"/>
  <c r="J1500"/>
  <c r="L1499"/>
  <c r="J1499"/>
  <c r="L1498"/>
  <c r="J1498"/>
  <c r="L1497"/>
  <c r="J1497"/>
  <c r="L1496"/>
  <c r="J1496"/>
  <c r="L1495"/>
  <c r="J1495"/>
  <c r="L1494"/>
  <c r="J1494"/>
  <c r="L1493"/>
  <c r="J1493"/>
  <c r="L1492"/>
  <c r="J1492"/>
  <c r="L1491"/>
  <c r="J1491"/>
  <c r="L1490"/>
  <c r="J1490"/>
  <c r="L1489"/>
  <c r="J1489"/>
  <c r="L1488"/>
  <c r="J1488"/>
  <c r="L1487"/>
  <c r="J1487"/>
  <c r="L1486"/>
  <c r="J1486"/>
  <c r="L1485"/>
  <c r="J1485"/>
  <c r="L1484"/>
  <c r="J1484"/>
  <c r="L1483"/>
  <c r="J1483"/>
  <c r="L1482"/>
  <c r="J1482"/>
  <c r="L1481"/>
  <c r="J1481"/>
  <c r="L1480"/>
  <c r="J1480"/>
  <c r="L1479"/>
  <c r="J1479"/>
  <c r="L1478"/>
  <c r="J1478"/>
  <c r="L1477"/>
  <c r="J1477"/>
  <c r="L1476"/>
  <c r="J1476"/>
  <c r="L1475"/>
  <c r="J1475"/>
  <c r="L1474"/>
  <c r="J1474"/>
  <c r="L1473"/>
  <c r="J1473"/>
  <c r="L1472"/>
  <c r="J1472"/>
  <c r="L1471"/>
  <c r="J1471"/>
  <c r="L1470"/>
  <c r="J1470"/>
  <c r="L1469"/>
  <c r="J1469"/>
  <c r="L1468"/>
  <c r="J1468"/>
  <c r="L1467"/>
  <c r="J1467"/>
  <c r="L1466"/>
  <c r="J1466"/>
  <c r="L1465"/>
  <c r="J1465"/>
  <c r="L1464"/>
  <c r="J1464"/>
  <c r="L1463"/>
  <c r="J1463"/>
  <c r="L1462"/>
  <c r="J1462"/>
  <c r="L1461"/>
  <c r="J1461"/>
  <c r="L1460"/>
  <c r="J1460"/>
  <c r="L1459"/>
  <c r="J1459"/>
  <c r="L1458"/>
  <c r="J1458"/>
  <c r="L1457"/>
  <c r="J1457"/>
  <c r="L1456"/>
  <c r="J1456"/>
  <c r="L1455"/>
  <c r="J1455"/>
  <c r="L1454"/>
  <c r="J1454"/>
  <c r="L1453"/>
  <c r="J1453"/>
  <c r="L1452"/>
  <c r="J1452"/>
  <c r="L1451"/>
  <c r="J1451"/>
  <c r="L1450"/>
  <c r="J1450"/>
  <c r="L1449"/>
  <c r="J1449"/>
  <c r="L1448"/>
  <c r="J1448"/>
  <c r="L1447"/>
  <c r="J1447"/>
  <c r="L1446"/>
  <c r="J1446"/>
  <c r="L1445"/>
  <c r="J1445"/>
  <c r="L1444"/>
  <c r="J1444"/>
  <c r="L1443"/>
  <c r="J1443"/>
  <c r="L1442"/>
  <c r="J1442"/>
  <c r="L1441"/>
  <c r="J1441"/>
  <c r="L1440"/>
  <c r="J1440"/>
  <c r="L1439"/>
  <c r="J1439"/>
  <c r="L1438"/>
  <c r="J1438"/>
  <c r="L1437"/>
  <c r="J1437"/>
  <c r="L1436"/>
  <c r="J1436"/>
  <c r="L1435"/>
  <c r="J1435"/>
  <c r="L1434"/>
  <c r="J1434"/>
  <c r="L1433"/>
  <c r="J1433"/>
  <c r="L1432"/>
  <c r="J1432"/>
  <c r="L1431"/>
  <c r="J1431"/>
  <c r="L1430"/>
  <c r="J1430"/>
  <c r="L1429"/>
  <c r="J1429"/>
  <c r="L1428"/>
  <c r="J1428"/>
  <c r="L1427"/>
  <c r="J1427"/>
  <c r="L1426"/>
  <c r="J1426"/>
  <c r="L1425"/>
  <c r="J1425"/>
  <c r="L1424"/>
  <c r="J1424"/>
  <c r="L1423"/>
  <c r="J1423"/>
  <c r="L1422"/>
  <c r="J1422"/>
  <c r="L1421"/>
  <c r="J1421"/>
  <c r="L1420"/>
  <c r="J1420"/>
  <c r="L1419"/>
  <c r="J1419"/>
  <c r="L1418"/>
  <c r="J1418"/>
  <c r="L1417"/>
  <c r="J1417"/>
  <c r="L1416"/>
  <c r="J1416"/>
  <c r="L1415"/>
  <c r="J1415"/>
  <c r="L1414"/>
  <c r="J1414"/>
  <c r="L1413"/>
  <c r="J1413"/>
  <c r="L1412"/>
  <c r="J1412"/>
  <c r="L1411"/>
  <c r="J1411"/>
  <c r="L1410"/>
  <c r="J1410"/>
  <c r="L1409"/>
  <c r="J1409"/>
  <c r="L1408"/>
  <c r="J1408"/>
  <c r="L1407"/>
  <c r="J1407"/>
  <c r="L1406"/>
  <c r="J1406"/>
  <c r="L1405"/>
  <c r="J1405"/>
  <c r="L1404"/>
  <c r="J1404"/>
  <c r="L1403"/>
  <c r="J1403"/>
  <c r="L1402"/>
  <c r="J1402"/>
  <c r="L1401"/>
  <c r="J1401"/>
  <c r="L1400"/>
  <c r="J1400"/>
  <c r="L1399"/>
  <c r="J1399"/>
  <c r="L1398"/>
  <c r="J1398"/>
  <c r="L1397"/>
  <c r="J1397"/>
  <c r="L1396"/>
  <c r="J1396"/>
  <c r="L1395"/>
  <c r="J1395"/>
  <c r="L1394"/>
  <c r="J1394"/>
  <c r="L1393"/>
  <c r="J1393"/>
  <c r="L1392"/>
  <c r="J1392"/>
  <c r="L1391"/>
  <c r="J1391"/>
  <c r="L1390"/>
  <c r="J1390"/>
  <c r="L1389"/>
  <c r="J1389"/>
  <c r="L1388"/>
  <c r="J1388"/>
  <c r="L1387"/>
  <c r="J1387"/>
  <c r="L1386"/>
  <c r="J1386"/>
  <c r="L1385"/>
  <c r="J1385"/>
  <c r="L1384"/>
  <c r="J1384"/>
  <c r="L1383"/>
  <c r="J1383"/>
  <c r="L1382"/>
  <c r="J1382"/>
  <c r="L1381"/>
  <c r="J1381"/>
  <c r="L1380"/>
  <c r="J1380"/>
  <c r="L1379"/>
  <c r="J1379"/>
  <c r="L1378"/>
  <c r="J1378"/>
  <c r="L1377"/>
  <c r="J1377"/>
  <c r="L1376"/>
  <c r="J1376"/>
  <c r="L1375"/>
  <c r="J1375"/>
  <c r="L1374"/>
  <c r="J1374"/>
  <c r="L1373"/>
  <c r="J1373"/>
  <c r="L1372"/>
  <c r="J1372"/>
  <c r="L1371"/>
  <c r="J1371"/>
  <c r="L1370"/>
  <c r="J1370"/>
  <c r="L1369"/>
  <c r="J1369"/>
  <c r="L1368"/>
  <c r="J1368"/>
  <c r="L1367"/>
  <c r="J1367"/>
  <c r="L1366"/>
  <c r="J1366"/>
  <c r="L1365"/>
  <c r="J1365"/>
  <c r="L1364"/>
  <c r="J1364"/>
  <c r="L1363"/>
  <c r="J1363"/>
  <c r="L1362"/>
  <c r="J1362"/>
  <c r="L1361"/>
  <c r="J1361"/>
  <c r="L1360"/>
  <c r="J1360"/>
  <c r="L1359"/>
  <c r="J1359"/>
  <c r="L1358"/>
  <c r="J1358"/>
  <c r="L1357"/>
  <c r="J1357"/>
  <c r="L1356"/>
  <c r="J1356"/>
  <c r="L1355"/>
  <c r="J1355"/>
  <c r="L1354"/>
  <c r="J1354"/>
  <c r="L1353"/>
  <c r="J1353"/>
  <c r="L1352"/>
  <c r="J1352"/>
  <c r="L1351"/>
  <c r="J1351"/>
  <c r="L1350"/>
  <c r="J1350"/>
  <c r="L1349"/>
  <c r="J1349"/>
  <c r="L1348"/>
  <c r="J1348"/>
  <c r="L1347"/>
  <c r="J1347"/>
  <c r="L1346"/>
  <c r="J1346"/>
  <c r="L1345"/>
  <c r="J1345"/>
  <c r="L1344"/>
  <c r="J1344"/>
  <c r="L1343"/>
  <c r="J1343"/>
  <c r="L1342"/>
  <c r="J1342"/>
  <c r="L1341"/>
  <c r="J1341"/>
  <c r="L1340"/>
  <c r="J1340"/>
  <c r="L1339"/>
  <c r="J1339"/>
  <c r="L1338"/>
  <c r="J1338"/>
  <c r="L1337"/>
  <c r="J1337"/>
  <c r="L1336"/>
  <c r="J1336"/>
  <c r="L1335"/>
  <c r="J1335"/>
  <c r="L1334"/>
  <c r="J1334"/>
  <c r="L1333"/>
  <c r="J1333"/>
  <c r="L1332"/>
  <c r="J1332"/>
  <c r="L1331"/>
  <c r="J1331"/>
  <c r="L1330"/>
  <c r="J1330"/>
  <c r="L1329"/>
  <c r="J1329"/>
  <c r="L1328"/>
  <c r="J1328"/>
  <c r="L1327"/>
  <c r="J1327"/>
  <c r="L1326"/>
  <c r="J1326"/>
  <c r="L1325"/>
  <c r="J1325"/>
  <c r="L1324"/>
  <c r="J1324"/>
  <c r="L1323"/>
  <c r="J1323"/>
  <c r="L1322"/>
  <c r="J1322"/>
  <c r="L1321"/>
  <c r="J1321"/>
  <c r="L1320"/>
  <c r="J1320"/>
  <c r="L1319"/>
  <c r="J1319"/>
  <c r="L1318"/>
  <c r="J1318"/>
  <c r="L1317"/>
  <c r="J1317"/>
  <c r="L1316"/>
  <c r="J1316"/>
  <c r="L1315"/>
  <c r="J1315"/>
  <c r="L1314"/>
  <c r="J1314"/>
  <c r="L1313"/>
  <c r="J1313"/>
  <c r="L1312"/>
  <c r="J1312"/>
  <c r="L1311"/>
  <c r="J1311"/>
  <c r="L1310"/>
  <c r="J1310"/>
  <c r="L1309"/>
  <c r="J1309"/>
  <c r="L1308"/>
  <c r="J1308"/>
  <c r="L1307"/>
  <c r="J1307"/>
  <c r="L1306"/>
  <c r="J1306"/>
  <c r="L1305"/>
  <c r="J1305"/>
  <c r="L1304"/>
  <c r="J1304"/>
  <c r="L1303"/>
  <c r="J1303"/>
  <c r="L1302"/>
  <c r="J1302"/>
  <c r="L1301"/>
  <c r="J1301"/>
  <c r="L1300"/>
  <c r="J1300"/>
  <c r="L1299"/>
  <c r="J1299"/>
  <c r="L1298"/>
  <c r="J1298"/>
  <c r="L1297"/>
  <c r="J1297"/>
  <c r="L1296"/>
  <c r="J1296"/>
  <c r="L1295"/>
  <c r="J1295"/>
  <c r="L1294"/>
  <c r="J1294"/>
  <c r="L1293"/>
  <c r="J1293"/>
  <c r="L1292"/>
  <c r="J1292"/>
  <c r="L1291"/>
  <c r="J1291"/>
  <c r="L1290"/>
  <c r="J1290"/>
  <c r="L1289"/>
  <c r="J1289"/>
  <c r="L1288"/>
  <c r="J1288"/>
  <c r="L1287"/>
  <c r="J1287"/>
  <c r="L1286"/>
  <c r="J1286"/>
  <c r="L1285"/>
  <c r="J1285"/>
  <c r="L1284"/>
  <c r="J1284"/>
  <c r="L1283"/>
  <c r="J1283"/>
  <c r="L1282"/>
  <c r="J1282"/>
  <c r="L1281"/>
  <c r="J1281"/>
  <c r="L1280"/>
  <c r="J1280"/>
  <c r="L1279"/>
  <c r="J1279"/>
  <c r="L1278"/>
  <c r="J1278"/>
  <c r="L1277"/>
  <c r="J1277"/>
  <c r="L1276"/>
  <c r="J1276"/>
  <c r="L1275"/>
  <c r="J1275"/>
  <c r="L1274"/>
  <c r="J1274"/>
  <c r="L1273"/>
  <c r="J1273"/>
  <c r="L1272"/>
  <c r="J1272"/>
  <c r="L1271"/>
  <c r="J1271"/>
  <c r="L1270"/>
  <c r="J1270"/>
  <c r="L1269"/>
  <c r="J1269"/>
  <c r="L1268"/>
  <c r="J1268"/>
  <c r="L1267"/>
  <c r="J1267"/>
  <c r="L1266"/>
  <c r="J1266"/>
  <c r="L1265"/>
  <c r="J1265"/>
  <c r="L1264"/>
  <c r="J1264"/>
  <c r="L1263"/>
  <c r="J1263"/>
  <c r="L1262"/>
  <c r="J1262"/>
  <c r="L1261"/>
  <c r="J1261"/>
  <c r="L1260"/>
  <c r="J1260"/>
  <c r="L1259"/>
  <c r="J1259"/>
  <c r="L1258"/>
  <c r="J1258"/>
  <c r="L1257"/>
  <c r="J1257"/>
  <c r="L1256"/>
  <c r="J1256"/>
  <c r="L1255"/>
  <c r="J1255"/>
  <c r="L1254"/>
  <c r="J1254"/>
  <c r="L1253"/>
  <c r="J1253"/>
  <c r="L1252"/>
  <c r="J1252"/>
  <c r="L1251"/>
  <c r="J1251"/>
  <c r="L1250"/>
  <c r="J1250"/>
  <c r="L1249"/>
  <c r="J1249"/>
  <c r="L1248"/>
  <c r="J1248"/>
  <c r="L1247"/>
  <c r="J1247"/>
  <c r="L1246"/>
  <c r="J1246"/>
  <c r="L1245"/>
  <c r="J1245"/>
  <c r="L1244"/>
  <c r="J1244"/>
  <c r="L1243"/>
  <c r="J1243"/>
  <c r="L1242"/>
  <c r="J1242"/>
  <c r="L1241"/>
  <c r="J1241"/>
  <c r="L1240"/>
  <c r="J1240"/>
  <c r="L1239"/>
  <c r="J1239"/>
  <c r="L1238"/>
  <c r="J1238"/>
  <c r="L1237"/>
  <c r="J1237"/>
  <c r="L1236"/>
  <c r="J1236"/>
  <c r="L1235"/>
  <c r="J1235"/>
  <c r="L1234"/>
  <c r="J1234"/>
  <c r="L1233"/>
  <c r="J1233"/>
  <c r="L1232"/>
  <c r="J1232"/>
  <c r="L1231"/>
  <c r="J1231"/>
  <c r="L1230"/>
  <c r="J1230"/>
  <c r="L1229"/>
  <c r="J1229"/>
  <c r="L1228"/>
  <c r="J1228"/>
  <c r="L1227"/>
  <c r="J1227"/>
  <c r="L1226"/>
  <c r="J1226"/>
  <c r="L1225"/>
  <c r="J1225"/>
  <c r="L1224"/>
  <c r="J1224"/>
  <c r="L1223"/>
  <c r="J1223"/>
  <c r="L1222"/>
  <c r="J1222"/>
  <c r="L1221"/>
  <c r="J1221"/>
  <c r="L1220"/>
  <c r="J1220"/>
  <c r="L1219"/>
  <c r="J1219"/>
  <c r="L1218"/>
  <c r="J1218"/>
  <c r="L1217"/>
  <c r="J1217"/>
  <c r="L1216"/>
  <c r="J1216"/>
  <c r="L1215"/>
  <c r="J1215"/>
  <c r="L1214"/>
  <c r="J1214"/>
  <c r="L1213"/>
  <c r="J1213"/>
  <c r="L1212"/>
  <c r="J1212"/>
  <c r="L1211"/>
  <c r="J1211"/>
  <c r="L1210"/>
  <c r="J1210"/>
  <c r="L1209"/>
  <c r="J1209"/>
  <c r="L1208"/>
  <c r="J1208"/>
  <c r="L1207"/>
  <c r="J1207"/>
  <c r="L1206"/>
  <c r="J1206"/>
  <c r="L1205"/>
  <c r="J1205"/>
  <c r="L1204"/>
  <c r="J1204"/>
  <c r="L1203"/>
  <c r="J1203"/>
  <c r="L1202"/>
  <c r="J1202"/>
  <c r="L1201"/>
  <c r="J1201"/>
  <c r="L1200"/>
  <c r="J1200"/>
  <c r="L1199"/>
  <c r="J1199"/>
  <c r="L1198"/>
  <c r="J1198"/>
  <c r="L1197"/>
  <c r="J1197"/>
  <c r="L1196"/>
  <c r="J1196"/>
  <c r="L1195"/>
  <c r="J1195"/>
  <c r="L1194"/>
  <c r="J1194"/>
  <c r="L1193"/>
  <c r="J1193"/>
  <c r="L1192"/>
  <c r="J1192"/>
  <c r="L1191"/>
  <c r="J1191"/>
  <c r="L1190"/>
  <c r="J1190"/>
  <c r="L1189"/>
  <c r="J1189"/>
  <c r="L1188"/>
  <c r="J1188"/>
  <c r="L1187"/>
  <c r="J1187"/>
  <c r="L1186"/>
  <c r="J1186"/>
  <c r="L1185"/>
  <c r="J1185"/>
  <c r="L1184"/>
  <c r="J1184"/>
  <c r="L1183"/>
  <c r="J1183"/>
  <c r="L1182"/>
  <c r="J1182"/>
  <c r="L1181"/>
  <c r="J1181"/>
  <c r="L1180"/>
  <c r="J1180"/>
  <c r="L1179"/>
  <c r="J1179"/>
  <c r="L1178"/>
  <c r="J1178"/>
  <c r="L1177"/>
  <c r="J1177"/>
  <c r="L1176"/>
  <c r="J1176"/>
  <c r="L1175"/>
  <c r="J1175"/>
  <c r="L1174"/>
  <c r="J1174"/>
  <c r="L1173"/>
  <c r="J1173"/>
  <c r="L1172"/>
  <c r="J1172"/>
  <c r="L1171"/>
  <c r="J1171"/>
  <c r="L1170"/>
  <c r="J1170"/>
  <c r="L1169"/>
  <c r="J1169"/>
  <c r="L1168"/>
  <c r="J1168"/>
  <c r="L1167"/>
  <c r="J1167"/>
  <c r="L1166"/>
  <c r="J1166"/>
  <c r="L1165"/>
  <c r="J1165"/>
  <c r="L1164"/>
  <c r="J1164"/>
  <c r="L1163"/>
  <c r="J1163"/>
  <c r="L1162"/>
  <c r="J1162"/>
  <c r="L1161"/>
  <c r="J1161"/>
  <c r="L1160"/>
  <c r="J1160"/>
  <c r="L1159"/>
  <c r="J1159"/>
  <c r="L1158"/>
  <c r="J1158"/>
  <c r="L1157"/>
  <c r="J1157"/>
  <c r="L1156"/>
  <c r="J1156"/>
  <c r="L1155"/>
  <c r="J1155"/>
  <c r="L1154"/>
  <c r="J1154"/>
  <c r="L1153"/>
  <c r="J1153"/>
  <c r="L1152"/>
  <c r="J1152"/>
  <c r="L1151"/>
  <c r="J1151"/>
  <c r="L1150"/>
  <c r="J1150"/>
  <c r="L1149"/>
  <c r="J1149"/>
  <c r="L1148"/>
  <c r="J1148"/>
  <c r="L1147"/>
  <c r="J1147"/>
  <c r="L1146"/>
  <c r="J1146"/>
  <c r="L1145"/>
  <c r="J1145"/>
  <c r="L1144"/>
  <c r="J1144"/>
  <c r="L1143"/>
  <c r="J1143"/>
  <c r="L1142"/>
  <c r="J1142"/>
  <c r="L1141"/>
  <c r="J1141"/>
  <c r="L1140"/>
  <c r="J1140"/>
  <c r="L1139"/>
  <c r="J1139"/>
  <c r="L1138"/>
  <c r="J1138"/>
  <c r="L1137"/>
  <c r="J1137"/>
  <c r="L1136"/>
  <c r="J1136"/>
  <c r="L1135"/>
  <c r="J1135"/>
  <c r="L1134"/>
  <c r="J1134"/>
  <c r="L1133"/>
  <c r="J1133"/>
  <c r="L1132"/>
  <c r="J1132"/>
  <c r="L1131"/>
  <c r="J1131"/>
  <c r="L1130"/>
  <c r="J1130"/>
  <c r="L1129"/>
  <c r="J1129"/>
  <c r="L1128"/>
  <c r="J1128"/>
  <c r="L1127"/>
  <c r="J1127"/>
  <c r="L1126"/>
  <c r="J1126"/>
  <c r="L1125"/>
  <c r="J1125"/>
  <c r="L1124"/>
  <c r="J1124"/>
  <c r="L1123"/>
  <c r="J1123"/>
  <c r="L1122"/>
  <c r="J1122"/>
  <c r="L1121"/>
  <c r="J1121"/>
  <c r="L1120"/>
  <c r="J1120"/>
  <c r="L1119"/>
  <c r="J1119"/>
  <c r="L1118"/>
  <c r="J1118"/>
  <c r="L1117"/>
  <c r="J1117"/>
  <c r="L1116"/>
  <c r="J1116"/>
  <c r="L1115"/>
  <c r="J1115"/>
  <c r="L1114"/>
  <c r="J1114"/>
  <c r="L1113"/>
  <c r="J1113"/>
  <c r="L1112"/>
  <c r="J1112"/>
  <c r="L1111"/>
  <c r="J1111"/>
  <c r="L1110"/>
  <c r="J1110"/>
  <c r="L1109"/>
  <c r="J1109"/>
  <c r="L1108"/>
  <c r="J1108"/>
  <c r="L1107"/>
  <c r="J1107"/>
  <c r="L1106"/>
  <c r="J1106"/>
  <c r="L1105"/>
  <c r="J1105"/>
  <c r="L1104"/>
  <c r="J1104"/>
  <c r="L1103"/>
  <c r="J1103"/>
  <c r="L1102"/>
  <c r="J1102"/>
  <c r="L1101"/>
  <c r="J1101"/>
  <c r="L1100"/>
  <c r="J1100"/>
  <c r="L1099"/>
  <c r="J1099"/>
  <c r="L1098"/>
  <c r="J1098"/>
  <c r="L1097"/>
  <c r="J1097"/>
  <c r="L1096"/>
  <c r="J1096"/>
  <c r="L1095"/>
  <c r="J1095"/>
  <c r="L1094"/>
  <c r="J1094"/>
  <c r="L1093"/>
  <c r="J1093"/>
  <c r="L1092"/>
  <c r="J1092"/>
  <c r="L1091"/>
  <c r="J1091"/>
  <c r="L1090"/>
  <c r="J1090"/>
  <c r="L1089"/>
  <c r="J1089"/>
  <c r="L1088"/>
  <c r="J1088"/>
  <c r="L1087"/>
  <c r="J1087"/>
  <c r="L1086"/>
  <c r="J1086"/>
  <c r="L1085"/>
  <c r="J1085"/>
  <c r="L1084"/>
  <c r="J1084"/>
  <c r="L1083"/>
  <c r="J1083"/>
  <c r="L1082"/>
  <c r="J1082"/>
  <c r="L1081"/>
  <c r="J1081"/>
  <c r="L1080"/>
  <c r="J1080"/>
  <c r="L1079"/>
  <c r="J1079"/>
  <c r="L1078"/>
  <c r="J1078"/>
  <c r="L1077"/>
  <c r="J1077"/>
  <c r="L1076"/>
  <c r="J1076"/>
  <c r="L1075"/>
  <c r="J1075"/>
  <c r="L1074"/>
  <c r="J1074"/>
  <c r="L1073"/>
  <c r="J1073"/>
  <c r="L1072"/>
  <c r="J1072"/>
  <c r="L1071"/>
  <c r="J1071"/>
  <c r="L1070"/>
  <c r="J1070"/>
  <c r="L1069"/>
  <c r="J1069"/>
  <c r="L1068"/>
  <c r="J1068"/>
  <c r="L1067"/>
  <c r="J1067"/>
  <c r="L1066"/>
  <c r="J1066"/>
  <c r="L1065"/>
  <c r="J1065"/>
  <c r="L1064"/>
  <c r="J1064"/>
  <c r="L1063"/>
  <c r="J1063"/>
  <c r="L1062"/>
  <c r="J1062"/>
  <c r="L1061"/>
  <c r="J1061"/>
  <c r="L1060"/>
  <c r="J1060"/>
  <c r="L1059"/>
  <c r="J1059"/>
  <c r="L1058"/>
  <c r="J1058"/>
  <c r="L1057"/>
  <c r="J1057"/>
  <c r="L1056"/>
  <c r="J1056"/>
  <c r="L1055"/>
  <c r="J1055"/>
  <c r="L1054"/>
  <c r="J1054"/>
  <c r="L1053"/>
  <c r="J1053"/>
  <c r="L1052"/>
  <c r="J1052"/>
  <c r="L1051"/>
  <c r="J1051"/>
  <c r="L1050"/>
  <c r="J1050"/>
  <c r="L1049"/>
  <c r="J1049"/>
  <c r="L1048"/>
  <c r="J1048"/>
  <c r="L1047"/>
  <c r="J1047"/>
  <c r="L1046"/>
  <c r="J1046"/>
  <c r="L1045"/>
  <c r="J1045"/>
  <c r="L1044"/>
  <c r="J1044"/>
  <c r="L1043"/>
  <c r="J1043"/>
  <c r="L1042"/>
  <c r="J1042"/>
  <c r="L1041"/>
  <c r="J1041"/>
  <c r="L1040"/>
  <c r="J1040"/>
  <c r="L1039"/>
  <c r="J1039"/>
  <c r="L1038"/>
  <c r="J1038"/>
  <c r="L1037"/>
  <c r="J1037"/>
  <c r="L1036"/>
  <c r="J1036"/>
  <c r="L1035"/>
  <c r="J1035"/>
  <c r="L1034"/>
  <c r="J1034"/>
  <c r="L1033"/>
  <c r="J1033"/>
  <c r="L1032"/>
  <c r="J1032"/>
  <c r="L1031"/>
  <c r="J1031"/>
  <c r="L1030"/>
  <c r="J1030"/>
  <c r="L1029"/>
  <c r="J1029"/>
  <c r="L1028"/>
  <c r="J1028"/>
  <c r="L1027"/>
  <c r="J1027"/>
  <c r="L1026"/>
  <c r="J1026"/>
  <c r="L1025"/>
  <c r="J1025"/>
  <c r="L1024"/>
  <c r="J1024"/>
  <c r="L1023"/>
  <c r="J1023"/>
  <c r="L1022"/>
  <c r="J1022"/>
  <c r="L1021"/>
  <c r="J1021"/>
  <c r="L1020"/>
  <c r="J1020"/>
  <c r="L1019"/>
  <c r="J1019"/>
  <c r="L1018"/>
  <c r="J1018"/>
  <c r="L1017"/>
  <c r="J1017"/>
  <c r="L1016"/>
  <c r="J1016"/>
  <c r="L1015"/>
  <c r="J1015"/>
  <c r="L1014"/>
  <c r="J1014"/>
  <c r="L1013"/>
  <c r="J1013"/>
  <c r="L1012"/>
  <c r="J1012"/>
  <c r="L1011"/>
  <c r="J1011"/>
  <c r="L1010"/>
  <c r="J1010"/>
  <c r="L1009"/>
  <c r="J1009"/>
  <c r="L1008"/>
  <c r="J1008"/>
  <c r="L1007"/>
  <c r="J1007"/>
  <c r="L1006"/>
  <c r="J1006"/>
  <c r="L1005"/>
  <c r="J1005"/>
  <c r="L1004"/>
  <c r="J1004"/>
  <c r="L1003"/>
  <c r="J1003"/>
  <c r="L1002"/>
  <c r="J1002"/>
  <c r="L1001"/>
  <c r="J1001"/>
  <c r="L1000"/>
  <c r="J1000"/>
  <c r="L999"/>
  <c r="J999"/>
  <c r="L998"/>
  <c r="J998"/>
  <c r="L997"/>
  <c r="J997"/>
  <c r="L996"/>
  <c r="J996"/>
  <c r="L995"/>
  <c r="J995"/>
  <c r="L994"/>
  <c r="J994"/>
  <c r="L993"/>
  <c r="J993"/>
  <c r="L992"/>
  <c r="J992"/>
  <c r="L991"/>
  <c r="J991"/>
  <c r="L990"/>
  <c r="J990"/>
  <c r="L989"/>
  <c r="J989"/>
  <c r="L988"/>
  <c r="J988"/>
  <c r="L987"/>
  <c r="J987"/>
  <c r="L986"/>
  <c r="J986"/>
  <c r="L985"/>
  <c r="J985"/>
  <c r="L984"/>
  <c r="J984"/>
  <c r="L983"/>
  <c r="J983"/>
  <c r="L982"/>
  <c r="J982"/>
  <c r="L981"/>
  <c r="J981"/>
  <c r="L980"/>
  <c r="J980"/>
  <c r="L979"/>
  <c r="J979"/>
  <c r="L978"/>
  <c r="J978"/>
  <c r="L977"/>
  <c r="J977"/>
  <c r="L976"/>
  <c r="J976"/>
  <c r="L975"/>
  <c r="J975"/>
  <c r="L974"/>
  <c r="J974"/>
  <c r="L973"/>
  <c r="J973"/>
  <c r="L972"/>
  <c r="J972"/>
  <c r="L971"/>
  <c r="J971"/>
  <c r="L970"/>
  <c r="J970"/>
  <c r="L969"/>
  <c r="J969"/>
  <c r="L968"/>
  <c r="J968"/>
  <c r="L967"/>
  <c r="J967"/>
  <c r="L966"/>
  <c r="J966"/>
  <c r="L965"/>
  <c r="J965"/>
  <c r="L964"/>
  <c r="J964"/>
  <c r="L963"/>
  <c r="J963"/>
  <c r="L962"/>
  <c r="J962"/>
  <c r="L961"/>
  <c r="J961"/>
  <c r="L960"/>
  <c r="J960"/>
  <c r="L959"/>
  <c r="J959"/>
  <c r="L958"/>
  <c r="J958"/>
  <c r="L957"/>
  <c r="J957"/>
  <c r="L956"/>
  <c r="J956"/>
  <c r="L955"/>
  <c r="J955"/>
  <c r="L954"/>
  <c r="J954"/>
  <c r="L953"/>
  <c r="J953"/>
  <c r="L952"/>
  <c r="J952"/>
  <c r="L951"/>
  <c r="J951"/>
  <c r="L950"/>
  <c r="J950"/>
  <c r="L949"/>
  <c r="J949"/>
  <c r="L948"/>
  <c r="J948"/>
  <c r="L947"/>
  <c r="J947"/>
  <c r="L946"/>
  <c r="J946"/>
  <c r="L945"/>
  <c r="J945"/>
  <c r="L944"/>
  <c r="J944"/>
  <c r="L943"/>
  <c r="J943"/>
  <c r="L942"/>
  <c r="J942"/>
  <c r="L941"/>
  <c r="J941"/>
  <c r="L940"/>
  <c r="J940"/>
  <c r="L939"/>
  <c r="J939"/>
  <c r="L938"/>
  <c r="J938"/>
  <c r="L937"/>
  <c r="J937"/>
  <c r="L936"/>
  <c r="J936"/>
  <c r="L935"/>
  <c r="J935"/>
  <c r="L934"/>
  <c r="J934"/>
  <c r="L933"/>
  <c r="J933"/>
  <c r="L932"/>
  <c r="J932"/>
  <c r="L931"/>
  <c r="J931"/>
  <c r="L930"/>
  <c r="J930"/>
  <c r="L929"/>
  <c r="J929"/>
  <c r="L928"/>
  <c r="J928"/>
  <c r="L927"/>
  <c r="J927"/>
  <c r="L926"/>
  <c r="J926"/>
  <c r="L925"/>
  <c r="J925"/>
  <c r="L924"/>
  <c r="J924"/>
  <c r="L923"/>
  <c r="J923"/>
  <c r="L922"/>
  <c r="J922"/>
  <c r="L921"/>
  <c r="J921"/>
  <c r="L920"/>
  <c r="J920"/>
  <c r="L919"/>
  <c r="J919"/>
  <c r="L918"/>
  <c r="J918"/>
  <c r="L917"/>
  <c r="J917"/>
  <c r="L916"/>
  <c r="J916"/>
  <c r="L915"/>
  <c r="J915"/>
  <c r="L914"/>
  <c r="J914"/>
  <c r="L913"/>
  <c r="J913"/>
  <c r="L912"/>
  <c r="J912"/>
  <c r="L911"/>
  <c r="J911"/>
  <c r="L910"/>
  <c r="J910"/>
  <c r="L909"/>
  <c r="J909"/>
  <c r="L908"/>
  <c r="J908"/>
  <c r="L907"/>
  <c r="J907"/>
  <c r="L906"/>
  <c r="J906"/>
  <c r="L905"/>
  <c r="J905"/>
  <c r="L904"/>
  <c r="J904"/>
  <c r="L903"/>
  <c r="J903"/>
  <c r="L902"/>
  <c r="J902"/>
  <c r="L901"/>
  <c r="J901"/>
  <c r="L900"/>
  <c r="J900"/>
  <c r="L899"/>
  <c r="J899"/>
  <c r="L898"/>
  <c r="J898"/>
  <c r="L897"/>
  <c r="J897"/>
  <c r="L896"/>
  <c r="J896"/>
  <c r="L895"/>
  <c r="J895"/>
  <c r="L894"/>
  <c r="J894"/>
  <c r="L893"/>
  <c r="J893"/>
  <c r="L892"/>
  <c r="J892"/>
  <c r="L891"/>
  <c r="J891"/>
  <c r="L890"/>
  <c r="J890"/>
  <c r="L889"/>
  <c r="J889"/>
  <c r="L888"/>
  <c r="J888"/>
  <c r="L887"/>
  <c r="J887"/>
  <c r="L886"/>
  <c r="J886"/>
  <c r="L885"/>
  <c r="J885"/>
  <c r="L884"/>
  <c r="J884"/>
  <c r="L883"/>
  <c r="J883"/>
  <c r="L882"/>
  <c r="J882"/>
  <c r="L881"/>
  <c r="J881"/>
  <c r="L880"/>
  <c r="J880"/>
  <c r="L879"/>
  <c r="J879"/>
  <c r="L878"/>
  <c r="J878"/>
  <c r="L877"/>
  <c r="J877"/>
  <c r="L876"/>
  <c r="J876"/>
  <c r="L875"/>
  <c r="J875"/>
  <c r="L874"/>
  <c r="J874"/>
  <c r="L873"/>
  <c r="J873"/>
  <c r="L872"/>
  <c r="J872"/>
  <c r="L871"/>
  <c r="J871"/>
  <c r="L870"/>
  <c r="J870"/>
  <c r="L869"/>
  <c r="J869"/>
  <c r="L868"/>
  <c r="J868"/>
  <c r="L867"/>
  <c r="J867"/>
  <c r="L866"/>
  <c r="J866"/>
  <c r="L865"/>
  <c r="J865"/>
  <c r="L864"/>
  <c r="J864"/>
  <c r="L863"/>
  <c r="J863"/>
  <c r="L862"/>
  <c r="J862"/>
  <c r="L861"/>
  <c r="J861"/>
  <c r="L860"/>
  <c r="J860"/>
  <c r="L859"/>
  <c r="J859"/>
  <c r="L858"/>
  <c r="J858"/>
  <c r="L857"/>
  <c r="J857"/>
  <c r="L856"/>
  <c r="J856"/>
  <c r="L855"/>
  <c r="J855"/>
  <c r="L854"/>
  <c r="J854"/>
  <c r="L853"/>
  <c r="J853"/>
  <c r="L852"/>
  <c r="J852"/>
  <c r="L851"/>
  <c r="J851"/>
  <c r="L850"/>
  <c r="J850"/>
  <c r="L849"/>
  <c r="J849"/>
  <c r="L848"/>
  <c r="J848"/>
  <c r="L847"/>
  <c r="J847"/>
  <c r="L846"/>
  <c r="J846"/>
  <c r="L845"/>
  <c r="J845"/>
  <c r="L844"/>
  <c r="J844"/>
  <c r="L843"/>
  <c r="J843"/>
  <c r="L842"/>
  <c r="J842"/>
  <c r="L841"/>
  <c r="J841"/>
  <c r="L840"/>
  <c r="J840"/>
  <c r="L839"/>
  <c r="J839"/>
  <c r="L838"/>
  <c r="J838"/>
  <c r="L837"/>
  <c r="J837"/>
  <c r="L836"/>
  <c r="J836"/>
  <c r="L835"/>
  <c r="J835"/>
  <c r="L834"/>
  <c r="J834"/>
  <c r="L833"/>
  <c r="J833"/>
  <c r="L832"/>
  <c r="J832"/>
  <c r="L831"/>
  <c r="J831"/>
  <c r="L830"/>
  <c r="J830"/>
  <c r="L829"/>
  <c r="J829"/>
  <c r="L828"/>
  <c r="J828"/>
  <c r="L827"/>
  <c r="J827"/>
  <c r="L826"/>
  <c r="J826"/>
  <c r="L825"/>
  <c r="J825"/>
  <c r="L824"/>
  <c r="J824"/>
  <c r="L823"/>
  <c r="J823"/>
  <c r="L822"/>
  <c r="J822"/>
  <c r="L821"/>
  <c r="J821"/>
  <c r="L820"/>
  <c r="J820"/>
  <c r="L819"/>
  <c r="J819"/>
  <c r="L818"/>
  <c r="J818"/>
  <c r="L817"/>
  <c r="J817"/>
  <c r="L816"/>
  <c r="J816"/>
  <c r="L815"/>
  <c r="J815"/>
  <c r="L814"/>
  <c r="J814"/>
  <c r="L813"/>
  <c r="J813"/>
  <c r="L812"/>
  <c r="J812"/>
  <c r="L811"/>
  <c r="J811"/>
  <c r="L810"/>
  <c r="J810"/>
  <c r="L809"/>
  <c r="J809"/>
  <c r="L808"/>
  <c r="J808"/>
  <c r="L807"/>
  <c r="J807"/>
  <c r="L806"/>
  <c r="J806"/>
  <c r="L805"/>
  <c r="J805"/>
  <c r="L804"/>
  <c r="J804"/>
  <c r="L803"/>
  <c r="J803"/>
  <c r="L802"/>
  <c r="J802"/>
  <c r="L801"/>
  <c r="J801"/>
  <c r="L800"/>
  <c r="J800"/>
  <c r="L799"/>
  <c r="J799"/>
  <c r="L798"/>
  <c r="J798"/>
  <c r="L797"/>
  <c r="J797"/>
  <c r="L796"/>
  <c r="J796"/>
  <c r="L795"/>
  <c r="J795"/>
  <c r="L794"/>
  <c r="J794"/>
  <c r="L793"/>
  <c r="J793"/>
  <c r="L792"/>
  <c r="J792"/>
  <c r="L791"/>
  <c r="J791"/>
  <c r="L790"/>
  <c r="J790"/>
  <c r="L789"/>
  <c r="J789"/>
  <c r="L788"/>
  <c r="J788"/>
  <c r="L787"/>
  <c r="J787"/>
  <c r="L786"/>
  <c r="J786"/>
  <c r="L785"/>
  <c r="J785"/>
  <c r="L784"/>
  <c r="J784"/>
  <c r="L783"/>
  <c r="J783"/>
  <c r="L782"/>
  <c r="J782"/>
  <c r="L781"/>
  <c r="J781"/>
  <c r="L780"/>
  <c r="J780"/>
  <c r="L779"/>
  <c r="J779"/>
  <c r="L778"/>
  <c r="J778"/>
  <c r="L777"/>
  <c r="J777"/>
  <c r="L776"/>
  <c r="J776"/>
  <c r="L775"/>
  <c r="J775"/>
  <c r="L774"/>
  <c r="J774"/>
  <c r="L773"/>
  <c r="J773"/>
  <c r="L772"/>
  <c r="J772"/>
  <c r="L771"/>
  <c r="J771"/>
  <c r="L770"/>
  <c r="J770"/>
  <c r="L769"/>
  <c r="J769"/>
  <c r="L768"/>
  <c r="J768"/>
  <c r="L767"/>
  <c r="J767"/>
  <c r="L766"/>
  <c r="J766"/>
  <c r="L765"/>
  <c r="J765"/>
  <c r="L764"/>
  <c r="J764"/>
  <c r="L763"/>
  <c r="J763"/>
  <c r="L762"/>
  <c r="J762"/>
  <c r="L761"/>
  <c r="J761"/>
  <c r="L760"/>
  <c r="J760"/>
  <c r="L759"/>
  <c r="J759"/>
  <c r="L758"/>
  <c r="J758"/>
  <c r="L757"/>
  <c r="J757"/>
  <c r="L756"/>
  <c r="J756"/>
  <c r="L755"/>
  <c r="J755"/>
  <c r="L754"/>
  <c r="J754"/>
  <c r="L753"/>
  <c r="J753"/>
  <c r="L752"/>
  <c r="J752"/>
  <c r="L751"/>
  <c r="J751"/>
  <c r="L750"/>
  <c r="J750"/>
  <c r="L749"/>
  <c r="J749"/>
  <c r="L748"/>
  <c r="J748"/>
  <c r="L747"/>
  <c r="J747"/>
  <c r="L746"/>
  <c r="J746"/>
  <c r="L745"/>
  <c r="J745"/>
  <c r="L744"/>
  <c r="J744"/>
  <c r="L743"/>
  <c r="J743"/>
  <c r="L742"/>
  <c r="J742"/>
  <c r="L741"/>
  <c r="J741"/>
  <c r="L740"/>
  <c r="J740"/>
  <c r="L739"/>
  <c r="J739"/>
  <c r="L738"/>
  <c r="J738"/>
  <c r="L737"/>
  <c r="J737"/>
  <c r="L736"/>
  <c r="J736"/>
  <c r="L735"/>
  <c r="J735"/>
  <c r="L734"/>
  <c r="J734"/>
  <c r="L733"/>
  <c r="J733"/>
  <c r="L732"/>
  <c r="J732"/>
  <c r="L731"/>
  <c r="J731"/>
  <c r="L730"/>
  <c r="J730"/>
  <c r="L729"/>
  <c r="J729"/>
  <c r="L728"/>
  <c r="J728"/>
  <c r="L727"/>
  <c r="J727"/>
  <c r="L726"/>
  <c r="J726"/>
  <c r="L725"/>
  <c r="J725"/>
  <c r="L724"/>
  <c r="J724"/>
  <c r="L723"/>
  <c r="J723"/>
  <c r="L722"/>
  <c r="J722"/>
  <c r="L721"/>
  <c r="J721"/>
  <c r="L720"/>
  <c r="J720"/>
  <c r="L719"/>
  <c r="J719"/>
  <c r="L718"/>
  <c r="J718"/>
  <c r="L717"/>
  <c r="J717"/>
  <c r="L716"/>
  <c r="J716"/>
  <c r="L715"/>
  <c r="J715"/>
  <c r="L714"/>
  <c r="J714"/>
  <c r="L713"/>
  <c r="J713"/>
  <c r="L712"/>
  <c r="J712"/>
  <c r="L711"/>
  <c r="J711"/>
  <c r="L710"/>
  <c r="J710"/>
  <c r="L709"/>
  <c r="J709"/>
  <c r="L708"/>
  <c r="J708"/>
  <c r="L707"/>
  <c r="J707"/>
  <c r="L706"/>
  <c r="J706"/>
  <c r="L705"/>
  <c r="J705"/>
  <c r="L704"/>
  <c r="J704"/>
  <c r="L703"/>
  <c r="J703"/>
  <c r="L702"/>
  <c r="J702"/>
  <c r="L701"/>
  <c r="J701"/>
  <c r="L700"/>
  <c r="J700"/>
  <c r="L699"/>
  <c r="J699"/>
  <c r="L698"/>
  <c r="J698"/>
  <c r="L697"/>
  <c r="J697"/>
  <c r="L696"/>
  <c r="J696"/>
  <c r="L695"/>
  <c r="J695"/>
  <c r="L694"/>
  <c r="J694"/>
  <c r="L693"/>
  <c r="J693"/>
  <c r="L692"/>
  <c r="J692"/>
  <c r="L691"/>
  <c r="J691"/>
  <c r="L690"/>
  <c r="J690"/>
  <c r="L689"/>
  <c r="J689"/>
  <c r="L688"/>
  <c r="J688"/>
  <c r="L687"/>
  <c r="J687"/>
  <c r="L686"/>
  <c r="J686"/>
  <c r="L685"/>
  <c r="J685"/>
  <c r="L684"/>
  <c r="J684"/>
  <c r="L683"/>
  <c r="J683"/>
  <c r="L682"/>
  <c r="J682"/>
  <c r="L681"/>
  <c r="J681"/>
  <c r="L680"/>
  <c r="J680"/>
  <c r="L679"/>
  <c r="J679"/>
  <c r="L678"/>
  <c r="J678"/>
  <c r="L677"/>
  <c r="J677"/>
  <c r="L676"/>
  <c r="J676"/>
  <c r="L675"/>
  <c r="J675"/>
  <c r="L674"/>
  <c r="J674"/>
  <c r="L673"/>
  <c r="J673"/>
  <c r="L672"/>
  <c r="J672"/>
  <c r="L671"/>
  <c r="J671"/>
  <c r="L670"/>
  <c r="J670"/>
  <c r="L669"/>
  <c r="J669"/>
  <c r="L668"/>
  <c r="J668"/>
  <c r="L667"/>
  <c r="J667"/>
  <c r="L666"/>
  <c r="J666"/>
  <c r="L665"/>
  <c r="J665"/>
  <c r="L664"/>
  <c r="J664"/>
  <c r="L663"/>
  <c r="J663"/>
  <c r="L662"/>
  <c r="J662"/>
  <c r="L661"/>
  <c r="J661"/>
  <c r="L660"/>
  <c r="J660"/>
  <c r="L659"/>
  <c r="J659"/>
  <c r="L658"/>
  <c r="J658"/>
  <c r="L657"/>
  <c r="J657"/>
  <c r="L656"/>
  <c r="J656"/>
  <c r="L655"/>
  <c r="J655"/>
  <c r="L654"/>
  <c r="J654"/>
  <c r="L653"/>
  <c r="J653"/>
  <c r="L652"/>
  <c r="J652"/>
  <c r="L651"/>
  <c r="J651"/>
  <c r="L650"/>
  <c r="J650"/>
  <c r="L649"/>
  <c r="J649"/>
  <c r="L648"/>
  <c r="J648"/>
  <c r="L647"/>
  <c r="J647"/>
  <c r="L646"/>
  <c r="J646"/>
  <c r="L645"/>
  <c r="J645"/>
  <c r="L644"/>
  <c r="J644"/>
  <c r="L643"/>
  <c r="J643"/>
  <c r="L642"/>
  <c r="J642"/>
  <c r="L641"/>
  <c r="J641"/>
  <c r="L640"/>
  <c r="J640"/>
  <c r="L639"/>
  <c r="J639"/>
  <c r="L638"/>
  <c r="J638"/>
  <c r="L637"/>
  <c r="J637"/>
  <c r="L636"/>
  <c r="J636"/>
  <c r="L635"/>
  <c r="J635"/>
  <c r="L634"/>
  <c r="J634"/>
  <c r="L633"/>
  <c r="J633"/>
  <c r="L632"/>
  <c r="J632"/>
  <c r="L631"/>
  <c r="J631"/>
  <c r="L630"/>
  <c r="J630"/>
  <c r="L629"/>
  <c r="J629"/>
  <c r="L628"/>
  <c r="J628"/>
  <c r="L627"/>
  <c r="J627"/>
  <c r="L626"/>
  <c r="J626"/>
  <c r="L625"/>
  <c r="J625"/>
  <c r="L624"/>
  <c r="J624"/>
  <c r="L623"/>
  <c r="J623"/>
  <c r="L622"/>
  <c r="J622"/>
  <c r="L621"/>
  <c r="J621"/>
  <c r="L620"/>
  <c r="J620"/>
  <c r="L619"/>
  <c r="J619"/>
  <c r="L618"/>
  <c r="J618"/>
  <c r="L617"/>
  <c r="J617"/>
  <c r="L616"/>
  <c r="J616"/>
  <c r="L615"/>
  <c r="J615"/>
  <c r="L614"/>
  <c r="J614"/>
  <c r="L613"/>
  <c r="J613"/>
  <c r="L612"/>
  <c r="J612"/>
  <c r="L611"/>
  <c r="J611"/>
  <c r="L610"/>
  <c r="J610"/>
  <c r="L609"/>
  <c r="J609"/>
  <c r="L608"/>
  <c r="J608"/>
  <c r="L607"/>
  <c r="J607"/>
  <c r="L606"/>
  <c r="J606"/>
  <c r="L605"/>
  <c r="J605"/>
  <c r="L604"/>
  <c r="J604"/>
  <c r="L603"/>
  <c r="J603"/>
  <c r="L602"/>
  <c r="J602"/>
  <c r="L601"/>
  <c r="J601"/>
  <c r="L600"/>
  <c r="J600"/>
  <c r="L599"/>
  <c r="J599"/>
  <c r="L598"/>
  <c r="J598"/>
  <c r="L597"/>
  <c r="J597"/>
  <c r="L596"/>
  <c r="J596"/>
  <c r="L595"/>
  <c r="J595"/>
  <c r="L594"/>
  <c r="J594"/>
  <c r="L593"/>
  <c r="J593"/>
  <c r="L592"/>
  <c r="J592"/>
  <c r="L591"/>
  <c r="J591"/>
  <c r="L590"/>
  <c r="J590"/>
  <c r="L589"/>
  <c r="J589"/>
  <c r="L588"/>
  <c r="J588"/>
  <c r="L587"/>
  <c r="J587"/>
  <c r="L586"/>
  <c r="J586"/>
  <c r="L585"/>
  <c r="J585"/>
  <c r="L584"/>
  <c r="J584"/>
  <c r="L583"/>
  <c r="J583"/>
  <c r="L582"/>
  <c r="J582"/>
  <c r="L581"/>
  <c r="J581"/>
  <c r="L580"/>
  <c r="J580"/>
  <c r="L579"/>
  <c r="J579"/>
  <c r="L578"/>
  <c r="J578"/>
  <c r="L577"/>
  <c r="J577"/>
  <c r="L576"/>
  <c r="J576"/>
  <c r="L575"/>
  <c r="J575"/>
  <c r="L574"/>
  <c r="J574"/>
  <c r="L573"/>
  <c r="J573"/>
  <c r="L572"/>
  <c r="J572"/>
  <c r="L571"/>
  <c r="J571"/>
  <c r="L570"/>
  <c r="J570"/>
  <c r="L569"/>
  <c r="J569"/>
  <c r="L568"/>
  <c r="J568"/>
  <c r="L567"/>
  <c r="J567"/>
  <c r="L566"/>
  <c r="J566"/>
  <c r="L565"/>
  <c r="J565"/>
  <c r="L564"/>
  <c r="J564"/>
  <c r="L563"/>
  <c r="J563"/>
  <c r="L562"/>
  <c r="J562"/>
  <c r="L561"/>
  <c r="J561"/>
  <c r="L560"/>
  <c r="J560"/>
  <c r="L559"/>
  <c r="J559"/>
  <c r="L558"/>
  <c r="J558"/>
  <c r="L557"/>
  <c r="J557"/>
  <c r="L556"/>
  <c r="J556"/>
  <c r="L555"/>
  <c r="J555"/>
  <c r="L554"/>
  <c r="J554"/>
  <c r="L553"/>
  <c r="J553"/>
  <c r="L552"/>
  <c r="J552"/>
  <c r="L551"/>
  <c r="J551"/>
  <c r="L550"/>
  <c r="J550"/>
  <c r="L549"/>
  <c r="J549"/>
  <c r="L548"/>
  <c r="J548"/>
  <c r="L547"/>
  <c r="J547"/>
  <c r="L546"/>
  <c r="J546"/>
  <c r="L545"/>
  <c r="J545"/>
  <c r="L544"/>
  <c r="J544"/>
  <c r="L543"/>
  <c r="J543"/>
  <c r="L542"/>
  <c r="J542"/>
  <c r="L541"/>
  <c r="J541"/>
  <c r="L540"/>
  <c r="J540"/>
  <c r="L539"/>
  <c r="J539"/>
  <c r="L538"/>
  <c r="J538"/>
  <c r="L537"/>
  <c r="J537"/>
  <c r="L536"/>
  <c r="J536"/>
  <c r="L535"/>
  <c r="J535"/>
  <c r="L534"/>
  <c r="J534"/>
  <c r="L533"/>
  <c r="J533"/>
  <c r="L532"/>
  <c r="J532"/>
  <c r="L531"/>
  <c r="J531"/>
  <c r="L530"/>
  <c r="J530"/>
  <c r="L529"/>
  <c r="J529"/>
  <c r="L528"/>
  <c r="J528"/>
  <c r="L527"/>
  <c r="J527"/>
  <c r="L526"/>
  <c r="J526"/>
  <c r="L525"/>
  <c r="J525"/>
  <c r="L524"/>
  <c r="J524"/>
  <c r="L523"/>
  <c r="J523"/>
  <c r="L522"/>
  <c r="J522"/>
  <c r="L521"/>
  <c r="J521"/>
  <c r="L520"/>
  <c r="J520"/>
  <c r="L519"/>
  <c r="J519"/>
  <c r="L518"/>
  <c r="J518"/>
  <c r="L517"/>
  <c r="J517"/>
  <c r="L516"/>
  <c r="J516"/>
  <c r="L515"/>
  <c r="J515"/>
  <c r="L514"/>
  <c r="J514"/>
  <c r="L513"/>
  <c r="J513"/>
  <c r="L512"/>
  <c r="J512"/>
  <c r="L511"/>
  <c r="J511"/>
  <c r="L510"/>
  <c r="J510"/>
  <c r="L509"/>
  <c r="J509"/>
  <c r="L508"/>
  <c r="J508"/>
  <c r="L507"/>
  <c r="J507"/>
  <c r="L506"/>
  <c r="J506"/>
  <c r="L505"/>
  <c r="J505"/>
  <c r="L504"/>
  <c r="J504"/>
  <c r="L503"/>
  <c r="J503"/>
  <c r="L502"/>
  <c r="J502"/>
  <c r="L501"/>
  <c r="J501"/>
  <c r="L500"/>
  <c r="J500"/>
  <c r="L499"/>
  <c r="J499"/>
  <c r="L498"/>
  <c r="J498"/>
  <c r="L497"/>
  <c r="J497"/>
  <c r="L496"/>
  <c r="J496"/>
  <c r="L495"/>
  <c r="J495"/>
  <c r="L494"/>
  <c r="J494"/>
  <c r="L493"/>
  <c r="J493"/>
  <c r="L492"/>
  <c r="J492"/>
  <c r="L491"/>
  <c r="J491"/>
  <c r="L490"/>
  <c r="J490"/>
  <c r="L489"/>
  <c r="J489"/>
  <c r="L488"/>
  <c r="J488"/>
  <c r="L487"/>
  <c r="J487"/>
  <c r="L486"/>
  <c r="J486"/>
  <c r="L485"/>
  <c r="J485"/>
  <c r="L484"/>
  <c r="J484"/>
  <c r="L483"/>
  <c r="J483"/>
  <c r="L482"/>
  <c r="J482"/>
  <c r="L481"/>
  <c r="J481"/>
  <c r="L480"/>
  <c r="J480"/>
  <c r="L479"/>
  <c r="J479"/>
  <c r="L478"/>
  <c r="J478"/>
  <c r="L477"/>
  <c r="J477"/>
  <c r="L476"/>
  <c r="J476"/>
  <c r="L475"/>
  <c r="J475"/>
  <c r="L474"/>
  <c r="J474"/>
  <c r="L473"/>
  <c r="J473"/>
  <c r="L472"/>
  <c r="J472"/>
  <c r="L471"/>
  <c r="J471"/>
  <c r="L470"/>
  <c r="J470"/>
  <c r="L469"/>
  <c r="J469"/>
  <c r="L468"/>
  <c r="J468"/>
  <c r="L467"/>
  <c r="J467"/>
  <c r="L466"/>
  <c r="J466"/>
  <c r="L465"/>
  <c r="J465"/>
  <c r="L464"/>
  <c r="J464"/>
  <c r="L463"/>
  <c r="J463"/>
  <c r="L462"/>
  <c r="J462"/>
  <c r="L461"/>
  <c r="J461"/>
  <c r="L460"/>
  <c r="J460"/>
  <c r="L459"/>
  <c r="J459"/>
  <c r="L458"/>
  <c r="J458"/>
  <c r="L457"/>
  <c r="J457"/>
  <c r="L456"/>
  <c r="J456"/>
  <c r="L455"/>
  <c r="J455"/>
  <c r="L454"/>
  <c r="J454"/>
  <c r="L453"/>
  <c r="J453"/>
  <c r="L452"/>
  <c r="J452"/>
  <c r="L451"/>
  <c r="J451"/>
  <c r="L450"/>
  <c r="J450"/>
  <c r="L449"/>
  <c r="J449"/>
  <c r="L448"/>
  <c r="J448"/>
  <c r="L447"/>
  <c r="J447"/>
  <c r="L446"/>
  <c r="J446"/>
  <c r="L445"/>
  <c r="J445"/>
  <c r="L444"/>
  <c r="J444"/>
  <c r="L443"/>
  <c r="J443"/>
  <c r="L442"/>
  <c r="J442"/>
  <c r="L441"/>
  <c r="J441"/>
  <c r="L440"/>
  <c r="J440"/>
  <c r="L439"/>
  <c r="J439"/>
  <c r="L438"/>
  <c r="J438"/>
  <c r="L437"/>
  <c r="J437"/>
  <c r="L436"/>
  <c r="J436"/>
  <c r="L435"/>
  <c r="J435"/>
  <c r="L434"/>
  <c r="J434"/>
  <c r="L433"/>
  <c r="J433"/>
  <c r="L432"/>
  <c r="J432"/>
  <c r="L431"/>
  <c r="J431"/>
  <c r="L430"/>
  <c r="J430"/>
  <c r="L429"/>
  <c r="J429"/>
  <c r="L428"/>
  <c r="J428"/>
  <c r="L427"/>
  <c r="J427"/>
  <c r="L426"/>
  <c r="J426"/>
  <c r="L425"/>
  <c r="J425"/>
  <c r="L424"/>
  <c r="J424"/>
  <c r="L423"/>
  <c r="J423"/>
  <c r="L422"/>
  <c r="J422"/>
  <c r="L421"/>
  <c r="J421"/>
  <c r="L420"/>
  <c r="J420"/>
  <c r="L419"/>
  <c r="J419"/>
  <c r="L418"/>
  <c r="J418"/>
  <c r="L417"/>
  <c r="J417"/>
  <c r="L416"/>
  <c r="J416"/>
  <c r="L415"/>
  <c r="J415"/>
  <c r="L414"/>
  <c r="J414"/>
  <c r="L413"/>
  <c r="J413"/>
  <c r="L412"/>
  <c r="J412"/>
  <c r="L411"/>
  <c r="J411"/>
  <c r="L410"/>
  <c r="J410"/>
  <c r="L409"/>
  <c r="J409"/>
  <c r="L408"/>
  <c r="J408"/>
  <c r="L407"/>
  <c r="J407"/>
  <c r="L406"/>
  <c r="J406"/>
  <c r="L405"/>
  <c r="J405"/>
  <c r="L404"/>
  <c r="J404"/>
  <c r="L403"/>
  <c r="J403"/>
  <c r="L402"/>
  <c r="J402"/>
  <c r="L401"/>
  <c r="J401"/>
  <c r="L400"/>
  <c r="J400"/>
  <c r="L399"/>
  <c r="J399"/>
  <c r="L398"/>
  <c r="J398"/>
  <c r="L397"/>
  <c r="J397"/>
  <c r="L396"/>
  <c r="J396"/>
  <c r="L395"/>
  <c r="J395"/>
  <c r="L394"/>
  <c r="J394"/>
  <c r="L393"/>
  <c r="J393"/>
  <c r="L392"/>
  <c r="J392"/>
  <c r="L391"/>
  <c r="J391"/>
  <c r="L390"/>
  <c r="J390"/>
  <c r="L389"/>
  <c r="J389"/>
  <c r="L388"/>
  <c r="J388"/>
  <c r="L387"/>
  <c r="J387"/>
  <c r="L386"/>
  <c r="J386"/>
  <c r="L385"/>
  <c r="J385"/>
  <c r="L384"/>
  <c r="J384"/>
  <c r="L383"/>
  <c r="J383"/>
  <c r="L382"/>
  <c r="J382"/>
  <c r="L381"/>
  <c r="J381"/>
  <c r="L380"/>
  <c r="J380"/>
  <c r="L379"/>
  <c r="J379"/>
  <c r="L378"/>
  <c r="J378"/>
  <c r="L377"/>
  <c r="J377"/>
  <c r="L376"/>
  <c r="J376"/>
  <c r="L375"/>
  <c r="J375"/>
  <c r="L374"/>
  <c r="J374"/>
  <c r="L373"/>
  <c r="J373"/>
  <c r="L372"/>
  <c r="J372"/>
  <c r="L371"/>
  <c r="J371"/>
  <c r="L370"/>
  <c r="J370"/>
  <c r="L369"/>
  <c r="J369"/>
  <c r="L368"/>
  <c r="J368"/>
  <c r="L367"/>
  <c r="J367"/>
  <c r="L366"/>
  <c r="J366"/>
  <c r="L365"/>
  <c r="J365"/>
  <c r="L364"/>
  <c r="J364"/>
  <c r="L363"/>
  <c r="J363"/>
  <c r="L362"/>
  <c r="J362"/>
  <c r="L361"/>
  <c r="J361"/>
  <c r="L360"/>
  <c r="J360"/>
  <c r="L359"/>
  <c r="J359"/>
  <c r="L358"/>
  <c r="J358"/>
  <c r="L357"/>
  <c r="J357"/>
  <c r="L356"/>
  <c r="J356"/>
  <c r="L355"/>
  <c r="J355"/>
  <c r="L354"/>
  <c r="J354"/>
  <c r="L353"/>
  <c r="J353"/>
  <c r="L352"/>
  <c r="J352"/>
  <c r="L351"/>
  <c r="J351"/>
  <c r="L350"/>
  <c r="J350"/>
  <c r="L349"/>
  <c r="J349"/>
  <c r="L348"/>
  <c r="J348"/>
  <c r="L347"/>
  <c r="J347"/>
  <c r="L346"/>
  <c r="J346"/>
  <c r="L345"/>
  <c r="J345"/>
  <c r="L344"/>
  <c r="J344"/>
  <c r="L343"/>
  <c r="J343"/>
  <c r="L342"/>
  <c r="J342"/>
  <c r="L341"/>
  <c r="J341"/>
  <c r="L340"/>
  <c r="J340"/>
  <c r="L339"/>
  <c r="J339"/>
  <c r="L338"/>
  <c r="J338"/>
  <c r="L337"/>
  <c r="J337"/>
  <c r="L336"/>
  <c r="J336"/>
  <c r="L335"/>
  <c r="J335"/>
  <c r="L334"/>
  <c r="J334"/>
  <c r="L333"/>
  <c r="J333"/>
  <c r="L332"/>
  <c r="J332"/>
  <c r="L331"/>
  <c r="J331"/>
  <c r="L330"/>
  <c r="J330"/>
  <c r="L329"/>
  <c r="J329"/>
  <c r="L328"/>
  <c r="J328"/>
  <c r="L327"/>
  <c r="J327"/>
  <c r="L326"/>
  <c r="J326"/>
  <c r="L325"/>
  <c r="J325"/>
  <c r="L324"/>
  <c r="J324"/>
  <c r="L323"/>
  <c r="J323"/>
  <c r="L322"/>
  <c r="J322"/>
  <c r="L321"/>
  <c r="J321"/>
  <c r="L320"/>
  <c r="J320"/>
  <c r="L319"/>
  <c r="J319"/>
  <c r="L318"/>
  <c r="J318"/>
  <c r="L317"/>
  <c r="J317"/>
  <c r="L316"/>
  <c r="J316"/>
  <c r="L315"/>
  <c r="J315"/>
  <c r="L314"/>
  <c r="J314"/>
  <c r="L313"/>
  <c r="J313"/>
  <c r="L312"/>
  <c r="J312"/>
  <c r="L311"/>
  <c r="J311"/>
  <c r="L310"/>
  <c r="J310"/>
  <c r="L309"/>
  <c r="J309"/>
  <c r="L308"/>
  <c r="J308"/>
  <c r="L307"/>
  <c r="J307"/>
  <c r="L306"/>
  <c r="J306"/>
  <c r="L305"/>
  <c r="J305"/>
  <c r="L304"/>
  <c r="J304"/>
  <c r="L303"/>
  <c r="J303"/>
  <c r="L302"/>
  <c r="J302"/>
  <c r="L301"/>
  <c r="J301"/>
  <c r="L300"/>
  <c r="J300"/>
  <c r="L299"/>
  <c r="J299"/>
  <c r="L298"/>
  <c r="J298"/>
  <c r="L297"/>
  <c r="J297"/>
  <c r="L296"/>
  <c r="J296"/>
  <c r="L295"/>
  <c r="J295"/>
  <c r="L294"/>
  <c r="J294"/>
  <c r="L293"/>
  <c r="J293"/>
  <c r="L292"/>
  <c r="J292"/>
  <c r="L291"/>
  <c r="J291"/>
  <c r="L290"/>
  <c r="J290"/>
  <c r="L289"/>
  <c r="J289"/>
  <c r="L288"/>
  <c r="J288"/>
  <c r="L287"/>
  <c r="J287"/>
  <c r="L286"/>
  <c r="J286"/>
  <c r="L285"/>
  <c r="J285"/>
  <c r="L284"/>
  <c r="J284"/>
  <c r="L283"/>
  <c r="J283"/>
  <c r="L282"/>
  <c r="J282"/>
  <c r="L281"/>
  <c r="J281"/>
  <c r="L280"/>
  <c r="J280"/>
  <c r="L279"/>
  <c r="J279"/>
  <c r="L278"/>
  <c r="J278"/>
  <c r="L277"/>
  <c r="J277"/>
  <c r="L276"/>
  <c r="J276"/>
  <c r="L275"/>
  <c r="J275"/>
  <c r="L274"/>
  <c r="J274"/>
  <c r="L273"/>
  <c r="J273"/>
  <c r="L272"/>
  <c r="J272"/>
  <c r="L271"/>
  <c r="J271"/>
  <c r="L270"/>
  <c r="J270"/>
  <c r="L269"/>
  <c r="J269"/>
  <c r="L268"/>
  <c r="J268"/>
  <c r="L267"/>
  <c r="J267"/>
  <c r="L266"/>
  <c r="J266"/>
  <c r="L265"/>
  <c r="J265"/>
  <c r="L264"/>
  <c r="J264"/>
  <c r="L263"/>
  <c r="J263"/>
  <c r="L262"/>
  <c r="J262"/>
  <c r="L261"/>
  <c r="J261"/>
  <c r="L260"/>
  <c r="J260"/>
  <c r="L259"/>
  <c r="J259"/>
  <c r="L258"/>
  <c r="J258"/>
  <c r="L257"/>
  <c r="J257"/>
  <c r="L256"/>
  <c r="J256"/>
  <c r="L255"/>
  <c r="J255"/>
  <c r="L254"/>
  <c r="J254"/>
  <c r="L253"/>
  <c r="J253"/>
  <c r="L252"/>
  <c r="J252"/>
  <c r="L251"/>
  <c r="J251"/>
  <c r="L250"/>
  <c r="J250"/>
  <c r="L249"/>
  <c r="J249"/>
  <c r="L248"/>
  <c r="J248"/>
  <c r="L247"/>
  <c r="J247"/>
  <c r="L246"/>
  <c r="J246"/>
  <c r="L245"/>
  <c r="J245"/>
  <c r="L244"/>
  <c r="J244"/>
  <c r="L243"/>
  <c r="J243"/>
  <c r="L242"/>
  <c r="J242"/>
  <c r="L241"/>
  <c r="J241"/>
  <c r="L240"/>
  <c r="J240"/>
  <c r="L239"/>
  <c r="J239"/>
  <c r="L238"/>
  <c r="J238"/>
  <c r="L237"/>
  <c r="J237"/>
  <c r="L236"/>
  <c r="J236"/>
  <c r="L235"/>
  <c r="J235"/>
  <c r="L234"/>
  <c r="J234"/>
  <c r="L233"/>
  <c r="J233"/>
  <c r="L232"/>
  <c r="J232"/>
  <c r="L231"/>
  <c r="J231"/>
  <c r="L230"/>
  <c r="J230"/>
  <c r="L229"/>
  <c r="J229"/>
  <c r="L228"/>
  <c r="J228"/>
  <c r="L227"/>
  <c r="J227"/>
  <c r="L226"/>
  <c r="J226"/>
  <c r="L225"/>
  <c r="J225"/>
  <c r="L224"/>
  <c r="J224"/>
  <c r="L223"/>
  <c r="J223"/>
  <c r="L222"/>
  <c r="J222"/>
  <c r="L221"/>
  <c r="J221"/>
  <c r="L220"/>
  <c r="J220"/>
  <c r="L219"/>
  <c r="J219"/>
  <c r="L218"/>
  <c r="J218"/>
  <c r="L217"/>
  <c r="J217"/>
  <c r="L216"/>
  <c r="J216"/>
  <c r="L215"/>
  <c r="J215"/>
  <c r="L214"/>
  <c r="J214"/>
  <c r="L213"/>
  <c r="J213"/>
  <c r="L212"/>
  <c r="J212"/>
  <c r="L211"/>
  <c r="J211"/>
  <c r="L210"/>
  <c r="J210"/>
  <c r="L209"/>
  <c r="J209"/>
  <c r="L208"/>
  <c r="J208"/>
  <c r="L207"/>
  <c r="J207"/>
  <c r="L206"/>
  <c r="J206"/>
  <c r="L205"/>
  <c r="J205"/>
  <c r="L204"/>
  <c r="J204"/>
  <c r="L203"/>
  <c r="J203"/>
  <c r="L202"/>
  <c r="J202"/>
  <c r="L201"/>
  <c r="J201"/>
  <c r="L200"/>
  <c r="J200"/>
  <c r="L199"/>
  <c r="J199"/>
  <c r="L198"/>
  <c r="J198"/>
  <c r="L197"/>
  <c r="J197"/>
  <c r="L196"/>
  <c r="J196"/>
  <c r="L195"/>
  <c r="J195"/>
  <c r="L194"/>
  <c r="J194"/>
  <c r="L193"/>
  <c r="J193"/>
  <c r="L192"/>
  <c r="J192"/>
  <c r="L191"/>
  <c r="J191"/>
  <c r="L190"/>
  <c r="J190"/>
  <c r="L189"/>
  <c r="J189"/>
  <c r="L188"/>
  <c r="J188"/>
  <c r="L187"/>
  <c r="J187"/>
  <c r="L186"/>
  <c r="J186"/>
  <c r="L185"/>
  <c r="J185"/>
  <c r="L184"/>
  <c r="J184"/>
  <c r="L183"/>
  <c r="J183"/>
  <c r="L182"/>
  <c r="J182"/>
  <c r="L181"/>
  <c r="J181"/>
  <c r="L180"/>
  <c r="J180"/>
  <c r="L179"/>
  <c r="J179"/>
  <c r="L178"/>
  <c r="J178"/>
  <c r="L177"/>
  <c r="J177"/>
  <c r="L176"/>
  <c r="J176"/>
  <c r="L175"/>
  <c r="J175"/>
  <c r="L174"/>
  <c r="J174"/>
  <c r="L173"/>
  <c r="J173"/>
  <c r="L172"/>
  <c r="J172"/>
  <c r="L171"/>
  <c r="J171"/>
  <c r="L170"/>
  <c r="J170"/>
  <c r="L169"/>
  <c r="J169"/>
  <c r="L168"/>
  <c r="J168"/>
  <c r="L167"/>
  <c r="J167"/>
  <c r="L166"/>
  <c r="J166"/>
  <c r="L165"/>
  <c r="J165"/>
  <c r="L164"/>
  <c r="J164"/>
  <c r="L163"/>
  <c r="J163"/>
  <c r="L162"/>
  <c r="J162"/>
  <c r="L161"/>
  <c r="J161"/>
  <c r="L160"/>
  <c r="J160"/>
  <c r="L159"/>
  <c r="J159"/>
  <c r="L158"/>
  <c r="J158"/>
  <c r="L157"/>
  <c r="J157"/>
  <c r="L156"/>
  <c r="J156"/>
  <c r="L155"/>
  <c r="J155"/>
  <c r="L154"/>
  <c r="J154"/>
  <c r="L153"/>
  <c r="J153"/>
  <c r="L152"/>
  <c r="J152"/>
  <c r="L151"/>
  <c r="J151"/>
  <c r="L150"/>
  <c r="J150"/>
  <c r="L149"/>
  <c r="J149"/>
  <c r="L148"/>
  <c r="J148"/>
  <c r="L147"/>
  <c r="J147"/>
  <c r="L146"/>
  <c r="J146"/>
  <c r="L145"/>
  <c r="J145"/>
  <c r="L144"/>
  <c r="J144"/>
  <c r="L143"/>
  <c r="J143"/>
  <c r="L142"/>
  <c r="J142"/>
  <c r="L141"/>
  <c r="J141"/>
  <c r="L140"/>
  <c r="J140"/>
  <c r="L139"/>
  <c r="J139"/>
  <c r="L138"/>
  <c r="J138"/>
  <c r="L137"/>
  <c r="J137"/>
  <c r="L136"/>
  <c r="J136"/>
  <c r="L135"/>
  <c r="J135"/>
  <c r="L134"/>
  <c r="J134"/>
  <c r="L133"/>
  <c r="J133"/>
  <c r="L132"/>
  <c r="J132"/>
  <c r="L131"/>
  <c r="J131"/>
  <c r="L130"/>
  <c r="J130"/>
  <c r="L129"/>
  <c r="J129"/>
  <c r="L128"/>
  <c r="J128"/>
  <c r="L127"/>
  <c r="J127"/>
  <c r="L126"/>
  <c r="J126"/>
  <c r="L125"/>
  <c r="J125"/>
  <c r="L124"/>
  <c r="J124"/>
  <c r="L123"/>
  <c r="J123"/>
  <c r="L122"/>
  <c r="J122"/>
  <c r="L121"/>
  <c r="J121"/>
  <c r="L120"/>
  <c r="J120"/>
  <c r="L119"/>
  <c r="J119"/>
  <c r="L118"/>
  <c r="J118"/>
  <c r="L117"/>
  <c r="J117"/>
  <c r="L116"/>
  <c r="J116"/>
  <c r="L115"/>
  <c r="J115"/>
  <c r="L114"/>
  <c r="J114"/>
  <c r="L113"/>
  <c r="J113"/>
  <c r="L112"/>
  <c r="J112"/>
  <c r="L111"/>
  <c r="J111"/>
  <c r="L110"/>
  <c r="J110"/>
  <c r="L109"/>
  <c r="J109"/>
  <c r="L108"/>
  <c r="J108"/>
  <c r="L107"/>
  <c r="J107"/>
  <c r="L106"/>
  <c r="J106"/>
  <c r="L105"/>
  <c r="J105"/>
  <c r="L104"/>
  <c r="J104"/>
  <c r="L103"/>
  <c r="J103"/>
  <c r="L102"/>
  <c r="J102"/>
  <c r="L101"/>
  <c r="J101"/>
  <c r="L100"/>
  <c r="J100"/>
  <c r="L99"/>
  <c r="J99"/>
  <c r="L98"/>
  <c r="J98"/>
  <c r="L97"/>
  <c r="J97"/>
  <c r="L96"/>
  <c r="J96"/>
  <c r="L95"/>
  <c r="J95"/>
  <c r="L94"/>
  <c r="J94"/>
  <c r="L93"/>
  <c r="J93"/>
  <c r="L92"/>
  <c r="J92"/>
  <c r="L91"/>
  <c r="J91"/>
  <c r="L90"/>
  <c r="J90"/>
  <c r="L89"/>
  <c r="J89"/>
  <c r="L88"/>
  <c r="J88"/>
  <c r="L87"/>
  <c r="J87"/>
  <c r="L86"/>
  <c r="J86"/>
  <c r="L85"/>
  <c r="J85"/>
  <c r="L84"/>
  <c r="J84"/>
  <c r="L83"/>
  <c r="J83"/>
  <c r="L82"/>
  <c r="J82"/>
  <c r="L81"/>
  <c r="J81"/>
  <c r="L80"/>
  <c r="J80"/>
  <c r="L79"/>
  <c r="J79"/>
  <c r="L78"/>
  <c r="J78"/>
  <c r="L77"/>
  <c r="J77"/>
  <c r="L76"/>
  <c r="J76"/>
  <c r="L75"/>
  <c r="J75"/>
  <c r="L74"/>
  <c r="J74"/>
  <c r="L73"/>
  <c r="J73"/>
  <c r="L72"/>
  <c r="J72"/>
  <c r="L71"/>
  <c r="J71"/>
  <c r="L70"/>
  <c r="J70"/>
  <c r="L69"/>
  <c r="J69"/>
  <c r="L68"/>
  <c r="J68"/>
  <c r="L67"/>
  <c r="J67"/>
  <c r="L66"/>
  <c r="J66"/>
  <c r="L65"/>
  <c r="J65"/>
  <c r="L64"/>
  <c r="J64"/>
  <c r="L63"/>
  <c r="J63"/>
  <c r="L62"/>
  <c r="J62"/>
  <c r="L61"/>
  <c r="J61"/>
  <c r="L60"/>
  <c r="J60"/>
  <c r="L59"/>
  <c r="J59"/>
  <c r="L58"/>
  <c r="J58"/>
  <c r="L57"/>
  <c r="J57"/>
  <c r="L56"/>
  <c r="J56"/>
  <c r="L55"/>
  <c r="J55"/>
  <c r="L54"/>
  <c r="J54"/>
  <c r="L53"/>
  <c r="J53"/>
  <c r="L52"/>
  <c r="J52"/>
  <c r="L51"/>
  <c r="J51"/>
  <c r="L50"/>
  <c r="J50"/>
  <c r="L49"/>
  <c r="J49"/>
  <c r="L48"/>
  <c r="J48"/>
  <c r="L47"/>
  <c r="J47"/>
  <c r="L46"/>
  <c r="J46"/>
  <c r="L45"/>
  <c r="J45"/>
  <c r="L44"/>
  <c r="J44"/>
  <c r="L43"/>
  <c r="J43"/>
  <c r="L42"/>
  <c r="J42"/>
  <c r="L41"/>
  <c r="J41"/>
  <c r="L40"/>
  <c r="J40"/>
  <c r="L39"/>
  <c r="J39"/>
  <c r="L38"/>
  <c r="J38"/>
  <c r="L37"/>
  <c r="J37"/>
  <c r="L36"/>
  <c r="J36"/>
  <c r="L35"/>
  <c r="J35"/>
  <c r="L34"/>
  <c r="J34"/>
  <c r="L33"/>
  <c r="J33"/>
  <c r="L32"/>
  <c r="J32"/>
  <c r="L31"/>
  <c r="J31"/>
  <c r="L30"/>
  <c r="J30"/>
  <c r="L29"/>
  <c r="J29"/>
  <c r="L28"/>
  <c r="J28"/>
  <c r="L27"/>
  <c r="J27"/>
  <c r="L26"/>
  <c r="J26"/>
  <c r="L25"/>
  <c r="J25"/>
  <c r="L24"/>
  <c r="J24"/>
  <c r="L23"/>
  <c r="J23"/>
  <c r="L22"/>
  <c r="J22"/>
  <c r="L21"/>
  <c r="J21"/>
  <c r="L20"/>
  <c r="J20"/>
  <c r="L19"/>
  <c r="J19"/>
  <c r="L18"/>
  <c r="J18"/>
  <c r="L17"/>
  <c r="J17"/>
  <c r="L16"/>
  <c r="J16"/>
  <c r="L15"/>
  <c r="J15"/>
  <c r="L14"/>
  <c r="J14"/>
  <c r="L13"/>
  <c r="J13"/>
  <c r="L12"/>
  <c r="J12"/>
  <c r="L11"/>
  <c r="J11"/>
  <c r="L10"/>
  <c r="J10"/>
  <c r="L9"/>
  <c r="J9"/>
  <c r="L8"/>
  <c r="J8"/>
  <c r="L7"/>
  <c r="J7"/>
  <c r="L6"/>
  <c r="J6"/>
  <c r="L5"/>
  <c r="J5"/>
  <c r="L4"/>
  <c r="J4"/>
  <c r="L3"/>
  <c r="J3"/>
  <c r="E25" i="11"/>
  <c r="F25" s="1"/>
  <c r="E24"/>
  <c r="F24" s="1"/>
  <c r="E23"/>
  <c r="F23" s="1"/>
  <c r="E22"/>
  <c r="F22" s="1"/>
  <c r="E21"/>
  <c r="F21" s="1"/>
  <c r="E20"/>
  <c r="F20" s="1"/>
  <c r="E19"/>
  <c r="F19" s="1"/>
  <c r="E18"/>
  <c r="F18" s="1"/>
  <c r="E17"/>
  <c r="F17" s="1"/>
  <c r="E16"/>
  <c r="F16" s="1"/>
  <c r="E15"/>
  <c r="F15" s="1"/>
  <c r="E14"/>
  <c r="F14" s="1"/>
  <c r="E13"/>
  <c r="F13" s="1"/>
  <c r="E12"/>
  <c r="F12" s="1"/>
  <c r="E11"/>
  <c r="F11" s="1"/>
  <c r="E10"/>
  <c r="F10" s="1"/>
  <c r="E9"/>
  <c r="F9" s="1"/>
  <c r="E8"/>
  <c r="F8" s="1"/>
  <c r="E7"/>
  <c r="F7" s="1"/>
  <c r="E6"/>
  <c r="F6" s="1"/>
  <c r="E5"/>
  <c r="F5" s="1"/>
  <c r="E4"/>
  <c r="F4" s="1"/>
  <c r="E3"/>
  <c r="F3" s="1"/>
  <c r="E2"/>
  <c r="F2" s="1"/>
  <c r="C27" l="1"/>
  <c r="C28" s="1"/>
  <c r="C29" s="1"/>
  <c r="H30" i="8"/>
  <c r="I3"/>
  <c r="I15"/>
  <c r="H15"/>
  <c r="H21" l="1"/>
  <c r="H23" s="1"/>
  <c r="H25" s="1"/>
  <c r="H27" s="1"/>
  <c r="H32"/>
  <c r="H34" s="1"/>
</calcChain>
</file>

<file path=xl/sharedStrings.xml><?xml version="1.0" encoding="utf-8"?>
<sst xmlns="http://schemas.openxmlformats.org/spreadsheetml/2006/main" count="41" uniqueCount="35">
  <si>
    <t>Pot.Attiva</t>
  </si>
  <si>
    <t>[Watt]</t>
  </si>
  <si>
    <t>Righe tot.</t>
  </si>
  <si>
    <t>Trappola</t>
  </si>
  <si>
    <t>Ora</t>
  </si>
  <si>
    <t>[hh:mm]</t>
  </si>
  <si>
    <t>Data</t>
  </si>
  <si>
    <t>% Pot.Att</t>
  </si>
  <si>
    <t>Fascia oraria 1</t>
  </si>
  <si>
    <t>€/kWh</t>
  </si>
  <si>
    <t>Fascia oraria 2</t>
  </si>
  <si>
    <t>[gg/mm/aaaa]</t>
  </si>
  <si>
    <t>costo tot.</t>
  </si>
  <si>
    <t>costo medio giorn.</t>
  </si>
  <si>
    <t>costo medio mensile</t>
  </si>
  <si>
    <t>costo medio annuo</t>
  </si>
  <si>
    <t>€</t>
  </si>
  <si>
    <t>pot.Max</t>
  </si>
  <si>
    <t>costo max orario.</t>
  </si>
  <si>
    <t>c€</t>
  </si>
  <si>
    <t>pot.media</t>
  </si>
  <si>
    <t>Leggi da</t>
  </si>
  <si>
    <t>minuto</t>
  </si>
  <si>
    <t>costo md.giorn. 24 h</t>
  </si>
  <si>
    <t>costo 24h.</t>
  </si>
  <si>
    <t>costo medio orario</t>
  </si>
  <si>
    <t>[ora]</t>
  </si>
  <si>
    <t>[kWh]</t>
  </si>
  <si>
    <t>[€/kWh]</t>
  </si>
  <si>
    <t>letture</t>
  </si>
  <si>
    <t>[Wh]</t>
  </si>
  <si>
    <t>[Spesa oraria]</t>
  </si>
  <si>
    <t>costo giorno</t>
  </si>
  <si>
    <t>costo mese</t>
  </si>
  <si>
    <t>costo anno</t>
  </si>
</sst>
</file>

<file path=xl/styles.xml><?xml version="1.0" encoding="utf-8"?>
<styleSheet xmlns="http://schemas.openxmlformats.org/spreadsheetml/2006/main">
  <numFmts count="8">
    <numFmt numFmtId="164" formatCode="#,##0.0"/>
    <numFmt numFmtId="165" formatCode="0.000"/>
    <numFmt numFmtId="166" formatCode="0.0"/>
    <numFmt numFmtId="167" formatCode="0.0000"/>
    <numFmt numFmtId="168" formatCode="dd\ h:mm"/>
    <numFmt numFmtId="169" formatCode="#,##0.000\ &quot;€&quot;"/>
    <numFmt numFmtId="170" formatCode="#,##0.0\ \c&quot;€&quot;"/>
    <numFmt numFmtId="171" formatCode="#,##0.00\ &quot;€&quot;"/>
  </numFmts>
  <fonts count="6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0"/>
      <color rgb="FF009900"/>
      <name val="Times New Roman"/>
      <family val="1"/>
    </font>
    <font>
      <b/>
      <sz val="10"/>
      <name val="Times New Roman"/>
      <family val="1"/>
    </font>
    <font>
      <sz val="10"/>
      <color rgb="FF000000"/>
      <name val="Times New Roman"/>
      <family val="1"/>
    </font>
    <font>
      <i/>
      <sz val="8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10" fontId="2" fillId="3" borderId="3" xfId="0" applyNumberFormat="1" applyFont="1" applyFill="1" applyBorder="1" applyAlignment="1" applyProtection="1">
      <alignment horizontal="center"/>
      <protection locked="0"/>
    </xf>
    <xf numFmtId="3" fontId="2" fillId="3" borderId="3" xfId="0" applyNumberFormat="1" applyFont="1" applyFill="1" applyBorder="1" applyAlignment="1" applyProtection="1">
      <alignment horizontal="center"/>
      <protection locked="0"/>
    </xf>
    <xf numFmtId="20" fontId="2" fillId="3" borderId="6" xfId="0" applyNumberFormat="1" applyFont="1" applyFill="1" applyBorder="1" applyProtection="1">
      <protection locked="0"/>
    </xf>
    <xf numFmtId="20" fontId="2" fillId="3" borderId="7" xfId="0" applyNumberFormat="1" applyFont="1" applyFill="1" applyBorder="1" applyProtection="1">
      <protection locked="0"/>
    </xf>
    <xf numFmtId="165" fontId="2" fillId="3" borderId="8" xfId="0" applyNumberFormat="1" applyFont="1" applyFill="1" applyBorder="1" applyProtection="1">
      <protection locked="0"/>
    </xf>
    <xf numFmtId="0" fontId="0" fillId="3" borderId="9" xfId="0" applyFill="1" applyBorder="1" applyProtection="1">
      <protection locked="0"/>
    </xf>
    <xf numFmtId="14" fontId="1" fillId="0" borderId="0" xfId="0" applyNumberFormat="1" applyFont="1" applyAlignment="1" applyProtection="1">
      <alignment horizontal="center"/>
      <protection hidden="1"/>
    </xf>
    <xf numFmtId="166" fontId="1" fillId="0" borderId="0" xfId="0" applyNumberFormat="1" applyFont="1" applyAlignment="1" applyProtection="1">
      <alignment horizontal="center"/>
      <protection hidden="1"/>
    </xf>
    <xf numFmtId="165" fontId="1" fillId="0" borderId="0" xfId="0" applyNumberFormat="1" applyFont="1" applyAlignment="1" applyProtection="1">
      <alignment horizontal="center"/>
      <protection hidden="1"/>
    </xf>
    <xf numFmtId="2" fontId="1" fillId="0" borderId="0" xfId="0" applyNumberFormat="1" applyFont="1" applyAlignment="1" applyProtection="1">
      <alignment horizontal="center"/>
      <protection hidden="1"/>
    </xf>
    <xf numFmtId="164" fontId="1" fillId="0" borderId="0" xfId="0" applyNumberFormat="1" applyFont="1" applyAlignment="1" applyProtection="1">
      <alignment horizontal="center"/>
      <protection hidden="1"/>
    </xf>
    <xf numFmtId="20" fontId="1" fillId="0" borderId="0" xfId="0" applyNumberFormat="1" applyFont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167" fontId="0" fillId="5" borderId="4" xfId="0" applyNumberFormat="1" applyFill="1" applyBorder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2" borderId="3" xfId="0" applyFill="1" applyBorder="1" applyAlignment="1" applyProtection="1">
      <alignment horizontal="center"/>
      <protection hidden="1"/>
    </xf>
    <xf numFmtId="2" fontId="0" fillId="5" borderId="8" xfId="0" applyNumberFormat="1" applyFill="1" applyBorder="1" applyAlignment="1" applyProtection="1">
      <alignment horizontal="center"/>
      <protection hidden="1"/>
    </xf>
    <xf numFmtId="0" fontId="0" fillId="5" borderId="9" xfId="0" applyFill="1" applyBorder="1" applyAlignment="1" applyProtection="1">
      <alignment horizontal="center"/>
      <protection hidden="1"/>
    </xf>
    <xf numFmtId="164" fontId="0" fillId="2" borderId="3" xfId="0" applyNumberForma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20" fontId="0" fillId="0" borderId="0" xfId="0" applyNumberFormat="1" applyAlignment="1" applyProtection="1">
      <alignment horizontal="center"/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167" fontId="0" fillId="0" borderId="0" xfId="0" quotePrefix="1" applyNumberFormat="1" applyProtection="1">
      <protection hidden="1"/>
    </xf>
    <xf numFmtId="165" fontId="0" fillId="0" borderId="0" xfId="0" quotePrefix="1" applyNumberFormat="1" applyProtection="1">
      <protection hidden="1"/>
    </xf>
    <xf numFmtId="167" fontId="0" fillId="0" borderId="0" xfId="0" applyNumberFormat="1" applyProtection="1">
      <protection hidden="1"/>
    </xf>
    <xf numFmtId="22" fontId="0" fillId="0" borderId="0" xfId="0" applyNumberFormat="1" applyProtection="1">
      <protection hidden="1"/>
    </xf>
    <xf numFmtId="0" fontId="0" fillId="0" borderId="0" xfId="0" quotePrefix="1" applyProtection="1"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14" fontId="0" fillId="0" borderId="0" xfId="0" applyNumberFormat="1" applyProtection="1">
      <protection hidden="1"/>
    </xf>
    <xf numFmtId="0" fontId="0" fillId="0" borderId="0" xfId="0" applyNumberFormat="1" applyProtection="1">
      <protection hidden="1"/>
    </xf>
    <xf numFmtId="0" fontId="0" fillId="4" borderId="4" xfId="0" applyFill="1" applyBorder="1" applyProtection="1">
      <protection hidden="1"/>
    </xf>
    <xf numFmtId="0" fontId="0" fillId="4" borderId="5" xfId="0" applyFill="1" applyBorder="1" applyProtection="1">
      <protection hidden="1"/>
    </xf>
    <xf numFmtId="164" fontId="0" fillId="0" borderId="0" xfId="0" applyNumberFormat="1" applyProtection="1">
      <protection hidden="1"/>
    </xf>
    <xf numFmtId="0" fontId="0" fillId="3" borderId="9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5" xfId="0" applyFill="1" applyBorder="1" applyProtection="1">
      <protection hidden="1"/>
    </xf>
    <xf numFmtId="20" fontId="3" fillId="3" borderId="6" xfId="0" applyNumberFormat="1" applyFont="1" applyFill="1" applyBorder="1" applyProtection="1">
      <protection hidden="1"/>
    </xf>
    <xf numFmtId="20" fontId="3" fillId="3" borderId="7" xfId="0" applyNumberFormat="1" applyFont="1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5" xfId="0" applyFill="1" applyBorder="1" applyProtection="1">
      <protection hidden="1"/>
    </xf>
    <xf numFmtId="2" fontId="0" fillId="5" borderId="8" xfId="0" applyNumberFormat="1" applyFill="1" applyBorder="1" applyProtection="1">
      <protection hidden="1"/>
    </xf>
    <xf numFmtId="0" fontId="0" fillId="5" borderId="9" xfId="0" applyFill="1" applyBorder="1" applyProtection="1">
      <protection hidden="1"/>
    </xf>
    <xf numFmtId="4" fontId="0" fillId="5" borderId="8" xfId="0" applyNumberFormat="1" applyFill="1" applyBorder="1" applyProtection="1">
      <protection hidden="1"/>
    </xf>
    <xf numFmtId="0" fontId="0" fillId="5" borderId="0" xfId="0" applyFill="1" applyProtection="1">
      <protection hidden="1"/>
    </xf>
    <xf numFmtId="165" fontId="0" fillId="5" borderId="0" xfId="0" applyNumberFormat="1" applyFill="1" applyProtection="1">
      <protection hidden="1"/>
    </xf>
    <xf numFmtId="0" fontId="5" fillId="0" borderId="0" xfId="0" applyFont="1" applyProtection="1">
      <protection hidden="1"/>
    </xf>
    <xf numFmtId="2" fontId="0" fillId="5" borderId="0" xfId="0" applyNumberFormat="1" applyFill="1" applyProtection="1">
      <protection hidden="1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1" fontId="0" fillId="0" borderId="0" xfId="0" applyNumberFormat="1" applyProtection="1">
      <protection hidden="1"/>
    </xf>
    <xf numFmtId="47" fontId="0" fillId="0" borderId="0" xfId="0" applyNumberFormat="1" applyProtection="1">
      <protection hidden="1"/>
    </xf>
  </cellXfs>
  <cellStyles count="1">
    <cellStyle name="Normale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99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layout>
        <c:manualLayout>
          <c:xMode val="edge"/>
          <c:yMode val="edge"/>
          <c:x val="0.4254112430430958"/>
          <c:y val="8.5297418630751964E-2"/>
        </c:manualLayout>
      </c:layout>
      <c:txPr>
        <a:bodyPr/>
        <a:lstStyle/>
        <a:p>
          <a:pPr>
            <a:defRPr u="sng"/>
          </a:pPr>
          <a:endParaRPr lang="it-IT"/>
        </a:p>
      </c:txPr>
    </c:title>
    <c:plotArea>
      <c:layout>
        <c:manualLayout>
          <c:layoutTarget val="inner"/>
          <c:xMode val="edge"/>
          <c:yMode val="edge"/>
          <c:x val="3.4335584684715592E-2"/>
          <c:y val="2.4059197987456978E-2"/>
          <c:w val="0.93166832375270947"/>
          <c:h val="0.92733494171814357"/>
        </c:manualLayout>
      </c:layout>
      <c:scatterChart>
        <c:scatterStyle val="lineMarker"/>
        <c:ser>
          <c:idx val="0"/>
          <c:order val="0"/>
          <c:tx>
            <c:v>Potenza Attiva [Watt]</c:v>
          </c:tx>
          <c:spPr>
            <a:ln w="158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'Dati-CSV'!$A$3:$A$7003</c:f>
              <c:numCache>
                <c:formatCode>dd/mm/yyyy</c:formatCode>
                <c:ptCount val="7001"/>
                <c:pt idx="0">
                  <c:v>40310.615277777775</c:v>
                </c:pt>
                <c:pt idx="1">
                  <c:v>40310.615972222222</c:v>
                </c:pt>
                <c:pt idx="2">
                  <c:v>40310.616666666669</c:v>
                </c:pt>
                <c:pt idx="3">
                  <c:v>40310.617361111108</c:v>
                </c:pt>
                <c:pt idx="4">
                  <c:v>40310.618055555555</c:v>
                </c:pt>
                <c:pt idx="5">
                  <c:v>40310.618750000001</c:v>
                </c:pt>
                <c:pt idx="6">
                  <c:v>40310.619444444441</c:v>
                </c:pt>
                <c:pt idx="7">
                  <c:v>40310.620138888888</c:v>
                </c:pt>
                <c:pt idx="8">
                  <c:v>40310.620833333334</c:v>
                </c:pt>
                <c:pt idx="9">
                  <c:v>40310.621527777781</c:v>
                </c:pt>
                <c:pt idx="10">
                  <c:v>40310.62222222222</c:v>
                </c:pt>
                <c:pt idx="11">
                  <c:v>40310.622916666667</c:v>
                </c:pt>
                <c:pt idx="12">
                  <c:v>40310.623611111114</c:v>
                </c:pt>
                <c:pt idx="13">
                  <c:v>40310.624305555553</c:v>
                </c:pt>
                <c:pt idx="14">
                  <c:v>40310.625</c:v>
                </c:pt>
                <c:pt idx="15">
                  <c:v>40310.625694444447</c:v>
                </c:pt>
                <c:pt idx="16">
                  <c:v>40310.626388888886</c:v>
                </c:pt>
                <c:pt idx="17">
                  <c:v>40310.627083333333</c:v>
                </c:pt>
                <c:pt idx="18">
                  <c:v>40310.62777777778</c:v>
                </c:pt>
                <c:pt idx="19">
                  <c:v>40310.628472222219</c:v>
                </c:pt>
                <c:pt idx="20">
                  <c:v>40310.629166666666</c:v>
                </c:pt>
                <c:pt idx="21">
                  <c:v>40310.629861111112</c:v>
                </c:pt>
                <c:pt idx="22">
                  <c:v>40310.630555555559</c:v>
                </c:pt>
                <c:pt idx="23">
                  <c:v>40310.631249999999</c:v>
                </c:pt>
                <c:pt idx="24">
                  <c:v>40310.631944444445</c:v>
                </c:pt>
                <c:pt idx="25">
                  <c:v>40310.632638888892</c:v>
                </c:pt>
                <c:pt idx="26">
                  <c:v>40310.633333333331</c:v>
                </c:pt>
                <c:pt idx="27">
                  <c:v>40310.634027777778</c:v>
                </c:pt>
                <c:pt idx="28">
                  <c:v>40310.634722222225</c:v>
                </c:pt>
                <c:pt idx="29">
                  <c:v>40310.635416666664</c:v>
                </c:pt>
                <c:pt idx="30">
                  <c:v>40310.636111111111</c:v>
                </c:pt>
                <c:pt idx="31">
                  <c:v>40310.636805555558</c:v>
                </c:pt>
                <c:pt idx="32">
                  <c:v>40310.637499999997</c:v>
                </c:pt>
                <c:pt idx="33">
                  <c:v>40310.638194444444</c:v>
                </c:pt>
                <c:pt idx="34">
                  <c:v>40310.638888888891</c:v>
                </c:pt>
                <c:pt idx="35">
                  <c:v>40310.63958333333</c:v>
                </c:pt>
                <c:pt idx="36">
                  <c:v>40310.640277777777</c:v>
                </c:pt>
                <c:pt idx="37">
                  <c:v>40310.640972222223</c:v>
                </c:pt>
                <c:pt idx="38">
                  <c:v>40310.64166666667</c:v>
                </c:pt>
                <c:pt idx="39">
                  <c:v>40310.642361111109</c:v>
                </c:pt>
                <c:pt idx="40">
                  <c:v>40310.643055555556</c:v>
                </c:pt>
                <c:pt idx="41">
                  <c:v>40310.643750000003</c:v>
                </c:pt>
                <c:pt idx="42">
                  <c:v>40310.644444444442</c:v>
                </c:pt>
                <c:pt idx="43">
                  <c:v>40310.645138888889</c:v>
                </c:pt>
                <c:pt idx="44">
                  <c:v>40310.645833333336</c:v>
                </c:pt>
                <c:pt idx="45">
                  <c:v>40310.646527777775</c:v>
                </c:pt>
                <c:pt idx="46">
                  <c:v>40310.647222222222</c:v>
                </c:pt>
                <c:pt idx="47">
                  <c:v>40310.647916666669</c:v>
                </c:pt>
                <c:pt idx="48">
                  <c:v>40310.648611111108</c:v>
                </c:pt>
                <c:pt idx="49">
                  <c:v>40310.649305555555</c:v>
                </c:pt>
                <c:pt idx="50">
                  <c:v>40310.65</c:v>
                </c:pt>
                <c:pt idx="51">
                  <c:v>40310.650694444441</c:v>
                </c:pt>
                <c:pt idx="52">
                  <c:v>40310.651388888888</c:v>
                </c:pt>
                <c:pt idx="53">
                  <c:v>40310.652083333334</c:v>
                </c:pt>
                <c:pt idx="54">
                  <c:v>40310.652777777781</c:v>
                </c:pt>
                <c:pt idx="55">
                  <c:v>40310.65347222222</c:v>
                </c:pt>
                <c:pt idx="56">
                  <c:v>40310.654166666667</c:v>
                </c:pt>
                <c:pt idx="57">
                  <c:v>40310.654861111114</c:v>
                </c:pt>
                <c:pt idx="58">
                  <c:v>40310.655555555553</c:v>
                </c:pt>
                <c:pt idx="59">
                  <c:v>40310.65625</c:v>
                </c:pt>
                <c:pt idx="60">
                  <c:v>40310.656944444447</c:v>
                </c:pt>
                <c:pt idx="61">
                  <c:v>40310.657638888886</c:v>
                </c:pt>
                <c:pt idx="62">
                  <c:v>40310.658333333333</c:v>
                </c:pt>
                <c:pt idx="63">
                  <c:v>40310.65902777778</c:v>
                </c:pt>
                <c:pt idx="64">
                  <c:v>40310.659722222219</c:v>
                </c:pt>
                <c:pt idx="65">
                  <c:v>40310.660416666666</c:v>
                </c:pt>
                <c:pt idx="66">
                  <c:v>40310.661111111112</c:v>
                </c:pt>
                <c:pt idx="67">
                  <c:v>40310.661805555559</c:v>
                </c:pt>
                <c:pt idx="68">
                  <c:v>40310.662499999999</c:v>
                </c:pt>
                <c:pt idx="69">
                  <c:v>40310.663194444445</c:v>
                </c:pt>
                <c:pt idx="70">
                  <c:v>40310.663888888892</c:v>
                </c:pt>
                <c:pt idx="71">
                  <c:v>40310.664583333331</c:v>
                </c:pt>
                <c:pt idx="72">
                  <c:v>40310.665277777778</c:v>
                </c:pt>
                <c:pt idx="73">
                  <c:v>40310.665972222225</c:v>
                </c:pt>
                <c:pt idx="74">
                  <c:v>40310.666666666664</c:v>
                </c:pt>
                <c:pt idx="75">
                  <c:v>40310.667361111111</c:v>
                </c:pt>
                <c:pt idx="76">
                  <c:v>40310.668055555558</c:v>
                </c:pt>
                <c:pt idx="77">
                  <c:v>40310.668749999997</c:v>
                </c:pt>
                <c:pt idx="78">
                  <c:v>40310.669444444444</c:v>
                </c:pt>
                <c:pt idx="79">
                  <c:v>40310.670138888891</c:v>
                </c:pt>
                <c:pt idx="80">
                  <c:v>40310.67083333333</c:v>
                </c:pt>
                <c:pt idx="81">
                  <c:v>40310.671527777777</c:v>
                </c:pt>
                <c:pt idx="82">
                  <c:v>40310.672222222223</c:v>
                </c:pt>
                <c:pt idx="83">
                  <c:v>40310.67291666667</c:v>
                </c:pt>
                <c:pt idx="84">
                  <c:v>40310.673611111109</c:v>
                </c:pt>
                <c:pt idx="85">
                  <c:v>40310.674305555556</c:v>
                </c:pt>
                <c:pt idx="86">
                  <c:v>40310.675000000003</c:v>
                </c:pt>
                <c:pt idx="87">
                  <c:v>40310.675694444442</c:v>
                </c:pt>
                <c:pt idx="88">
                  <c:v>40310.676388888889</c:v>
                </c:pt>
                <c:pt idx="89">
                  <c:v>40310.677083333336</c:v>
                </c:pt>
                <c:pt idx="90">
                  <c:v>40310.677777777775</c:v>
                </c:pt>
                <c:pt idx="91">
                  <c:v>40310.678472222222</c:v>
                </c:pt>
                <c:pt idx="92">
                  <c:v>40310.679166666669</c:v>
                </c:pt>
                <c:pt idx="93">
                  <c:v>40310.679861111108</c:v>
                </c:pt>
                <c:pt idx="94">
                  <c:v>40310.680555555555</c:v>
                </c:pt>
                <c:pt idx="95">
                  <c:v>40310.681250000001</c:v>
                </c:pt>
                <c:pt idx="96">
                  <c:v>40310.681944444441</c:v>
                </c:pt>
                <c:pt idx="97">
                  <c:v>40310.682638888888</c:v>
                </c:pt>
                <c:pt idx="98">
                  <c:v>40310.683333333334</c:v>
                </c:pt>
                <c:pt idx="99">
                  <c:v>40310.684027777781</c:v>
                </c:pt>
                <c:pt idx="100">
                  <c:v>40310.68472222222</c:v>
                </c:pt>
                <c:pt idx="101">
                  <c:v>40310.685416666667</c:v>
                </c:pt>
                <c:pt idx="102">
                  <c:v>40310.686111111114</c:v>
                </c:pt>
                <c:pt idx="103">
                  <c:v>40310.686805555553</c:v>
                </c:pt>
                <c:pt idx="104">
                  <c:v>40310.6875</c:v>
                </c:pt>
                <c:pt idx="105">
                  <c:v>40310.688194444447</c:v>
                </c:pt>
                <c:pt idx="106">
                  <c:v>40310.688888888886</c:v>
                </c:pt>
                <c:pt idx="107">
                  <c:v>40310.689583333333</c:v>
                </c:pt>
                <c:pt idx="108">
                  <c:v>40310.69027777778</c:v>
                </c:pt>
                <c:pt idx="109">
                  <c:v>40310.690972222219</c:v>
                </c:pt>
                <c:pt idx="110">
                  <c:v>40310.691666666666</c:v>
                </c:pt>
                <c:pt idx="111">
                  <c:v>40310.692361111112</c:v>
                </c:pt>
                <c:pt idx="112">
                  <c:v>40310.693055555559</c:v>
                </c:pt>
                <c:pt idx="113">
                  <c:v>40310.693749999999</c:v>
                </c:pt>
                <c:pt idx="114">
                  <c:v>40310.694444444445</c:v>
                </c:pt>
                <c:pt idx="115">
                  <c:v>40310.695138888892</c:v>
                </c:pt>
                <c:pt idx="116">
                  <c:v>40310.695833333331</c:v>
                </c:pt>
                <c:pt idx="117">
                  <c:v>40310.696527777778</c:v>
                </c:pt>
                <c:pt idx="118">
                  <c:v>40310.697222222225</c:v>
                </c:pt>
                <c:pt idx="119">
                  <c:v>40310.697916666664</c:v>
                </c:pt>
                <c:pt idx="120">
                  <c:v>40310.698611111111</c:v>
                </c:pt>
                <c:pt idx="121">
                  <c:v>40310.699305555558</c:v>
                </c:pt>
                <c:pt idx="122">
                  <c:v>40310.699999999997</c:v>
                </c:pt>
                <c:pt idx="123">
                  <c:v>40310.700694444444</c:v>
                </c:pt>
                <c:pt idx="124">
                  <c:v>40310.701388888891</c:v>
                </c:pt>
                <c:pt idx="125">
                  <c:v>40310.70208333333</c:v>
                </c:pt>
                <c:pt idx="126">
                  <c:v>40310.702777777777</c:v>
                </c:pt>
                <c:pt idx="127">
                  <c:v>40310.703472222223</c:v>
                </c:pt>
                <c:pt idx="128">
                  <c:v>40310.70416666667</c:v>
                </c:pt>
                <c:pt idx="129">
                  <c:v>40310.704861111109</c:v>
                </c:pt>
                <c:pt idx="130">
                  <c:v>40310.705555555556</c:v>
                </c:pt>
                <c:pt idx="131">
                  <c:v>40310.706250000003</c:v>
                </c:pt>
                <c:pt idx="132">
                  <c:v>40310.706944444442</c:v>
                </c:pt>
                <c:pt idx="133">
                  <c:v>40310.707638888889</c:v>
                </c:pt>
                <c:pt idx="134">
                  <c:v>40310.708333333336</c:v>
                </c:pt>
                <c:pt idx="135">
                  <c:v>40310.709027777775</c:v>
                </c:pt>
                <c:pt idx="136">
                  <c:v>40310.709722222222</c:v>
                </c:pt>
                <c:pt idx="137">
                  <c:v>40310.710416666669</c:v>
                </c:pt>
                <c:pt idx="138">
                  <c:v>40310.711111111108</c:v>
                </c:pt>
                <c:pt idx="139">
                  <c:v>40310.711805555555</c:v>
                </c:pt>
                <c:pt idx="140">
                  <c:v>40310.712500000001</c:v>
                </c:pt>
                <c:pt idx="141">
                  <c:v>40310.713194444441</c:v>
                </c:pt>
                <c:pt idx="142">
                  <c:v>40310.713888888888</c:v>
                </c:pt>
                <c:pt idx="143">
                  <c:v>40310.714583333334</c:v>
                </c:pt>
                <c:pt idx="144">
                  <c:v>40310.715277777781</c:v>
                </c:pt>
                <c:pt idx="145">
                  <c:v>40310.71597222222</c:v>
                </c:pt>
                <c:pt idx="146">
                  <c:v>40310.716666666667</c:v>
                </c:pt>
                <c:pt idx="147">
                  <c:v>40310.717361111114</c:v>
                </c:pt>
                <c:pt idx="148">
                  <c:v>40310.718055555553</c:v>
                </c:pt>
                <c:pt idx="149">
                  <c:v>40310.71875</c:v>
                </c:pt>
                <c:pt idx="150">
                  <c:v>40310.719444444447</c:v>
                </c:pt>
                <c:pt idx="151">
                  <c:v>40310.720138888886</c:v>
                </c:pt>
                <c:pt idx="152">
                  <c:v>40310.720833333333</c:v>
                </c:pt>
                <c:pt idx="153">
                  <c:v>40310.72152777778</c:v>
                </c:pt>
                <c:pt idx="154">
                  <c:v>40310.722222222219</c:v>
                </c:pt>
                <c:pt idx="155">
                  <c:v>40310.722916666666</c:v>
                </c:pt>
                <c:pt idx="156">
                  <c:v>40310.723611111112</c:v>
                </c:pt>
                <c:pt idx="157">
                  <c:v>40310.724305555559</c:v>
                </c:pt>
                <c:pt idx="158">
                  <c:v>40310.724999999999</c:v>
                </c:pt>
                <c:pt idx="159">
                  <c:v>40310.725694444445</c:v>
                </c:pt>
                <c:pt idx="160">
                  <c:v>40310.726388888892</c:v>
                </c:pt>
                <c:pt idx="161">
                  <c:v>40310.727083333331</c:v>
                </c:pt>
                <c:pt idx="162">
                  <c:v>40310.727777777778</c:v>
                </c:pt>
                <c:pt idx="163">
                  <c:v>40310.728472222225</c:v>
                </c:pt>
                <c:pt idx="164">
                  <c:v>40310.729166666664</c:v>
                </c:pt>
                <c:pt idx="165">
                  <c:v>40310.729861111111</c:v>
                </c:pt>
                <c:pt idx="166">
                  <c:v>40310.730555555558</c:v>
                </c:pt>
                <c:pt idx="167">
                  <c:v>40310.731249999997</c:v>
                </c:pt>
                <c:pt idx="168">
                  <c:v>40310.731944444444</c:v>
                </c:pt>
                <c:pt idx="169">
                  <c:v>40310.732638888891</c:v>
                </c:pt>
                <c:pt idx="170">
                  <c:v>40310.73333333333</c:v>
                </c:pt>
                <c:pt idx="171">
                  <c:v>40310.734027777777</c:v>
                </c:pt>
                <c:pt idx="172">
                  <c:v>40310.734722222223</c:v>
                </c:pt>
                <c:pt idx="173">
                  <c:v>40310.73541666667</c:v>
                </c:pt>
                <c:pt idx="174">
                  <c:v>40310.736111111109</c:v>
                </c:pt>
                <c:pt idx="175">
                  <c:v>40310.736805555556</c:v>
                </c:pt>
                <c:pt idx="176">
                  <c:v>40310.737500000003</c:v>
                </c:pt>
                <c:pt idx="177">
                  <c:v>40310.738194444442</c:v>
                </c:pt>
                <c:pt idx="178">
                  <c:v>40310.738888888889</c:v>
                </c:pt>
                <c:pt idx="179">
                  <c:v>40310.739583333336</c:v>
                </c:pt>
                <c:pt idx="180">
                  <c:v>40310.740277777775</c:v>
                </c:pt>
                <c:pt idx="181">
                  <c:v>40310.740972222222</c:v>
                </c:pt>
                <c:pt idx="182">
                  <c:v>40310.741666666669</c:v>
                </c:pt>
                <c:pt idx="183">
                  <c:v>40310.742361111108</c:v>
                </c:pt>
                <c:pt idx="184">
                  <c:v>40310.743055555555</c:v>
                </c:pt>
                <c:pt idx="185">
                  <c:v>40310.743750000001</c:v>
                </c:pt>
                <c:pt idx="186">
                  <c:v>40310.744444444441</c:v>
                </c:pt>
                <c:pt idx="187">
                  <c:v>40310.745138888888</c:v>
                </c:pt>
                <c:pt idx="188">
                  <c:v>40310.745833333334</c:v>
                </c:pt>
                <c:pt idx="189">
                  <c:v>40310.746527777781</c:v>
                </c:pt>
                <c:pt idx="190">
                  <c:v>40310.74722222222</c:v>
                </c:pt>
                <c:pt idx="191">
                  <c:v>40310.747916666667</c:v>
                </c:pt>
                <c:pt idx="192">
                  <c:v>40310.748611111114</c:v>
                </c:pt>
                <c:pt idx="193">
                  <c:v>40310.749305555553</c:v>
                </c:pt>
                <c:pt idx="194">
                  <c:v>40310.75</c:v>
                </c:pt>
                <c:pt idx="195">
                  <c:v>40310.750694444447</c:v>
                </c:pt>
                <c:pt idx="196">
                  <c:v>40310.751388888886</c:v>
                </c:pt>
                <c:pt idx="197">
                  <c:v>40310.752083333333</c:v>
                </c:pt>
                <c:pt idx="198">
                  <c:v>40310.75277777778</c:v>
                </c:pt>
                <c:pt idx="199">
                  <c:v>40310.753472222219</c:v>
                </c:pt>
                <c:pt idx="200">
                  <c:v>40310.754166666666</c:v>
                </c:pt>
                <c:pt idx="201">
                  <c:v>40310.754861111112</c:v>
                </c:pt>
                <c:pt idx="202">
                  <c:v>40310.755555555559</c:v>
                </c:pt>
                <c:pt idx="203">
                  <c:v>40310.756249999999</c:v>
                </c:pt>
                <c:pt idx="204">
                  <c:v>40310.756944444445</c:v>
                </c:pt>
                <c:pt idx="205">
                  <c:v>40310.757638888892</c:v>
                </c:pt>
                <c:pt idx="206">
                  <c:v>40310.758333333331</c:v>
                </c:pt>
                <c:pt idx="207">
                  <c:v>40310.759027777778</c:v>
                </c:pt>
                <c:pt idx="208">
                  <c:v>40310.759722222225</c:v>
                </c:pt>
                <c:pt idx="209">
                  <c:v>40310.760416666664</c:v>
                </c:pt>
                <c:pt idx="210">
                  <c:v>40310.761111111111</c:v>
                </c:pt>
                <c:pt idx="211">
                  <c:v>40310.761805555558</c:v>
                </c:pt>
                <c:pt idx="212">
                  <c:v>40310.762499999997</c:v>
                </c:pt>
                <c:pt idx="213">
                  <c:v>40310.763194444444</c:v>
                </c:pt>
                <c:pt idx="214">
                  <c:v>40310.763888888891</c:v>
                </c:pt>
                <c:pt idx="215">
                  <c:v>40310.76458333333</c:v>
                </c:pt>
                <c:pt idx="216">
                  <c:v>40310.765277777777</c:v>
                </c:pt>
                <c:pt idx="217">
                  <c:v>40310.765972222223</c:v>
                </c:pt>
                <c:pt idx="218">
                  <c:v>40310.76666666667</c:v>
                </c:pt>
                <c:pt idx="219">
                  <c:v>40310.767361111109</c:v>
                </c:pt>
                <c:pt idx="220">
                  <c:v>40310.768055555556</c:v>
                </c:pt>
                <c:pt idx="221">
                  <c:v>40310.768750000003</c:v>
                </c:pt>
                <c:pt idx="222">
                  <c:v>40310.769444444442</c:v>
                </c:pt>
                <c:pt idx="223">
                  <c:v>40310.770138888889</c:v>
                </c:pt>
                <c:pt idx="224">
                  <c:v>40310.770833333336</c:v>
                </c:pt>
                <c:pt idx="225">
                  <c:v>40310.771527777775</c:v>
                </c:pt>
                <c:pt idx="226">
                  <c:v>40310.772222222222</c:v>
                </c:pt>
                <c:pt idx="227">
                  <c:v>40310.772916666669</c:v>
                </c:pt>
                <c:pt idx="228">
                  <c:v>40310.773611111108</c:v>
                </c:pt>
                <c:pt idx="229">
                  <c:v>40310.774305555555</c:v>
                </c:pt>
                <c:pt idx="230">
                  <c:v>40310.775000000001</c:v>
                </c:pt>
                <c:pt idx="231">
                  <c:v>40310.775694444441</c:v>
                </c:pt>
                <c:pt idx="232">
                  <c:v>40310.776388888888</c:v>
                </c:pt>
                <c:pt idx="233">
                  <c:v>40310.777083333334</c:v>
                </c:pt>
                <c:pt idx="234">
                  <c:v>40310.777777777781</c:v>
                </c:pt>
                <c:pt idx="235">
                  <c:v>40310.77847222222</c:v>
                </c:pt>
                <c:pt idx="236">
                  <c:v>40310.779166666667</c:v>
                </c:pt>
                <c:pt idx="237">
                  <c:v>40310.779861111114</c:v>
                </c:pt>
                <c:pt idx="238">
                  <c:v>40310.780555555553</c:v>
                </c:pt>
                <c:pt idx="239">
                  <c:v>40310.78125</c:v>
                </c:pt>
                <c:pt idx="240">
                  <c:v>40310.781944444447</c:v>
                </c:pt>
                <c:pt idx="241">
                  <c:v>40310.782638888886</c:v>
                </c:pt>
                <c:pt idx="242">
                  <c:v>40310.783333333333</c:v>
                </c:pt>
                <c:pt idx="243">
                  <c:v>40310.78402777778</c:v>
                </c:pt>
                <c:pt idx="244">
                  <c:v>40310.784722222219</c:v>
                </c:pt>
                <c:pt idx="245">
                  <c:v>40310.785416666666</c:v>
                </c:pt>
                <c:pt idx="246">
                  <c:v>40310.786111111112</c:v>
                </c:pt>
                <c:pt idx="247">
                  <c:v>40310.786805555559</c:v>
                </c:pt>
                <c:pt idx="248">
                  <c:v>40310.787499999999</c:v>
                </c:pt>
                <c:pt idx="249">
                  <c:v>40310.788194444445</c:v>
                </c:pt>
                <c:pt idx="250">
                  <c:v>40310.788888888892</c:v>
                </c:pt>
                <c:pt idx="251">
                  <c:v>40310.789583333331</c:v>
                </c:pt>
                <c:pt idx="252">
                  <c:v>40310.790277777778</c:v>
                </c:pt>
                <c:pt idx="253">
                  <c:v>40310.790972222225</c:v>
                </c:pt>
                <c:pt idx="254">
                  <c:v>40310.791666666664</c:v>
                </c:pt>
                <c:pt idx="255">
                  <c:v>40310.792361111111</c:v>
                </c:pt>
                <c:pt idx="256">
                  <c:v>40310.793055555558</c:v>
                </c:pt>
                <c:pt idx="257">
                  <c:v>40310.793749999997</c:v>
                </c:pt>
                <c:pt idx="258">
                  <c:v>40310.794444444444</c:v>
                </c:pt>
                <c:pt idx="259">
                  <c:v>40310.795138888891</c:v>
                </c:pt>
                <c:pt idx="260">
                  <c:v>40310.79583333333</c:v>
                </c:pt>
                <c:pt idx="261">
                  <c:v>40310.796527777777</c:v>
                </c:pt>
                <c:pt idx="262">
                  <c:v>40310.797222222223</c:v>
                </c:pt>
                <c:pt idx="263">
                  <c:v>40310.79791666667</c:v>
                </c:pt>
                <c:pt idx="264">
                  <c:v>40310.798611111109</c:v>
                </c:pt>
                <c:pt idx="265">
                  <c:v>40310.799305555556</c:v>
                </c:pt>
                <c:pt idx="266">
                  <c:v>40310.800000000003</c:v>
                </c:pt>
                <c:pt idx="267">
                  <c:v>40310.800694444442</c:v>
                </c:pt>
                <c:pt idx="268">
                  <c:v>40310.801388888889</c:v>
                </c:pt>
                <c:pt idx="269">
                  <c:v>40310.802083333336</c:v>
                </c:pt>
                <c:pt idx="270">
                  <c:v>40310.802777777775</c:v>
                </c:pt>
                <c:pt idx="271">
                  <c:v>40310.803472222222</c:v>
                </c:pt>
                <c:pt idx="272">
                  <c:v>40310.804166666669</c:v>
                </c:pt>
                <c:pt idx="273">
                  <c:v>40310.804861111108</c:v>
                </c:pt>
                <c:pt idx="274">
                  <c:v>40310.805555555555</c:v>
                </c:pt>
                <c:pt idx="275">
                  <c:v>40310.806250000001</c:v>
                </c:pt>
                <c:pt idx="276">
                  <c:v>40310.806944444441</c:v>
                </c:pt>
                <c:pt idx="277">
                  <c:v>40310.807638888888</c:v>
                </c:pt>
                <c:pt idx="278">
                  <c:v>40310.808333333334</c:v>
                </c:pt>
                <c:pt idx="279">
                  <c:v>40310.809027777781</c:v>
                </c:pt>
                <c:pt idx="280">
                  <c:v>40310.80972222222</c:v>
                </c:pt>
                <c:pt idx="281">
                  <c:v>40310.810416666667</c:v>
                </c:pt>
                <c:pt idx="282">
                  <c:v>40310.811111111114</c:v>
                </c:pt>
                <c:pt idx="283">
                  <c:v>40310.811805555553</c:v>
                </c:pt>
                <c:pt idx="284">
                  <c:v>40310.8125</c:v>
                </c:pt>
                <c:pt idx="285">
                  <c:v>40310.813194444447</c:v>
                </c:pt>
                <c:pt idx="286">
                  <c:v>40310.813888888886</c:v>
                </c:pt>
                <c:pt idx="287">
                  <c:v>40310.814583333333</c:v>
                </c:pt>
                <c:pt idx="288">
                  <c:v>40310.81527777778</c:v>
                </c:pt>
                <c:pt idx="289">
                  <c:v>40310.815972222219</c:v>
                </c:pt>
                <c:pt idx="290">
                  <c:v>40310.816666666666</c:v>
                </c:pt>
                <c:pt idx="291">
                  <c:v>40310.817361111112</c:v>
                </c:pt>
                <c:pt idx="292">
                  <c:v>40310.818055555559</c:v>
                </c:pt>
                <c:pt idx="293">
                  <c:v>40310.818749999999</c:v>
                </c:pt>
                <c:pt idx="294">
                  <c:v>40310.819444444445</c:v>
                </c:pt>
                <c:pt idx="295">
                  <c:v>40310.820138888892</c:v>
                </c:pt>
                <c:pt idx="296">
                  <c:v>40310.820833333331</c:v>
                </c:pt>
                <c:pt idx="297">
                  <c:v>40310.821527777778</c:v>
                </c:pt>
                <c:pt idx="298">
                  <c:v>40310.822222222225</c:v>
                </c:pt>
                <c:pt idx="299">
                  <c:v>40310.822916666664</c:v>
                </c:pt>
                <c:pt idx="300">
                  <c:v>40310.823611111111</c:v>
                </c:pt>
                <c:pt idx="301">
                  <c:v>40310.824305555558</c:v>
                </c:pt>
                <c:pt idx="302">
                  <c:v>40310.824999999997</c:v>
                </c:pt>
                <c:pt idx="303">
                  <c:v>40310.825694444444</c:v>
                </c:pt>
                <c:pt idx="304">
                  <c:v>40310.826388888891</c:v>
                </c:pt>
                <c:pt idx="305">
                  <c:v>40310.82708333333</c:v>
                </c:pt>
                <c:pt idx="306">
                  <c:v>40310.827777777777</c:v>
                </c:pt>
                <c:pt idx="307">
                  <c:v>40310.828472222223</c:v>
                </c:pt>
                <c:pt idx="308">
                  <c:v>40310.82916666667</c:v>
                </c:pt>
                <c:pt idx="309">
                  <c:v>40310.829861111109</c:v>
                </c:pt>
                <c:pt idx="310">
                  <c:v>40310.830555555556</c:v>
                </c:pt>
                <c:pt idx="311">
                  <c:v>40310.831250000003</c:v>
                </c:pt>
                <c:pt idx="312">
                  <c:v>40310.831944444442</c:v>
                </c:pt>
                <c:pt idx="313">
                  <c:v>40310.832638888889</c:v>
                </c:pt>
                <c:pt idx="314">
                  <c:v>40310.833333333336</c:v>
                </c:pt>
                <c:pt idx="315">
                  <c:v>40310.834027777775</c:v>
                </c:pt>
                <c:pt idx="316">
                  <c:v>40310.834722222222</c:v>
                </c:pt>
                <c:pt idx="317">
                  <c:v>40310.835416666669</c:v>
                </c:pt>
                <c:pt idx="318">
                  <c:v>40310.836111111108</c:v>
                </c:pt>
                <c:pt idx="319">
                  <c:v>40310.836805555555</c:v>
                </c:pt>
                <c:pt idx="320">
                  <c:v>40310.837500000001</c:v>
                </c:pt>
                <c:pt idx="321">
                  <c:v>40310.838194444441</c:v>
                </c:pt>
                <c:pt idx="322">
                  <c:v>40310.838888888888</c:v>
                </c:pt>
                <c:pt idx="323">
                  <c:v>40310.839583333334</c:v>
                </c:pt>
                <c:pt idx="324">
                  <c:v>40310.840277777781</c:v>
                </c:pt>
                <c:pt idx="325">
                  <c:v>40310.84097222222</c:v>
                </c:pt>
                <c:pt idx="326">
                  <c:v>40310.841666666667</c:v>
                </c:pt>
                <c:pt idx="327">
                  <c:v>40310.842361111114</c:v>
                </c:pt>
                <c:pt idx="328">
                  <c:v>40310.843055555553</c:v>
                </c:pt>
                <c:pt idx="329">
                  <c:v>40310.84375</c:v>
                </c:pt>
                <c:pt idx="330">
                  <c:v>40310.844444444447</c:v>
                </c:pt>
                <c:pt idx="331">
                  <c:v>40310.845138888886</c:v>
                </c:pt>
                <c:pt idx="332">
                  <c:v>40310.845833333333</c:v>
                </c:pt>
                <c:pt idx="333">
                  <c:v>40310.84652777778</c:v>
                </c:pt>
                <c:pt idx="334">
                  <c:v>40310.847222222219</c:v>
                </c:pt>
                <c:pt idx="335">
                  <c:v>40310.847916666666</c:v>
                </c:pt>
                <c:pt idx="336">
                  <c:v>40310.848611111112</c:v>
                </c:pt>
                <c:pt idx="337">
                  <c:v>40310.849305555559</c:v>
                </c:pt>
                <c:pt idx="338">
                  <c:v>40310.85</c:v>
                </c:pt>
                <c:pt idx="339">
                  <c:v>40310.850694444445</c:v>
                </c:pt>
                <c:pt idx="340">
                  <c:v>40310.851388888892</c:v>
                </c:pt>
                <c:pt idx="341">
                  <c:v>40310.852083333331</c:v>
                </c:pt>
                <c:pt idx="342">
                  <c:v>40310.852777777778</c:v>
                </c:pt>
                <c:pt idx="343">
                  <c:v>40310.853472222225</c:v>
                </c:pt>
                <c:pt idx="344">
                  <c:v>40310.854166666664</c:v>
                </c:pt>
                <c:pt idx="345">
                  <c:v>40310.854861111111</c:v>
                </c:pt>
                <c:pt idx="346">
                  <c:v>40310.855555555558</c:v>
                </c:pt>
                <c:pt idx="347">
                  <c:v>40310.856249999997</c:v>
                </c:pt>
                <c:pt idx="348">
                  <c:v>40310.856944444444</c:v>
                </c:pt>
                <c:pt idx="349">
                  <c:v>40310.857638888891</c:v>
                </c:pt>
                <c:pt idx="350">
                  <c:v>40310.85833333333</c:v>
                </c:pt>
                <c:pt idx="351">
                  <c:v>40310.859027777777</c:v>
                </c:pt>
                <c:pt idx="352">
                  <c:v>40310.859722222223</c:v>
                </c:pt>
                <c:pt idx="353">
                  <c:v>40310.86041666667</c:v>
                </c:pt>
                <c:pt idx="354">
                  <c:v>40310.861111111109</c:v>
                </c:pt>
                <c:pt idx="355">
                  <c:v>40310.861805555556</c:v>
                </c:pt>
                <c:pt idx="356">
                  <c:v>40310.862500000003</c:v>
                </c:pt>
                <c:pt idx="357">
                  <c:v>40310.863194444442</c:v>
                </c:pt>
                <c:pt idx="358">
                  <c:v>40310.863888888889</c:v>
                </c:pt>
                <c:pt idx="359">
                  <c:v>40310.864583333336</c:v>
                </c:pt>
                <c:pt idx="360">
                  <c:v>40310.865277777775</c:v>
                </c:pt>
                <c:pt idx="361">
                  <c:v>40310.865972222222</c:v>
                </c:pt>
                <c:pt idx="362">
                  <c:v>40310.866666666669</c:v>
                </c:pt>
                <c:pt idx="363">
                  <c:v>40310.867361111108</c:v>
                </c:pt>
                <c:pt idx="364">
                  <c:v>40310.868055555555</c:v>
                </c:pt>
                <c:pt idx="365">
                  <c:v>40310.868750000001</c:v>
                </c:pt>
                <c:pt idx="366">
                  <c:v>40310.869444444441</c:v>
                </c:pt>
                <c:pt idx="367">
                  <c:v>40310.870138888888</c:v>
                </c:pt>
                <c:pt idx="368">
                  <c:v>40310.870833333334</c:v>
                </c:pt>
                <c:pt idx="369">
                  <c:v>40310.871527777781</c:v>
                </c:pt>
                <c:pt idx="370">
                  <c:v>40310.87222222222</c:v>
                </c:pt>
                <c:pt idx="371">
                  <c:v>40310.872916666667</c:v>
                </c:pt>
                <c:pt idx="372">
                  <c:v>40310.873611111114</c:v>
                </c:pt>
                <c:pt idx="373">
                  <c:v>40310.874305555553</c:v>
                </c:pt>
                <c:pt idx="374">
                  <c:v>40310.875</c:v>
                </c:pt>
                <c:pt idx="375">
                  <c:v>40310.875694444447</c:v>
                </c:pt>
                <c:pt idx="376">
                  <c:v>40310.876388888886</c:v>
                </c:pt>
                <c:pt idx="377">
                  <c:v>40310.877083333333</c:v>
                </c:pt>
                <c:pt idx="378">
                  <c:v>40310.87777777778</c:v>
                </c:pt>
                <c:pt idx="379">
                  <c:v>40310.878472222219</c:v>
                </c:pt>
                <c:pt idx="380">
                  <c:v>40310.879166666666</c:v>
                </c:pt>
                <c:pt idx="381">
                  <c:v>40310.879861111112</c:v>
                </c:pt>
                <c:pt idx="382">
                  <c:v>40310.880555555559</c:v>
                </c:pt>
                <c:pt idx="383">
                  <c:v>40310.881249999999</c:v>
                </c:pt>
                <c:pt idx="384">
                  <c:v>40310.881944444445</c:v>
                </c:pt>
                <c:pt idx="385">
                  <c:v>40310.882638888892</c:v>
                </c:pt>
                <c:pt idx="386">
                  <c:v>40310.883333333331</c:v>
                </c:pt>
                <c:pt idx="387">
                  <c:v>40310.884027777778</c:v>
                </c:pt>
                <c:pt idx="388">
                  <c:v>40310.884722222225</c:v>
                </c:pt>
                <c:pt idx="389">
                  <c:v>40310.885416666664</c:v>
                </c:pt>
                <c:pt idx="390">
                  <c:v>40310.886111111111</c:v>
                </c:pt>
                <c:pt idx="391">
                  <c:v>40310.886805555558</c:v>
                </c:pt>
                <c:pt idx="392">
                  <c:v>40310.887499999997</c:v>
                </c:pt>
                <c:pt idx="393">
                  <c:v>40310.888194444444</c:v>
                </c:pt>
                <c:pt idx="394">
                  <c:v>40310.888888888891</c:v>
                </c:pt>
                <c:pt idx="395">
                  <c:v>40310.88958333333</c:v>
                </c:pt>
                <c:pt idx="396">
                  <c:v>40310.890277777777</c:v>
                </c:pt>
                <c:pt idx="397">
                  <c:v>40310.890972222223</c:v>
                </c:pt>
                <c:pt idx="398">
                  <c:v>40310.89166666667</c:v>
                </c:pt>
                <c:pt idx="399">
                  <c:v>40310.892361111109</c:v>
                </c:pt>
                <c:pt idx="400">
                  <c:v>40310.893055555556</c:v>
                </c:pt>
                <c:pt idx="401">
                  <c:v>40310.893750000003</c:v>
                </c:pt>
                <c:pt idx="402">
                  <c:v>40310.894444444442</c:v>
                </c:pt>
                <c:pt idx="403">
                  <c:v>40310.895138888889</c:v>
                </c:pt>
                <c:pt idx="404">
                  <c:v>40310.895833333336</c:v>
                </c:pt>
                <c:pt idx="405">
                  <c:v>40310.896527777775</c:v>
                </c:pt>
                <c:pt idx="406">
                  <c:v>40310.897222222222</c:v>
                </c:pt>
                <c:pt idx="407">
                  <c:v>40310.897916666669</c:v>
                </c:pt>
                <c:pt idx="408">
                  <c:v>40310.898611111108</c:v>
                </c:pt>
                <c:pt idx="409">
                  <c:v>40310.899305555555</c:v>
                </c:pt>
                <c:pt idx="410">
                  <c:v>40310.9</c:v>
                </c:pt>
                <c:pt idx="411">
                  <c:v>40310.900694444441</c:v>
                </c:pt>
                <c:pt idx="412">
                  <c:v>40310.901388888888</c:v>
                </c:pt>
                <c:pt idx="413">
                  <c:v>40310.902083333334</c:v>
                </c:pt>
                <c:pt idx="414">
                  <c:v>40310.902777777781</c:v>
                </c:pt>
                <c:pt idx="415">
                  <c:v>40310.90347222222</c:v>
                </c:pt>
                <c:pt idx="416">
                  <c:v>40310.904166666667</c:v>
                </c:pt>
                <c:pt idx="417">
                  <c:v>40310.904861111114</c:v>
                </c:pt>
                <c:pt idx="418">
                  <c:v>40310.905555555553</c:v>
                </c:pt>
                <c:pt idx="419">
                  <c:v>40310.90625</c:v>
                </c:pt>
                <c:pt idx="420">
                  <c:v>40310.906944444447</c:v>
                </c:pt>
                <c:pt idx="421">
                  <c:v>40310.907638888886</c:v>
                </c:pt>
                <c:pt idx="422">
                  <c:v>40310.908333333333</c:v>
                </c:pt>
                <c:pt idx="423">
                  <c:v>40310.90902777778</c:v>
                </c:pt>
                <c:pt idx="424">
                  <c:v>40310.909722222219</c:v>
                </c:pt>
                <c:pt idx="425">
                  <c:v>40310.910416666666</c:v>
                </c:pt>
                <c:pt idx="426">
                  <c:v>40310.911111111112</c:v>
                </c:pt>
                <c:pt idx="427">
                  <c:v>40310.911805555559</c:v>
                </c:pt>
                <c:pt idx="428">
                  <c:v>40310.912499999999</c:v>
                </c:pt>
                <c:pt idx="429">
                  <c:v>40310.913194444445</c:v>
                </c:pt>
                <c:pt idx="430">
                  <c:v>40310.913888888892</c:v>
                </c:pt>
                <c:pt idx="431">
                  <c:v>40310.914583333331</c:v>
                </c:pt>
                <c:pt idx="432">
                  <c:v>40310.915277777778</c:v>
                </c:pt>
                <c:pt idx="433">
                  <c:v>40310.915972222225</c:v>
                </c:pt>
                <c:pt idx="434">
                  <c:v>40310.916666666664</c:v>
                </c:pt>
                <c:pt idx="435">
                  <c:v>40310.917361111111</c:v>
                </c:pt>
                <c:pt idx="436">
                  <c:v>40310.918055555558</c:v>
                </c:pt>
                <c:pt idx="437">
                  <c:v>40310.918749999997</c:v>
                </c:pt>
                <c:pt idx="438">
                  <c:v>40310.919444444444</c:v>
                </c:pt>
                <c:pt idx="439">
                  <c:v>40310.920138888891</c:v>
                </c:pt>
                <c:pt idx="440">
                  <c:v>40310.92083333333</c:v>
                </c:pt>
                <c:pt idx="441">
                  <c:v>40310.921527777777</c:v>
                </c:pt>
                <c:pt idx="442">
                  <c:v>40310.922222222223</c:v>
                </c:pt>
                <c:pt idx="443">
                  <c:v>40310.92291666667</c:v>
                </c:pt>
                <c:pt idx="444">
                  <c:v>40310.923611111109</c:v>
                </c:pt>
                <c:pt idx="445">
                  <c:v>40310.924305555556</c:v>
                </c:pt>
                <c:pt idx="446">
                  <c:v>40310.925000000003</c:v>
                </c:pt>
                <c:pt idx="447">
                  <c:v>40310.925694444442</c:v>
                </c:pt>
                <c:pt idx="448">
                  <c:v>40310.926388888889</c:v>
                </c:pt>
                <c:pt idx="449">
                  <c:v>40310.927083333336</c:v>
                </c:pt>
                <c:pt idx="450">
                  <c:v>40310.927777777775</c:v>
                </c:pt>
                <c:pt idx="451">
                  <c:v>40310.928472222222</c:v>
                </c:pt>
                <c:pt idx="452">
                  <c:v>40310.929166666669</c:v>
                </c:pt>
                <c:pt idx="453">
                  <c:v>40310.929861111108</c:v>
                </c:pt>
                <c:pt idx="454">
                  <c:v>40310.930555555555</c:v>
                </c:pt>
                <c:pt idx="455">
                  <c:v>40310.931250000001</c:v>
                </c:pt>
                <c:pt idx="456">
                  <c:v>40310.931944444441</c:v>
                </c:pt>
                <c:pt idx="457">
                  <c:v>40310.932638888888</c:v>
                </c:pt>
                <c:pt idx="458">
                  <c:v>40310.933333333334</c:v>
                </c:pt>
                <c:pt idx="459">
                  <c:v>40310.934027777781</c:v>
                </c:pt>
                <c:pt idx="460">
                  <c:v>40310.93472222222</c:v>
                </c:pt>
                <c:pt idx="461">
                  <c:v>40310.935416666667</c:v>
                </c:pt>
                <c:pt idx="462">
                  <c:v>40310.936111111114</c:v>
                </c:pt>
                <c:pt idx="463">
                  <c:v>40310.936805555553</c:v>
                </c:pt>
                <c:pt idx="464">
                  <c:v>40310.9375</c:v>
                </c:pt>
                <c:pt idx="465">
                  <c:v>40310.938194444447</c:v>
                </c:pt>
                <c:pt idx="466">
                  <c:v>40310.938888888886</c:v>
                </c:pt>
                <c:pt idx="467">
                  <c:v>40310.939583333333</c:v>
                </c:pt>
                <c:pt idx="468">
                  <c:v>40310.94027777778</c:v>
                </c:pt>
                <c:pt idx="469">
                  <c:v>40310.940972222219</c:v>
                </c:pt>
                <c:pt idx="470">
                  <c:v>40310.941666666666</c:v>
                </c:pt>
                <c:pt idx="471">
                  <c:v>40310.942361111112</c:v>
                </c:pt>
                <c:pt idx="472">
                  <c:v>40310.943055555559</c:v>
                </c:pt>
                <c:pt idx="473">
                  <c:v>40310.943749999999</c:v>
                </c:pt>
                <c:pt idx="474">
                  <c:v>40310.944444444445</c:v>
                </c:pt>
                <c:pt idx="475">
                  <c:v>40310.945138888892</c:v>
                </c:pt>
                <c:pt idx="476">
                  <c:v>40310.945833333331</c:v>
                </c:pt>
                <c:pt idx="477">
                  <c:v>40310.946527777778</c:v>
                </c:pt>
                <c:pt idx="478">
                  <c:v>40310.947222222225</c:v>
                </c:pt>
                <c:pt idx="479">
                  <c:v>40310.947916666664</c:v>
                </c:pt>
                <c:pt idx="480">
                  <c:v>40310.948611111111</c:v>
                </c:pt>
                <c:pt idx="481">
                  <c:v>40310.949305555558</c:v>
                </c:pt>
                <c:pt idx="482">
                  <c:v>40310.949999999997</c:v>
                </c:pt>
                <c:pt idx="483">
                  <c:v>40310.950694444444</c:v>
                </c:pt>
                <c:pt idx="484">
                  <c:v>40310.951388888891</c:v>
                </c:pt>
                <c:pt idx="485">
                  <c:v>40310.95208333333</c:v>
                </c:pt>
                <c:pt idx="486">
                  <c:v>40310.952777777777</c:v>
                </c:pt>
                <c:pt idx="487">
                  <c:v>40310.953472222223</c:v>
                </c:pt>
                <c:pt idx="488">
                  <c:v>40310.95416666667</c:v>
                </c:pt>
                <c:pt idx="489">
                  <c:v>40310.954861111109</c:v>
                </c:pt>
                <c:pt idx="490">
                  <c:v>40310.955555555556</c:v>
                </c:pt>
                <c:pt idx="491">
                  <c:v>40310.956250000003</c:v>
                </c:pt>
                <c:pt idx="492">
                  <c:v>40310.956944444442</c:v>
                </c:pt>
                <c:pt idx="493">
                  <c:v>40310.957638888889</c:v>
                </c:pt>
                <c:pt idx="494">
                  <c:v>40310.958333333336</c:v>
                </c:pt>
                <c:pt idx="495">
                  <c:v>40310.959027777775</c:v>
                </c:pt>
                <c:pt idx="496">
                  <c:v>40310.959722222222</c:v>
                </c:pt>
                <c:pt idx="497">
                  <c:v>40310.960416666669</c:v>
                </c:pt>
                <c:pt idx="498">
                  <c:v>40310.961111111108</c:v>
                </c:pt>
                <c:pt idx="499">
                  <c:v>40310.961805555555</c:v>
                </c:pt>
                <c:pt idx="500">
                  <c:v>40310.962500000001</c:v>
                </c:pt>
                <c:pt idx="501">
                  <c:v>40310.963194444441</c:v>
                </c:pt>
                <c:pt idx="502">
                  <c:v>40310.963888888888</c:v>
                </c:pt>
                <c:pt idx="503">
                  <c:v>40310.964583333334</c:v>
                </c:pt>
                <c:pt idx="504">
                  <c:v>40310.965277777781</c:v>
                </c:pt>
                <c:pt idx="505">
                  <c:v>40310.96597222222</c:v>
                </c:pt>
                <c:pt idx="506">
                  <c:v>40310.966666666667</c:v>
                </c:pt>
                <c:pt idx="507">
                  <c:v>40310.967361111114</c:v>
                </c:pt>
                <c:pt idx="508">
                  <c:v>40310.968055555553</c:v>
                </c:pt>
                <c:pt idx="509">
                  <c:v>40310.96875</c:v>
                </c:pt>
                <c:pt idx="510">
                  <c:v>40310.969444444447</c:v>
                </c:pt>
                <c:pt idx="511">
                  <c:v>40310.970138888886</c:v>
                </c:pt>
                <c:pt idx="512">
                  <c:v>40310.970833333333</c:v>
                </c:pt>
                <c:pt idx="513">
                  <c:v>40310.97152777778</c:v>
                </c:pt>
                <c:pt idx="514">
                  <c:v>40310.972222222219</c:v>
                </c:pt>
                <c:pt idx="515">
                  <c:v>40310.972916666666</c:v>
                </c:pt>
                <c:pt idx="516">
                  <c:v>40310.973611111112</c:v>
                </c:pt>
                <c:pt idx="517">
                  <c:v>40310.974305555559</c:v>
                </c:pt>
                <c:pt idx="518">
                  <c:v>40310.974999999999</c:v>
                </c:pt>
                <c:pt idx="519">
                  <c:v>40310.975694444445</c:v>
                </c:pt>
                <c:pt idx="520">
                  <c:v>40310.976388888892</c:v>
                </c:pt>
                <c:pt idx="521">
                  <c:v>40310.977083333331</c:v>
                </c:pt>
                <c:pt idx="522">
                  <c:v>40310.977777777778</c:v>
                </c:pt>
                <c:pt idx="523">
                  <c:v>40310.978472222225</c:v>
                </c:pt>
                <c:pt idx="524">
                  <c:v>40310.979166666664</c:v>
                </c:pt>
                <c:pt idx="525">
                  <c:v>40310.979861111111</c:v>
                </c:pt>
                <c:pt idx="526">
                  <c:v>40310.980555555558</c:v>
                </c:pt>
                <c:pt idx="527">
                  <c:v>40310.981249999997</c:v>
                </c:pt>
                <c:pt idx="528">
                  <c:v>40310.981944444444</c:v>
                </c:pt>
                <c:pt idx="529">
                  <c:v>40310.982638888891</c:v>
                </c:pt>
                <c:pt idx="530">
                  <c:v>40310.98333333333</c:v>
                </c:pt>
                <c:pt idx="531">
                  <c:v>40310.984027777777</c:v>
                </c:pt>
                <c:pt idx="532">
                  <c:v>40310.984722222223</c:v>
                </c:pt>
                <c:pt idx="533">
                  <c:v>40310.98541666667</c:v>
                </c:pt>
                <c:pt idx="534">
                  <c:v>40310.986111111109</c:v>
                </c:pt>
                <c:pt idx="535">
                  <c:v>40310.986805555556</c:v>
                </c:pt>
                <c:pt idx="536">
                  <c:v>40310.987500000003</c:v>
                </c:pt>
                <c:pt idx="537">
                  <c:v>40310.988194444442</c:v>
                </c:pt>
                <c:pt idx="538">
                  <c:v>40310.988888888889</c:v>
                </c:pt>
                <c:pt idx="539">
                  <c:v>40310.989583333336</c:v>
                </c:pt>
                <c:pt idx="540">
                  <c:v>40310.990277777775</c:v>
                </c:pt>
                <c:pt idx="541">
                  <c:v>40310.990972222222</c:v>
                </c:pt>
                <c:pt idx="542">
                  <c:v>40310.991666666669</c:v>
                </c:pt>
                <c:pt idx="543">
                  <c:v>40310.992361111108</c:v>
                </c:pt>
                <c:pt idx="544">
                  <c:v>40310.993055555555</c:v>
                </c:pt>
                <c:pt idx="545">
                  <c:v>40310.993750000001</c:v>
                </c:pt>
                <c:pt idx="546">
                  <c:v>40310.994444444441</c:v>
                </c:pt>
                <c:pt idx="547">
                  <c:v>40310.995138888888</c:v>
                </c:pt>
                <c:pt idx="548">
                  <c:v>40310.995833333334</c:v>
                </c:pt>
                <c:pt idx="549">
                  <c:v>40310.996527777781</c:v>
                </c:pt>
                <c:pt idx="550">
                  <c:v>40310.99722222222</c:v>
                </c:pt>
                <c:pt idx="551">
                  <c:v>40310.997916666667</c:v>
                </c:pt>
                <c:pt idx="552">
                  <c:v>40310.998611111114</c:v>
                </c:pt>
                <c:pt idx="553">
                  <c:v>40310.999305555553</c:v>
                </c:pt>
                <c:pt idx="554">
                  <c:v>40311</c:v>
                </c:pt>
                <c:pt idx="555">
                  <c:v>40311.000694444447</c:v>
                </c:pt>
                <c:pt idx="556">
                  <c:v>40311.001388888886</c:v>
                </c:pt>
                <c:pt idx="557">
                  <c:v>40311.002083333333</c:v>
                </c:pt>
                <c:pt idx="558">
                  <c:v>40311.00277777778</c:v>
                </c:pt>
                <c:pt idx="559">
                  <c:v>40311.003472222219</c:v>
                </c:pt>
                <c:pt idx="560">
                  <c:v>40311.004166666666</c:v>
                </c:pt>
                <c:pt idx="561">
                  <c:v>40311.004861111112</c:v>
                </c:pt>
                <c:pt idx="562">
                  <c:v>40311.005555555559</c:v>
                </c:pt>
                <c:pt idx="563">
                  <c:v>40311.006249999999</c:v>
                </c:pt>
                <c:pt idx="564">
                  <c:v>40311.006944444445</c:v>
                </c:pt>
                <c:pt idx="565">
                  <c:v>40311.007638888892</c:v>
                </c:pt>
                <c:pt idx="566">
                  <c:v>40311.008333333331</c:v>
                </c:pt>
                <c:pt idx="567">
                  <c:v>40311.009027777778</c:v>
                </c:pt>
                <c:pt idx="568">
                  <c:v>40311.009722222225</c:v>
                </c:pt>
                <c:pt idx="569">
                  <c:v>40311.010416666664</c:v>
                </c:pt>
                <c:pt idx="570">
                  <c:v>40311.011111111111</c:v>
                </c:pt>
                <c:pt idx="571">
                  <c:v>40311.011805555558</c:v>
                </c:pt>
                <c:pt idx="572">
                  <c:v>40311.012499999997</c:v>
                </c:pt>
                <c:pt idx="573">
                  <c:v>40311.013194444444</c:v>
                </c:pt>
                <c:pt idx="574">
                  <c:v>40311.013888888891</c:v>
                </c:pt>
                <c:pt idx="575">
                  <c:v>40311.01458333333</c:v>
                </c:pt>
                <c:pt idx="576">
                  <c:v>40311.015277777777</c:v>
                </c:pt>
                <c:pt idx="577">
                  <c:v>40311.015972222223</c:v>
                </c:pt>
                <c:pt idx="578">
                  <c:v>40311.01666666667</c:v>
                </c:pt>
                <c:pt idx="579">
                  <c:v>40311.017361111109</c:v>
                </c:pt>
                <c:pt idx="580">
                  <c:v>40311.018055555556</c:v>
                </c:pt>
                <c:pt idx="581">
                  <c:v>40311.018750000003</c:v>
                </c:pt>
                <c:pt idx="582">
                  <c:v>40311.019444444442</c:v>
                </c:pt>
                <c:pt idx="583">
                  <c:v>40311.020138888889</c:v>
                </c:pt>
                <c:pt idx="584">
                  <c:v>40311.020833333336</c:v>
                </c:pt>
                <c:pt idx="585">
                  <c:v>40311.021527777775</c:v>
                </c:pt>
                <c:pt idx="586">
                  <c:v>40311.022222222222</c:v>
                </c:pt>
                <c:pt idx="587">
                  <c:v>40311.022916666669</c:v>
                </c:pt>
                <c:pt idx="588">
                  <c:v>40311.023611111108</c:v>
                </c:pt>
                <c:pt idx="589">
                  <c:v>40311.024305555555</c:v>
                </c:pt>
                <c:pt idx="590">
                  <c:v>40311.025000000001</c:v>
                </c:pt>
                <c:pt idx="591">
                  <c:v>40311.025694444441</c:v>
                </c:pt>
                <c:pt idx="592">
                  <c:v>40311.026388888888</c:v>
                </c:pt>
                <c:pt idx="593">
                  <c:v>40311.027083333334</c:v>
                </c:pt>
                <c:pt idx="594">
                  <c:v>40311.027777777781</c:v>
                </c:pt>
                <c:pt idx="595">
                  <c:v>40311.02847222222</c:v>
                </c:pt>
                <c:pt idx="596">
                  <c:v>40311.029166666667</c:v>
                </c:pt>
                <c:pt idx="597">
                  <c:v>40311.029861111114</c:v>
                </c:pt>
                <c:pt idx="598">
                  <c:v>40311.030555555553</c:v>
                </c:pt>
                <c:pt idx="599">
                  <c:v>40311.03125</c:v>
                </c:pt>
                <c:pt idx="600">
                  <c:v>40311.031944444447</c:v>
                </c:pt>
                <c:pt idx="601">
                  <c:v>40311.032638888886</c:v>
                </c:pt>
                <c:pt idx="602">
                  <c:v>40311.033333333333</c:v>
                </c:pt>
                <c:pt idx="603">
                  <c:v>40311.03402777778</c:v>
                </c:pt>
                <c:pt idx="604">
                  <c:v>40311.034722222219</c:v>
                </c:pt>
                <c:pt idx="605">
                  <c:v>40311.035416666666</c:v>
                </c:pt>
                <c:pt idx="606">
                  <c:v>40311.036111111112</c:v>
                </c:pt>
                <c:pt idx="607">
                  <c:v>40311.036805555559</c:v>
                </c:pt>
                <c:pt idx="608">
                  <c:v>40311.037499999999</c:v>
                </c:pt>
                <c:pt idx="609">
                  <c:v>40311.038194444445</c:v>
                </c:pt>
                <c:pt idx="610">
                  <c:v>40311.038888888892</c:v>
                </c:pt>
                <c:pt idx="611">
                  <c:v>40311.039583333331</c:v>
                </c:pt>
                <c:pt idx="612">
                  <c:v>40311.040277777778</c:v>
                </c:pt>
                <c:pt idx="613">
                  <c:v>40311.040972222225</c:v>
                </c:pt>
                <c:pt idx="614">
                  <c:v>40311.041666666664</c:v>
                </c:pt>
                <c:pt idx="615">
                  <c:v>40311.042361111111</c:v>
                </c:pt>
                <c:pt idx="616">
                  <c:v>40311.043055555558</c:v>
                </c:pt>
                <c:pt idx="617">
                  <c:v>40311.043749999997</c:v>
                </c:pt>
                <c:pt idx="618">
                  <c:v>40311.044444444444</c:v>
                </c:pt>
                <c:pt idx="619">
                  <c:v>40311.045138888891</c:v>
                </c:pt>
                <c:pt idx="620">
                  <c:v>40311.04583333333</c:v>
                </c:pt>
                <c:pt idx="621">
                  <c:v>40311.046527777777</c:v>
                </c:pt>
                <c:pt idx="622">
                  <c:v>40311.047222222223</c:v>
                </c:pt>
                <c:pt idx="623">
                  <c:v>40311.04791666667</c:v>
                </c:pt>
                <c:pt idx="624">
                  <c:v>40311.048611111109</c:v>
                </c:pt>
                <c:pt idx="625">
                  <c:v>40311.049305555556</c:v>
                </c:pt>
                <c:pt idx="626">
                  <c:v>40311.050000000003</c:v>
                </c:pt>
                <c:pt idx="627">
                  <c:v>40311.050694444442</c:v>
                </c:pt>
                <c:pt idx="628">
                  <c:v>40311.051388888889</c:v>
                </c:pt>
                <c:pt idx="629">
                  <c:v>40311.052083333336</c:v>
                </c:pt>
                <c:pt idx="630">
                  <c:v>40311.052777777775</c:v>
                </c:pt>
                <c:pt idx="631">
                  <c:v>40311.053472222222</c:v>
                </c:pt>
                <c:pt idx="632">
                  <c:v>40311.054166666669</c:v>
                </c:pt>
                <c:pt idx="633">
                  <c:v>40311.054861111108</c:v>
                </c:pt>
                <c:pt idx="634">
                  <c:v>40311.055555555555</c:v>
                </c:pt>
                <c:pt idx="635">
                  <c:v>40311.056250000001</c:v>
                </c:pt>
                <c:pt idx="636">
                  <c:v>40311.056944444441</c:v>
                </c:pt>
                <c:pt idx="637">
                  <c:v>40311.057638888888</c:v>
                </c:pt>
                <c:pt idx="638">
                  <c:v>40311.058333333334</c:v>
                </c:pt>
                <c:pt idx="639">
                  <c:v>40311.059027777781</c:v>
                </c:pt>
                <c:pt idx="640">
                  <c:v>40311.05972222222</c:v>
                </c:pt>
                <c:pt idx="641">
                  <c:v>40311.060416666667</c:v>
                </c:pt>
                <c:pt idx="642">
                  <c:v>40311.061111111114</c:v>
                </c:pt>
                <c:pt idx="643">
                  <c:v>40311.061805555553</c:v>
                </c:pt>
                <c:pt idx="644">
                  <c:v>40311.0625</c:v>
                </c:pt>
                <c:pt idx="645">
                  <c:v>40311.063194444447</c:v>
                </c:pt>
                <c:pt idx="646">
                  <c:v>40311.063888888886</c:v>
                </c:pt>
                <c:pt idx="647">
                  <c:v>40311.064583333333</c:v>
                </c:pt>
                <c:pt idx="648">
                  <c:v>40311.06527777778</c:v>
                </c:pt>
                <c:pt idx="649">
                  <c:v>40311.065972222219</c:v>
                </c:pt>
                <c:pt idx="650">
                  <c:v>40311.066666666666</c:v>
                </c:pt>
                <c:pt idx="651">
                  <c:v>40311.067361111112</c:v>
                </c:pt>
                <c:pt idx="652">
                  <c:v>40311.068055555559</c:v>
                </c:pt>
                <c:pt idx="653">
                  <c:v>40311.068749999999</c:v>
                </c:pt>
                <c:pt idx="654">
                  <c:v>40311.069444444445</c:v>
                </c:pt>
                <c:pt idx="655">
                  <c:v>40311.070138888892</c:v>
                </c:pt>
                <c:pt idx="656">
                  <c:v>40311.070833333331</c:v>
                </c:pt>
                <c:pt idx="657">
                  <c:v>40311.071527777778</c:v>
                </c:pt>
                <c:pt idx="658">
                  <c:v>40311.072222222225</c:v>
                </c:pt>
                <c:pt idx="659">
                  <c:v>40311.072916666664</c:v>
                </c:pt>
                <c:pt idx="660">
                  <c:v>40311.073611111111</c:v>
                </c:pt>
                <c:pt idx="661">
                  <c:v>40311.074305555558</c:v>
                </c:pt>
                <c:pt idx="662">
                  <c:v>40311.074999999997</c:v>
                </c:pt>
                <c:pt idx="663">
                  <c:v>40311.075694444444</c:v>
                </c:pt>
                <c:pt idx="664">
                  <c:v>40311.076388888891</c:v>
                </c:pt>
                <c:pt idx="665">
                  <c:v>40311.07708333333</c:v>
                </c:pt>
                <c:pt idx="666">
                  <c:v>40311.077777777777</c:v>
                </c:pt>
                <c:pt idx="667">
                  <c:v>40311.078472222223</c:v>
                </c:pt>
                <c:pt idx="668">
                  <c:v>40311.07916666667</c:v>
                </c:pt>
                <c:pt idx="669">
                  <c:v>40311.079861111109</c:v>
                </c:pt>
                <c:pt idx="670">
                  <c:v>40311.080555555556</c:v>
                </c:pt>
                <c:pt idx="671">
                  <c:v>40311.081250000003</c:v>
                </c:pt>
                <c:pt idx="672">
                  <c:v>40311.081944444442</c:v>
                </c:pt>
                <c:pt idx="673">
                  <c:v>40311.082638888889</c:v>
                </c:pt>
                <c:pt idx="674">
                  <c:v>40311.083333333336</c:v>
                </c:pt>
                <c:pt idx="675">
                  <c:v>40311.084027777775</c:v>
                </c:pt>
                <c:pt idx="676">
                  <c:v>40311.084722222222</c:v>
                </c:pt>
                <c:pt idx="677">
                  <c:v>40311.085416666669</c:v>
                </c:pt>
                <c:pt idx="678">
                  <c:v>40311.086111111108</c:v>
                </c:pt>
                <c:pt idx="679">
                  <c:v>40311.086805555555</c:v>
                </c:pt>
                <c:pt idx="680">
                  <c:v>40311.087500000001</c:v>
                </c:pt>
                <c:pt idx="681">
                  <c:v>40311.088194444441</c:v>
                </c:pt>
                <c:pt idx="682">
                  <c:v>40311.088888888888</c:v>
                </c:pt>
                <c:pt idx="683">
                  <c:v>40311.089583333334</c:v>
                </c:pt>
                <c:pt idx="684">
                  <c:v>40311.090277777781</c:v>
                </c:pt>
                <c:pt idx="685">
                  <c:v>40311.09097222222</c:v>
                </c:pt>
                <c:pt idx="686">
                  <c:v>40311.091666666667</c:v>
                </c:pt>
                <c:pt idx="687">
                  <c:v>40311.092361111114</c:v>
                </c:pt>
                <c:pt idx="688">
                  <c:v>40311.093055555553</c:v>
                </c:pt>
                <c:pt idx="689">
                  <c:v>40311.09375</c:v>
                </c:pt>
                <c:pt idx="690">
                  <c:v>40311.094444444447</c:v>
                </c:pt>
                <c:pt idx="691">
                  <c:v>40311.095138888886</c:v>
                </c:pt>
                <c:pt idx="692">
                  <c:v>40311.095833333333</c:v>
                </c:pt>
                <c:pt idx="693">
                  <c:v>40311.09652777778</c:v>
                </c:pt>
                <c:pt idx="694">
                  <c:v>40311.097222222219</c:v>
                </c:pt>
                <c:pt idx="695">
                  <c:v>40311.097916666666</c:v>
                </c:pt>
                <c:pt idx="696">
                  <c:v>40311.098611111112</c:v>
                </c:pt>
                <c:pt idx="697">
                  <c:v>40311.099305555559</c:v>
                </c:pt>
                <c:pt idx="698">
                  <c:v>40311.1</c:v>
                </c:pt>
                <c:pt idx="699">
                  <c:v>40311.100694444445</c:v>
                </c:pt>
                <c:pt idx="700">
                  <c:v>40311.101388888892</c:v>
                </c:pt>
                <c:pt idx="701">
                  <c:v>40311.102083333331</c:v>
                </c:pt>
                <c:pt idx="702">
                  <c:v>40311.102777777778</c:v>
                </c:pt>
                <c:pt idx="703">
                  <c:v>40311.103472222225</c:v>
                </c:pt>
                <c:pt idx="704">
                  <c:v>40311.104166666664</c:v>
                </c:pt>
                <c:pt idx="705">
                  <c:v>40311.104861111111</c:v>
                </c:pt>
                <c:pt idx="706">
                  <c:v>40311.105555555558</c:v>
                </c:pt>
                <c:pt idx="707">
                  <c:v>40311.106249999997</c:v>
                </c:pt>
                <c:pt idx="708">
                  <c:v>40311.106944444444</c:v>
                </c:pt>
                <c:pt idx="709">
                  <c:v>40311.107638888891</c:v>
                </c:pt>
                <c:pt idx="710">
                  <c:v>40311.10833333333</c:v>
                </c:pt>
                <c:pt idx="711">
                  <c:v>40311.109027777777</c:v>
                </c:pt>
                <c:pt idx="712">
                  <c:v>40311.109722222223</c:v>
                </c:pt>
                <c:pt idx="713">
                  <c:v>40311.11041666667</c:v>
                </c:pt>
                <c:pt idx="714">
                  <c:v>40311.111111111109</c:v>
                </c:pt>
                <c:pt idx="715">
                  <c:v>40311.111805555556</c:v>
                </c:pt>
                <c:pt idx="716">
                  <c:v>40311.112500000003</c:v>
                </c:pt>
                <c:pt idx="717">
                  <c:v>40311.113194444442</c:v>
                </c:pt>
                <c:pt idx="718">
                  <c:v>40311.113888888889</c:v>
                </c:pt>
                <c:pt idx="719">
                  <c:v>40311.114583333336</c:v>
                </c:pt>
                <c:pt idx="720">
                  <c:v>40311.115277777775</c:v>
                </c:pt>
                <c:pt idx="721">
                  <c:v>40311.115972222222</c:v>
                </c:pt>
                <c:pt idx="722">
                  <c:v>40311.116666666669</c:v>
                </c:pt>
                <c:pt idx="723">
                  <c:v>40311.117361111108</c:v>
                </c:pt>
                <c:pt idx="724">
                  <c:v>40311.118055555555</c:v>
                </c:pt>
                <c:pt idx="725">
                  <c:v>40311.118750000001</c:v>
                </c:pt>
                <c:pt idx="726">
                  <c:v>40311.119444444441</c:v>
                </c:pt>
                <c:pt idx="727">
                  <c:v>40311.120138888888</c:v>
                </c:pt>
                <c:pt idx="728">
                  <c:v>40311.120833333334</c:v>
                </c:pt>
                <c:pt idx="729">
                  <c:v>40311.121527777781</c:v>
                </c:pt>
                <c:pt idx="730">
                  <c:v>40311.12222222222</c:v>
                </c:pt>
                <c:pt idx="731">
                  <c:v>40311.122916666667</c:v>
                </c:pt>
                <c:pt idx="732">
                  <c:v>40311.123611111114</c:v>
                </c:pt>
                <c:pt idx="733">
                  <c:v>40311.124305555553</c:v>
                </c:pt>
                <c:pt idx="734">
                  <c:v>40311.125</c:v>
                </c:pt>
                <c:pt idx="735">
                  <c:v>40311.125694444447</c:v>
                </c:pt>
                <c:pt idx="736">
                  <c:v>40311.126388888886</c:v>
                </c:pt>
                <c:pt idx="737">
                  <c:v>40311.127083333333</c:v>
                </c:pt>
                <c:pt idx="738">
                  <c:v>40311.12777777778</c:v>
                </c:pt>
                <c:pt idx="739">
                  <c:v>40311.128472222219</c:v>
                </c:pt>
                <c:pt idx="740">
                  <c:v>40311.129166666666</c:v>
                </c:pt>
                <c:pt idx="741">
                  <c:v>40311.129861111112</c:v>
                </c:pt>
                <c:pt idx="742">
                  <c:v>40311.130555555559</c:v>
                </c:pt>
                <c:pt idx="743">
                  <c:v>40311.131249999999</c:v>
                </c:pt>
                <c:pt idx="744">
                  <c:v>40311.131944444445</c:v>
                </c:pt>
                <c:pt idx="745">
                  <c:v>40311.132638888892</c:v>
                </c:pt>
                <c:pt idx="746">
                  <c:v>40311.133333333331</c:v>
                </c:pt>
                <c:pt idx="747">
                  <c:v>40311.134027777778</c:v>
                </c:pt>
                <c:pt idx="748">
                  <c:v>40311.134722222225</c:v>
                </c:pt>
                <c:pt idx="749">
                  <c:v>40311.135416666664</c:v>
                </c:pt>
                <c:pt idx="750">
                  <c:v>40311.136111111111</c:v>
                </c:pt>
                <c:pt idx="751">
                  <c:v>40311.136805555558</c:v>
                </c:pt>
                <c:pt idx="752">
                  <c:v>40311.137499999997</c:v>
                </c:pt>
                <c:pt idx="753">
                  <c:v>40311.138194444444</c:v>
                </c:pt>
                <c:pt idx="754">
                  <c:v>40311.138888888891</c:v>
                </c:pt>
                <c:pt idx="755">
                  <c:v>40311.13958333333</c:v>
                </c:pt>
                <c:pt idx="756">
                  <c:v>40311.140277777777</c:v>
                </c:pt>
                <c:pt idx="757">
                  <c:v>40311.140972222223</c:v>
                </c:pt>
                <c:pt idx="758">
                  <c:v>40311.14166666667</c:v>
                </c:pt>
                <c:pt idx="759">
                  <c:v>40311.142361111109</c:v>
                </c:pt>
                <c:pt idx="760">
                  <c:v>40311.143055555556</c:v>
                </c:pt>
                <c:pt idx="761">
                  <c:v>40311.143750000003</c:v>
                </c:pt>
                <c:pt idx="762">
                  <c:v>40311.144444444442</c:v>
                </c:pt>
                <c:pt idx="763">
                  <c:v>40311.145138888889</c:v>
                </c:pt>
                <c:pt idx="764">
                  <c:v>40311.145833333336</c:v>
                </c:pt>
                <c:pt idx="765">
                  <c:v>40311.146527777775</c:v>
                </c:pt>
                <c:pt idx="766">
                  <c:v>40311.147222222222</c:v>
                </c:pt>
                <c:pt idx="767">
                  <c:v>40311.147916666669</c:v>
                </c:pt>
                <c:pt idx="768">
                  <c:v>40311.148611111108</c:v>
                </c:pt>
                <c:pt idx="769">
                  <c:v>40311.149305555555</c:v>
                </c:pt>
                <c:pt idx="770">
                  <c:v>40311.15</c:v>
                </c:pt>
                <c:pt idx="771">
                  <c:v>40311.150694444441</c:v>
                </c:pt>
                <c:pt idx="772">
                  <c:v>40311.151388888888</c:v>
                </c:pt>
                <c:pt idx="773">
                  <c:v>40311.152083333334</c:v>
                </c:pt>
                <c:pt idx="774">
                  <c:v>40311.152777777781</c:v>
                </c:pt>
                <c:pt idx="775">
                  <c:v>40311.15347222222</c:v>
                </c:pt>
                <c:pt idx="776">
                  <c:v>40311.154166666667</c:v>
                </c:pt>
                <c:pt idx="777">
                  <c:v>40311.154861111114</c:v>
                </c:pt>
                <c:pt idx="778">
                  <c:v>40311.155555555553</c:v>
                </c:pt>
                <c:pt idx="779">
                  <c:v>40311.15625</c:v>
                </c:pt>
                <c:pt idx="780">
                  <c:v>40311.156944444447</c:v>
                </c:pt>
                <c:pt idx="781">
                  <c:v>40311.157638888886</c:v>
                </c:pt>
                <c:pt idx="782">
                  <c:v>40311.158333333333</c:v>
                </c:pt>
                <c:pt idx="783">
                  <c:v>40311.15902777778</c:v>
                </c:pt>
                <c:pt idx="784">
                  <c:v>40311.159722222219</c:v>
                </c:pt>
                <c:pt idx="785">
                  <c:v>40311.160416666666</c:v>
                </c:pt>
                <c:pt idx="786">
                  <c:v>40311.161111111112</c:v>
                </c:pt>
                <c:pt idx="787">
                  <c:v>40311.161805555559</c:v>
                </c:pt>
                <c:pt idx="788">
                  <c:v>40311.162499999999</c:v>
                </c:pt>
                <c:pt idx="789">
                  <c:v>40311.163194444445</c:v>
                </c:pt>
                <c:pt idx="790">
                  <c:v>40311.163888888892</c:v>
                </c:pt>
                <c:pt idx="791">
                  <c:v>40311.164583333331</c:v>
                </c:pt>
                <c:pt idx="792">
                  <c:v>40311.165277777778</c:v>
                </c:pt>
                <c:pt idx="793">
                  <c:v>40311.165972222225</c:v>
                </c:pt>
                <c:pt idx="794">
                  <c:v>40311.166666666664</c:v>
                </c:pt>
                <c:pt idx="795">
                  <c:v>40311.167361111111</c:v>
                </c:pt>
                <c:pt idx="796">
                  <c:v>40311.168055555558</c:v>
                </c:pt>
                <c:pt idx="797">
                  <c:v>40311.168749999997</c:v>
                </c:pt>
                <c:pt idx="798">
                  <c:v>40311.169444444444</c:v>
                </c:pt>
                <c:pt idx="799">
                  <c:v>40311.170138888891</c:v>
                </c:pt>
                <c:pt idx="800">
                  <c:v>40311.17083333333</c:v>
                </c:pt>
                <c:pt idx="801">
                  <c:v>40311.171527777777</c:v>
                </c:pt>
                <c:pt idx="802">
                  <c:v>40311.172222222223</c:v>
                </c:pt>
                <c:pt idx="803">
                  <c:v>40311.17291666667</c:v>
                </c:pt>
                <c:pt idx="804">
                  <c:v>40311.173611111109</c:v>
                </c:pt>
                <c:pt idx="805">
                  <c:v>40311.174305555556</c:v>
                </c:pt>
                <c:pt idx="806">
                  <c:v>40311.175000000003</c:v>
                </c:pt>
                <c:pt idx="807">
                  <c:v>40311.175694444442</c:v>
                </c:pt>
                <c:pt idx="808">
                  <c:v>40311.176388888889</c:v>
                </c:pt>
                <c:pt idx="809">
                  <c:v>40311.177083333336</c:v>
                </c:pt>
                <c:pt idx="810">
                  <c:v>40311.177777777775</c:v>
                </c:pt>
                <c:pt idx="811">
                  <c:v>40311.178472222222</c:v>
                </c:pt>
                <c:pt idx="812">
                  <c:v>40311.179166666669</c:v>
                </c:pt>
                <c:pt idx="813">
                  <c:v>40311.179861111108</c:v>
                </c:pt>
                <c:pt idx="814">
                  <c:v>40311.180555555555</c:v>
                </c:pt>
                <c:pt idx="815">
                  <c:v>40311.181250000001</c:v>
                </c:pt>
                <c:pt idx="816">
                  <c:v>40311.181944444441</c:v>
                </c:pt>
                <c:pt idx="817">
                  <c:v>40311.182638888888</c:v>
                </c:pt>
                <c:pt idx="818">
                  <c:v>40311.183333333334</c:v>
                </c:pt>
                <c:pt idx="819">
                  <c:v>40311.184027777781</c:v>
                </c:pt>
                <c:pt idx="820">
                  <c:v>40311.18472222222</c:v>
                </c:pt>
                <c:pt idx="821">
                  <c:v>40311.185416666667</c:v>
                </c:pt>
                <c:pt idx="822">
                  <c:v>40311.186111111114</c:v>
                </c:pt>
                <c:pt idx="823">
                  <c:v>40311.186805555553</c:v>
                </c:pt>
                <c:pt idx="824">
                  <c:v>40311.1875</c:v>
                </c:pt>
                <c:pt idx="825">
                  <c:v>40311.188194444447</c:v>
                </c:pt>
                <c:pt idx="826">
                  <c:v>40311.188888888886</c:v>
                </c:pt>
                <c:pt idx="827">
                  <c:v>40311.189583333333</c:v>
                </c:pt>
                <c:pt idx="828">
                  <c:v>40311.19027777778</c:v>
                </c:pt>
                <c:pt idx="829">
                  <c:v>40311.190972222219</c:v>
                </c:pt>
                <c:pt idx="830">
                  <c:v>40311.191666666666</c:v>
                </c:pt>
                <c:pt idx="831">
                  <c:v>40311.192361111112</c:v>
                </c:pt>
                <c:pt idx="832">
                  <c:v>40311.193055555559</c:v>
                </c:pt>
                <c:pt idx="833">
                  <c:v>40311.193749999999</c:v>
                </c:pt>
                <c:pt idx="834">
                  <c:v>40311.194444444445</c:v>
                </c:pt>
                <c:pt idx="835">
                  <c:v>40311.195138888892</c:v>
                </c:pt>
                <c:pt idx="836">
                  <c:v>40311.195833333331</c:v>
                </c:pt>
                <c:pt idx="837">
                  <c:v>40311.196527777778</c:v>
                </c:pt>
                <c:pt idx="838">
                  <c:v>40311.197222222225</c:v>
                </c:pt>
                <c:pt idx="839">
                  <c:v>40311.197916666664</c:v>
                </c:pt>
                <c:pt idx="840">
                  <c:v>40311.198611111111</c:v>
                </c:pt>
                <c:pt idx="841">
                  <c:v>40311.199305555558</c:v>
                </c:pt>
                <c:pt idx="842">
                  <c:v>40311.199999999997</c:v>
                </c:pt>
                <c:pt idx="843">
                  <c:v>40311.200694444444</c:v>
                </c:pt>
                <c:pt idx="844">
                  <c:v>40311.201388888891</c:v>
                </c:pt>
                <c:pt idx="845">
                  <c:v>40311.20208333333</c:v>
                </c:pt>
                <c:pt idx="846">
                  <c:v>40311.202777777777</c:v>
                </c:pt>
                <c:pt idx="847">
                  <c:v>40311.203472222223</c:v>
                </c:pt>
                <c:pt idx="848">
                  <c:v>40311.20416666667</c:v>
                </c:pt>
                <c:pt idx="849">
                  <c:v>40311.204861111109</c:v>
                </c:pt>
                <c:pt idx="850">
                  <c:v>40311.205555555556</c:v>
                </c:pt>
                <c:pt idx="851">
                  <c:v>40311.206250000003</c:v>
                </c:pt>
                <c:pt idx="852">
                  <c:v>40311.206944444442</c:v>
                </c:pt>
                <c:pt idx="853">
                  <c:v>40311.207638888889</c:v>
                </c:pt>
                <c:pt idx="854">
                  <c:v>40311.208333333336</c:v>
                </c:pt>
                <c:pt idx="855">
                  <c:v>40311.209027777775</c:v>
                </c:pt>
                <c:pt idx="856">
                  <c:v>40311.209722222222</c:v>
                </c:pt>
                <c:pt idx="857">
                  <c:v>40311.210416666669</c:v>
                </c:pt>
                <c:pt idx="858">
                  <c:v>40311.211111111108</c:v>
                </c:pt>
                <c:pt idx="859">
                  <c:v>40311.211805555555</c:v>
                </c:pt>
                <c:pt idx="860">
                  <c:v>40311.212500000001</c:v>
                </c:pt>
                <c:pt idx="861">
                  <c:v>40311.213194444441</c:v>
                </c:pt>
                <c:pt idx="862">
                  <c:v>40311.213888888888</c:v>
                </c:pt>
                <c:pt idx="863">
                  <c:v>40311.214583333334</c:v>
                </c:pt>
                <c:pt idx="864">
                  <c:v>40311.215277777781</c:v>
                </c:pt>
                <c:pt idx="865">
                  <c:v>40311.21597222222</c:v>
                </c:pt>
                <c:pt idx="866">
                  <c:v>40311.216666666667</c:v>
                </c:pt>
                <c:pt idx="867">
                  <c:v>40311.217361111114</c:v>
                </c:pt>
                <c:pt idx="868">
                  <c:v>40311.218055555553</c:v>
                </c:pt>
                <c:pt idx="869">
                  <c:v>40311.21875</c:v>
                </c:pt>
                <c:pt idx="870">
                  <c:v>40311.219444444447</c:v>
                </c:pt>
                <c:pt idx="871">
                  <c:v>40311.220138888886</c:v>
                </c:pt>
                <c:pt idx="872">
                  <c:v>40311.220833333333</c:v>
                </c:pt>
                <c:pt idx="873">
                  <c:v>40311.22152777778</c:v>
                </c:pt>
                <c:pt idx="874">
                  <c:v>40311.222222222219</c:v>
                </c:pt>
                <c:pt idx="875">
                  <c:v>40311.222916666666</c:v>
                </c:pt>
                <c:pt idx="876">
                  <c:v>40311.223611111112</c:v>
                </c:pt>
                <c:pt idx="877">
                  <c:v>40311.224305555559</c:v>
                </c:pt>
                <c:pt idx="878">
                  <c:v>40311.224999999999</c:v>
                </c:pt>
                <c:pt idx="879">
                  <c:v>40311.225694444445</c:v>
                </c:pt>
                <c:pt idx="880">
                  <c:v>40311.226388888892</c:v>
                </c:pt>
                <c:pt idx="881">
                  <c:v>40311.227083333331</c:v>
                </c:pt>
                <c:pt idx="882">
                  <c:v>40311.227777777778</c:v>
                </c:pt>
                <c:pt idx="883">
                  <c:v>40311.228472222225</c:v>
                </c:pt>
                <c:pt idx="884">
                  <c:v>40311.229166666664</c:v>
                </c:pt>
                <c:pt idx="885">
                  <c:v>40311.229861111111</c:v>
                </c:pt>
                <c:pt idx="886">
                  <c:v>40311.230555555558</c:v>
                </c:pt>
                <c:pt idx="887">
                  <c:v>40311.231249999997</c:v>
                </c:pt>
                <c:pt idx="888">
                  <c:v>40311.231944444444</c:v>
                </c:pt>
                <c:pt idx="889">
                  <c:v>40311.232638888891</c:v>
                </c:pt>
                <c:pt idx="890">
                  <c:v>40311.23333333333</c:v>
                </c:pt>
                <c:pt idx="891">
                  <c:v>40311.234027777777</c:v>
                </c:pt>
                <c:pt idx="892">
                  <c:v>40311.234722222223</c:v>
                </c:pt>
                <c:pt idx="893">
                  <c:v>40311.23541666667</c:v>
                </c:pt>
                <c:pt idx="894">
                  <c:v>40311.236111111109</c:v>
                </c:pt>
                <c:pt idx="895">
                  <c:v>40311.236805555556</c:v>
                </c:pt>
                <c:pt idx="896">
                  <c:v>40311.237500000003</c:v>
                </c:pt>
                <c:pt idx="897">
                  <c:v>40311.238194444442</c:v>
                </c:pt>
                <c:pt idx="898">
                  <c:v>40311.238888888889</c:v>
                </c:pt>
                <c:pt idx="899">
                  <c:v>40311.239583333336</c:v>
                </c:pt>
                <c:pt idx="900">
                  <c:v>40311.240277777775</c:v>
                </c:pt>
                <c:pt idx="901">
                  <c:v>40311.240972222222</c:v>
                </c:pt>
                <c:pt idx="902">
                  <c:v>40311.241666666669</c:v>
                </c:pt>
                <c:pt idx="903">
                  <c:v>40311.242361111108</c:v>
                </c:pt>
                <c:pt idx="904">
                  <c:v>40311.243055555555</c:v>
                </c:pt>
                <c:pt idx="905">
                  <c:v>40311.243750000001</c:v>
                </c:pt>
                <c:pt idx="906">
                  <c:v>40311.244444444441</c:v>
                </c:pt>
                <c:pt idx="907">
                  <c:v>40311.245138888888</c:v>
                </c:pt>
                <c:pt idx="908">
                  <c:v>40311.245833333334</c:v>
                </c:pt>
                <c:pt idx="909">
                  <c:v>40311.246527777781</c:v>
                </c:pt>
                <c:pt idx="910">
                  <c:v>40311.24722222222</c:v>
                </c:pt>
                <c:pt idx="911">
                  <c:v>40311.247916666667</c:v>
                </c:pt>
                <c:pt idx="912">
                  <c:v>40311.248611111114</c:v>
                </c:pt>
                <c:pt idx="913">
                  <c:v>40311.249305555553</c:v>
                </c:pt>
                <c:pt idx="914">
                  <c:v>40311.25</c:v>
                </c:pt>
                <c:pt idx="915">
                  <c:v>40311.250694444447</c:v>
                </c:pt>
                <c:pt idx="916">
                  <c:v>40311.251388888886</c:v>
                </c:pt>
                <c:pt idx="917">
                  <c:v>40311.252083333333</c:v>
                </c:pt>
                <c:pt idx="918">
                  <c:v>40311.25277777778</c:v>
                </c:pt>
                <c:pt idx="919">
                  <c:v>40311.253472222219</c:v>
                </c:pt>
                <c:pt idx="920">
                  <c:v>40311.254166666666</c:v>
                </c:pt>
                <c:pt idx="921">
                  <c:v>40311.254861111112</c:v>
                </c:pt>
                <c:pt idx="922">
                  <c:v>40311.255555555559</c:v>
                </c:pt>
                <c:pt idx="923">
                  <c:v>40311.256249999999</c:v>
                </c:pt>
                <c:pt idx="924">
                  <c:v>40311.256944444445</c:v>
                </c:pt>
                <c:pt idx="925">
                  <c:v>40311.257638888892</c:v>
                </c:pt>
                <c:pt idx="926">
                  <c:v>40311.258333333331</c:v>
                </c:pt>
                <c:pt idx="927">
                  <c:v>40311.259027777778</c:v>
                </c:pt>
                <c:pt idx="928">
                  <c:v>40311.259722222225</c:v>
                </c:pt>
                <c:pt idx="929">
                  <c:v>40311.260416666664</c:v>
                </c:pt>
                <c:pt idx="930">
                  <c:v>40311.261111111111</c:v>
                </c:pt>
                <c:pt idx="931">
                  <c:v>40311.261805555558</c:v>
                </c:pt>
                <c:pt idx="932">
                  <c:v>40311.262499999997</c:v>
                </c:pt>
                <c:pt idx="933">
                  <c:v>40311.263194444444</c:v>
                </c:pt>
                <c:pt idx="934">
                  <c:v>40311.263888888891</c:v>
                </c:pt>
                <c:pt idx="935">
                  <c:v>40311.26458333333</c:v>
                </c:pt>
                <c:pt idx="936">
                  <c:v>40311.265277777777</c:v>
                </c:pt>
                <c:pt idx="937">
                  <c:v>40311.265972222223</c:v>
                </c:pt>
                <c:pt idx="938">
                  <c:v>40311.26666666667</c:v>
                </c:pt>
                <c:pt idx="939">
                  <c:v>40311.267361111109</c:v>
                </c:pt>
                <c:pt idx="940">
                  <c:v>40311.268055555556</c:v>
                </c:pt>
                <c:pt idx="941">
                  <c:v>40311.268750000003</c:v>
                </c:pt>
                <c:pt idx="942">
                  <c:v>40311.269444444442</c:v>
                </c:pt>
                <c:pt idx="943">
                  <c:v>40311.270138888889</c:v>
                </c:pt>
                <c:pt idx="944">
                  <c:v>40311.270833333336</c:v>
                </c:pt>
                <c:pt idx="945">
                  <c:v>40311.271527777775</c:v>
                </c:pt>
                <c:pt idx="946">
                  <c:v>40311.272222222222</c:v>
                </c:pt>
                <c:pt idx="947">
                  <c:v>40311.272916666669</c:v>
                </c:pt>
                <c:pt idx="948">
                  <c:v>40311.273611111108</c:v>
                </c:pt>
                <c:pt idx="949">
                  <c:v>40311.274305555555</c:v>
                </c:pt>
                <c:pt idx="950">
                  <c:v>40311.275000000001</c:v>
                </c:pt>
                <c:pt idx="951">
                  <c:v>40311.275694444441</c:v>
                </c:pt>
                <c:pt idx="952">
                  <c:v>40311.276388888888</c:v>
                </c:pt>
                <c:pt idx="953">
                  <c:v>40311.277083333334</c:v>
                </c:pt>
                <c:pt idx="954">
                  <c:v>40311.277777777781</c:v>
                </c:pt>
                <c:pt idx="955">
                  <c:v>40311.27847222222</c:v>
                </c:pt>
                <c:pt idx="956">
                  <c:v>40311.279166666667</c:v>
                </c:pt>
                <c:pt idx="957">
                  <c:v>40311.279861111114</c:v>
                </c:pt>
                <c:pt idx="958">
                  <c:v>40311.280555555553</c:v>
                </c:pt>
                <c:pt idx="959">
                  <c:v>40311.28125</c:v>
                </c:pt>
                <c:pt idx="960">
                  <c:v>40311.281944444447</c:v>
                </c:pt>
                <c:pt idx="961">
                  <c:v>40311.282638888886</c:v>
                </c:pt>
                <c:pt idx="962">
                  <c:v>40311.283333333333</c:v>
                </c:pt>
                <c:pt idx="963">
                  <c:v>40311.28402777778</c:v>
                </c:pt>
                <c:pt idx="964">
                  <c:v>40311.284722222219</c:v>
                </c:pt>
                <c:pt idx="965">
                  <c:v>40311.285416666666</c:v>
                </c:pt>
                <c:pt idx="966">
                  <c:v>40311.286111111112</c:v>
                </c:pt>
                <c:pt idx="967">
                  <c:v>40311.286805555559</c:v>
                </c:pt>
                <c:pt idx="968">
                  <c:v>40311.287499999999</c:v>
                </c:pt>
                <c:pt idx="969">
                  <c:v>40311.288194444445</c:v>
                </c:pt>
                <c:pt idx="970">
                  <c:v>40311.288888888892</c:v>
                </c:pt>
                <c:pt idx="971">
                  <c:v>40311.289583333331</c:v>
                </c:pt>
                <c:pt idx="972">
                  <c:v>40311.290277777778</c:v>
                </c:pt>
                <c:pt idx="973">
                  <c:v>40311.290972222225</c:v>
                </c:pt>
                <c:pt idx="974">
                  <c:v>40311.291666666664</c:v>
                </c:pt>
                <c:pt idx="975">
                  <c:v>40311.292361111111</c:v>
                </c:pt>
                <c:pt idx="976">
                  <c:v>40311.293055555558</c:v>
                </c:pt>
                <c:pt idx="977">
                  <c:v>40311.293749999997</c:v>
                </c:pt>
                <c:pt idx="978">
                  <c:v>40311.294444444444</c:v>
                </c:pt>
                <c:pt idx="979">
                  <c:v>40311.295138888891</c:v>
                </c:pt>
                <c:pt idx="980">
                  <c:v>40311.29583333333</c:v>
                </c:pt>
                <c:pt idx="981">
                  <c:v>40311.296527777777</c:v>
                </c:pt>
                <c:pt idx="982">
                  <c:v>40311.297222222223</c:v>
                </c:pt>
                <c:pt idx="983">
                  <c:v>40311.29791666667</c:v>
                </c:pt>
                <c:pt idx="984">
                  <c:v>40311.298611111109</c:v>
                </c:pt>
                <c:pt idx="985">
                  <c:v>40311.299305555556</c:v>
                </c:pt>
                <c:pt idx="986">
                  <c:v>40311.300000000003</c:v>
                </c:pt>
                <c:pt idx="987">
                  <c:v>40311.300694444442</c:v>
                </c:pt>
                <c:pt idx="988">
                  <c:v>40311.301388888889</c:v>
                </c:pt>
                <c:pt idx="989">
                  <c:v>40311.302083333336</c:v>
                </c:pt>
                <c:pt idx="990">
                  <c:v>40311.302777777775</c:v>
                </c:pt>
                <c:pt idx="991">
                  <c:v>40311.303472222222</c:v>
                </c:pt>
                <c:pt idx="992">
                  <c:v>40311.304166666669</c:v>
                </c:pt>
                <c:pt idx="993">
                  <c:v>40311.304861111108</c:v>
                </c:pt>
                <c:pt idx="994">
                  <c:v>40311.305555555555</c:v>
                </c:pt>
                <c:pt idx="995">
                  <c:v>40311.306250000001</c:v>
                </c:pt>
                <c:pt idx="996">
                  <c:v>40311.306944444441</c:v>
                </c:pt>
                <c:pt idx="997">
                  <c:v>40311.307638888888</c:v>
                </c:pt>
                <c:pt idx="998">
                  <c:v>40311.308333333334</c:v>
                </c:pt>
                <c:pt idx="999">
                  <c:v>40311.309027777781</c:v>
                </c:pt>
                <c:pt idx="1000">
                  <c:v>40311.30972222222</c:v>
                </c:pt>
                <c:pt idx="1001">
                  <c:v>40311.310416666667</c:v>
                </c:pt>
                <c:pt idx="1002">
                  <c:v>40311.311111111114</c:v>
                </c:pt>
                <c:pt idx="1003">
                  <c:v>40311.311805555553</c:v>
                </c:pt>
                <c:pt idx="1004">
                  <c:v>40311.3125</c:v>
                </c:pt>
                <c:pt idx="1005">
                  <c:v>40311.313194444447</c:v>
                </c:pt>
                <c:pt idx="1006">
                  <c:v>40311.313888888886</c:v>
                </c:pt>
                <c:pt idx="1007">
                  <c:v>40311.314583333333</c:v>
                </c:pt>
                <c:pt idx="1008">
                  <c:v>40311.31527777778</c:v>
                </c:pt>
                <c:pt idx="1009">
                  <c:v>40311.315972222219</c:v>
                </c:pt>
                <c:pt idx="1010">
                  <c:v>40311.316666666666</c:v>
                </c:pt>
                <c:pt idx="1011">
                  <c:v>40311.317361111112</c:v>
                </c:pt>
                <c:pt idx="1012">
                  <c:v>40311.318055555559</c:v>
                </c:pt>
                <c:pt idx="1013">
                  <c:v>40311.318749999999</c:v>
                </c:pt>
                <c:pt idx="1014">
                  <c:v>40311.319444444445</c:v>
                </c:pt>
                <c:pt idx="1015">
                  <c:v>40311.320138888892</c:v>
                </c:pt>
                <c:pt idx="1016">
                  <c:v>40311.320833333331</c:v>
                </c:pt>
                <c:pt idx="1017">
                  <c:v>40311.321527777778</c:v>
                </c:pt>
                <c:pt idx="1018">
                  <c:v>40311.322222222225</c:v>
                </c:pt>
                <c:pt idx="1019">
                  <c:v>40311.322916666664</c:v>
                </c:pt>
                <c:pt idx="1020">
                  <c:v>40311.323611111111</c:v>
                </c:pt>
                <c:pt idx="1021">
                  <c:v>40311.324305555558</c:v>
                </c:pt>
                <c:pt idx="1022">
                  <c:v>40311.324999999997</c:v>
                </c:pt>
                <c:pt idx="1023">
                  <c:v>40311.325694444444</c:v>
                </c:pt>
                <c:pt idx="1024">
                  <c:v>40311.326388888891</c:v>
                </c:pt>
                <c:pt idx="1025">
                  <c:v>40311.32708333333</c:v>
                </c:pt>
                <c:pt idx="1026">
                  <c:v>40311.327777777777</c:v>
                </c:pt>
                <c:pt idx="1027">
                  <c:v>40311.328472222223</c:v>
                </c:pt>
                <c:pt idx="1028">
                  <c:v>40311.32916666667</c:v>
                </c:pt>
                <c:pt idx="1029">
                  <c:v>40311.329861111109</c:v>
                </c:pt>
                <c:pt idx="1030">
                  <c:v>40311.330555555556</c:v>
                </c:pt>
                <c:pt idx="1031">
                  <c:v>40311.331250000003</c:v>
                </c:pt>
                <c:pt idx="1032">
                  <c:v>40311.331944444442</c:v>
                </c:pt>
                <c:pt idx="1033">
                  <c:v>40311.332638888889</c:v>
                </c:pt>
                <c:pt idx="1034">
                  <c:v>40311.333333333336</c:v>
                </c:pt>
                <c:pt idx="1035">
                  <c:v>40311.334027777775</c:v>
                </c:pt>
                <c:pt idx="1036">
                  <c:v>40311.334722222222</c:v>
                </c:pt>
                <c:pt idx="1037">
                  <c:v>40311.335416666669</c:v>
                </c:pt>
                <c:pt idx="1038">
                  <c:v>40311.336111111108</c:v>
                </c:pt>
                <c:pt idx="1039">
                  <c:v>40311.336805555555</c:v>
                </c:pt>
                <c:pt idx="1040">
                  <c:v>40311.337500000001</c:v>
                </c:pt>
                <c:pt idx="1041">
                  <c:v>40311.338194444441</c:v>
                </c:pt>
                <c:pt idx="1042">
                  <c:v>40311.338888888888</c:v>
                </c:pt>
                <c:pt idx="1043">
                  <c:v>40311.339583333334</c:v>
                </c:pt>
                <c:pt idx="1044">
                  <c:v>40311.340277777781</c:v>
                </c:pt>
                <c:pt idx="1045">
                  <c:v>40311.34097222222</c:v>
                </c:pt>
                <c:pt idx="1046">
                  <c:v>40311.341666666667</c:v>
                </c:pt>
                <c:pt idx="1047">
                  <c:v>40311.342361111114</c:v>
                </c:pt>
                <c:pt idx="1048">
                  <c:v>40311.343055555553</c:v>
                </c:pt>
                <c:pt idx="1049">
                  <c:v>40311.34375</c:v>
                </c:pt>
                <c:pt idx="1050">
                  <c:v>40311.344444444447</c:v>
                </c:pt>
                <c:pt idx="1051">
                  <c:v>40311.345138888886</c:v>
                </c:pt>
                <c:pt idx="1052">
                  <c:v>40311.345833333333</c:v>
                </c:pt>
                <c:pt idx="1053">
                  <c:v>40311.34652777778</c:v>
                </c:pt>
                <c:pt idx="1054">
                  <c:v>40311.347222222219</c:v>
                </c:pt>
                <c:pt idx="1055">
                  <c:v>40311.347916666666</c:v>
                </c:pt>
                <c:pt idx="1056">
                  <c:v>40311.348611111112</c:v>
                </c:pt>
                <c:pt idx="1057">
                  <c:v>40311.349305555559</c:v>
                </c:pt>
                <c:pt idx="1058">
                  <c:v>40311.35</c:v>
                </c:pt>
                <c:pt idx="1059">
                  <c:v>40311.350694444445</c:v>
                </c:pt>
                <c:pt idx="1060">
                  <c:v>40311.351388888892</c:v>
                </c:pt>
                <c:pt idx="1061">
                  <c:v>40311.352083333331</c:v>
                </c:pt>
                <c:pt idx="1062">
                  <c:v>40311.352777777778</c:v>
                </c:pt>
                <c:pt idx="1063">
                  <c:v>40311.353472222225</c:v>
                </c:pt>
                <c:pt idx="1064">
                  <c:v>40311.354166666664</c:v>
                </c:pt>
                <c:pt idx="1065">
                  <c:v>40311.354861111111</c:v>
                </c:pt>
                <c:pt idx="1066">
                  <c:v>40311.355555555558</c:v>
                </c:pt>
                <c:pt idx="1067">
                  <c:v>40311.356249999997</c:v>
                </c:pt>
                <c:pt idx="1068">
                  <c:v>40311.356944444444</c:v>
                </c:pt>
                <c:pt idx="1069">
                  <c:v>40311.357638888891</c:v>
                </c:pt>
                <c:pt idx="1070">
                  <c:v>40311.35833333333</c:v>
                </c:pt>
                <c:pt idx="1071">
                  <c:v>40311.359027777777</c:v>
                </c:pt>
                <c:pt idx="1072">
                  <c:v>40311.359722222223</c:v>
                </c:pt>
                <c:pt idx="1073">
                  <c:v>40311.36041666667</c:v>
                </c:pt>
                <c:pt idx="1074">
                  <c:v>40311.361111111109</c:v>
                </c:pt>
                <c:pt idx="1075">
                  <c:v>40311.361805555556</c:v>
                </c:pt>
                <c:pt idx="1076">
                  <c:v>40311.362500000003</c:v>
                </c:pt>
                <c:pt idx="1077">
                  <c:v>40311.363194444442</c:v>
                </c:pt>
                <c:pt idx="1078">
                  <c:v>40311.363888888889</c:v>
                </c:pt>
                <c:pt idx="1079">
                  <c:v>40311.364583333336</c:v>
                </c:pt>
                <c:pt idx="1080">
                  <c:v>40311.365277777775</c:v>
                </c:pt>
                <c:pt idx="1081">
                  <c:v>40311.365972222222</c:v>
                </c:pt>
                <c:pt idx="1082">
                  <c:v>40311.366666666669</c:v>
                </c:pt>
                <c:pt idx="1083">
                  <c:v>40311.367361111108</c:v>
                </c:pt>
                <c:pt idx="1084">
                  <c:v>40311.368055555555</c:v>
                </c:pt>
                <c:pt idx="1085">
                  <c:v>40311.368750000001</c:v>
                </c:pt>
                <c:pt idx="1086">
                  <c:v>40311.369444444441</c:v>
                </c:pt>
                <c:pt idx="1087">
                  <c:v>40311.370138888888</c:v>
                </c:pt>
                <c:pt idx="1088">
                  <c:v>40311.370833333334</c:v>
                </c:pt>
                <c:pt idx="1089">
                  <c:v>40311.371527777781</c:v>
                </c:pt>
                <c:pt idx="1090">
                  <c:v>40311.37222222222</c:v>
                </c:pt>
                <c:pt idx="1091">
                  <c:v>40311.372916666667</c:v>
                </c:pt>
                <c:pt idx="1092">
                  <c:v>40311.373611111114</c:v>
                </c:pt>
                <c:pt idx="1093">
                  <c:v>40311.374305555553</c:v>
                </c:pt>
                <c:pt idx="1094">
                  <c:v>40311.375</c:v>
                </c:pt>
                <c:pt idx="1095">
                  <c:v>40311.375694444447</c:v>
                </c:pt>
                <c:pt idx="1096">
                  <c:v>40311.376388888886</c:v>
                </c:pt>
                <c:pt idx="1097">
                  <c:v>40311.377083333333</c:v>
                </c:pt>
                <c:pt idx="1098">
                  <c:v>40311.37777777778</c:v>
                </c:pt>
                <c:pt idx="1099">
                  <c:v>40311.378472222219</c:v>
                </c:pt>
                <c:pt idx="1100">
                  <c:v>40311.379166666666</c:v>
                </c:pt>
                <c:pt idx="1101">
                  <c:v>40311.379861111112</c:v>
                </c:pt>
                <c:pt idx="1102">
                  <c:v>40311.380555555559</c:v>
                </c:pt>
                <c:pt idx="1103">
                  <c:v>40311.381249999999</c:v>
                </c:pt>
                <c:pt idx="1104">
                  <c:v>40311.381944444445</c:v>
                </c:pt>
                <c:pt idx="1105">
                  <c:v>40311.382638888892</c:v>
                </c:pt>
                <c:pt idx="1106">
                  <c:v>40311.383333333331</c:v>
                </c:pt>
                <c:pt idx="1107">
                  <c:v>40311.384027777778</c:v>
                </c:pt>
                <c:pt idx="1108">
                  <c:v>40311.384722222225</c:v>
                </c:pt>
                <c:pt idx="1109">
                  <c:v>40311.385416666664</c:v>
                </c:pt>
                <c:pt idx="1110">
                  <c:v>40311.386111111111</c:v>
                </c:pt>
                <c:pt idx="1111">
                  <c:v>40311.386805555558</c:v>
                </c:pt>
                <c:pt idx="1112">
                  <c:v>40311.387499999997</c:v>
                </c:pt>
                <c:pt idx="1113">
                  <c:v>40311.388194444444</c:v>
                </c:pt>
                <c:pt idx="1114">
                  <c:v>40311.388888888891</c:v>
                </c:pt>
                <c:pt idx="1115">
                  <c:v>40311.38958333333</c:v>
                </c:pt>
                <c:pt idx="1116">
                  <c:v>40311.390277777777</c:v>
                </c:pt>
                <c:pt idx="1117">
                  <c:v>40311.390972222223</c:v>
                </c:pt>
                <c:pt idx="1118">
                  <c:v>40311.39166666667</c:v>
                </c:pt>
                <c:pt idx="1119">
                  <c:v>40311.392361111109</c:v>
                </c:pt>
                <c:pt idx="1120">
                  <c:v>40311.393055555556</c:v>
                </c:pt>
                <c:pt idx="1121">
                  <c:v>40311.393750000003</c:v>
                </c:pt>
                <c:pt idx="1122">
                  <c:v>40311.394444444442</c:v>
                </c:pt>
                <c:pt idx="1123">
                  <c:v>40311.395138888889</c:v>
                </c:pt>
                <c:pt idx="1124">
                  <c:v>40311.395833333336</c:v>
                </c:pt>
                <c:pt idx="1125">
                  <c:v>40311.396527777775</c:v>
                </c:pt>
                <c:pt idx="1126">
                  <c:v>40311.397222222222</c:v>
                </c:pt>
                <c:pt idx="1127">
                  <c:v>40311.397916666669</c:v>
                </c:pt>
                <c:pt idx="1128">
                  <c:v>40311.398611111108</c:v>
                </c:pt>
                <c:pt idx="1129">
                  <c:v>40311.399305555555</c:v>
                </c:pt>
                <c:pt idx="1130">
                  <c:v>40311.4</c:v>
                </c:pt>
                <c:pt idx="1131">
                  <c:v>40311.400694444441</c:v>
                </c:pt>
                <c:pt idx="1132">
                  <c:v>40311.401388888888</c:v>
                </c:pt>
                <c:pt idx="1133">
                  <c:v>40311.402083333334</c:v>
                </c:pt>
                <c:pt idx="1134">
                  <c:v>40311.402777777781</c:v>
                </c:pt>
                <c:pt idx="1135">
                  <c:v>40311.40347222222</c:v>
                </c:pt>
                <c:pt idx="1136">
                  <c:v>40311.404166666667</c:v>
                </c:pt>
                <c:pt idx="1137">
                  <c:v>40311.404861111114</c:v>
                </c:pt>
                <c:pt idx="1138">
                  <c:v>40311.405555555553</c:v>
                </c:pt>
                <c:pt idx="1139">
                  <c:v>40311.40625</c:v>
                </c:pt>
                <c:pt idx="1140">
                  <c:v>40311.406944444447</c:v>
                </c:pt>
                <c:pt idx="1141">
                  <c:v>40311.407638888886</c:v>
                </c:pt>
                <c:pt idx="1142">
                  <c:v>40311.408333333333</c:v>
                </c:pt>
                <c:pt idx="1143">
                  <c:v>40311.40902777778</c:v>
                </c:pt>
                <c:pt idx="1144">
                  <c:v>40311.409722222219</c:v>
                </c:pt>
                <c:pt idx="1145">
                  <c:v>40311.410416666666</c:v>
                </c:pt>
                <c:pt idx="1146">
                  <c:v>40311.411111111112</c:v>
                </c:pt>
                <c:pt idx="1147">
                  <c:v>40311.411805555559</c:v>
                </c:pt>
                <c:pt idx="1148">
                  <c:v>40311.412499999999</c:v>
                </c:pt>
                <c:pt idx="1149">
                  <c:v>40311.413194444445</c:v>
                </c:pt>
                <c:pt idx="1150">
                  <c:v>40311.413888888892</c:v>
                </c:pt>
                <c:pt idx="1151">
                  <c:v>40311.414583333331</c:v>
                </c:pt>
                <c:pt idx="1152">
                  <c:v>40311.415277777778</c:v>
                </c:pt>
                <c:pt idx="1153">
                  <c:v>40311.415972222225</c:v>
                </c:pt>
                <c:pt idx="1154">
                  <c:v>40311.416666666664</c:v>
                </c:pt>
                <c:pt idx="1155">
                  <c:v>40311.417361111111</c:v>
                </c:pt>
                <c:pt idx="1156">
                  <c:v>40311.418055555558</c:v>
                </c:pt>
                <c:pt idx="1157">
                  <c:v>40311.418749999997</c:v>
                </c:pt>
                <c:pt idx="1158">
                  <c:v>40311.419444444444</c:v>
                </c:pt>
                <c:pt idx="1159">
                  <c:v>40311.420138888891</c:v>
                </c:pt>
                <c:pt idx="1160">
                  <c:v>40311.42083333333</c:v>
                </c:pt>
                <c:pt idx="1161">
                  <c:v>40311.421527777777</c:v>
                </c:pt>
                <c:pt idx="1162">
                  <c:v>40311.422222222223</c:v>
                </c:pt>
                <c:pt idx="1163">
                  <c:v>40311.42291666667</c:v>
                </c:pt>
                <c:pt idx="1164">
                  <c:v>40311.423611111109</c:v>
                </c:pt>
                <c:pt idx="1165">
                  <c:v>40311.424305555556</c:v>
                </c:pt>
                <c:pt idx="1166">
                  <c:v>40311.425000000003</c:v>
                </c:pt>
                <c:pt idx="1167">
                  <c:v>40311.425694444442</c:v>
                </c:pt>
                <c:pt idx="1168">
                  <c:v>40311.426388888889</c:v>
                </c:pt>
                <c:pt idx="1169">
                  <c:v>40311.427083333336</c:v>
                </c:pt>
                <c:pt idx="1170">
                  <c:v>40311.427777777775</c:v>
                </c:pt>
                <c:pt idx="1171">
                  <c:v>40311.428472222222</c:v>
                </c:pt>
                <c:pt idx="1172">
                  <c:v>40311.429166666669</c:v>
                </c:pt>
                <c:pt idx="1173">
                  <c:v>40311.429861111108</c:v>
                </c:pt>
                <c:pt idx="1174">
                  <c:v>40311.430555555555</c:v>
                </c:pt>
                <c:pt idx="1175">
                  <c:v>40311.431250000001</c:v>
                </c:pt>
                <c:pt idx="1176">
                  <c:v>40311.431944444441</c:v>
                </c:pt>
                <c:pt idx="1177">
                  <c:v>40311.432638888888</c:v>
                </c:pt>
                <c:pt idx="1178">
                  <c:v>40311.433333333334</c:v>
                </c:pt>
                <c:pt idx="1179">
                  <c:v>40311.434027777781</c:v>
                </c:pt>
                <c:pt idx="1180">
                  <c:v>40311.43472222222</c:v>
                </c:pt>
                <c:pt idx="1181">
                  <c:v>40311.435416666667</c:v>
                </c:pt>
                <c:pt idx="1182">
                  <c:v>40311.436111111114</c:v>
                </c:pt>
                <c:pt idx="1183">
                  <c:v>40311.436805555553</c:v>
                </c:pt>
                <c:pt idx="1184">
                  <c:v>40311.4375</c:v>
                </c:pt>
                <c:pt idx="1185">
                  <c:v>40311.438194444447</c:v>
                </c:pt>
                <c:pt idx="1186">
                  <c:v>40311.438888888886</c:v>
                </c:pt>
                <c:pt idx="1187">
                  <c:v>40311.439583333333</c:v>
                </c:pt>
                <c:pt idx="1188">
                  <c:v>40311.44027777778</c:v>
                </c:pt>
                <c:pt idx="1189">
                  <c:v>40311.440972222219</c:v>
                </c:pt>
                <c:pt idx="1190">
                  <c:v>40311.441666666666</c:v>
                </c:pt>
                <c:pt idx="1191">
                  <c:v>40311.442361111112</c:v>
                </c:pt>
                <c:pt idx="1192">
                  <c:v>40311.443055555559</c:v>
                </c:pt>
                <c:pt idx="1193">
                  <c:v>40311.443749999999</c:v>
                </c:pt>
                <c:pt idx="1194">
                  <c:v>40311.444444444445</c:v>
                </c:pt>
                <c:pt idx="1195">
                  <c:v>40311.445138888892</c:v>
                </c:pt>
                <c:pt idx="1196">
                  <c:v>40311.445833333331</c:v>
                </c:pt>
                <c:pt idx="1197">
                  <c:v>40311.446527777778</c:v>
                </c:pt>
                <c:pt idx="1198">
                  <c:v>40311.447222222225</c:v>
                </c:pt>
                <c:pt idx="1199">
                  <c:v>40311.447916666664</c:v>
                </c:pt>
                <c:pt idx="1200">
                  <c:v>40311.448611111111</c:v>
                </c:pt>
                <c:pt idx="1201">
                  <c:v>40311.449305555558</c:v>
                </c:pt>
                <c:pt idx="1202">
                  <c:v>40311.449999999997</c:v>
                </c:pt>
                <c:pt idx="1203">
                  <c:v>40311.450694444444</c:v>
                </c:pt>
                <c:pt idx="1204">
                  <c:v>40311.451388888891</c:v>
                </c:pt>
                <c:pt idx="1205">
                  <c:v>40311.45208333333</c:v>
                </c:pt>
                <c:pt idx="1206">
                  <c:v>40311.452777777777</c:v>
                </c:pt>
                <c:pt idx="1207">
                  <c:v>40311.453472222223</c:v>
                </c:pt>
                <c:pt idx="1208">
                  <c:v>40311.45416666667</c:v>
                </c:pt>
                <c:pt idx="1209">
                  <c:v>40311.454861111109</c:v>
                </c:pt>
                <c:pt idx="1210">
                  <c:v>40311.455555555556</c:v>
                </c:pt>
                <c:pt idx="1211">
                  <c:v>40311.456250000003</c:v>
                </c:pt>
                <c:pt idx="1212">
                  <c:v>40311.456944444442</c:v>
                </c:pt>
                <c:pt idx="1213">
                  <c:v>40311.457638888889</c:v>
                </c:pt>
                <c:pt idx="1214">
                  <c:v>40311.458333333336</c:v>
                </c:pt>
                <c:pt idx="1215">
                  <c:v>40311.459027777775</c:v>
                </c:pt>
                <c:pt idx="1216">
                  <c:v>40311.459722222222</c:v>
                </c:pt>
                <c:pt idx="1217">
                  <c:v>40311.460416666669</c:v>
                </c:pt>
                <c:pt idx="1218">
                  <c:v>40311.461111111108</c:v>
                </c:pt>
                <c:pt idx="1219">
                  <c:v>40311.461805555555</c:v>
                </c:pt>
                <c:pt idx="1220">
                  <c:v>40311.462500000001</c:v>
                </c:pt>
                <c:pt idx="1221">
                  <c:v>40311.463194444441</c:v>
                </c:pt>
                <c:pt idx="1222">
                  <c:v>40311.463888888888</c:v>
                </c:pt>
                <c:pt idx="1223">
                  <c:v>40311.464583333334</c:v>
                </c:pt>
                <c:pt idx="1224">
                  <c:v>40311.465277777781</c:v>
                </c:pt>
                <c:pt idx="1225">
                  <c:v>40311.46597222222</c:v>
                </c:pt>
                <c:pt idx="1226">
                  <c:v>40311.466666666667</c:v>
                </c:pt>
                <c:pt idx="1227">
                  <c:v>40311.467361111114</c:v>
                </c:pt>
                <c:pt idx="1228">
                  <c:v>40311.468055555553</c:v>
                </c:pt>
                <c:pt idx="1229">
                  <c:v>40311.46875</c:v>
                </c:pt>
                <c:pt idx="1230">
                  <c:v>40311.469444444447</c:v>
                </c:pt>
                <c:pt idx="1231">
                  <c:v>40311.470138888886</c:v>
                </c:pt>
                <c:pt idx="1232">
                  <c:v>40311.470833333333</c:v>
                </c:pt>
                <c:pt idx="1233">
                  <c:v>40311.47152777778</c:v>
                </c:pt>
                <c:pt idx="1234">
                  <c:v>40311.472222222219</c:v>
                </c:pt>
                <c:pt idx="1235">
                  <c:v>40311.472916666666</c:v>
                </c:pt>
                <c:pt idx="1236">
                  <c:v>40311.473611111112</c:v>
                </c:pt>
                <c:pt idx="1237">
                  <c:v>40311.474305555559</c:v>
                </c:pt>
                <c:pt idx="1238">
                  <c:v>40311.474999999999</c:v>
                </c:pt>
                <c:pt idx="1239">
                  <c:v>40311.475694444445</c:v>
                </c:pt>
                <c:pt idx="1240">
                  <c:v>40311.476388888892</c:v>
                </c:pt>
                <c:pt idx="1241">
                  <c:v>40311.477083333331</c:v>
                </c:pt>
                <c:pt idx="1242">
                  <c:v>40311.477777777778</c:v>
                </c:pt>
                <c:pt idx="1243">
                  <c:v>40311.478472222225</c:v>
                </c:pt>
                <c:pt idx="1244">
                  <c:v>40311.479166666664</c:v>
                </c:pt>
                <c:pt idx="1245">
                  <c:v>40311.479861111111</c:v>
                </c:pt>
                <c:pt idx="1246">
                  <c:v>40311.480555555558</c:v>
                </c:pt>
                <c:pt idx="1247">
                  <c:v>40311.481249999997</c:v>
                </c:pt>
                <c:pt idx="1248">
                  <c:v>40311.481944444444</c:v>
                </c:pt>
                <c:pt idx="1249">
                  <c:v>40311.482638888891</c:v>
                </c:pt>
                <c:pt idx="1250">
                  <c:v>40311.48333333333</c:v>
                </c:pt>
                <c:pt idx="1251">
                  <c:v>40311.484027777777</c:v>
                </c:pt>
                <c:pt idx="1252">
                  <c:v>40311.484722222223</c:v>
                </c:pt>
                <c:pt idx="1253">
                  <c:v>40311.48541666667</c:v>
                </c:pt>
                <c:pt idx="1254">
                  <c:v>40311.486111111109</c:v>
                </c:pt>
                <c:pt idx="1255">
                  <c:v>40311.486805555556</c:v>
                </c:pt>
                <c:pt idx="1256">
                  <c:v>40311.487500000003</c:v>
                </c:pt>
                <c:pt idx="1257">
                  <c:v>40311.488194444442</c:v>
                </c:pt>
                <c:pt idx="1258">
                  <c:v>40311.488888888889</c:v>
                </c:pt>
                <c:pt idx="1259">
                  <c:v>40311.489583333336</c:v>
                </c:pt>
                <c:pt idx="1260">
                  <c:v>40311.490277777775</c:v>
                </c:pt>
                <c:pt idx="1261">
                  <c:v>40311.490972222222</c:v>
                </c:pt>
                <c:pt idx="1262">
                  <c:v>40311.491666666669</c:v>
                </c:pt>
                <c:pt idx="1263">
                  <c:v>40311.492361111108</c:v>
                </c:pt>
                <c:pt idx="1264">
                  <c:v>40311.493055555555</c:v>
                </c:pt>
                <c:pt idx="1265">
                  <c:v>40311.493750000001</c:v>
                </c:pt>
                <c:pt idx="1266">
                  <c:v>40311.494444444441</c:v>
                </c:pt>
                <c:pt idx="1267">
                  <c:v>40311.495138888888</c:v>
                </c:pt>
                <c:pt idx="1268">
                  <c:v>40311.495833333334</c:v>
                </c:pt>
                <c:pt idx="1269">
                  <c:v>40311.496527777781</c:v>
                </c:pt>
                <c:pt idx="1270">
                  <c:v>40311.49722222222</c:v>
                </c:pt>
                <c:pt idx="1271">
                  <c:v>40311.497916666667</c:v>
                </c:pt>
                <c:pt idx="1272">
                  <c:v>40311.498611111114</c:v>
                </c:pt>
                <c:pt idx="1273">
                  <c:v>40311.499305555553</c:v>
                </c:pt>
                <c:pt idx="1274">
                  <c:v>40311.5</c:v>
                </c:pt>
                <c:pt idx="1275">
                  <c:v>40311.500694444447</c:v>
                </c:pt>
                <c:pt idx="1276">
                  <c:v>40311.501388888886</c:v>
                </c:pt>
                <c:pt idx="1277">
                  <c:v>40311.502083333333</c:v>
                </c:pt>
                <c:pt idx="1278">
                  <c:v>40311.50277777778</c:v>
                </c:pt>
                <c:pt idx="1279">
                  <c:v>40311.503472222219</c:v>
                </c:pt>
                <c:pt idx="1280">
                  <c:v>40311.504166666666</c:v>
                </c:pt>
                <c:pt idx="1281">
                  <c:v>40311.504861111112</c:v>
                </c:pt>
                <c:pt idx="1282">
                  <c:v>40311.505555555559</c:v>
                </c:pt>
                <c:pt idx="1283">
                  <c:v>40311.506249999999</c:v>
                </c:pt>
                <c:pt idx="1284">
                  <c:v>40311.506944444445</c:v>
                </c:pt>
                <c:pt idx="1285">
                  <c:v>40311.507638888892</c:v>
                </c:pt>
                <c:pt idx="1286">
                  <c:v>40311.508333333331</c:v>
                </c:pt>
                <c:pt idx="1287">
                  <c:v>40311.509027777778</c:v>
                </c:pt>
                <c:pt idx="1288">
                  <c:v>40311.509722222225</c:v>
                </c:pt>
                <c:pt idx="1289">
                  <c:v>40311.510416666664</c:v>
                </c:pt>
                <c:pt idx="1290">
                  <c:v>40311.511111111111</c:v>
                </c:pt>
                <c:pt idx="1291">
                  <c:v>40311.511805555558</c:v>
                </c:pt>
                <c:pt idx="1292">
                  <c:v>40311.512499999997</c:v>
                </c:pt>
                <c:pt idx="1293">
                  <c:v>40311.513194444444</c:v>
                </c:pt>
                <c:pt idx="1294">
                  <c:v>40311.513888888891</c:v>
                </c:pt>
                <c:pt idx="1295">
                  <c:v>40311.51458333333</c:v>
                </c:pt>
                <c:pt idx="1296">
                  <c:v>40311.515277777777</c:v>
                </c:pt>
                <c:pt idx="1297">
                  <c:v>40311.515972222223</c:v>
                </c:pt>
                <c:pt idx="1298">
                  <c:v>40311.51666666667</c:v>
                </c:pt>
                <c:pt idx="1299">
                  <c:v>40311.517361111109</c:v>
                </c:pt>
                <c:pt idx="1300">
                  <c:v>40311.518055555556</c:v>
                </c:pt>
                <c:pt idx="1301">
                  <c:v>40311.518750000003</c:v>
                </c:pt>
                <c:pt idx="1302">
                  <c:v>40311.519444444442</c:v>
                </c:pt>
                <c:pt idx="1303">
                  <c:v>40311.520138888889</c:v>
                </c:pt>
                <c:pt idx="1304">
                  <c:v>40311.520833333336</c:v>
                </c:pt>
                <c:pt idx="1305">
                  <c:v>40311.521527777775</c:v>
                </c:pt>
                <c:pt idx="1306">
                  <c:v>40311.522222222222</c:v>
                </c:pt>
                <c:pt idx="1307">
                  <c:v>40311.522916666669</c:v>
                </c:pt>
                <c:pt idx="1308">
                  <c:v>40311.523611111108</c:v>
                </c:pt>
                <c:pt idx="1309">
                  <c:v>40311.524305555555</c:v>
                </c:pt>
                <c:pt idx="1310">
                  <c:v>40311.525000000001</c:v>
                </c:pt>
                <c:pt idx="1311">
                  <c:v>40311.525694444441</c:v>
                </c:pt>
                <c:pt idx="1312">
                  <c:v>40311.526388888888</c:v>
                </c:pt>
                <c:pt idx="1313">
                  <c:v>40311.527083333334</c:v>
                </c:pt>
                <c:pt idx="1314">
                  <c:v>40311.527777777781</c:v>
                </c:pt>
                <c:pt idx="1315">
                  <c:v>40311.52847222222</c:v>
                </c:pt>
                <c:pt idx="1316">
                  <c:v>40311.529166666667</c:v>
                </c:pt>
                <c:pt idx="1317">
                  <c:v>40311.529861111114</c:v>
                </c:pt>
                <c:pt idx="1318">
                  <c:v>40311.530555555553</c:v>
                </c:pt>
                <c:pt idx="1319">
                  <c:v>40311.53125</c:v>
                </c:pt>
                <c:pt idx="1320">
                  <c:v>40311.531944444447</c:v>
                </c:pt>
                <c:pt idx="1321">
                  <c:v>40311.532638888886</c:v>
                </c:pt>
                <c:pt idx="1322">
                  <c:v>40311.533333333333</c:v>
                </c:pt>
                <c:pt idx="1323">
                  <c:v>40311.53402777778</c:v>
                </c:pt>
                <c:pt idx="1324">
                  <c:v>40311.534722222219</c:v>
                </c:pt>
                <c:pt idx="1325">
                  <c:v>40311.535416666666</c:v>
                </c:pt>
                <c:pt idx="1326">
                  <c:v>40311.536111111112</c:v>
                </c:pt>
                <c:pt idx="1327">
                  <c:v>40311.536805555559</c:v>
                </c:pt>
                <c:pt idx="1328">
                  <c:v>40311.537499999999</c:v>
                </c:pt>
                <c:pt idx="1329">
                  <c:v>40311.538194444445</c:v>
                </c:pt>
                <c:pt idx="1330">
                  <c:v>40311.538888888892</c:v>
                </c:pt>
                <c:pt idx="1331">
                  <c:v>40311.539583333331</c:v>
                </c:pt>
                <c:pt idx="1332">
                  <c:v>40311.540277777778</c:v>
                </c:pt>
                <c:pt idx="1333">
                  <c:v>40311.540972222225</c:v>
                </c:pt>
                <c:pt idx="1334">
                  <c:v>40311.541666666664</c:v>
                </c:pt>
                <c:pt idx="1335">
                  <c:v>40311.542361111111</c:v>
                </c:pt>
                <c:pt idx="1336">
                  <c:v>40311.543055555558</c:v>
                </c:pt>
                <c:pt idx="1337">
                  <c:v>40311.543749999997</c:v>
                </c:pt>
                <c:pt idx="1338">
                  <c:v>40311.544444444444</c:v>
                </c:pt>
                <c:pt idx="1339">
                  <c:v>40311.545138888891</c:v>
                </c:pt>
                <c:pt idx="1340">
                  <c:v>40311.54583333333</c:v>
                </c:pt>
                <c:pt idx="1341">
                  <c:v>40311.546527777777</c:v>
                </c:pt>
                <c:pt idx="1342">
                  <c:v>40311.547222222223</c:v>
                </c:pt>
                <c:pt idx="1343">
                  <c:v>40311.54791666667</c:v>
                </c:pt>
                <c:pt idx="1344">
                  <c:v>40311.548611111109</c:v>
                </c:pt>
                <c:pt idx="1345">
                  <c:v>40311.549305555556</c:v>
                </c:pt>
                <c:pt idx="1346">
                  <c:v>40311.550000000003</c:v>
                </c:pt>
                <c:pt idx="1347">
                  <c:v>40311.550694444442</c:v>
                </c:pt>
                <c:pt idx="1348">
                  <c:v>40311.551388888889</c:v>
                </c:pt>
                <c:pt idx="1349">
                  <c:v>40311.552083333336</c:v>
                </c:pt>
                <c:pt idx="1350">
                  <c:v>40311.552777777775</c:v>
                </c:pt>
                <c:pt idx="1351">
                  <c:v>40311.553472222222</c:v>
                </c:pt>
                <c:pt idx="1352">
                  <c:v>40311.554166666669</c:v>
                </c:pt>
                <c:pt idx="1353">
                  <c:v>40311.554861111108</c:v>
                </c:pt>
                <c:pt idx="1354">
                  <c:v>40311.555555555555</c:v>
                </c:pt>
                <c:pt idx="1355">
                  <c:v>40311.556250000001</c:v>
                </c:pt>
                <c:pt idx="1356">
                  <c:v>40311.556944444441</c:v>
                </c:pt>
                <c:pt idx="1357">
                  <c:v>40311.557638888888</c:v>
                </c:pt>
                <c:pt idx="1358">
                  <c:v>40311.558333333334</c:v>
                </c:pt>
                <c:pt idx="1359">
                  <c:v>40311.559027777781</c:v>
                </c:pt>
                <c:pt idx="1360">
                  <c:v>40311.55972222222</c:v>
                </c:pt>
                <c:pt idx="1361">
                  <c:v>40311.560416666667</c:v>
                </c:pt>
                <c:pt idx="1362">
                  <c:v>40311.561111111114</c:v>
                </c:pt>
                <c:pt idx="1363">
                  <c:v>40311.561805555553</c:v>
                </c:pt>
                <c:pt idx="1364">
                  <c:v>40311.5625</c:v>
                </c:pt>
                <c:pt idx="1365">
                  <c:v>40311.563194444447</c:v>
                </c:pt>
                <c:pt idx="1366">
                  <c:v>40311.563888888886</c:v>
                </c:pt>
                <c:pt idx="1367">
                  <c:v>40311.564583333333</c:v>
                </c:pt>
                <c:pt idx="1368">
                  <c:v>40311.56527777778</c:v>
                </c:pt>
                <c:pt idx="1369">
                  <c:v>40311.565972222219</c:v>
                </c:pt>
                <c:pt idx="1370">
                  <c:v>40311.566666666666</c:v>
                </c:pt>
                <c:pt idx="1371">
                  <c:v>40311.567361111112</c:v>
                </c:pt>
                <c:pt idx="1372">
                  <c:v>40311.568055555559</c:v>
                </c:pt>
                <c:pt idx="1373">
                  <c:v>40311.568749999999</c:v>
                </c:pt>
                <c:pt idx="1374">
                  <c:v>40311.569444444445</c:v>
                </c:pt>
                <c:pt idx="1375">
                  <c:v>40311.570138888892</c:v>
                </c:pt>
                <c:pt idx="1376">
                  <c:v>40311.570833333331</c:v>
                </c:pt>
                <c:pt idx="1377">
                  <c:v>40311.571527777778</c:v>
                </c:pt>
                <c:pt idx="1378">
                  <c:v>40311.572222222225</c:v>
                </c:pt>
                <c:pt idx="1379">
                  <c:v>40311.572916666664</c:v>
                </c:pt>
                <c:pt idx="1380">
                  <c:v>40311.573611111111</c:v>
                </c:pt>
                <c:pt idx="1381">
                  <c:v>40311.574305555558</c:v>
                </c:pt>
                <c:pt idx="1382">
                  <c:v>40311.574999999997</c:v>
                </c:pt>
                <c:pt idx="1383">
                  <c:v>40311.575694444444</c:v>
                </c:pt>
                <c:pt idx="1384">
                  <c:v>40311.576388888891</c:v>
                </c:pt>
                <c:pt idx="1385">
                  <c:v>40311.57708333333</c:v>
                </c:pt>
                <c:pt idx="1386">
                  <c:v>40311.577777777777</c:v>
                </c:pt>
                <c:pt idx="1387">
                  <c:v>40311.578472222223</c:v>
                </c:pt>
                <c:pt idx="1388">
                  <c:v>40311.57916666667</c:v>
                </c:pt>
                <c:pt idx="1389">
                  <c:v>40311.579861111109</c:v>
                </c:pt>
                <c:pt idx="1390">
                  <c:v>40311.580555555556</c:v>
                </c:pt>
                <c:pt idx="1391">
                  <c:v>40311.581250000003</c:v>
                </c:pt>
                <c:pt idx="1392">
                  <c:v>40311.581944444442</c:v>
                </c:pt>
                <c:pt idx="1393">
                  <c:v>40311.582638888889</c:v>
                </c:pt>
                <c:pt idx="1394">
                  <c:v>40311.583333333336</c:v>
                </c:pt>
                <c:pt idx="1395">
                  <c:v>40311.584027777775</c:v>
                </c:pt>
                <c:pt idx="1396">
                  <c:v>40311.584722222222</c:v>
                </c:pt>
                <c:pt idx="1397">
                  <c:v>40311.585416666669</c:v>
                </c:pt>
                <c:pt idx="1398">
                  <c:v>40311.586111111108</c:v>
                </c:pt>
                <c:pt idx="1399">
                  <c:v>40311.586805555555</c:v>
                </c:pt>
                <c:pt idx="1400">
                  <c:v>40311.587500000001</c:v>
                </c:pt>
                <c:pt idx="1401">
                  <c:v>40311.588194444441</c:v>
                </c:pt>
                <c:pt idx="1402">
                  <c:v>40311.588888888888</c:v>
                </c:pt>
                <c:pt idx="1403">
                  <c:v>40311.589583333334</c:v>
                </c:pt>
                <c:pt idx="1404">
                  <c:v>40311.590277777781</c:v>
                </c:pt>
                <c:pt idx="1405">
                  <c:v>40311.59097222222</c:v>
                </c:pt>
                <c:pt idx="1406">
                  <c:v>40311.591666666667</c:v>
                </c:pt>
                <c:pt idx="1407">
                  <c:v>40311.592361111114</c:v>
                </c:pt>
                <c:pt idx="1408">
                  <c:v>40311.593055555553</c:v>
                </c:pt>
                <c:pt idx="1409">
                  <c:v>40311.59375</c:v>
                </c:pt>
                <c:pt idx="1410">
                  <c:v>40311.594444444447</c:v>
                </c:pt>
                <c:pt idx="1411">
                  <c:v>40311.595138888886</c:v>
                </c:pt>
                <c:pt idx="1412">
                  <c:v>40311.595833333333</c:v>
                </c:pt>
                <c:pt idx="1413">
                  <c:v>40311.59652777778</c:v>
                </c:pt>
                <c:pt idx="1414">
                  <c:v>40311.597222222219</c:v>
                </c:pt>
                <c:pt idx="1415">
                  <c:v>40311.597916666666</c:v>
                </c:pt>
                <c:pt idx="1416">
                  <c:v>40311.598611111112</c:v>
                </c:pt>
                <c:pt idx="1417">
                  <c:v>40311.599305555559</c:v>
                </c:pt>
                <c:pt idx="1418">
                  <c:v>40311.599999999999</c:v>
                </c:pt>
                <c:pt idx="1419">
                  <c:v>40311.600694444445</c:v>
                </c:pt>
                <c:pt idx="1420">
                  <c:v>40311.601388888892</c:v>
                </c:pt>
                <c:pt idx="1421">
                  <c:v>40311.602083333331</c:v>
                </c:pt>
                <c:pt idx="1422">
                  <c:v>40311.602777777778</c:v>
                </c:pt>
                <c:pt idx="1423">
                  <c:v>40311.603472222225</c:v>
                </c:pt>
                <c:pt idx="1424">
                  <c:v>40311.604166666664</c:v>
                </c:pt>
                <c:pt idx="1425">
                  <c:v>40311.604861111111</c:v>
                </c:pt>
                <c:pt idx="1426">
                  <c:v>40311.605555555558</c:v>
                </c:pt>
                <c:pt idx="1427">
                  <c:v>40311.606249999997</c:v>
                </c:pt>
                <c:pt idx="1428">
                  <c:v>40311.606944444444</c:v>
                </c:pt>
                <c:pt idx="1429">
                  <c:v>40311.607638888891</c:v>
                </c:pt>
                <c:pt idx="1430">
                  <c:v>40311.60833333333</c:v>
                </c:pt>
                <c:pt idx="1431">
                  <c:v>40311.609027777777</c:v>
                </c:pt>
                <c:pt idx="1432">
                  <c:v>40311.609722222223</c:v>
                </c:pt>
                <c:pt idx="1433">
                  <c:v>40311.61041666667</c:v>
                </c:pt>
                <c:pt idx="1434">
                  <c:v>40311.611111111109</c:v>
                </c:pt>
                <c:pt idx="1435">
                  <c:v>40311.611805555556</c:v>
                </c:pt>
                <c:pt idx="1436">
                  <c:v>40311.612500000003</c:v>
                </c:pt>
                <c:pt idx="1437">
                  <c:v>40311.613194444442</c:v>
                </c:pt>
                <c:pt idx="1438">
                  <c:v>40311.613888888889</c:v>
                </c:pt>
                <c:pt idx="1439">
                  <c:v>40311.614583333336</c:v>
                </c:pt>
                <c:pt idx="1440">
                  <c:v>40311.615277777775</c:v>
                </c:pt>
                <c:pt idx="1441">
                  <c:v>40311.615972222222</c:v>
                </c:pt>
                <c:pt idx="1442">
                  <c:v>40311.616666666669</c:v>
                </c:pt>
                <c:pt idx="1443">
                  <c:v>40311.617361111108</c:v>
                </c:pt>
                <c:pt idx="1444">
                  <c:v>40311.618055555555</c:v>
                </c:pt>
                <c:pt idx="1445">
                  <c:v>40311.618750000001</c:v>
                </c:pt>
                <c:pt idx="1446">
                  <c:v>40311.619444444441</c:v>
                </c:pt>
                <c:pt idx="1447">
                  <c:v>40311.620138888888</c:v>
                </c:pt>
                <c:pt idx="1448">
                  <c:v>40311.620833333334</c:v>
                </c:pt>
                <c:pt idx="1449">
                  <c:v>40311.621527777781</c:v>
                </c:pt>
                <c:pt idx="1450">
                  <c:v>40311.62222222222</c:v>
                </c:pt>
                <c:pt idx="1451">
                  <c:v>40311.622916666667</c:v>
                </c:pt>
                <c:pt idx="1452">
                  <c:v>40311.623611111114</c:v>
                </c:pt>
                <c:pt idx="1453">
                  <c:v>40311.624305555553</c:v>
                </c:pt>
                <c:pt idx="1454">
                  <c:v>40311.625</c:v>
                </c:pt>
                <c:pt idx="1455">
                  <c:v>40311.625694444447</c:v>
                </c:pt>
                <c:pt idx="1456">
                  <c:v>40311.626388888886</c:v>
                </c:pt>
                <c:pt idx="1457">
                  <c:v>40311.645833333336</c:v>
                </c:pt>
                <c:pt idx="1458">
                  <c:v>40311.646527777775</c:v>
                </c:pt>
                <c:pt idx="1459">
                  <c:v>40311.647222222222</c:v>
                </c:pt>
                <c:pt idx="1460">
                  <c:v>40311.647916666669</c:v>
                </c:pt>
                <c:pt idx="1461">
                  <c:v>40311.648611111108</c:v>
                </c:pt>
                <c:pt idx="1462">
                  <c:v>40311.649305555555</c:v>
                </c:pt>
                <c:pt idx="1463">
                  <c:v>40311.65</c:v>
                </c:pt>
                <c:pt idx="1464">
                  <c:v>40311.650694444441</c:v>
                </c:pt>
                <c:pt idx="1465">
                  <c:v>40311.651388888888</c:v>
                </c:pt>
                <c:pt idx="1466">
                  <c:v>40311.652083333334</c:v>
                </c:pt>
                <c:pt idx="1467">
                  <c:v>40311.652777777781</c:v>
                </c:pt>
                <c:pt idx="1468">
                  <c:v>40311.65347222222</c:v>
                </c:pt>
                <c:pt idx="1469">
                  <c:v>40311.654166666667</c:v>
                </c:pt>
                <c:pt idx="1470">
                  <c:v>40311.654861111114</c:v>
                </c:pt>
                <c:pt idx="1471">
                  <c:v>40311.655555555553</c:v>
                </c:pt>
                <c:pt idx="1472">
                  <c:v>40311.65625</c:v>
                </c:pt>
                <c:pt idx="1473">
                  <c:v>40311.656944444447</c:v>
                </c:pt>
                <c:pt idx="1474">
                  <c:v>40311.657638888886</c:v>
                </c:pt>
                <c:pt idx="1475">
                  <c:v>40311.658333333333</c:v>
                </c:pt>
                <c:pt idx="1476">
                  <c:v>40311.65902777778</c:v>
                </c:pt>
                <c:pt idx="1477">
                  <c:v>40311.659722222219</c:v>
                </c:pt>
                <c:pt idx="1478">
                  <c:v>40311.660416666666</c:v>
                </c:pt>
                <c:pt idx="1479">
                  <c:v>40311.661111111112</c:v>
                </c:pt>
                <c:pt idx="1480">
                  <c:v>40311.661805555559</c:v>
                </c:pt>
                <c:pt idx="1481">
                  <c:v>40311.662499999999</c:v>
                </c:pt>
                <c:pt idx="1482">
                  <c:v>40311.663194444445</c:v>
                </c:pt>
                <c:pt idx="1483">
                  <c:v>40311.663888888892</c:v>
                </c:pt>
                <c:pt idx="1484">
                  <c:v>40311.664583333331</c:v>
                </c:pt>
                <c:pt idx="1485">
                  <c:v>40311.665277777778</c:v>
                </c:pt>
                <c:pt idx="1486">
                  <c:v>40311.665972222225</c:v>
                </c:pt>
                <c:pt idx="1487">
                  <c:v>40311.666666666664</c:v>
                </c:pt>
                <c:pt idx="1488">
                  <c:v>40311.667361111111</c:v>
                </c:pt>
                <c:pt idx="1489">
                  <c:v>40311.668055555558</c:v>
                </c:pt>
                <c:pt idx="1490">
                  <c:v>40311.668749999997</c:v>
                </c:pt>
                <c:pt idx="1491">
                  <c:v>40311.669444444444</c:v>
                </c:pt>
                <c:pt idx="1492">
                  <c:v>40311.670138888891</c:v>
                </c:pt>
                <c:pt idx="1493">
                  <c:v>40311.67083333333</c:v>
                </c:pt>
                <c:pt idx="1494">
                  <c:v>40311.671527777777</c:v>
                </c:pt>
                <c:pt idx="1495">
                  <c:v>40311.672222222223</c:v>
                </c:pt>
                <c:pt idx="1496">
                  <c:v>40311.67291666667</c:v>
                </c:pt>
                <c:pt idx="1497">
                  <c:v>40311.673611111109</c:v>
                </c:pt>
                <c:pt idx="1498">
                  <c:v>40311.674305555556</c:v>
                </c:pt>
                <c:pt idx="1499">
                  <c:v>40311.675000000003</c:v>
                </c:pt>
                <c:pt idx="1500">
                  <c:v>40311.675694444442</c:v>
                </c:pt>
                <c:pt idx="1501">
                  <c:v>40311.676388888889</c:v>
                </c:pt>
                <c:pt idx="1502">
                  <c:v>40311.677083333336</c:v>
                </c:pt>
                <c:pt idx="1503">
                  <c:v>40311.677777777775</c:v>
                </c:pt>
                <c:pt idx="1504">
                  <c:v>40311.678472222222</c:v>
                </c:pt>
                <c:pt idx="1505">
                  <c:v>40311.679166666669</c:v>
                </c:pt>
                <c:pt idx="1506">
                  <c:v>40311.679861111108</c:v>
                </c:pt>
                <c:pt idx="1507">
                  <c:v>40311.680555555555</c:v>
                </c:pt>
                <c:pt idx="1508">
                  <c:v>40311.681250000001</c:v>
                </c:pt>
                <c:pt idx="1509">
                  <c:v>40311.681944444441</c:v>
                </c:pt>
                <c:pt idx="1510">
                  <c:v>40311.682638888888</c:v>
                </c:pt>
                <c:pt idx="1511">
                  <c:v>40311.683333333334</c:v>
                </c:pt>
                <c:pt idx="1512">
                  <c:v>40311.684027777781</c:v>
                </c:pt>
                <c:pt idx="1513">
                  <c:v>40311.68472222222</c:v>
                </c:pt>
                <c:pt idx="1514">
                  <c:v>40311.685416666667</c:v>
                </c:pt>
                <c:pt idx="1515">
                  <c:v>40311.686111111114</c:v>
                </c:pt>
                <c:pt idx="1516">
                  <c:v>40311.686805555553</c:v>
                </c:pt>
                <c:pt idx="1517">
                  <c:v>40311.6875</c:v>
                </c:pt>
                <c:pt idx="1518">
                  <c:v>40311.688194444447</c:v>
                </c:pt>
                <c:pt idx="1519">
                  <c:v>40311.688888888886</c:v>
                </c:pt>
                <c:pt idx="1520">
                  <c:v>40311.689583333333</c:v>
                </c:pt>
                <c:pt idx="1521">
                  <c:v>40311.69027777778</c:v>
                </c:pt>
                <c:pt idx="1522">
                  <c:v>40311.690972222219</c:v>
                </c:pt>
                <c:pt idx="1523">
                  <c:v>40311.691666666666</c:v>
                </c:pt>
                <c:pt idx="1524">
                  <c:v>40311.692361111112</c:v>
                </c:pt>
                <c:pt idx="1525">
                  <c:v>40311.693055555559</c:v>
                </c:pt>
                <c:pt idx="1526">
                  <c:v>40311.693749999999</c:v>
                </c:pt>
                <c:pt idx="1527">
                  <c:v>40311.694444444445</c:v>
                </c:pt>
                <c:pt idx="1528">
                  <c:v>40311.695138888892</c:v>
                </c:pt>
                <c:pt idx="1529">
                  <c:v>40311.695833333331</c:v>
                </c:pt>
                <c:pt idx="1530">
                  <c:v>40311.696527777778</c:v>
                </c:pt>
                <c:pt idx="1531">
                  <c:v>40311.697222222225</c:v>
                </c:pt>
                <c:pt idx="1532">
                  <c:v>40311.697916666664</c:v>
                </c:pt>
                <c:pt idx="1533">
                  <c:v>40311.698611111111</c:v>
                </c:pt>
                <c:pt idx="1534">
                  <c:v>40311.699305555558</c:v>
                </c:pt>
                <c:pt idx="1535">
                  <c:v>40311.699999999997</c:v>
                </c:pt>
                <c:pt idx="1536">
                  <c:v>40311.700694444444</c:v>
                </c:pt>
                <c:pt idx="1537">
                  <c:v>40311.701388888891</c:v>
                </c:pt>
                <c:pt idx="1538">
                  <c:v>40311.70208333333</c:v>
                </c:pt>
                <c:pt idx="1539">
                  <c:v>40311.702777777777</c:v>
                </c:pt>
                <c:pt idx="1540">
                  <c:v>40311.703472222223</c:v>
                </c:pt>
                <c:pt idx="1541">
                  <c:v>40311.70416666667</c:v>
                </c:pt>
                <c:pt idx="1542">
                  <c:v>40311.704861111109</c:v>
                </c:pt>
                <c:pt idx="1543">
                  <c:v>40311.705555555556</c:v>
                </c:pt>
                <c:pt idx="1544">
                  <c:v>40311.706250000003</c:v>
                </c:pt>
                <c:pt idx="1545">
                  <c:v>40311.706944444442</c:v>
                </c:pt>
                <c:pt idx="1546">
                  <c:v>40311.707638888889</c:v>
                </c:pt>
                <c:pt idx="1547">
                  <c:v>40311.708333333336</c:v>
                </c:pt>
                <c:pt idx="1548">
                  <c:v>40311.709027777775</c:v>
                </c:pt>
                <c:pt idx="1549">
                  <c:v>40311.709722222222</c:v>
                </c:pt>
                <c:pt idx="1550">
                  <c:v>40311.710416666669</c:v>
                </c:pt>
                <c:pt idx="1551">
                  <c:v>40311.711111111108</c:v>
                </c:pt>
                <c:pt idx="1552">
                  <c:v>40311.711805555555</c:v>
                </c:pt>
                <c:pt idx="1553">
                  <c:v>40311.712500000001</c:v>
                </c:pt>
                <c:pt idx="1554">
                  <c:v>40311.713194444441</c:v>
                </c:pt>
                <c:pt idx="1555">
                  <c:v>40311.713888888888</c:v>
                </c:pt>
                <c:pt idx="1556">
                  <c:v>40311.714583333334</c:v>
                </c:pt>
                <c:pt idx="1557">
                  <c:v>40311.715277777781</c:v>
                </c:pt>
                <c:pt idx="1558">
                  <c:v>40311.71597222222</c:v>
                </c:pt>
                <c:pt idx="1559">
                  <c:v>40311.716666666667</c:v>
                </c:pt>
                <c:pt idx="1560">
                  <c:v>40311.717361111114</c:v>
                </c:pt>
                <c:pt idx="1561">
                  <c:v>40311.718055555553</c:v>
                </c:pt>
                <c:pt idx="1562">
                  <c:v>40311.71875</c:v>
                </c:pt>
                <c:pt idx="1563">
                  <c:v>40311.719444444447</c:v>
                </c:pt>
                <c:pt idx="1564">
                  <c:v>40311.720138888886</c:v>
                </c:pt>
                <c:pt idx="1565">
                  <c:v>40311.720833333333</c:v>
                </c:pt>
                <c:pt idx="1566">
                  <c:v>40311.72152777778</c:v>
                </c:pt>
                <c:pt idx="1567">
                  <c:v>40311.722222222219</c:v>
                </c:pt>
                <c:pt idx="1568">
                  <c:v>40311.722916666666</c:v>
                </c:pt>
                <c:pt idx="1569">
                  <c:v>40311.723611111112</c:v>
                </c:pt>
                <c:pt idx="1570">
                  <c:v>40311.724305555559</c:v>
                </c:pt>
                <c:pt idx="1571">
                  <c:v>40311.724999999999</c:v>
                </c:pt>
                <c:pt idx="1572">
                  <c:v>40311.725694444445</c:v>
                </c:pt>
                <c:pt idx="1573">
                  <c:v>40311.726388888892</c:v>
                </c:pt>
                <c:pt idx="1574">
                  <c:v>40311.727083333331</c:v>
                </c:pt>
                <c:pt idx="1575">
                  <c:v>40311.727777777778</c:v>
                </c:pt>
                <c:pt idx="1576">
                  <c:v>40311.728472222225</c:v>
                </c:pt>
                <c:pt idx="1577">
                  <c:v>40311.729166666664</c:v>
                </c:pt>
                <c:pt idx="1578">
                  <c:v>40311.729861111111</c:v>
                </c:pt>
                <c:pt idx="1579">
                  <c:v>40311.730555555558</c:v>
                </c:pt>
                <c:pt idx="1580">
                  <c:v>40311.731249999997</c:v>
                </c:pt>
                <c:pt idx="1581">
                  <c:v>40311.731944444444</c:v>
                </c:pt>
                <c:pt idx="1582">
                  <c:v>40311.732638888891</c:v>
                </c:pt>
                <c:pt idx="1583">
                  <c:v>40311.73333333333</c:v>
                </c:pt>
                <c:pt idx="1584">
                  <c:v>40311.734027777777</c:v>
                </c:pt>
                <c:pt idx="1585">
                  <c:v>40311.734722222223</c:v>
                </c:pt>
                <c:pt idx="1586">
                  <c:v>40311.73541666667</c:v>
                </c:pt>
                <c:pt idx="1587">
                  <c:v>40311.736111111109</c:v>
                </c:pt>
                <c:pt idx="1588">
                  <c:v>40311.736805555556</c:v>
                </c:pt>
                <c:pt idx="1589">
                  <c:v>40311.737500000003</c:v>
                </c:pt>
                <c:pt idx="1590">
                  <c:v>40311.738194444442</c:v>
                </c:pt>
                <c:pt idx="1591">
                  <c:v>40311.738888888889</c:v>
                </c:pt>
                <c:pt idx="1592">
                  <c:v>40311.739583333336</c:v>
                </c:pt>
                <c:pt idx="1593">
                  <c:v>40311.740277777775</c:v>
                </c:pt>
                <c:pt idx="1594">
                  <c:v>40311.740972222222</c:v>
                </c:pt>
                <c:pt idx="1595">
                  <c:v>40311.741666666669</c:v>
                </c:pt>
                <c:pt idx="1596">
                  <c:v>40311.742361111108</c:v>
                </c:pt>
                <c:pt idx="1597">
                  <c:v>40311.743055555555</c:v>
                </c:pt>
                <c:pt idx="1598">
                  <c:v>40311.743750000001</c:v>
                </c:pt>
                <c:pt idx="1599">
                  <c:v>40311.744444444441</c:v>
                </c:pt>
                <c:pt idx="1600">
                  <c:v>40311.745138888888</c:v>
                </c:pt>
                <c:pt idx="1601">
                  <c:v>40311.745833333334</c:v>
                </c:pt>
                <c:pt idx="1602">
                  <c:v>40311.746527777781</c:v>
                </c:pt>
                <c:pt idx="1603">
                  <c:v>40311.74722222222</c:v>
                </c:pt>
                <c:pt idx="1604">
                  <c:v>40311.747916666667</c:v>
                </c:pt>
                <c:pt idx="1605">
                  <c:v>40311.748611111114</c:v>
                </c:pt>
                <c:pt idx="1606">
                  <c:v>40311.749305555553</c:v>
                </c:pt>
                <c:pt idx="1607">
                  <c:v>40311.75</c:v>
                </c:pt>
                <c:pt idx="1608">
                  <c:v>40311.750694444447</c:v>
                </c:pt>
                <c:pt idx="1609">
                  <c:v>40311.751388888886</c:v>
                </c:pt>
                <c:pt idx="1610">
                  <c:v>40311.752083333333</c:v>
                </c:pt>
                <c:pt idx="1611">
                  <c:v>40311.75277777778</c:v>
                </c:pt>
                <c:pt idx="1612">
                  <c:v>40311.753472222219</c:v>
                </c:pt>
                <c:pt idx="1613">
                  <c:v>40311.754166666666</c:v>
                </c:pt>
                <c:pt idx="1614">
                  <c:v>40311.754861111112</c:v>
                </c:pt>
                <c:pt idx="1615">
                  <c:v>40311.755555555559</c:v>
                </c:pt>
                <c:pt idx="1616">
                  <c:v>40311.756249999999</c:v>
                </c:pt>
                <c:pt idx="1617">
                  <c:v>40311.756944444445</c:v>
                </c:pt>
                <c:pt idx="1618">
                  <c:v>40311.757638888892</c:v>
                </c:pt>
                <c:pt idx="1619">
                  <c:v>40311.758333333331</c:v>
                </c:pt>
                <c:pt idx="1620">
                  <c:v>40311.759027777778</c:v>
                </c:pt>
                <c:pt idx="1621">
                  <c:v>40311.759722222225</c:v>
                </c:pt>
                <c:pt idx="1622">
                  <c:v>40311.760416666664</c:v>
                </c:pt>
                <c:pt idx="1623">
                  <c:v>40311.761111111111</c:v>
                </c:pt>
                <c:pt idx="1624">
                  <c:v>40311.761805555558</c:v>
                </c:pt>
                <c:pt idx="1625">
                  <c:v>40311.762499999997</c:v>
                </c:pt>
                <c:pt idx="1626">
                  <c:v>40311.763194444444</c:v>
                </c:pt>
                <c:pt idx="1627">
                  <c:v>40311.763888888891</c:v>
                </c:pt>
                <c:pt idx="1628">
                  <c:v>40311.76458333333</c:v>
                </c:pt>
                <c:pt idx="1629">
                  <c:v>40311.765277777777</c:v>
                </c:pt>
                <c:pt idx="1630">
                  <c:v>40311.765972222223</c:v>
                </c:pt>
                <c:pt idx="1631">
                  <c:v>40311.76666666667</c:v>
                </c:pt>
                <c:pt idx="1632">
                  <c:v>40311.767361111109</c:v>
                </c:pt>
                <c:pt idx="1633">
                  <c:v>40311.768055555556</c:v>
                </c:pt>
                <c:pt idx="1634">
                  <c:v>40311.768750000003</c:v>
                </c:pt>
                <c:pt idx="1635">
                  <c:v>40311.769444444442</c:v>
                </c:pt>
                <c:pt idx="1636">
                  <c:v>40311.770138888889</c:v>
                </c:pt>
                <c:pt idx="1637">
                  <c:v>40311.770833333336</c:v>
                </c:pt>
                <c:pt idx="1638">
                  <c:v>40311.771527777775</c:v>
                </c:pt>
                <c:pt idx="1639">
                  <c:v>40311.772222222222</c:v>
                </c:pt>
                <c:pt idx="1640">
                  <c:v>40311.772916666669</c:v>
                </c:pt>
                <c:pt idx="1641">
                  <c:v>40311.773611111108</c:v>
                </c:pt>
                <c:pt idx="1642">
                  <c:v>40311.774305555555</c:v>
                </c:pt>
                <c:pt idx="1643">
                  <c:v>40311.775000000001</c:v>
                </c:pt>
                <c:pt idx="1644">
                  <c:v>40311.775694444441</c:v>
                </c:pt>
                <c:pt idx="1645">
                  <c:v>40311.776388888888</c:v>
                </c:pt>
                <c:pt idx="1646">
                  <c:v>40311.777083333334</c:v>
                </c:pt>
                <c:pt idx="1647">
                  <c:v>40311.777777777781</c:v>
                </c:pt>
                <c:pt idx="1648">
                  <c:v>40311.77847222222</c:v>
                </c:pt>
                <c:pt idx="1649">
                  <c:v>40311.779166666667</c:v>
                </c:pt>
                <c:pt idx="1650">
                  <c:v>40311.779861111114</c:v>
                </c:pt>
                <c:pt idx="1651">
                  <c:v>40311.780555555553</c:v>
                </c:pt>
                <c:pt idx="1652">
                  <c:v>40311.78125</c:v>
                </c:pt>
                <c:pt idx="1653">
                  <c:v>40311.781944444447</c:v>
                </c:pt>
                <c:pt idx="1654">
                  <c:v>40311.782638888886</c:v>
                </c:pt>
                <c:pt idx="1655">
                  <c:v>40311.783333333333</c:v>
                </c:pt>
                <c:pt idx="1656">
                  <c:v>40311.78402777778</c:v>
                </c:pt>
                <c:pt idx="1657">
                  <c:v>40311.784722222219</c:v>
                </c:pt>
                <c:pt idx="1658">
                  <c:v>40311.785416666666</c:v>
                </c:pt>
                <c:pt idx="1659">
                  <c:v>40311.786111111112</c:v>
                </c:pt>
                <c:pt idx="1660">
                  <c:v>40311.786805555559</c:v>
                </c:pt>
                <c:pt idx="1661">
                  <c:v>40311.787499999999</c:v>
                </c:pt>
                <c:pt idx="1662">
                  <c:v>40311.788194444445</c:v>
                </c:pt>
                <c:pt idx="1663">
                  <c:v>40311.788888888892</c:v>
                </c:pt>
                <c:pt idx="1664">
                  <c:v>40311.789583333331</c:v>
                </c:pt>
                <c:pt idx="1665">
                  <c:v>40311.790277777778</c:v>
                </c:pt>
                <c:pt idx="1666">
                  <c:v>40311.790972222225</c:v>
                </c:pt>
                <c:pt idx="1667">
                  <c:v>40311.791666666664</c:v>
                </c:pt>
                <c:pt idx="1668">
                  <c:v>40311.792361111111</c:v>
                </c:pt>
                <c:pt idx="1669">
                  <c:v>40311.793055555558</c:v>
                </c:pt>
                <c:pt idx="1670">
                  <c:v>40311.793749999997</c:v>
                </c:pt>
                <c:pt idx="1671">
                  <c:v>40311.794444444444</c:v>
                </c:pt>
                <c:pt idx="1672">
                  <c:v>40311.795138888891</c:v>
                </c:pt>
                <c:pt idx="1673">
                  <c:v>40311.79583333333</c:v>
                </c:pt>
                <c:pt idx="1674">
                  <c:v>40311.796527777777</c:v>
                </c:pt>
                <c:pt idx="1675">
                  <c:v>40311.797222222223</c:v>
                </c:pt>
                <c:pt idx="1676">
                  <c:v>40311.79791666667</c:v>
                </c:pt>
                <c:pt idx="1677">
                  <c:v>40311.798611111109</c:v>
                </c:pt>
                <c:pt idx="1678">
                  <c:v>40311.799305555556</c:v>
                </c:pt>
                <c:pt idx="1679">
                  <c:v>40311.800000000003</c:v>
                </c:pt>
                <c:pt idx="1680">
                  <c:v>40311.800694444442</c:v>
                </c:pt>
                <c:pt idx="1681">
                  <c:v>40311.801388888889</c:v>
                </c:pt>
                <c:pt idx="1682">
                  <c:v>40311.802083333336</c:v>
                </c:pt>
                <c:pt idx="1683">
                  <c:v>40311.802777777775</c:v>
                </c:pt>
                <c:pt idx="1684">
                  <c:v>40311.803472222222</c:v>
                </c:pt>
                <c:pt idx="1685">
                  <c:v>40311.804166666669</c:v>
                </c:pt>
                <c:pt idx="1686">
                  <c:v>40311.804861111108</c:v>
                </c:pt>
                <c:pt idx="1687">
                  <c:v>40311.805555555555</c:v>
                </c:pt>
                <c:pt idx="1688">
                  <c:v>40311.806250000001</c:v>
                </c:pt>
                <c:pt idx="1689">
                  <c:v>40311.806944444441</c:v>
                </c:pt>
                <c:pt idx="1690">
                  <c:v>40311.807638888888</c:v>
                </c:pt>
                <c:pt idx="1691">
                  <c:v>40311.808333333334</c:v>
                </c:pt>
                <c:pt idx="1692">
                  <c:v>40311.809027777781</c:v>
                </c:pt>
                <c:pt idx="1693">
                  <c:v>40311.80972222222</c:v>
                </c:pt>
                <c:pt idx="1694">
                  <c:v>40311.810416666667</c:v>
                </c:pt>
                <c:pt idx="1695">
                  <c:v>40311.811111111114</c:v>
                </c:pt>
                <c:pt idx="1696">
                  <c:v>40311.811805555553</c:v>
                </c:pt>
                <c:pt idx="1697">
                  <c:v>40311.8125</c:v>
                </c:pt>
                <c:pt idx="1698">
                  <c:v>40311.813194444447</c:v>
                </c:pt>
                <c:pt idx="1699">
                  <c:v>40311.813888888886</c:v>
                </c:pt>
                <c:pt idx="1700">
                  <c:v>40311.814583333333</c:v>
                </c:pt>
                <c:pt idx="1701">
                  <c:v>40311.81527777778</c:v>
                </c:pt>
                <c:pt idx="1702">
                  <c:v>40311.815972222219</c:v>
                </c:pt>
                <c:pt idx="1703">
                  <c:v>40311.816666666666</c:v>
                </c:pt>
                <c:pt idx="1704">
                  <c:v>40311.817361111112</c:v>
                </c:pt>
                <c:pt idx="1705">
                  <c:v>40311.818055555559</c:v>
                </c:pt>
                <c:pt idx="1706">
                  <c:v>40311.818749999999</c:v>
                </c:pt>
                <c:pt idx="1707">
                  <c:v>40311.819444444445</c:v>
                </c:pt>
                <c:pt idx="1708">
                  <c:v>40311.820138888892</c:v>
                </c:pt>
                <c:pt idx="1709">
                  <c:v>40311.820833333331</c:v>
                </c:pt>
                <c:pt idx="1710">
                  <c:v>40311.821527777778</c:v>
                </c:pt>
                <c:pt idx="1711">
                  <c:v>40311.822222222225</c:v>
                </c:pt>
                <c:pt idx="1712">
                  <c:v>40311.822916666664</c:v>
                </c:pt>
                <c:pt idx="1713">
                  <c:v>40311.823611111111</c:v>
                </c:pt>
                <c:pt idx="1714">
                  <c:v>40311.824305555558</c:v>
                </c:pt>
                <c:pt idx="1715">
                  <c:v>40311.824999999997</c:v>
                </c:pt>
                <c:pt idx="1716">
                  <c:v>40311.825694444444</c:v>
                </c:pt>
                <c:pt idx="1717">
                  <c:v>40311.826388888891</c:v>
                </c:pt>
                <c:pt idx="1718">
                  <c:v>40311.82708333333</c:v>
                </c:pt>
                <c:pt idx="1719">
                  <c:v>40311.827777777777</c:v>
                </c:pt>
                <c:pt idx="1720">
                  <c:v>40311.828472222223</c:v>
                </c:pt>
                <c:pt idx="1721">
                  <c:v>40311.82916666667</c:v>
                </c:pt>
                <c:pt idx="1722">
                  <c:v>40311.829861111109</c:v>
                </c:pt>
                <c:pt idx="1723">
                  <c:v>40311.830555555556</c:v>
                </c:pt>
                <c:pt idx="1724">
                  <c:v>40311.831250000003</c:v>
                </c:pt>
                <c:pt idx="1725">
                  <c:v>40311.831944444442</c:v>
                </c:pt>
                <c:pt idx="1726">
                  <c:v>40311.832638888889</c:v>
                </c:pt>
                <c:pt idx="1727">
                  <c:v>40311.833333333336</c:v>
                </c:pt>
                <c:pt idx="1728">
                  <c:v>40311.834027777775</c:v>
                </c:pt>
                <c:pt idx="1729">
                  <c:v>40311.834722222222</c:v>
                </c:pt>
                <c:pt idx="1730">
                  <c:v>40311.835416666669</c:v>
                </c:pt>
                <c:pt idx="1731">
                  <c:v>40311.836111111108</c:v>
                </c:pt>
                <c:pt idx="1732">
                  <c:v>40311.836805555555</c:v>
                </c:pt>
                <c:pt idx="1733">
                  <c:v>40311.837500000001</c:v>
                </c:pt>
                <c:pt idx="1734">
                  <c:v>40311.838194444441</c:v>
                </c:pt>
                <c:pt idx="1735">
                  <c:v>40311.838888888888</c:v>
                </c:pt>
                <c:pt idx="1736">
                  <c:v>40311.839583333334</c:v>
                </c:pt>
                <c:pt idx="1737">
                  <c:v>40311.840277777781</c:v>
                </c:pt>
                <c:pt idx="1738">
                  <c:v>40311.84097222222</c:v>
                </c:pt>
                <c:pt idx="1739">
                  <c:v>40311.841666666667</c:v>
                </c:pt>
                <c:pt idx="1740">
                  <c:v>40311.842361111114</c:v>
                </c:pt>
                <c:pt idx="1741">
                  <c:v>40311.843055555553</c:v>
                </c:pt>
                <c:pt idx="1742">
                  <c:v>40311.84375</c:v>
                </c:pt>
                <c:pt idx="1743">
                  <c:v>40311.844444444447</c:v>
                </c:pt>
                <c:pt idx="1744">
                  <c:v>40311.845138888886</c:v>
                </c:pt>
                <c:pt idx="1745">
                  <c:v>40311.845833333333</c:v>
                </c:pt>
                <c:pt idx="1746">
                  <c:v>40311.84652777778</c:v>
                </c:pt>
                <c:pt idx="1747">
                  <c:v>40311.847222222219</c:v>
                </c:pt>
                <c:pt idx="1748">
                  <c:v>40311.847916666666</c:v>
                </c:pt>
                <c:pt idx="1749">
                  <c:v>40311.848611111112</c:v>
                </c:pt>
                <c:pt idx="1750">
                  <c:v>40311.849305555559</c:v>
                </c:pt>
                <c:pt idx="1751">
                  <c:v>40311.85</c:v>
                </c:pt>
                <c:pt idx="1752">
                  <c:v>40311.850694444445</c:v>
                </c:pt>
                <c:pt idx="1753">
                  <c:v>40311.851388888892</c:v>
                </c:pt>
                <c:pt idx="1754">
                  <c:v>40311.852083333331</c:v>
                </c:pt>
                <c:pt idx="1755">
                  <c:v>40311.852777777778</c:v>
                </c:pt>
                <c:pt idx="1756">
                  <c:v>40311.853472222225</c:v>
                </c:pt>
                <c:pt idx="1757">
                  <c:v>40311.854166666664</c:v>
                </c:pt>
                <c:pt idx="1758">
                  <c:v>40311.854861111111</c:v>
                </c:pt>
                <c:pt idx="1759">
                  <c:v>40311.855555555558</c:v>
                </c:pt>
                <c:pt idx="1760">
                  <c:v>40311.856249999997</c:v>
                </c:pt>
                <c:pt idx="1761">
                  <c:v>40311.856944444444</c:v>
                </c:pt>
                <c:pt idx="1762">
                  <c:v>40311.857638888891</c:v>
                </c:pt>
                <c:pt idx="1763">
                  <c:v>40311.85833333333</c:v>
                </c:pt>
                <c:pt idx="1764">
                  <c:v>40311.859027777777</c:v>
                </c:pt>
                <c:pt idx="1765">
                  <c:v>40311.859722222223</c:v>
                </c:pt>
                <c:pt idx="1766">
                  <c:v>40311.86041666667</c:v>
                </c:pt>
                <c:pt idx="1767">
                  <c:v>40311.861111111109</c:v>
                </c:pt>
                <c:pt idx="1768">
                  <c:v>40311.861805555556</c:v>
                </c:pt>
                <c:pt idx="1769">
                  <c:v>40311.862500000003</c:v>
                </c:pt>
                <c:pt idx="1770">
                  <c:v>40311.863194444442</c:v>
                </c:pt>
                <c:pt idx="1771">
                  <c:v>40311.863888888889</c:v>
                </c:pt>
                <c:pt idx="1772">
                  <c:v>40311.864583333336</c:v>
                </c:pt>
                <c:pt idx="1773">
                  <c:v>40311.865277777775</c:v>
                </c:pt>
                <c:pt idx="1774">
                  <c:v>40311.865972222222</c:v>
                </c:pt>
                <c:pt idx="1775">
                  <c:v>40311.866666666669</c:v>
                </c:pt>
                <c:pt idx="1776">
                  <c:v>40311.867361111108</c:v>
                </c:pt>
                <c:pt idx="1777">
                  <c:v>40311.868055555555</c:v>
                </c:pt>
                <c:pt idx="1778">
                  <c:v>40311.868750000001</c:v>
                </c:pt>
                <c:pt idx="1779">
                  <c:v>40311.869444444441</c:v>
                </c:pt>
                <c:pt idx="1780">
                  <c:v>40311.870138888888</c:v>
                </c:pt>
                <c:pt idx="1781">
                  <c:v>40311.870833333334</c:v>
                </c:pt>
                <c:pt idx="1782">
                  <c:v>40311.871527777781</c:v>
                </c:pt>
                <c:pt idx="1783">
                  <c:v>40311.87222222222</c:v>
                </c:pt>
                <c:pt idx="1784">
                  <c:v>40311.872916666667</c:v>
                </c:pt>
                <c:pt idx="1785">
                  <c:v>40311.873611111114</c:v>
                </c:pt>
                <c:pt idx="1786">
                  <c:v>40311.874305555553</c:v>
                </c:pt>
                <c:pt idx="1787">
                  <c:v>40311.875</c:v>
                </c:pt>
                <c:pt idx="1788">
                  <c:v>40311.875694444447</c:v>
                </c:pt>
                <c:pt idx="1789">
                  <c:v>40311.876388888886</c:v>
                </c:pt>
                <c:pt idx="1790">
                  <c:v>40311.877083333333</c:v>
                </c:pt>
                <c:pt idx="1791">
                  <c:v>40311.87777777778</c:v>
                </c:pt>
                <c:pt idx="1792">
                  <c:v>40311.878472222219</c:v>
                </c:pt>
                <c:pt idx="1793">
                  <c:v>40311.879166666666</c:v>
                </c:pt>
                <c:pt idx="1794">
                  <c:v>40311.879861111112</c:v>
                </c:pt>
                <c:pt idx="1795">
                  <c:v>40311.880555555559</c:v>
                </c:pt>
                <c:pt idx="1796">
                  <c:v>40311.881249999999</c:v>
                </c:pt>
                <c:pt idx="1797">
                  <c:v>40311.881944444445</c:v>
                </c:pt>
                <c:pt idx="1798">
                  <c:v>40311.882638888892</c:v>
                </c:pt>
                <c:pt idx="1799">
                  <c:v>40311.883333333331</c:v>
                </c:pt>
                <c:pt idx="1800">
                  <c:v>40311.884027777778</c:v>
                </c:pt>
                <c:pt idx="1801">
                  <c:v>40311.884722222225</c:v>
                </c:pt>
                <c:pt idx="1802">
                  <c:v>40311.885416666664</c:v>
                </c:pt>
                <c:pt idx="1803">
                  <c:v>40311.886111111111</c:v>
                </c:pt>
                <c:pt idx="1804">
                  <c:v>40311.886805555558</c:v>
                </c:pt>
                <c:pt idx="1805">
                  <c:v>40311.887499999997</c:v>
                </c:pt>
                <c:pt idx="1806">
                  <c:v>40311.888194444444</c:v>
                </c:pt>
                <c:pt idx="1807">
                  <c:v>40311.888888888891</c:v>
                </c:pt>
                <c:pt idx="1808">
                  <c:v>40311.88958333333</c:v>
                </c:pt>
                <c:pt idx="1809">
                  <c:v>40311.890277777777</c:v>
                </c:pt>
                <c:pt idx="1810">
                  <c:v>40311.890972222223</c:v>
                </c:pt>
                <c:pt idx="1811">
                  <c:v>40311.89166666667</c:v>
                </c:pt>
                <c:pt idx="1812">
                  <c:v>40311.892361111109</c:v>
                </c:pt>
                <c:pt idx="1813">
                  <c:v>40311.893055555556</c:v>
                </c:pt>
                <c:pt idx="1814">
                  <c:v>40311.893750000003</c:v>
                </c:pt>
                <c:pt idx="1815">
                  <c:v>40311.894444444442</c:v>
                </c:pt>
                <c:pt idx="1816">
                  <c:v>40311.895138888889</c:v>
                </c:pt>
                <c:pt idx="1817">
                  <c:v>40311.895833333336</c:v>
                </c:pt>
                <c:pt idx="1818">
                  <c:v>40311.896527777775</c:v>
                </c:pt>
                <c:pt idx="1819">
                  <c:v>40311.897222222222</c:v>
                </c:pt>
                <c:pt idx="1820">
                  <c:v>40311.897916666669</c:v>
                </c:pt>
                <c:pt idx="1821">
                  <c:v>40311.898611111108</c:v>
                </c:pt>
                <c:pt idx="1822">
                  <c:v>40311.899305555555</c:v>
                </c:pt>
                <c:pt idx="1823">
                  <c:v>40311.9</c:v>
                </c:pt>
                <c:pt idx="1824">
                  <c:v>40311.900694444441</c:v>
                </c:pt>
                <c:pt idx="1825">
                  <c:v>40311.901388888888</c:v>
                </c:pt>
                <c:pt idx="1826">
                  <c:v>40311.902083333334</c:v>
                </c:pt>
                <c:pt idx="1827">
                  <c:v>40311.902777777781</c:v>
                </c:pt>
                <c:pt idx="1828">
                  <c:v>40311.90347222222</c:v>
                </c:pt>
                <c:pt idx="1829">
                  <c:v>40311.904166666667</c:v>
                </c:pt>
                <c:pt idx="1830">
                  <c:v>40311.904861111114</c:v>
                </c:pt>
                <c:pt idx="1831">
                  <c:v>40311.905555555553</c:v>
                </c:pt>
                <c:pt idx="1832">
                  <c:v>40311.90625</c:v>
                </c:pt>
                <c:pt idx="1833">
                  <c:v>40311.906944444447</c:v>
                </c:pt>
                <c:pt idx="1834">
                  <c:v>40311.907638888886</c:v>
                </c:pt>
                <c:pt idx="1835">
                  <c:v>40311.908333333333</c:v>
                </c:pt>
                <c:pt idx="1836">
                  <c:v>40311.90902777778</c:v>
                </c:pt>
                <c:pt idx="1837">
                  <c:v>40311.909722222219</c:v>
                </c:pt>
                <c:pt idx="1838">
                  <c:v>40311.910416666666</c:v>
                </c:pt>
                <c:pt idx="1839">
                  <c:v>40311.911111111112</c:v>
                </c:pt>
                <c:pt idx="1840">
                  <c:v>40311.911805555559</c:v>
                </c:pt>
                <c:pt idx="1841">
                  <c:v>40311.912499999999</c:v>
                </c:pt>
                <c:pt idx="1842">
                  <c:v>40311.913194444445</c:v>
                </c:pt>
                <c:pt idx="1843">
                  <c:v>40311.913888888892</c:v>
                </c:pt>
                <c:pt idx="1844">
                  <c:v>40311.914583333331</c:v>
                </c:pt>
                <c:pt idx="1845">
                  <c:v>40311.915277777778</c:v>
                </c:pt>
                <c:pt idx="1846">
                  <c:v>40311.915972222225</c:v>
                </c:pt>
                <c:pt idx="1847">
                  <c:v>40311.916666666664</c:v>
                </c:pt>
                <c:pt idx="1848">
                  <c:v>40311.917361111111</c:v>
                </c:pt>
                <c:pt idx="1849">
                  <c:v>40311.918055555558</c:v>
                </c:pt>
                <c:pt idx="1850">
                  <c:v>40311.918749999997</c:v>
                </c:pt>
                <c:pt idx="1851">
                  <c:v>40311.919444444444</c:v>
                </c:pt>
                <c:pt idx="1852">
                  <c:v>40311.920138888891</c:v>
                </c:pt>
                <c:pt idx="1853">
                  <c:v>40311.92083333333</c:v>
                </c:pt>
                <c:pt idx="1854">
                  <c:v>40311.921527777777</c:v>
                </c:pt>
                <c:pt idx="1855">
                  <c:v>40311.922222222223</c:v>
                </c:pt>
                <c:pt idx="1856">
                  <c:v>40311.92291666667</c:v>
                </c:pt>
                <c:pt idx="1857">
                  <c:v>40311.923611111109</c:v>
                </c:pt>
                <c:pt idx="1858">
                  <c:v>40311.924305555556</c:v>
                </c:pt>
                <c:pt idx="1859">
                  <c:v>40311.925000000003</c:v>
                </c:pt>
                <c:pt idx="1860">
                  <c:v>40311.925694444442</c:v>
                </c:pt>
                <c:pt idx="1861">
                  <c:v>40311.926388888889</c:v>
                </c:pt>
                <c:pt idx="1862">
                  <c:v>40311.927083333336</c:v>
                </c:pt>
                <c:pt idx="1863">
                  <c:v>40311.927777777775</c:v>
                </c:pt>
                <c:pt idx="1864">
                  <c:v>40311.928472222222</c:v>
                </c:pt>
                <c:pt idx="1865">
                  <c:v>40311.929166666669</c:v>
                </c:pt>
                <c:pt idx="1866">
                  <c:v>40311.929861111108</c:v>
                </c:pt>
                <c:pt idx="1867">
                  <c:v>40311.930555555555</c:v>
                </c:pt>
                <c:pt idx="1868">
                  <c:v>40311.931250000001</c:v>
                </c:pt>
                <c:pt idx="1869">
                  <c:v>40311.931944444441</c:v>
                </c:pt>
                <c:pt idx="1870">
                  <c:v>40311.932638888888</c:v>
                </c:pt>
                <c:pt idx="1871">
                  <c:v>40311.933333333334</c:v>
                </c:pt>
                <c:pt idx="1872">
                  <c:v>40311.934027777781</c:v>
                </c:pt>
                <c:pt idx="1873">
                  <c:v>40311.93472222222</c:v>
                </c:pt>
                <c:pt idx="1874">
                  <c:v>40311.935416666667</c:v>
                </c:pt>
                <c:pt idx="1875">
                  <c:v>40311.936111111114</c:v>
                </c:pt>
                <c:pt idx="1876">
                  <c:v>40311.936805555553</c:v>
                </c:pt>
                <c:pt idx="1877">
                  <c:v>40311.9375</c:v>
                </c:pt>
                <c:pt idx="1878">
                  <c:v>40311.938194444447</c:v>
                </c:pt>
                <c:pt idx="1879">
                  <c:v>40311.938888888886</c:v>
                </c:pt>
                <c:pt idx="1880">
                  <c:v>40311.939583333333</c:v>
                </c:pt>
                <c:pt idx="1881">
                  <c:v>40311.94027777778</c:v>
                </c:pt>
                <c:pt idx="1882">
                  <c:v>40311.940972222219</c:v>
                </c:pt>
                <c:pt idx="1883">
                  <c:v>40311.941666666666</c:v>
                </c:pt>
                <c:pt idx="1884">
                  <c:v>40311.942361111112</c:v>
                </c:pt>
                <c:pt idx="1885">
                  <c:v>40311.943055555559</c:v>
                </c:pt>
                <c:pt idx="1886">
                  <c:v>40311.943749999999</c:v>
                </c:pt>
                <c:pt idx="1887">
                  <c:v>40311.944444444445</c:v>
                </c:pt>
                <c:pt idx="1888">
                  <c:v>40311.945138888892</c:v>
                </c:pt>
                <c:pt idx="1889">
                  <c:v>40311.945833333331</c:v>
                </c:pt>
                <c:pt idx="1890">
                  <c:v>40311.946527777778</c:v>
                </c:pt>
                <c:pt idx="1891">
                  <c:v>40311.947222222225</c:v>
                </c:pt>
                <c:pt idx="1892">
                  <c:v>40311.947916666664</c:v>
                </c:pt>
                <c:pt idx="1893">
                  <c:v>40311.948611111111</c:v>
                </c:pt>
                <c:pt idx="1894">
                  <c:v>40311.949305555558</c:v>
                </c:pt>
                <c:pt idx="1895">
                  <c:v>40311.949999999997</c:v>
                </c:pt>
                <c:pt idx="1896">
                  <c:v>40311.950694444444</c:v>
                </c:pt>
                <c:pt idx="1897">
                  <c:v>40311.951388888891</c:v>
                </c:pt>
                <c:pt idx="1898">
                  <c:v>40311.95208333333</c:v>
                </c:pt>
                <c:pt idx="1899">
                  <c:v>40311.952777777777</c:v>
                </c:pt>
                <c:pt idx="1900">
                  <c:v>40311.953472222223</c:v>
                </c:pt>
                <c:pt idx="1901">
                  <c:v>40311.95416666667</c:v>
                </c:pt>
                <c:pt idx="1902">
                  <c:v>40311.954861111109</c:v>
                </c:pt>
                <c:pt idx="1903">
                  <c:v>40311.955555555556</c:v>
                </c:pt>
                <c:pt idx="1904">
                  <c:v>40311.956250000003</c:v>
                </c:pt>
                <c:pt idx="1905">
                  <c:v>40311.956944444442</c:v>
                </c:pt>
                <c:pt idx="1906">
                  <c:v>40311.957638888889</c:v>
                </c:pt>
                <c:pt idx="1907">
                  <c:v>40311.958333333336</c:v>
                </c:pt>
                <c:pt idx="1908">
                  <c:v>40311.959027777775</c:v>
                </c:pt>
                <c:pt idx="1909">
                  <c:v>40311.959722222222</c:v>
                </c:pt>
                <c:pt idx="1910">
                  <c:v>40311.960416666669</c:v>
                </c:pt>
                <c:pt idx="1911">
                  <c:v>40311.961111111108</c:v>
                </c:pt>
                <c:pt idx="1912">
                  <c:v>40311.961805555555</c:v>
                </c:pt>
                <c:pt idx="1913">
                  <c:v>40311.962500000001</c:v>
                </c:pt>
                <c:pt idx="1914">
                  <c:v>40311.963194444441</c:v>
                </c:pt>
                <c:pt idx="1915">
                  <c:v>40311.963888888888</c:v>
                </c:pt>
                <c:pt idx="1916">
                  <c:v>40311.964583333334</c:v>
                </c:pt>
                <c:pt idx="1917">
                  <c:v>40311.965277777781</c:v>
                </c:pt>
                <c:pt idx="1918">
                  <c:v>40311.96597222222</c:v>
                </c:pt>
                <c:pt idx="1919">
                  <c:v>40311.966666666667</c:v>
                </c:pt>
                <c:pt idx="1920">
                  <c:v>40311.967361111114</c:v>
                </c:pt>
                <c:pt idx="1921">
                  <c:v>40311.968055555553</c:v>
                </c:pt>
                <c:pt idx="1922">
                  <c:v>40311.96875</c:v>
                </c:pt>
                <c:pt idx="1923">
                  <c:v>40311.969444444447</c:v>
                </c:pt>
                <c:pt idx="1924">
                  <c:v>40311.970138888886</c:v>
                </c:pt>
                <c:pt idx="1925">
                  <c:v>40311.970833333333</c:v>
                </c:pt>
                <c:pt idx="1926">
                  <c:v>40311.97152777778</c:v>
                </c:pt>
                <c:pt idx="1927">
                  <c:v>40311.972222222219</c:v>
                </c:pt>
                <c:pt idx="1928">
                  <c:v>40311.972916666666</c:v>
                </c:pt>
                <c:pt idx="1929">
                  <c:v>40311.973611111112</c:v>
                </c:pt>
                <c:pt idx="1930">
                  <c:v>40311.974305555559</c:v>
                </c:pt>
                <c:pt idx="1931">
                  <c:v>40311.974999999999</c:v>
                </c:pt>
                <c:pt idx="1932">
                  <c:v>40311.975694444445</c:v>
                </c:pt>
                <c:pt idx="1933">
                  <c:v>40311.976388888892</c:v>
                </c:pt>
                <c:pt idx="1934">
                  <c:v>40311.977083333331</c:v>
                </c:pt>
                <c:pt idx="1935">
                  <c:v>40311.977777777778</c:v>
                </c:pt>
                <c:pt idx="1936">
                  <c:v>40311.978472222225</c:v>
                </c:pt>
                <c:pt idx="1937">
                  <c:v>40311.979166666664</c:v>
                </c:pt>
                <c:pt idx="1938">
                  <c:v>40311.979861111111</c:v>
                </c:pt>
                <c:pt idx="1939">
                  <c:v>40311.980555555558</c:v>
                </c:pt>
                <c:pt idx="1940">
                  <c:v>40311.981249999997</c:v>
                </c:pt>
                <c:pt idx="1941">
                  <c:v>40311.981944444444</c:v>
                </c:pt>
                <c:pt idx="1942">
                  <c:v>40311.982638888891</c:v>
                </c:pt>
                <c:pt idx="1943">
                  <c:v>40311.98333333333</c:v>
                </c:pt>
                <c:pt idx="1944">
                  <c:v>40311.984027777777</c:v>
                </c:pt>
                <c:pt idx="1945">
                  <c:v>40311.984722222223</c:v>
                </c:pt>
                <c:pt idx="1946">
                  <c:v>40311.98541666667</c:v>
                </c:pt>
                <c:pt idx="1947">
                  <c:v>40311.986111111109</c:v>
                </c:pt>
                <c:pt idx="1948">
                  <c:v>40311.986805555556</c:v>
                </c:pt>
                <c:pt idx="1949">
                  <c:v>40311.987500000003</c:v>
                </c:pt>
                <c:pt idx="1950">
                  <c:v>40311.988194444442</c:v>
                </c:pt>
                <c:pt idx="1951">
                  <c:v>40311.988888888889</c:v>
                </c:pt>
                <c:pt idx="1952">
                  <c:v>40311.989583333336</c:v>
                </c:pt>
                <c:pt idx="1953">
                  <c:v>40311.990277777775</c:v>
                </c:pt>
                <c:pt idx="1954">
                  <c:v>40311.990972222222</c:v>
                </c:pt>
                <c:pt idx="1955">
                  <c:v>40311.991666666669</c:v>
                </c:pt>
                <c:pt idx="1956">
                  <c:v>40311.992361111108</c:v>
                </c:pt>
                <c:pt idx="1957">
                  <c:v>40311.993055555555</c:v>
                </c:pt>
                <c:pt idx="1958">
                  <c:v>40311.993750000001</c:v>
                </c:pt>
                <c:pt idx="1959">
                  <c:v>40311.994444444441</c:v>
                </c:pt>
                <c:pt idx="1960">
                  <c:v>40311.995138888888</c:v>
                </c:pt>
                <c:pt idx="1961">
                  <c:v>40311.995833333334</c:v>
                </c:pt>
                <c:pt idx="1962">
                  <c:v>40311.996527777781</c:v>
                </c:pt>
                <c:pt idx="1963">
                  <c:v>40311.99722222222</c:v>
                </c:pt>
                <c:pt idx="1964">
                  <c:v>40311.997916666667</c:v>
                </c:pt>
                <c:pt idx="1965">
                  <c:v>40311.998611111114</c:v>
                </c:pt>
                <c:pt idx="1966">
                  <c:v>40311.999305555553</c:v>
                </c:pt>
                <c:pt idx="1967">
                  <c:v>40312</c:v>
                </c:pt>
                <c:pt idx="1968">
                  <c:v>40312.000694444447</c:v>
                </c:pt>
                <c:pt idx="1969">
                  <c:v>40312.001388888886</c:v>
                </c:pt>
                <c:pt idx="1970">
                  <c:v>40312.002083333333</c:v>
                </c:pt>
                <c:pt idx="1971">
                  <c:v>40312.00277777778</c:v>
                </c:pt>
                <c:pt idx="1972">
                  <c:v>40312.003472222219</c:v>
                </c:pt>
                <c:pt idx="1973">
                  <c:v>40312.004166666666</c:v>
                </c:pt>
                <c:pt idx="1974">
                  <c:v>40312.004861111112</c:v>
                </c:pt>
                <c:pt idx="1975">
                  <c:v>40312.005555555559</c:v>
                </c:pt>
                <c:pt idx="1976">
                  <c:v>40312.006249999999</c:v>
                </c:pt>
                <c:pt idx="1977">
                  <c:v>40312.006944444445</c:v>
                </c:pt>
                <c:pt idx="1978">
                  <c:v>40312.007638888892</c:v>
                </c:pt>
                <c:pt idx="1979">
                  <c:v>40312.008333333331</c:v>
                </c:pt>
                <c:pt idx="1980">
                  <c:v>40312.009027777778</c:v>
                </c:pt>
                <c:pt idx="1981">
                  <c:v>40312.009722222225</c:v>
                </c:pt>
                <c:pt idx="1982">
                  <c:v>40312.010416666664</c:v>
                </c:pt>
                <c:pt idx="1983">
                  <c:v>40312.011111111111</c:v>
                </c:pt>
                <c:pt idx="1984">
                  <c:v>40312.011805555558</c:v>
                </c:pt>
                <c:pt idx="1985">
                  <c:v>40312.012499999997</c:v>
                </c:pt>
                <c:pt idx="1986">
                  <c:v>40312.013194444444</c:v>
                </c:pt>
                <c:pt idx="1987">
                  <c:v>40312.013888888891</c:v>
                </c:pt>
                <c:pt idx="1988">
                  <c:v>40312.01458333333</c:v>
                </c:pt>
                <c:pt idx="1989">
                  <c:v>40312.015277777777</c:v>
                </c:pt>
                <c:pt idx="1990">
                  <c:v>40312.015972222223</c:v>
                </c:pt>
                <c:pt idx="1991">
                  <c:v>40312.01666666667</c:v>
                </c:pt>
                <c:pt idx="1992">
                  <c:v>40312.017361111109</c:v>
                </c:pt>
                <c:pt idx="1993">
                  <c:v>40312.018055555556</c:v>
                </c:pt>
                <c:pt idx="1994">
                  <c:v>40312.018750000003</c:v>
                </c:pt>
                <c:pt idx="1995">
                  <c:v>40312.019444444442</c:v>
                </c:pt>
                <c:pt idx="1996">
                  <c:v>40312.020138888889</c:v>
                </c:pt>
                <c:pt idx="1997">
                  <c:v>40312.020833333336</c:v>
                </c:pt>
                <c:pt idx="1998">
                  <c:v>40312.021527777775</c:v>
                </c:pt>
                <c:pt idx="1999">
                  <c:v>40312.022222222222</c:v>
                </c:pt>
                <c:pt idx="2000">
                  <c:v>40312.022916666669</c:v>
                </c:pt>
                <c:pt idx="2001">
                  <c:v>40312.023611111108</c:v>
                </c:pt>
                <c:pt idx="2002">
                  <c:v>40312.024305555555</c:v>
                </c:pt>
                <c:pt idx="2003">
                  <c:v>40312.025000000001</c:v>
                </c:pt>
                <c:pt idx="2004">
                  <c:v>40312.025694444441</c:v>
                </c:pt>
                <c:pt idx="2005">
                  <c:v>40312.026388888888</c:v>
                </c:pt>
                <c:pt idx="2006">
                  <c:v>40312.027083333334</c:v>
                </c:pt>
                <c:pt idx="2007">
                  <c:v>40312.027777777781</c:v>
                </c:pt>
                <c:pt idx="2008">
                  <c:v>40312.02847222222</c:v>
                </c:pt>
                <c:pt idx="2009">
                  <c:v>40312.029166666667</c:v>
                </c:pt>
                <c:pt idx="2010">
                  <c:v>40312.029861111114</c:v>
                </c:pt>
                <c:pt idx="2011">
                  <c:v>40312.030555555553</c:v>
                </c:pt>
                <c:pt idx="2012">
                  <c:v>40312.03125</c:v>
                </c:pt>
                <c:pt idx="2013">
                  <c:v>40312.031944444447</c:v>
                </c:pt>
                <c:pt idx="2014">
                  <c:v>40312.032638888886</c:v>
                </c:pt>
                <c:pt idx="2015">
                  <c:v>40312.033333333333</c:v>
                </c:pt>
                <c:pt idx="2016">
                  <c:v>40312.03402777778</c:v>
                </c:pt>
                <c:pt idx="2017">
                  <c:v>40312.034722222219</c:v>
                </c:pt>
                <c:pt idx="2018">
                  <c:v>40312.035416666666</c:v>
                </c:pt>
                <c:pt idx="2019">
                  <c:v>40312.036111111112</c:v>
                </c:pt>
                <c:pt idx="2020">
                  <c:v>40312.036805555559</c:v>
                </c:pt>
                <c:pt idx="2021">
                  <c:v>40312.037499999999</c:v>
                </c:pt>
                <c:pt idx="2022">
                  <c:v>40312.038194444445</c:v>
                </c:pt>
                <c:pt idx="2023">
                  <c:v>40312.038888888892</c:v>
                </c:pt>
                <c:pt idx="2024">
                  <c:v>40312.039583333331</c:v>
                </c:pt>
                <c:pt idx="2025">
                  <c:v>40312.040277777778</c:v>
                </c:pt>
                <c:pt idx="2026">
                  <c:v>40312.040972222225</c:v>
                </c:pt>
                <c:pt idx="2027">
                  <c:v>40312.041666666664</c:v>
                </c:pt>
                <c:pt idx="2028">
                  <c:v>40312.042361111111</c:v>
                </c:pt>
                <c:pt idx="2029">
                  <c:v>40312.043055555558</c:v>
                </c:pt>
                <c:pt idx="2030">
                  <c:v>40312.043749999997</c:v>
                </c:pt>
                <c:pt idx="2031">
                  <c:v>40312.044444444444</c:v>
                </c:pt>
                <c:pt idx="2032">
                  <c:v>40312.045138888891</c:v>
                </c:pt>
                <c:pt idx="2033">
                  <c:v>40312.04583333333</c:v>
                </c:pt>
                <c:pt idx="2034">
                  <c:v>40312.046527777777</c:v>
                </c:pt>
                <c:pt idx="2035">
                  <c:v>40312.047222222223</c:v>
                </c:pt>
                <c:pt idx="2036">
                  <c:v>40312.04791666667</c:v>
                </c:pt>
                <c:pt idx="2037">
                  <c:v>40312.048611111109</c:v>
                </c:pt>
                <c:pt idx="2038">
                  <c:v>40312.049305555556</c:v>
                </c:pt>
                <c:pt idx="2039">
                  <c:v>40312.050000000003</c:v>
                </c:pt>
                <c:pt idx="2040">
                  <c:v>40312.050694444442</c:v>
                </c:pt>
                <c:pt idx="2041">
                  <c:v>40312.051388888889</c:v>
                </c:pt>
                <c:pt idx="2042">
                  <c:v>40312.052083333336</c:v>
                </c:pt>
                <c:pt idx="2043">
                  <c:v>40312.052777777775</c:v>
                </c:pt>
                <c:pt idx="2044">
                  <c:v>40312.053472222222</c:v>
                </c:pt>
                <c:pt idx="2045">
                  <c:v>40312.054166666669</c:v>
                </c:pt>
                <c:pt idx="2046">
                  <c:v>40312.054861111108</c:v>
                </c:pt>
                <c:pt idx="2047">
                  <c:v>40312.055555555555</c:v>
                </c:pt>
                <c:pt idx="2048">
                  <c:v>40312.056250000001</c:v>
                </c:pt>
                <c:pt idx="2049">
                  <c:v>40312.056944444441</c:v>
                </c:pt>
                <c:pt idx="2050">
                  <c:v>40312.057638888888</c:v>
                </c:pt>
                <c:pt idx="2051">
                  <c:v>40312.058333333334</c:v>
                </c:pt>
                <c:pt idx="2052">
                  <c:v>40312.059027777781</c:v>
                </c:pt>
                <c:pt idx="2053">
                  <c:v>40312.05972222222</c:v>
                </c:pt>
                <c:pt idx="2054">
                  <c:v>40312.060416666667</c:v>
                </c:pt>
                <c:pt idx="2055">
                  <c:v>40312.061111111114</c:v>
                </c:pt>
                <c:pt idx="2056">
                  <c:v>40312.061805555553</c:v>
                </c:pt>
                <c:pt idx="2057">
                  <c:v>40312.0625</c:v>
                </c:pt>
                <c:pt idx="2058">
                  <c:v>40312.063194444447</c:v>
                </c:pt>
                <c:pt idx="2059">
                  <c:v>40312.063888888886</c:v>
                </c:pt>
                <c:pt idx="2060">
                  <c:v>40312.064583333333</c:v>
                </c:pt>
                <c:pt idx="2061">
                  <c:v>40312.06527777778</c:v>
                </c:pt>
                <c:pt idx="2062">
                  <c:v>40312.065972222219</c:v>
                </c:pt>
                <c:pt idx="2063">
                  <c:v>40312.066666666666</c:v>
                </c:pt>
                <c:pt idx="2064">
                  <c:v>40312.067361111112</c:v>
                </c:pt>
                <c:pt idx="2065">
                  <c:v>40312.068055555559</c:v>
                </c:pt>
                <c:pt idx="2066">
                  <c:v>40312.068749999999</c:v>
                </c:pt>
                <c:pt idx="2067">
                  <c:v>40312.069444444445</c:v>
                </c:pt>
                <c:pt idx="2068">
                  <c:v>40312.070138888892</c:v>
                </c:pt>
                <c:pt idx="2069">
                  <c:v>40312.070833333331</c:v>
                </c:pt>
                <c:pt idx="2070">
                  <c:v>40312.071527777778</c:v>
                </c:pt>
                <c:pt idx="2071">
                  <c:v>40312.072222222225</c:v>
                </c:pt>
                <c:pt idx="2072">
                  <c:v>40312.072916666664</c:v>
                </c:pt>
                <c:pt idx="2073">
                  <c:v>40312.073611111111</c:v>
                </c:pt>
                <c:pt idx="2074">
                  <c:v>40312.074305555558</c:v>
                </c:pt>
                <c:pt idx="2075">
                  <c:v>40312.074999999997</c:v>
                </c:pt>
                <c:pt idx="2076">
                  <c:v>40312.075694444444</c:v>
                </c:pt>
                <c:pt idx="2077">
                  <c:v>40312.076388888891</c:v>
                </c:pt>
                <c:pt idx="2078">
                  <c:v>40312.07708333333</c:v>
                </c:pt>
                <c:pt idx="2079">
                  <c:v>40312.077777777777</c:v>
                </c:pt>
                <c:pt idx="2080">
                  <c:v>40312.078472222223</c:v>
                </c:pt>
                <c:pt idx="2081">
                  <c:v>40312.07916666667</c:v>
                </c:pt>
                <c:pt idx="2082">
                  <c:v>40312.079861111109</c:v>
                </c:pt>
                <c:pt idx="2083">
                  <c:v>40312.080555555556</c:v>
                </c:pt>
                <c:pt idx="2084">
                  <c:v>40312.081250000003</c:v>
                </c:pt>
                <c:pt idx="2085">
                  <c:v>40312.081944444442</c:v>
                </c:pt>
                <c:pt idx="2086">
                  <c:v>40312.082638888889</c:v>
                </c:pt>
                <c:pt idx="2087">
                  <c:v>40312.083333333336</c:v>
                </c:pt>
                <c:pt idx="2088">
                  <c:v>40312.084027777775</c:v>
                </c:pt>
                <c:pt idx="2089">
                  <c:v>40312.084722222222</c:v>
                </c:pt>
                <c:pt idx="2090">
                  <c:v>40312.085416666669</c:v>
                </c:pt>
                <c:pt idx="2091">
                  <c:v>40312.086111111108</c:v>
                </c:pt>
                <c:pt idx="2092">
                  <c:v>40312.086805555555</c:v>
                </c:pt>
                <c:pt idx="2093">
                  <c:v>40312.087500000001</c:v>
                </c:pt>
                <c:pt idx="2094">
                  <c:v>40312.088194444441</c:v>
                </c:pt>
                <c:pt idx="2095">
                  <c:v>40312.088888888888</c:v>
                </c:pt>
                <c:pt idx="2096">
                  <c:v>40312.089583333334</c:v>
                </c:pt>
                <c:pt idx="2097">
                  <c:v>40312.090277777781</c:v>
                </c:pt>
                <c:pt idx="2098">
                  <c:v>40312.09097222222</c:v>
                </c:pt>
                <c:pt idx="2099">
                  <c:v>40312.091666666667</c:v>
                </c:pt>
                <c:pt idx="2100">
                  <c:v>40312.092361111114</c:v>
                </c:pt>
                <c:pt idx="2101">
                  <c:v>40312.093055555553</c:v>
                </c:pt>
                <c:pt idx="2102">
                  <c:v>40312.09375</c:v>
                </c:pt>
                <c:pt idx="2103">
                  <c:v>40312.094444444447</c:v>
                </c:pt>
                <c:pt idx="2104">
                  <c:v>40312.095138888886</c:v>
                </c:pt>
                <c:pt idx="2105">
                  <c:v>40312.095833333333</c:v>
                </c:pt>
                <c:pt idx="2106">
                  <c:v>40312.09652777778</c:v>
                </c:pt>
                <c:pt idx="2107">
                  <c:v>40312.097222222219</c:v>
                </c:pt>
                <c:pt idx="2108">
                  <c:v>40312.097916666666</c:v>
                </c:pt>
                <c:pt idx="2109">
                  <c:v>40312.098611111112</c:v>
                </c:pt>
                <c:pt idx="2110">
                  <c:v>40312.099305555559</c:v>
                </c:pt>
                <c:pt idx="2111">
                  <c:v>40312.1</c:v>
                </c:pt>
                <c:pt idx="2112">
                  <c:v>40312.100694444445</c:v>
                </c:pt>
                <c:pt idx="2113">
                  <c:v>40312.101388888892</c:v>
                </c:pt>
                <c:pt idx="2114">
                  <c:v>40312.102083333331</c:v>
                </c:pt>
                <c:pt idx="2115">
                  <c:v>40312.102777777778</c:v>
                </c:pt>
                <c:pt idx="2116">
                  <c:v>40312.103472222225</c:v>
                </c:pt>
                <c:pt idx="2117">
                  <c:v>40312.104166666664</c:v>
                </c:pt>
                <c:pt idx="2118">
                  <c:v>40312.104861111111</c:v>
                </c:pt>
                <c:pt idx="2119">
                  <c:v>40312.105555555558</c:v>
                </c:pt>
                <c:pt idx="2120">
                  <c:v>40312.106249999997</c:v>
                </c:pt>
                <c:pt idx="2121">
                  <c:v>40312.106944444444</c:v>
                </c:pt>
                <c:pt idx="2122">
                  <c:v>40312.107638888891</c:v>
                </c:pt>
                <c:pt idx="2123">
                  <c:v>40312.10833333333</c:v>
                </c:pt>
                <c:pt idx="2124">
                  <c:v>40312.109027777777</c:v>
                </c:pt>
                <c:pt idx="2125">
                  <c:v>40312.109722222223</c:v>
                </c:pt>
                <c:pt idx="2126">
                  <c:v>40312.11041666667</c:v>
                </c:pt>
                <c:pt idx="2127">
                  <c:v>40312.111111111109</c:v>
                </c:pt>
                <c:pt idx="2128">
                  <c:v>40312.111805555556</c:v>
                </c:pt>
                <c:pt idx="2129">
                  <c:v>40312.112500000003</c:v>
                </c:pt>
                <c:pt idx="2130">
                  <c:v>40312.113194444442</c:v>
                </c:pt>
                <c:pt idx="2131">
                  <c:v>40312.113888888889</c:v>
                </c:pt>
                <c:pt idx="2132">
                  <c:v>40312.114583333336</c:v>
                </c:pt>
                <c:pt idx="2133">
                  <c:v>40312.115277777775</c:v>
                </c:pt>
                <c:pt idx="2134">
                  <c:v>40312.115972222222</c:v>
                </c:pt>
                <c:pt idx="2135">
                  <c:v>40312.116666666669</c:v>
                </c:pt>
                <c:pt idx="2136">
                  <c:v>40312.117361111108</c:v>
                </c:pt>
                <c:pt idx="2137">
                  <c:v>40312.118055555555</c:v>
                </c:pt>
                <c:pt idx="2138">
                  <c:v>40312.118750000001</c:v>
                </c:pt>
                <c:pt idx="2139">
                  <c:v>40312.119444444441</c:v>
                </c:pt>
                <c:pt idx="2140">
                  <c:v>40312.120138888888</c:v>
                </c:pt>
                <c:pt idx="2141">
                  <c:v>40312.120833333334</c:v>
                </c:pt>
                <c:pt idx="2142">
                  <c:v>40312.121527777781</c:v>
                </c:pt>
                <c:pt idx="2143">
                  <c:v>40312.12222222222</c:v>
                </c:pt>
                <c:pt idx="2144">
                  <c:v>40312.122916666667</c:v>
                </c:pt>
                <c:pt idx="2145">
                  <c:v>40312.123611111114</c:v>
                </c:pt>
                <c:pt idx="2146">
                  <c:v>40312.124305555553</c:v>
                </c:pt>
                <c:pt idx="2147">
                  <c:v>40312.125</c:v>
                </c:pt>
                <c:pt idx="2148">
                  <c:v>40312.125694444447</c:v>
                </c:pt>
                <c:pt idx="2149">
                  <c:v>40312.126388888886</c:v>
                </c:pt>
                <c:pt idx="2150">
                  <c:v>40312.127083333333</c:v>
                </c:pt>
                <c:pt idx="2151">
                  <c:v>40312.12777777778</c:v>
                </c:pt>
                <c:pt idx="2152">
                  <c:v>40312.128472222219</c:v>
                </c:pt>
                <c:pt idx="2153">
                  <c:v>40312.129166666666</c:v>
                </c:pt>
                <c:pt idx="2154">
                  <c:v>40312.129861111112</c:v>
                </c:pt>
                <c:pt idx="2155">
                  <c:v>40312.130555555559</c:v>
                </c:pt>
                <c:pt idx="2156">
                  <c:v>40312.131249999999</c:v>
                </c:pt>
                <c:pt idx="2157">
                  <c:v>40312.131944444445</c:v>
                </c:pt>
                <c:pt idx="2158">
                  <c:v>40312.132638888892</c:v>
                </c:pt>
                <c:pt idx="2159">
                  <c:v>40312.133333333331</c:v>
                </c:pt>
                <c:pt idx="2160">
                  <c:v>40312.134027777778</c:v>
                </c:pt>
                <c:pt idx="2161">
                  <c:v>40312.134722222225</c:v>
                </c:pt>
                <c:pt idx="2162">
                  <c:v>40312.135416666664</c:v>
                </c:pt>
                <c:pt idx="2163">
                  <c:v>40312.136111111111</c:v>
                </c:pt>
                <c:pt idx="2164">
                  <c:v>40312.136805555558</c:v>
                </c:pt>
                <c:pt idx="2165">
                  <c:v>40312.137499999997</c:v>
                </c:pt>
                <c:pt idx="2166">
                  <c:v>40312.138194444444</c:v>
                </c:pt>
                <c:pt idx="2167">
                  <c:v>40312.138888888891</c:v>
                </c:pt>
                <c:pt idx="2168">
                  <c:v>40312.13958333333</c:v>
                </c:pt>
                <c:pt idx="2169">
                  <c:v>40312.140277777777</c:v>
                </c:pt>
                <c:pt idx="2170">
                  <c:v>40312.140972222223</c:v>
                </c:pt>
                <c:pt idx="2171">
                  <c:v>40312.14166666667</c:v>
                </c:pt>
                <c:pt idx="2172">
                  <c:v>40312.142361111109</c:v>
                </c:pt>
                <c:pt idx="2173">
                  <c:v>40312.143055555556</c:v>
                </c:pt>
                <c:pt idx="2174">
                  <c:v>40312.143750000003</c:v>
                </c:pt>
                <c:pt idx="2175">
                  <c:v>40312.144444444442</c:v>
                </c:pt>
                <c:pt idx="2176">
                  <c:v>40312.145138888889</c:v>
                </c:pt>
                <c:pt idx="2177">
                  <c:v>40312.145833333336</c:v>
                </c:pt>
                <c:pt idx="2178">
                  <c:v>40312.146527777775</c:v>
                </c:pt>
                <c:pt idx="2179">
                  <c:v>40312.147222222222</c:v>
                </c:pt>
                <c:pt idx="2180">
                  <c:v>40312.147916666669</c:v>
                </c:pt>
                <c:pt idx="2181">
                  <c:v>40312.148611111108</c:v>
                </c:pt>
                <c:pt idx="2182">
                  <c:v>40312.149305555555</c:v>
                </c:pt>
                <c:pt idx="2183">
                  <c:v>40312.15</c:v>
                </c:pt>
                <c:pt idx="2184">
                  <c:v>40312.150694444441</c:v>
                </c:pt>
                <c:pt idx="2185">
                  <c:v>40312.151388888888</c:v>
                </c:pt>
                <c:pt idx="2186">
                  <c:v>40312.152083333334</c:v>
                </c:pt>
                <c:pt idx="2187">
                  <c:v>40312.152777777781</c:v>
                </c:pt>
                <c:pt idx="2188">
                  <c:v>40312.15347222222</c:v>
                </c:pt>
                <c:pt idx="2189">
                  <c:v>40312.154166666667</c:v>
                </c:pt>
                <c:pt idx="2190">
                  <c:v>40312.154861111114</c:v>
                </c:pt>
                <c:pt idx="2191">
                  <c:v>40312.155555555553</c:v>
                </c:pt>
                <c:pt idx="2192">
                  <c:v>40312.15625</c:v>
                </c:pt>
                <c:pt idx="2193">
                  <c:v>40312.156944444447</c:v>
                </c:pt>
                <c:pt idx="2194">
                  <c:v>40312.157638888886</c:v>
                </c:pt>
                <c:pt idx="2195">
                  <c:v>40312.158333333333</c:v>
                </c:pt>
                <c:pt idx="2196">
                  <c:v>40312.15902777778</c:v>
                </c:pt>
                <c:pt idx="2197">
                  <c:v>40312.159722222219</c:v>
                </c:pt>
                <c:pt idx="2198">
                  <c:v>40312.160416666666</c:v>
                </c:pt>
                <c:pt idx="2199">
                  <c:v>40312.161111111112</c:v>
                </c:pt>
                <c:pt idx="2200">
                  <c:v>40312.161805555559</c:v>
                </c:pt>
                <c:pt idx="2201">
                  <c:v>40312.162499999999</c:v>
                </c:pt>
                <c:pt idx="2202">
                  <c:v>40312.163194444445</c:v>
                </c:pt>
                <c:pt idx="2203">
                  <c:v>40312.163888888892</c:v>
                </c:pt>
                <c:pt idx="2204">
                  <c:v>40312.164583333331</c:v>
                </c:pt>
                <c:pt idx="2205">
                  <c:v>40312.165277777778</c:v>
                </c:pt>
                <c:pt idx="2206">
                  <c:v>40312.165972222225</c:v>
                </c:pt>
                <c:pt idx="2207">
                  <c:v>40312.166666666664</c:v>
                </c:pt>
                <c:pt idx="2208">
                  <c:v>40312.167361111111</c:v>
                </c:pt>
                <c:pt idx="2209">
                  <c:v>40312.168055555558</c:v>
                </c:pt>
                <c:pt idx="2210">
                  <c:v>40312.168749999997</c:v>
                </c:pt>
                <c:pt idx="2211">
                  <c:v>40312.169444444444</c:v>
                </c:pt>
                <c:pt idx="2212">
                  <c:v>40312.170138888891</c:v>
                </c:pt>
                <c:pt idx="2213">
                  <c:v>40312.17083333333</c:v>
                </c:pt>
                <c:pt idx="2214">
                  <c:v>40312.171527777777</c:v>
                </c:pt>
                <c:pt idx="2215">
                  <c:v>40312.172222222223</c:v>
                </c:pt>
                <c:pt idx="2216">
                  <c:v>40312.17291666667</c:v>
                </c:pt>
                <c:pt idx="2217">
                  <c:v>40312.173611111109</c:v>
                </c:pt>
                <c:pt idx="2218">
                  <c:v>40312.174305555556</c:v>
                </c:pt>
                <c:pt idx="2219">
                  <c:v>40312.175000000003</c:v>
                </c:pt>
                <c:pt idx="2220">
                  <c:v>40312.175694444442</c:v>
                </c:pt>
                <c:pt idx="2221">
                  <c:v>40312.176388888889</c:v>
                </c:pt>
                <c:pt idx="2222">
                  <c:v>40312.177083333336</c:v>
                </c:pt>
                <c:pt idx="2223">
                  <c:v>40312.177777777775</c:v>
                </c:pt>
                <c:pt idx="2224">
                  <c:v>40312.178472222222</c:v>
                </c:pt>
                <c:pt idx="2225">
                  <c:v>40312.179166666669</c:v>
                </c:pt>
                <c:pt idx="2226">
                  <c:v>40312.179861111108</c:v>
                </c:pt>
                <c:pt idx="2227">
                  <c:v>40312.180555555555</c:v>
                </c:pt>
                <c:pt idx="2228">
                  <c:v>40312.181250000001</c:v>
                </c:pt>
                <c:pt idx="2229">
                  <c:v>40312.181944444441</c:v>
                </c:pt>
                <c:pt idx="2230">
                  <c:v>40312.182638888888</c:v>
                </c:pt>
                <c:pt idx="2231">
                  <c:v>40312.183333333334</c:v>
                </c:pt>
                <c:pt idx="2232">
                  <c:v>40312.184027777781</c:v>
                </c:pt>
                <c:pt idx="2233">
                  <c:v>40312.18472222222</c:v>
                </c:pt>
                <c:pt idx="2234">
                  <c:v>40312.185416666667</c:v>
                </c:pt>
                <c:pt idx="2235">
                  <c:v>40312.186111111114</c:v>
                </c:pt>
                <c:pt idx="2236">
                  <c:v>40312.186805555553</c:v>
                </c:pt>
                <c:pt idx="2237">
                  <c:v>40312.1875</c:v>
                </c:pt>
                <c:pt idx="2238">
                  <c:v>40312.188194444447</c:v>
                </c:pt>
                <c:pt idx="2239">
                  <c:v>40312.188888888886</c:v>
                </c:pt>
                <c:pt idx="2240">
                  <c:v>40312.189583333333</c:v>
                </c:pt>
                <c:pt idx="2241">
                  <c:v>40312.19027777778</c:v>
                </c:pt>
                <c:pt idx="2242">
                  <c:v>40312.190972222219</c:v>
                </c:pt>
                <c:pt idx="2243">
                  <c:v>40312.191666666666</c:v>
                </c:pt>
                <c:pt idx="2244">
                  <c:v>40312.192361111112</c:v>
                </c:pt>
                <c:pt idx="2245">
                  <c:v>40312.193055555559</c:v>
                </c:pt>
                <c:pt idx="2246">
                  <c:v>40312.193749999999</c:v>
                </c:pt>
                <c:pt idx="2247">
                  <c:v>40312.194444444445</c:v>
                </c:pt>
                <c:pt idx="2248">
                  <c:v>40312.195138888892</c:v>
                </c:pt>
                <c:pt idx="2249">
                  <c:v>40312.195833333331</c:v>
                </c:pt>
                <c:pt idx="2250">
                  <c:v>40312.196527777778</c:v>
                </c:pt>
                <c:pt idx="2251">
                  <c:v>40312.197222222225</c:v>
                </c:pt>
                <c:pt idx="2252">
                  <c:v>40312.197916666664</c:v>
                </c:pt>
                <c:pt idx="2253">
                  <c:v>40312.198611111111</c:v>
                </c:pt>
                <c:pt idx="2254">
                  <c:v>40312.199305555558</c:v>
                </c:pt>
                <c:pt idx="2255">
                  <c:v>40312.199999999997</c:v>
                </c:pt>
                <c:pt idx="2256">
                  <c:v>40312.200694444444</c:v>
                </c:pt>
                <c:pt idx="2257">
                  <c:v>40312.201388888891</c:v>
                </c:pt>
                <c:pt idx="2258">
                  <c:v>40312.20208333333</c:v>
                </c:pt>
                <c:pt idx="2259">
                  <c:v>40312.202777777777</c:v>
                </c:pt>
                <c:pt idx="2260">
                  <c:v>40312.203472222223</c:v>
                </c:pt>
                <c:pt idx="2261">
                  <c:v>40312.20416666667</c:v>
                </c:pt>
                <c:pt idx="2262">
                  <c:v>40312.204861111109</c:v>
                </c:pt>
                <c:pt idx="2263">
                  <c:v>40312.205555555556</c:v>
                </c:pt>
                <c:pt idx="2264">
                  <c:v>40312.206250000003</c:v>
                </c:pt>
                <c:pt idx="2265">
                  <c:v>40312.206944444442</c:v>
                </c:pt>
                <c:pt idx="2266">
                  <c:v>40312.207638888889</c:v>
                </c:pt>
                <c:pt idx="2267">
                  <c:v>40312.208333333336</c:v>
                </c:pt>
                <c:pt idx="2268">
                  <c:v>40312.209027777775</c:v>
                </c:pt>
                <c:pt idx="2269">
                  <c:v>40312.209722222222</c:v>
                </c:pt>
                <c:pt idx="2270">
                  <c:v>40312.210416666669</c:v>
                </c:pt>
                <c:pt idx="2271">
                  <c:v>40312.211111111108</c:v>
                </c:pt>
                <c:pt idx="2272">
                  <c:v>40312.211805555555</c:v>
                </c:pt>
                <c:pt idx="2273">
                  <c:v>40312.212500000001</c:v>
                </c:pt>
                <c:pt idx="2274">
                  <c:v>40312.213194444441</c:v>
                </c:pt>
                <c:pt idx="2275">
                  <c:v>40312.213888888888</c:v>
                </c:pt>
                <c:pt idx="2276">
                  <c:v>40312.214583333334</c:v>
                </c:pt>
                <c:pt idx="2277">
                  <c:v>40312.215277777781</c:v>
                </c:pt>
                <c:pt idx="2278">
                  <c:v>40312.21597222222</c:v>
                </c:pt>
                <c:pt idx="2279">
                  <c:v>40312.216666666667</c:v>
                </c:pt>
                <c:pt idx="2280">
                  <c:v>40312.217361111114</c:v>
                </c:pt>
                <c:pt idx="2281">
                  <c:v>40312.218055555553</c:v>
                </c:pt>
                <c:pt idx="2282">
                  <c:v>40312.21875</c:v>
                </c:pt>
                <c:pt idx="2283">
                  <c:v>40312.219444444447</c:v>
                </c:pt>
                <c:pt idx="2284">
                  <c:v>40312.220138888886</c:v>
                </c:pt>
                <c:pt idx="2285">
                  <c:v>40312.220833333333</c:v>
                </c:pt>
                <c:pt idx="2286">
                  <c:v>40312.22152777778</c:v>
                </c:pt>
                <c:pt idx="2287">
                  <c:v>40312.222222222219</c:v>
                </c:pt>
                <c:pt idx="2288">
                  <c:v>40312.222916666666</c:v>
                </c:pt>
                <c:pt idx="2289">
                  <c:v>40312.223611111112</c:v>
                </c:pt>
                <c:pt idx="2290">
                  <c:v>40312.224305555559</c:v>
                </c:pt>
                <c:pt idx="2291">
                  <c:v>40312.224999999999</c:v>
                </c:pt>
                <c:pt idx="2292">
                  <c:v>40312.225694444445</c:v>
                </c:pt>
                <c:pt idx="2293">
                  <c:v>40312.226388888892</c:v>
                </c:pt>
                <c:pt idx="2294">
                  <c:v>40312.227083333331</c:v>
                </c:pt>
                <c:pt idx="2295">
                  <c:v>40312.227777777778</c:v>
                </c:pt>
                <c:pt idx="2296">
                  <c:v>40312.228472222225</c:v>
                </c:pt>
                <c:pt idx="2297">
                  <c:v>40312.229166666664</c:v>
                </c:pt>
                <c:pt idx="2298">
                  <c:v>40312.229861111111</c:v>
                </c:pt>
                <c:pt idx="2299">
                  <c:v>40312.230555555558</c:v>
                </c:pt>
                <c:pt idx="2300">
                  <c:v>40312.231249999997</c:v>
                </c:pt>
                <c:pt idx="2301">
                  <c:v>40312.231944444444</c:v>
                </c:pt>
                <c:pt idx="2302">
                  <c:v>40312.232638888891</c:v>
                </c:pt>
                <c:pt idx="2303">
                  <c:v>40312.23333333333</c:v>
                </c:pt>
                <c:pt idx="2304">
                  <c:v>40312.234027777777</c:v>
                </c:pt>
                <c:pt idx="2305">
                  <c:v>40312.234722222223</c:v>
                </c:pt>
                <c:pt idx="2306">
                  <c:v>40312.23541666667</c:v>
                </c:pt>
                <c:pt idx="2307">
                  <c:v>40312.236111111109</c:v>
                </c:pt>
                <c:pt idx="2308">
                  <c:v>40312.236805555556</c:v>
                </c:pt>
                <c:pt idx="2309">
                  <c:v>40312.237500000003</c:v>
                </c:pt>
                <c:pt idx="2310">
                  <c:v>40312.238194444442</c:v>
                </c:pt>
                <c:pt idx="2311">
                  <c:v>40312.238888888889</c:v>
                </c:pt>
                <c:pt idx="2312">
                  <c:v>40312.239583333336</c:v>
                </c:pt>
                <c:pt idx="2313">
                  <c:v>40312.240277777775</c:v>
                </c:pt>
                <c:pt idx="2314">
                  <c:v>40312.240972222222</c:v>
                </c:pt>
                <c:pt idx="2315">
                  <c:v>40312.241666666669</c:v>
                </c:pt>
                <c:pt idx="2316">
                  <c:v>40312.242361111108</c:v>
                </c:pt>
                <c:pt idx="2317">
                  <c:v>40312.243055555555</c:v>
                </c:pt>
                <c:pt idx="2318">
                  <c:v>40312.243750000001</c:v>
                </c:pt>
                <c:pt idx="2319">
                  <c:v>40312.244444444441</c:v>
                </c:pt>
                <c:pt idx="2320">
                  <c:v>40312.245138888888</c:v>
                </c:pt>
                <c:pt idx="2321">
                  <c:v>40312.245833333334</c:v>
                </c:pt>
                <c:pt idx="2322">
                  <c:v>40312.246527777781</c:v>
                </c:pt>
                <c:pt idx="2323">
                  <c:v>40312.24722222222</c:v>
                </c:pt>
                <c:pt idx="2324">
                  <c:v>40312.247916666667</c:v>
                </c:pt>
                <c:pt idx="2325">
                  <c:v>40312.248611111114</c:v>
                </c:pt>
                <c:pt idx="2326">
                  <c:v>40312.249305555553</c:v>
                </c:pt>
                <c:pt idx="2327">
                  <c:v>40312.25</c:v>
                </c:pt>
                <c:pt idx="2328">
                  <c:v>40312.250694444447</c:v>
                </c:pt>
                <c:pt idx="2329">
                  <c:v>40312.251388888886</c:v>
                </c:pt>
                <c:pt idx="2330">
                  <c:v>40312.252083333333</c:v>
                </c:pt>
                <c:pt idx="2331">
                  <c:v>40312.25277777778</c:v>
                </c:pt>
                <c:pt idx="2332">
                  <c:v>40312.253472222219</c:v>
                </c:pt>
                <c:pt idx="2333">
                  <c:v>40312.254166666666</c:v>
                </c:pt>
                <c:pt idx="2334">
                  <c:v>40312.254861111112</c:v>
                </c:pt>
                <c:pt idx="2335">
                  <c:v>40312.255555555559</c:v>
                </c:pt>
                <c:pt idx="2336">
                  <c:v>40312.256249999999</c:v>
                </c:pt>
                <c:pt idx="2337">
                  <c:v>40312.256944444445</c:v>
                </c:pt>
                <c:pt idx="2338">
                  <c:v>40312.257638888892</c:v>
                </c:pt>
                <c:pt idx="2339">
                  <c:v>40312.258333333331</c:v>
                </c:pt>
                <c:pt idx="2340">
                  <c:v>40312.259027777778</c:v>
                </c:pt>
                <c:pt idx="2341">
                  <c:v>40312.259722222225</c:v>
                </c:pt>
                <c:pt idx="2342">
                  <c:v>40312.260416666664</c:v>
                </c:pt>
                <c:pt idx="2343">
                  <c:v>40312.261111111111</c:v>
                </c:pt>
                <c:pt idx="2344">
                  <c:v>40312.261805555558</c:v>
                </c:pt>
                <c:pt idx="2345">
                  <c:v>40312.262499999997</c:v>
                </c:pt>
                <c:pt idx="2346">
                  <c:v>40312.263194444444</c:v>
                </c:pt>
                <c:pt idx="2347">
                  <c:v>40312.263888888891</c:v>
                </c:pt>
                <c:pt idx="2348">
                  <c:v>40312.26458333333</c:v>
                </c:pt>
                <c:pt idx="2349">
                  <c:v>40312.265277777777</c:v>
                </c:pt>
                <c:pt idx="2350">
                  <c:v>40312.265972222223</c:v>
                </c:pt>
                <c:pt idx="2351">
                  <c:v>40312.26666666667</c:v>
                </c:pt>
                <c:pt idx="2352">
                  <c:v>40312.267361111109</c:v>
                </c:pt>
                <c:pt idx="2353">
                  <c:v>40312.268055555556</c:v>
                </c:pt>
                <c:pt idx="2354">
                  <c:v>40312.268750000003</c:v>
                </c:pt>
                <c:pt idx="2355">
                  <c:v>40312.269444444442</c:v>
                </c:pt>
                <c:pt idx="2356">
                  <c:v>40312.270138888889</c:v>
                </c:pt>
                <c:pt idx="2357">
                  <c:v>40312.270833333336</c:v>
                </c:pt>
                <c:pt idx="2358">
                  <c:v>40312.271527777775</c:v>
                </c:pt>
                <c:pt idx="2359">
                  <c:v>40312.272222222222</c:v>
                </c:pt>
                <c:pt idx="2360">
                  <c:v>40312.272916666669</c:v>
                </c:pt>
                <c:pt idx="2361">
                  <c:v>40312.273611111108</c:v>
                </c:pt>
                <c:pt idx="2362">
                  <c:v>40312.274305555555</c:v>
                </c:pt>
                <c:pt idx="2363">
                  <c:v>40312.275000000001</c:v>
                </c:pt>
                <c:pt idx="2364">
                  <c:v>40312.275694444441</c:v>
                </c:pt>
                <c:pt idx="2365">
                  <c:v>40312.276388888888</c:v>
                </c:pt>
                <c:pt idx="2366">
                  <c:v>40312.277083333334</c:v>
                </c:pt>
                <c:pt idx="2367">
                  <c:v>40312.277777777781</c:v>
                </c:pt>
                <c:pt idx="2368">
                  <c:v>40312.27847222222</c:v>
                </c:pt>
                <c:pt idx="2369">
                  <c:v>40312.279166666667</c:v>
                </c:pt>
                <c:pt idx="2370">
                  <c:v>40312.279861111114</c:v>
                </c:pt>
                <c:pt idx="2371">
                  <c:v>40312.280555555553</c:v>
                </c:pt>
                <c:pt idx="2372">
                  <c:v>40312.28125</c:v>
                </c:pt>
                <c:pt idx="2373">
                  <c:v>40312.281944444447</c:v>
                </c:pt>
                <c:pt idx="2374">
                  <c:v>40312.282638888886</c:v>
                </c:pt>
                <c:pt idx="2375">
                  <c:v>40312.283333333333</c:v>
                </c:pt>
                <c:pt idx="2376">
                  <c:v>40312.28402777778</c:v>
                </c:pt>
                <c:pt idx="2377">
                  <c:v>40312.284722222219</c:v>
                </c:pt>
                <c:pt idx="2378">
                  <c:v>40312.285416666666</c:v>
                </c:pt>
                <c:pt idx="2379">
                  <c:v>40312.286111111112</c:v>
                </c:pt>
                <c:pt idx="2380">
                  <c:v>40312.286805555559</c:v>
                </c:pt>
                <c:pt idx="2381">
                  <c:v>40312.287499999999</c:v>
                </c:pt>
                <c:pt idx="2382">
                  <c:v>40312.288194444445</c:v>
                </c:pt>
                <c:pt idx="2383">
                  <c:v>40312.288888888892</c:v>
                </c:pt>
                <c:pt idx="2384">
                  <c:v>40312.289583333331</c:v>
                </c:pt>
                <c:pt idx="2385">
                  <c:v>40312.290277777778</c:v>
                </c:pt>
                <c:pt idx="2386">
                  <c:v>40312.290972222225</c:v>
                </c:pt>
                <c:pt idx="2387">
                  <c:v>40312.291666666664</c:v>
                </c:pt>
                <c:pt idx="2388">
                  <c:v>40312.292361111111</c:v>
                </c:pt>
                <c:pt idx="2389">
                  <c:v>40312.293055555558</c:v>
                </c:pt>
                <c:pt idx="2390">
                  <c:v>40312.293749999997</c:v>
                </c:pt>
                <c:pt idx="2391">
                  <c:v>40312.294444444444</c:v>
                </c:pt>
                <c:pt idx="2392">
                  <c:v>40312.295138888891</c:v>
                </c:pt>
                <c:pt idx="2393">
                  <c:v>40312.29583333333</c:v>
                </c:pt>
                <c:pt idx="2394">
                  <c:v>40312.296527777777</c:v>
                </c:pt>
                <c:pt idx="2395">
                  <c:v>40312.297222222223</c:v>
                </c:pt>
                <c:pt idx="2396">
                  <c:v>40312.29791666667</c:v>
                </c:pt>
                <c:pt idx="2397">
                  <c:v>40312.298611111109</c:v>
                </c:pt>
                <c:pt idx="2398">
                  <c:v>40312.299305555556</c:v>
                </c:pt>
                <c:pt idx="2399">
                  <c:v>40312.300000000003</c:v>
                </c:pt>
                <c:pt idx="2400">
                  <c:v>40312.300694444442</c:v>
                </c:pt>
                <c:pt idx="2401">
                  <c:v>40312.301388888889</c:v>
                </c:pt>
                <c:pt idx="2402">
                  <c:v>40312.302083333336</c:v>
                </c:pt>
                <c:pt idx="2403">
                  <c:v>40312.302777777775</c:v>
                </c:pt>
                <c:pt idx="2404">
                  <c:v>40312.303472222222</c:v>
                </c:pt>
                <c:pt idx="2405">
                  <c:v>40312.304166666669</c:v>
                </c:pt>
                <c:pt idx="2406">
                  <c:v>40312.304861111108</c:v>
                </c:pt>
                <c:pt idx="2407">
                  <c:v>40312.305555555555</c:v>
                </c:pt>
                <c:pt idx="2408">
                  <c:v>40312.306250000001</c:v>
                </c:pt>
                <c:pt idx="2409">
                  <c:v>40312.306944444441</c:v>
                </c:pt>
                <c:pt idx="2410">
                  <c:v>40312.307638888888</c:v>
                </c:pt>
                <c:pt idx="2411">
                  <c:v>40312.308333333334</c:v>
                </c:pt>
                <c:pt idx="2412">
                  <c:v>40312.309027777781</c:v>
                </c:pt>
                <c:pt idx="2413">
                  <c:v>40312.30972222222</c:v>
                </c:pt>
                <c:pt idx="2414">
                  <c:v>40312.310416666667</c:v>
                </c:pt>
                <c:pt idx="2415">
                  <c:v>40312.311111111114</c:v>
                </c:pt>
                <c:pt idx="2416">
                  <c:v>40312.311805555553</c:v>
                </c:pt>
                <c:pt idx="2417">
                  <c:v>40312.3125</c:v>
                </c:pt>
                <c:pt idx="2418">
                  <c:v>40312.313194444447</c:v>
                </c:pt>
                <c:pt idx="2419">
                  <c:v>40312.313888888886</c:v>
                </c:pt>
                <c:pt idx="2420">
                  <c:v>40312.314583333333</c:v>
                </c:pt>
                <c:pt idx="2421">
                  <c:v>40312.31527777778</c:v>
                </c:pt>
                <c:pt idx="2422">
                  <c:v>40312.315972222219</c:v>
                </c:pt>
                <c:pt idx="2423">
                  <c:v>40312.316666666666</c:v>
                </c:pt>
                <c:pt idx="2424">
                  <c:v>40312.317361111112</c:v>
                </c:pt>
                <c:pt idx="2425">
                  <c:v>40312.318055555559</c:v>
                </c:pt>
                <c:pt idx="2426">
                  <c:v>40312.318749999999</c:v>
                </c:pt>
                <c:pt idx="2427">
                  <c:v>40312.319444444445</c:v>
                </c:pt>
                <c:pt idx="2428">
                  <c:v>40312.320138888892</c:v>
                </c:pt>
                <c:pt idx="2429">
                  <c:v>40312.320833333331</c:v>
                </c:pt>
                <c:pt idx="2430">
                  <c:v>40312.321527777778</c:v>
                </c:pt>
                <c:pt idx="2431">
                  <c:v>40312.322222222225</c:v>
                </c:pt>
                <c:pt idx="2432">
                  <c:v>40312.322916666664</c:v>
                </c:pt>
                <c:pt idx="2433">
                  <c:v>40312.323611111111</c:v>
                </c:pt>
                <c:pt idx="2434">
                  <c:v>40312.324305555558</c:v>
                </c:pt>
                <c:pt idx="2435">
                  <c:v>40312.324999999997</c:v>
                </c:pt>
                <c:pt idx="2436">
                  <c:v>40312.325694444444</c:v>
                </c:pt>
                <c:pt idx="2437">
                  <c:v>40312.326388888891</c:v>
                </c:pt>
                <c:pt idx="2438">
                  <c:v>40312.32708333333</c:v>
                </c:pt>
                <c:pt idx="2439">
                  <c:v>40312.327777777777</c:v>
                </c:pt>
                <c:pt idx="2440">
                  <c:v>40312.328472222223</c:v>
                </c:pt>
                <c:pt idx="2441">
                  <c:v>40312.32916666667</c:v>
                </c:pt>
                <c:pt idx="2442">
                  <c:v>40312.329861111109</c:v>
                </c:pt>
                <c:pt idx="2443">
                  <c:v>40312.330555555556</c:v>
                </c:pt>
                <c:pt idx="2444">
                  <c:v>40312.331250000003</c:v>
                </c:pt>
                <c:pt idx="2445">
                  <c:v>40312.331944444442</c:v>
                </c:pt>
                <c:pt idx="2446">
                  <c:v>40312.332638888889</c:v>
                </c:pt>
                <c:pt idx="2447">
                  <c:v>40312.333333333336</c:v>
                </c:pt>
                <c:pt idx="2448">
                  <c:v>40312.334027777775</c:v>
                </c:pt>
                <c:pt idx="2449">
                  <c:v>40312.334722222222</c:v>
                </c:pt>
                <c:pt idx="2450">
                  <c:v>40312.335416666669</c:v>
                </c:pt>
                <c:pt idx="2451">
                  <c:v>40312.336111111108</c:v>
                </c:pt>
                <c:pt idx="2452">
                  <c:v>40312.336805555555</c:v>
                </c:pt>
                <c:pt idx="2453">
                  <c:v>40312.337500000001</c:v>
                </c:pt>
                <c:pt idx="2454">
                  <c:v>40312.338194444441</c:v>
                </c:pt>
                <c:pt idx="2455">
                  <c:v>40312.338888888888</c:v>
                </c:pt>
                <c:pt idx="2456">
                  <c:v>40312.339583333334</c:v>
                </c:pt>
                <c:pt idx="2457">
                  <c:v>40312.340277777781</c:v>
                </c:pt>
                <c:pt idx="2458">
                  <c:v>40312.34097222222</c:v>
                </c:pt>
                <c:pt idx="2459">
                  <c:v>40312.341666666667</c:v>
                </c:pt>
                <c:pt idx="2460">
                  <c:v>40312.342361111114</c:v>
                </c:pt>
                <c:pt idx="2461">
                  <c:v>40312.343055555553</c:v>
                </c:pt>
                <c:pt idx="2462">
                  <c:v>40312.34375</c:v>
                </c:pt>
                <c:pt idx="2463">
                  <c:v>40312.344444444447</c:v>
                </c:pt>
                <c:pt idx="2464">
                  <c:v>40312.345138888886</c:v>
                </c:pt>
                <c:pt idx="2465">
                  <c:v>40312.345833333333</c:v>
                </c:pt>
                <c:pt idx="2466">
                  <c:v>40312.34652777778</c:v>
                </c:pt>
                <c:pt idx="2467">
                  <c:v>40312.347222222219</c:v>
                </c:pt>
                <c:pt idx="2468">
                  <c:v>40312.347916666666</c:v>
                </c:pt>
                <c:pt idx="2469">
                  <c:v>40312.348611111112</c:v>
                </c:pt>
                <c:pt idx="2470">
                  <c:v>40312.349305555559</c:v>
                </c:pt>
                <c:pt idx="2471">
                  <c:v>40312.35</c:v>
                </c:pt>
                <c:pt idx="2472">
                  <c:v>40312.350694444445</c:v>
                </c:pt>
                <c:pt idx="2473">
                  <c:v>40312.351388888892</c:v>
                </c:pt>
                <c:pt idx="2474">
                  <c:v>40312.352083333331</c:v>
                </c:pt>
                <c:pt idx="2475">
                  <c:v>40312.352777777778</c:v>
                </c:pt>
                <c:pt idx="2476">
                  <c:v>40312.353472222225</c:v>
                </c:pt>
                <c:pt idx="2477">
                  <c:v>40312.354166666664</c:v>
                </c:pt>
                <c:pt idx="2478">
                  <c:v>40312.354861111111</c:v>
                </c:pt>
                <c:pt idx="2479">
                  <c:v>40312.355555555558</c:v>
                </c:pt>
                <c:pt idx="2480">
                  <c:v>40312.356249999997</c:v>
                </c:pt>
                <c:pt idx="2481">
                  <c:v>40312.356944444444</c:v>
                </c:pt>
                <c:pt idx="2482">
                  <c:v>40312.357638888891</c:v>
                </c:pt>
                <c:pt idx="2483">
                  <c:v>40312.35833333333</c:v>
                </c:pt>
                <c:pt idx="2484">
                  <c:v>40312.359027777777</c:v>
                </c:pt>
                <c:pt idx="2485">
                  <c:v>40312.359722222223</c:v>
                </c:pt>
                <c:pt idx="2486">
                  <c:v>40312.36041666667</c:v>
                </c:pt>
                <c:pt idx="2487">
                  <c:v>40312.361111111109</c:v>
                </c:pt>
                <c:pt idx="2488">
                  <c:v>40312.361805555556</c:v>
                </c:pt>
                <c:pt idx="2489">
                  <c:v>40312.362500000003</c:v>
                </c:pt>
                <c:pt idx="2490">
                  <c:v>40312.363194444442</c:v>
                </c:pt>
                <c:pt idx="2491">
                  <c:v>40312.363888888889</c:v>
                </c:pt>
                <c:pt idx="2492">
                  <c:v>40312.364583333336</c:v>
                </c:pt>
                <c:pt idx="2493">
                  <c:v>40312.365277777775</c:v>
                </c:pt>
                <c:pt idx="2494">
                  <c:v>40312.365972222222</c:v>
                </c:pt>
                <c:pt idx="2495">
                  <c:v>40312.366666666669</c:v>
                </c:pt>
                <c:pt idx="2496">
                  <c:v>40312.367361111108</c:v>
                </c:pt>
                <c:pt idx="2497">
                  <c:v>40312.368055555555</c:v>
                </c:pt>
                <c:pt idx="2498">
                  <c:v>40312.368750000001</c:v>
                </c:pt>
                <c:pt idx="2499">
                  <c:v>40312.369444444441</c:v>
                </c:pt>
                <c:pt idx="2500">
                  <c:v>40312.370138888888</c:v>
                </c:pt>
                <c:pt idx="2501">
                  <c:v>40312.370833333334</c:v>
                </c:pt>
                <c:pt idx="2502">
                  <c:v>40312.371527777781</c:v>
                </c:pt>
                <c:pt idx="2503">
                  <c:v>40312.37222222222</c:v>
                </c:pt>
                <c:pt idx="2504">
                  <c:v>40312.372916666667</c:v>
                </c:pt>
                <c:pt idx="2505">
                  <c:v>40312.373611111114</c:v>
                </c:pt>
                <c:pt idx="2506">
                  <c:v>40312.374305555553</c:v>
                </c:pt>
                <c:pt idx="2507">
                  <c:v>40312.375</c:v>
                </c:pt>
                <c:pt idx="2508">
                  <c:v>40312.375694444447</c:v>
                </c:pt>
                <c:pt idx="2509">
                  <c:v>40312.376388888886</c:v>
                </c:pt>
                <c:pt idx="2510">
                  <c:v>40312.377083333333</c:v>
                </c:pt>
                <c:pt idx="2511">
                  <c:v>40312.37777777778</c:v>
                </c:pt>
                <c:pt idx="2512">
                  <c:v>40312.378472222219</c:v>
                </c:pt>
                <c:pt idx="2513">
                  <c:v>40312.379166666666</c:v>
                </c:pt>
                <c:pt idx="2514">
                  <c:v>40312.379861111112</c:v>
                </c:pt>
                <c:pt idx="2515">
                  <c:v>40312.380555555559</c:v>
                </c:pt>
                <c:pt idx="2516">
                  <c:v>40312.381249999999</c:v>
                </c:pt>
                <c:pt idx="2517">
                  <c:v>40312.381944444445</c:v>
                </c:pt>
                <c:pt idx="2518">
                  <c:v>40312.382638888892</c:v>
                </c:pt>
                <c:pt idx="2519">
                  <c:v>40312.383333333331</c:v>
                </c:pt>
                <c:pt idx="2520">
                  <c:v>40312.384027777778</c:v>
                </c:pt>
                <c:pt idx="2521">
                  <c:v>40312.384722222225</c:v>
                </c:pt>
                <c:pt idx="2522">
                  <c:v>40312.385416666664</c:v>
                </c:pt>
                <c:pt idx="2523">
                  <c:v>40312.386111111111</c:v>
                </c:pt>
                <c:pt idx="2524">
                  <c:v>40312.386805555558</c:v>
                </c:pt>
                <c:pt idx="2525">
                  <c:v>40312.387499999997</c:v>
                </c:pt>
                <c:pt idx="2526">
                  <c:v>40312.388194444444</c:v>
                </c:pt>
                <c:pt idx="2527">
                  <c:v>40312.388888888891</c:v>
                </c:pt>
                <c:pt idx="2528">
                  <c:v>40312.38958333333</c:v>
                </c:pt>
                <c:pt idx="2529">
                  <c:v>40312.390277777777</c:v>
                </c:pt>
                <c:pt idx="2530">
                  <c:v>40312.390972222223</c:v>
                </c:pt>
                <c:pt idx="2531">
                  <c:v>40312.39166666667</c:v>
                </c:pt>
                <c:pt idx="2532">
                  <c:v>40312.392361111109</c:v>
                </c:pt>
                <c:pt idx="2533">
                  <c:v>40312.393055555556</c:v>
                </c:pt>
                <c:pt idx="2534">
                  <c:v>40312.393750000003</c:v>
                </c:pt>
                <c:pt idx="2535">
                  <c:v>40312.394444444442</c:v>
                </c:pt>
                <c:pt idx="2536">
                  <c:v>40312.395138888889</c:v>
                </c:pt>
                <c:pt idx="2537">
                  <c:v>40312.395833333336</c:v>
                </c:pt>
                <c:pt idx="2538">
                  <c:v>40312.396527777775</c:v>
                </c:pt>
                <c:pt idx="2539">
                  <c:v>40312.397222222222</c:v>
                </c:pt>
                <c:pt idx="2540">
                  <c:v>40312.397916666669</c:v>
                </c:pt>
                <c:pt idx="2541">
                  <c:v>40312.398611111108</c:v>
                </c:pt>
                <c:pt idx="2542">
                  <c:v>40312.399305555555</c:v>
                </c:pt>
                <c:pt idx="2543">
                  <c:v>40312.400000000001</c:v>
                </c:pt>
                <c:pt idx="2544">
                  <c:v>40312.400694444441</c:v>
                </c:pt>
                <c:pt idx="2545">
                  <c:v>40312.401388888888</c:v>
                </c:pt>
                <c:pt idx="2546">
                  <c:v>40312.402083333334</c:v>
                </c:pt>
                <c:pt idx="2547">
                  <c:v>40312.402777777781</c:v>
                </c:pt>
                <c:pt idx="2548">
                  <c:v>40312.40347222222</c:v>
                </c:pt>
                <c:pt idx="2549">
                  <c:v>40312.404166666667</c:v>
                </c:pt>
                <c:pt idx="2550">
                  <c:v>40312.404861111114</c:v>
                </c:pt>
                <c:pt idx="2551">
                  <c:v>40312.405555555553</c:v>
                </c:pt>
                <c:pt idx="2552">
                  <c:v>40312.40625</c:v>
                </c:pt>
                <c:pt idx="2553">
                  <c:v>40312.406944444447</c:v>
                </c:pt>
                <c:pt idx="2554">
                  <c:v>40312.407638888886</c:v>
                </c:pt>
                <c:pt idx="2555">
                  <c:v>40312.408333333333</c:v>
                </c:pt>
                <c:pt idx="2556">
                  <c:v>40312.40902777778</c:v>
                </c:pt>
                <c:pt idx="2557">
                  <c:v>40312.409722222219</c:v>
                </c:pt>
                <c:pt idx="2558">
                  <c:v>40312.410416666666</c:v>
                </c:pt>
                <c:pt idx="2559">
                  <c:v>40312.411111111112</c:v>
                </c:pt>
                <c:pt idx="2560">
                  <c:v>40312.411805555559</c:v>
                </c:pt>
                <c:pt idx="2561">
                  <c:v>40312.412499999999</c:v>
                </c:pt>
                <c:pt idx="2562">
                  <c:v>40312.413194444445</c:v>
                </c:pt>
                <c:pt idx="2563">
                  <c:v>40312.413888888892</c:v>
                </c:pt>
                <c:pt idx="2564">
                  <c:v>40312.414583333331</c:v>
                </c:pt>
                <c:pt idx="2565">
                  <c:v>40312.415277777778</c:v>
                </c:pt>
                <c:pt idx="2566">
                  <c:v>40312.415972222225</c:v>
                </c:pt>
                <c:pt idx="2567">
                  <c:v>40312.416666666664</c:v>
                </c:pt>
                <c:pt idx="2568">
                  <c:v>40312.417361111111</c:v>
                </c:pt>
                <c:pt idx="2569">
                  <c:v>40312.418055555558</c:v>
                </c:pt>
                <c:pt idx="2570">
                  <c:v>40312.418749999997</c:v>
                </c:pt>
                <c:pt idx="2571">
                  <c:v>40312.419444444444</c:v>
                </c:pt>
                <c:pt idx="2572">
                  <c:v>40312.420138888891</c:v>
                </c:pt>
                <c:pt idx="2573">
                  <c:v>40312.42083333333</c:v>
                </c:pt>
                <c:pt idx="2574">
                  <c:v>40312.421527777777</c:v>
                </c:pt>
                <c:pt idx="2575">
                  <c:v>40312.422222222223</c:v>
                </c:pt>
                <c:pt idx="2576">
                  <c:v>40312.42291666667</c:v>
                </c:pt>
                <c:pt idx="2577">
                  <c:v>40312.423611111109</c:v>
                </c:pt>
                <c:pt idx="2578">
                  <c:v>40312.424305555556</c:v>
                </c:pt>
                <c:pt idx="2579">
                  <c:v>40312.425000000003</c:v>
                </c:pt>
                <c:pt idx="2580">
                  <c:v>40312.425694444442</c:v>
                </c:pt>
                <c:pt idx="2581">
                  <c:v>40312.426388888889</c:v>
                </c:pt>
                <c:pt idx="2582">
                  <c:v>40312.427083333336</c:v>
                </c:pt>
                <c:pt idx="2583">
                  <c:v>40312.427777777775</c:v>
                </c:pt>
                <c:pt idx="2584">
                  <c:v>40312.428472222222</c:v>
                </c:pt>
                <c:pt idx="2585">
                  <c:v>40312.429166666669</c:v>
                </c:pt>
                <c:pt idx="2586">
                  <c:v>40312.429861111108</c:v>
                </c:pt>
                <c:pt idx="2587">
                  <c:v>40312.430555555555</c:v>
                </c:pt>
                <c:pt idx="2588">
                  <c:v>40312.431250000001</c:v>
                </c:pt>
                <c:pt idx="2589">
                  <c:v>40312.431944444441</c:v>
                </c:pt>
                <c:pt idx="2590">
                  <c:v>40312.432638888888</c:v>
                </c:pt>
                <c:pt idx="2591">
                  <c:v>40312.433333333334</c:v>
                </c:pt>
                <c:pt idx="2592">
                  <c:v>40312.434027777781</c:v>
                </c:pt>
                <c:pt idx="2593">
                  <c:v>40312.43472222222</c:v>
                </c:pt>
                <c:pt idx="2594">
                  <c:v>40312.435416666667</c:v>
                </c:pt>
                <c:pt idx="2595">
                  <c:v>40312.436111111114</c:v>
                </c:pt>
                <c:pt idx="2596">
                  <c:v>40312.436805555553</c:v>
                </c:pt>
                <c:pt idx="2597">
                  <c:v>40312.4375</c:v>
                </c:pt>
                <c:pt idx="2598">
                  <c:v>40312.438194444447</c:v>
                </c:pt>
                <c:pt idx="2599">
                  <c:v>40312.438888888886</c:v>
                </c:pt>
                <c:pt idx="2600">
                  <c:v>40312.439583333333</c:v>
                </c:pt>
                <c:pt idx="2601">
                  <c:v>40312.44027777778</c:v>
                </c:pt>
                <c:pt idx="2602">
                  <c:v>40312.440972222219</c:v>
                </c:pt>
                <c:pt idx="2603">
                  <c:v>40312.441666666666</c:v>
                </c:pt>
                <c:pt idx="2604">
                  <c:v>40312.442361111112</c:v>
                </c:pt>
                <c:pt idx="2605">
                  <c:v>40312.443055555559</c:v>
                </c:pt>
                <c:pt idx="2606">
                  <c:v>40312.443749999999</c:v>
                </c:pt>
                <c:pt idx="2607">
                  <c:v>40312.444444444445</c:v>
                </c:pt>
                <c:pt idx="2608">
                  <c:v>40312.445138888892</c:v>
                </c:pt>
                <c:pt idx="2609">
                  <c:v>40312.445833333331</c:v>
                </c:pt>
                <c:pt idx="2610">
                  <c:v>40312.446527777778</c:v>
                </c:pt>
                <c:pt idx="2611">
                  <c:v>40312.447222222225</c:v>
                </c:pt>
                <c:pt idx="2612">
                  <c:v>40312.447916666664</c:v>
                </c:pt>
                <c:pt idx="2613">
                  <c:v>40312.448611111111</c:v>
                </c:pt>
                <c:pt idx="2614">
                  <c:v>40312.449305555558</c:v>
                </c:pt>
                <c:pt idx="2615">
                  <c:v>40312.449999999997</c:v>
                </c:pt>
                <c:pt idx="2616">
                  <c:v>40312.450694444444</c:v>
                </c:pt>
                <c:pt idx="2617">
                  <c:v>40312.451388888891</c:v>
                </c:pt>
                <c:pt idx="2618">
                  <c:v>40312.45208333333</c:v>
                </c:pt>
                <c:pt idx="2619">
                  <c:v>40312.452777777777</c:v>
                </c:pt>
                <c:pt idx="2620">
                  <c:v>40312.453472222223</c:v>
                </c:pt>
                <c:pt idx="2621">
                  <c:v>40312.45416666667</c:v>
                </c:pt>
                <c:pt idx="2622">
                  <c:v>40312.454861111109</c:v>
                </c:pt>
                <c:pt idx="2623">
                  <c:v>40312.455555555556</c:v>
                </c:pt>
                <c:pt idx="2624">
                  <c:v>40312.456250000003</c:v>
                </c:pt>
                <c:pt idx="2625">
                  <c:v>40312.456944444442</c:v>
                </c:pt>
                <c:pt idx="2626">
                  <c:v>40312.457638888889</c:v>
                </c:pt>
                <c:pt idx="2627">
                  <c:v>40312.458333333336</c:v>
                </c:pt>
                <c:pt idx="2628">
                  <c:v>40312.459027777775</c:v>
                </c:pt>
                <c:pt idx="2629">
                  <c:v>40312.459722222222</c:v>
                </c:pt>
                <c:pt idx="2630">
                  <c:v>40312.460416666669</c:v>
                </c:pt>
                <c:pt idx="2631">
                  <c:v>40312.461111111108</c:v>
                </c:pt>
                <c:pt idx="2632">
                  <c:v>40312.461805555555</c:v>
                </c:pt>
                <c:pt idx="2633">
                  <c:v>40312.462500000001</c:v>
                </c:pt>
                <c:pt idx="2634">
                  <c:v>40312.463194444441</c:v>
                </c:pt>
                <c:pt idx="2635">
                  <c:v>40312.463888888888</c:v>
                </c:pt>
                <c:pt idx="2636">
                  <c:v>40312.464583333334</c:v>
                </c:pt>
                <c:pt idx="2637">
                  <c:v>40312.465277777781</c:v>
                </c:pt>
                <c:pt idx="2638">
                  <c:v>40312.46597222222</c:v>
                </c:pt>
                <c:pt idx="2639">
                  <c:v>40312.466666666667</c:v>
                </c:pt>
                <c:pt idx="2640">
                  <c:v>40312.467361111114</c:v>
                </c:pt>
                <c:pt idx="2641">
                  <c:v>40312.468055555553</c:v>
                </c:pt>
                <c:pt idx="2642">
                  <c:v>40312.46875</c:v>
                </c:pt>
                <c:pt idx="2643">
                  <c:v>40312.469444444447</c:v>
                </c:pt>
                <c:pt idx="2644">
                  <c:v>40312.470138888886</c:v>
                </c:pt>
                <c:pt idx="2645">
                  <c:v>40312.470833333333</c:v>
                </c:pt>
                <c:pt idx="2646">
                  <c:v>40312.47152777778</c:v>
                </c:pt>
                <c:pt idx="2647">
                  <c:v>40312.472222222219</c:v>
                </c:pt>
                <c:pt idx="2648">
                  <c:v>40312.472916666666</c:v>
                </c:pt>
                <c:pt idx="2649">
                  <c:v>40312.473611111112</c:v>
                </c:pt>
                <c:pt idx="2650">
                  <c:v>40312.474305555559</c:v>
                </c:pt>
                <c:pt idx="2651">
                  <c:v>40312.474999999999</c:v>
                </c:pt>
                <c:pt idx="2652">
                  <c:v>40312.475694444445</c:v>
                </c:pt>
                <c:pt idx="2653">
                  <c:v>40312.476388888892</c:v>
                </c:pt>
                <c:pt idx="2654">
                  <c:v>40312.477083333331</c:v>
                </c:pt>
                <c:pt idx="2655">
                  <c:v>40312.477777777778</c:v>
                </c:pt>
                <c:pt idx="2656">
                  <c:v>40312.478472222225</c:v>
                </c:pt>
                <c:pt idx="2657">
                  <c:v>40312.479166666664</c:v>
                </c:pt>
                <c:pt idx="2658">
                  <c:v>40312.479861111111</c:v>
                </c:pt>
                <c:pt idx="2659">
                  <c:v>40312.480555555558</c:v>
                </c:pt>
                <c:pt idx="2660">
                  <c:v>40312.481249999997</c:v>
                </c:pt>
                <c:pt idx="2661">
                  <c:v>40312.481944444444</c:v>
                </c:pt>
                <c:pt idx="2662">
                  <c:v>40312.482638888891</c:v>
                </c:pt>
                <c:pt idx="2663">
                  <c:v>40312.48333333333</c:v>
                </c:pt>
                <c:pt idx="2664">
                  <c:v>40312.484027777777</c:v>
                </c:pt>
                <c:pt idx="2665">
                  <c:v>40312.484722222223</c:v>
                </c:pt>
                <c:pt idx="2666">
                  <c:v>40312.48541666667</c:v>
                </c:pt>
                <c:pt idx="2667">
                  <c:v>40312.486111111109</c:v>
                </c:pt>
                <c:pt idx="2668">
                  <c:v>40312.486805555556</c:v>
                </c:pt>
                <c:pt idx="2669">
                  <c:v>40312.487500000003</c:v>
                </c:pt>
                <c:pt idx="2670">
                  <c:v>40312.488194444442</c:v>
                </c:pt>
                <c:pt idx="2671">
                  <c:v>40312.488888888889</c:v>
                </c:pt>
                <c:pt idx="2672">
                  <c:v>40312.489583333336</c:v>
                </c:pt>
                <c:pt idx="2673">
                  <c:v>40312.490277777775</c:v>
                </c:pt>
                <c:pt idx="2674">
                  <c:v>40312.490972222222</c:v>
                </c:pt>
                <c:pt idx="2675">
                  <c:v>40312.491666666669</c:v>
                </c:pt>
                <c:pt idx="2676">
                  <c:v>40312.492361111108</c:v>
                </c:pt>
                <c:pt idx="2677">
                  <c:v>40312.493055555555</c:v>
                </c:pt>
                <c:pt idx="2678">
                  <c:v>40312.493750000001</c:v>
                </c:pt>
                <c:pt idx="2679">
                  <c:v>40312.494444444441</c:v>
                </c:pt>
                <c:pt idx="2680">
                  <c:v>40312.495138888888</c:v>
                </c:pt>
                <c:pt idx="2681">
                  <c:v>40312.495833333334</c:v>
                </c:pt>
                <c:pt idx="2682">
                  <c:v>40312.496527777781</c:v>
                </c:pt>
                <c:pt idx="2683">
                  <c:v>40312.49722222222</c:v>
                </c:pt>
                <c:pt idx="2684">
                  <c:v>40312.497916666667</c:v>
                </c:pt>
                <c:pt idx="2685">
                  <c:v>40312.498611111114</c:v>
                </c:pt>
                <c:pt idx="2686">
                  <c:v>40312.499305555553</c:v>
                </c:pt>
                <c:pt idx="2687">
                  <c:v>40312.5</c:v>
                </c:pt>
                <c:pt idx="2688">
                  <c:v>40312.500694444447</c:v>
                </c:pt>
                <c:pt idx="2689">
                  <c:v>40312.501388888886</c:v>
                </c:pt>
                <c:pt idx="2690">
                  <c:v>40312.502083333333</c:v>
                </c:pt>
                <c:pt idx="2691">
                  <c:v>40312.50277777778</c:v>
                </c:pt>
                <c:pt idx="2692">
                  <c:v>40312.503472222219</c:v>
                </c:pt>
                <c:pt idx="2693">
                  <c:v>40312.504166666666</c:v>
                </c:pt>
                <c:pt idx="2694">
                  <c:v>40312.504861111112</c:v>
                </c:pt>
                <c:pt idx="2695">
                  <c:v>40312.505555555559</c:v>
                </c:pt>
                <c:pt idx="2696">
                  <c:v>40312.506249999999</c:v>
                </c:pt>
                <c:pt idx="2697">
                  <c:v>40312.506944444445</c:v>
                </c:pt>
                <c:pt idx="2698">
                  <c:v>40312.507638888892</c:v>
                </c:pt>
                <c:pt idx="2699">
                  <c:v>40312.508333333331</c:v>
                </c:pt>
                <c:pt idx="2700">
                  <c:v>40312.509027777778</c:v>
                </c:pt>
                <c:pt idx="2701">
                  <c:v>40312.509722222225</c:v>
                </c:pt>
                <c:pt idx="2702">
                  <c:v>40312.510416666664</c:v>
                </c:pt>
                <c:pt idx="2703">
                  <c:v>40312.511111111111</c:v>
                </c:pt>
                <c:pt idx="2704">
                  <c:v>40312.511805555558</c:v>
                </c:pt>
                <c:pt idx="2705">
                  <c:v>40312.512499999997</c:v>
                </c:pt>
                <c:pt idx="2706">
                  <c:v>40312.513194444444</c:v>
                </c:pt>
                <c:pt idx="2707">
                  <c:v>40312.513888888891</c:v>
                </c:pt>
                <c:pt idx="2708">
                  <c:v>40312.51458333333</c:v>
                </c:pt>
                <c:pt idx="2709">
                  <c:v>40312.515277777777</c:v>
                </c:pt>
                <c:pt idx="2710">
                  <c:v>40312.515972222223</c:v>
                </c:pt>
                <c:pt idx="2711">
                  <c:v>40312.51666666667</c:v>
                </c:pt>
                <c:pt idx="2712">
                  <c:v>40312.517361111109</c:v>
                </c:pt>
                <c:pt idx="2713">
                  <c:v>40312.518055555556</c:v>
                </c:pt>
                <c:pt idx="2714">
                  <c:v>40312.518750000003</c:v>
                </c:pt>
                <c:pt idx="2715">
                  <c:v>40312.519444444442</c:v>
                </c:pt>
                <c:pt idx="2716">
                  <c:v>40312.520138888889</c:v>
                </c:pt>
                <c:pt idx="2717">
                  <c:v>40312.520833333336</c:v>
                </c:pt>
                <c:pt idx="2718">
                  <c:v>40312.521527777775</c:v>
                </c:pt>
                <c:pt idx="2719">
                  <c:v>40312.522222222222</c:v>
                </c:pt>
                <c:pt idx="2720">
                  <c:v>40312.522916666669</c:v>
                </c:pt>
                <c:pt idx="2721">
                  <c:v>40312.523611111108</c:v>
                </c:pt>
                <c:pt idx="2722">
                  <c:v>40312.524305555555</c:v>
                </c:pt>
                <c:pt idx="2723">
                  <c:v>40312.525000000001</c:v>
                </c:pt>
                <c:pt idx="2724">
                  <c:v>40312.525694444441</c:v>
                </c:pt>
                <c:pt idx="2725">
                  <c:v>40312.526388888888</c:v>
                </c:pt>
                <c:pt idx="2726">
                  <c:v>40312.527083333334</c:v>
                </c:pt>
                <c:pt idx="2727">
                  <c:v>40312.527777777781</c:v>
                </c:pt>
                <c:pt idx="2728">
                  <c:v>40312.52847222222</c:v>
                </c:pt>
                <c:pt idx="2729">
                  <c:v>40312.529166666667</c:v>
                </c:pt>
                <c:pt idx="2730">
                  <c:v>40312.529861111114</c:v>
                </c:pt>
                <c:pt idx="2731">
                  <c:v>40312.530555555553</c:v>
                </c:pt>
                <c:pt idx="2732">
                  <c:v>40312.53125</c:v>
                </c:pt>
                <c:pt idx="2733">
                  <c:v>40312.531944444447</c:v>
                </c:pt>
                <c:pt idx="2734">
                  <c:v>40312.532638888886</c:v>
                </c:pt>
                <c:pt idx="2735">
                  <c:v>40312.533333333333</c:v>
                </c:pt>
                <c:pt idx="2736">
                  <c:v>40312.53402777778</c:v>
                </c:pt>
                <c:pt idx="2737">
                  <c:v>40312.534722222219</c:v>
                </c:pt>
                <c:pt idx="2738">
                  <c:v>40312.535416666666</c:v>
                </c:pt>
                <c:pt idx="2739">
                  <c:v>40312.536111111112</c:v>
                </c:pt>
                <c:pt idx="2740">
                  <c:v>40312.536805555559</c:v>
                </c:pt>
                <c:pt idx="2741">
                  <c:v>40312.537499999999</c:v>
                </c:pt>
                <c:pt idx="2742">
                  <c:v>40312.538194444445</c:v>
                </c:pt>
                <c:pt idx="2743">
                  <c:v>40312.538888888892</c:v>
                </c:pt>
                <c:pt idx="2744">
                  <c:v>40312.539583333331</c:v>
                </c:pt>
                <c:pt idx="2745">
                  <c:v>40312.540277777778</c:v>
                </c:pt>
                <c:pt idx="2746">
                  <c:v>40312.540972222225</c:v>
                </c:pt>
                <c:pt idx="2747">
                  <c:v>40312.541666666664</c:v>
                </c:pt>
                <c:pt idx="2748">
                  <c:v>40312.542361111111</c:v>
                </c:pt>
                <c:pt idx="2749">
                  <c:v>40312.543055555558</c:v>
                </c:pt>
                <c:pt idx="2750">
                  <c:v>40312.543749999997</c:v>
                </c:pt>
                <c:pt idx="2751">
                  <c:v>40312.544444444444</c:v>
                </c:pt>
                <c:pt idx="2752">
                  <c:v>40312.545138888891</c:v>
                </c:pt>
                <c:pt idx="2753">
                  <c:v>40312.54583333333</c:v>
                </c:pt>
                <c:pt idx="2754">
                  <c:v>40312.546527777777</c:v>
                </c:pt>
                <c:pt idx="2755">
                  <c:v>40312.547222222223</c:v>
                </c:pt>
                <c:pt idx="2756">
                  <c:v>40312.54791666667</c:v>
                </c:pt>
                <c:pt idx="2757">
                  <c:v>40312.548611111109</c:v>
                </c:pt>
                <c:pt idx="2758">
                  <c:v>40312.549305555556</c:v>
                </c:pt>
                <c:pt idx="2759">
                  <c:v>40312.550000000003</c:v>
                </c:pt>
                <c:pt idx="2760">
                  <c:v>40312.550694444442</c:v>
                </c:pt>
                <c:pt idx="2761">
                  <c:v>40312.551388888889</c:v>
                </c:pt>
                <c:pt idx="2762">
                  <c:v>40312.552083333336</c:v>
                </c:pt>
                <c:pt idx="2763">
                  <c:v>40312.552777777775</c:v>
                </c:pt>
                <c:pt idx="2764">
                  <c:v>40312.553472222222</c:v>
                </c:pt>
                <c:pt idx="2765">
                  <c:v>40312.554166666669</c:v>
                </c:pt>
                <c:pt idx="2766">
                  <c:v>40312.554861111108</c:v>
                </c:pt>
                <c:pt idx="2767">
                  <c:v>40312.555555555555</c:v>
                </c:pt>
                <c:pt idx="2768">
                  <c:v>40312.556250000001</c:v>
                </c:pt>
                <c:pt idx="2769">
                  <c:v>40312.556944444441</c:v>
                </c:pt>
                <c:pt idx="2770">
                  <c:v>40312.557638888888</c:v>
                </c:pt>
                <c:pt idx="2771">
                  <c:v>40312.558333333334</c:v>
                </c:pt>
                <c:pt idx="2772">
                  <c:v>40312.559027777781</c:v>
                </c:pt>
                <c:pt idx="2773">
                  <c:v>40312.55972222222</c:v>
                </c:pt>
                <c:pt idx="2774">
                  <c:v>40312.560416666667</c:v>
                </c:pt>
                <c:pt idx="2775">
                  <c:v>40312.561111111114</c:v>
                </c:pt>
                <c:pt idx="2776">
                  <c:v>40312.561805555553</c:v>
                </c:pt>
                <c:pt idx="2777">
                  <c:v>40312.5625</c:v>
                </c:pt>
                <c:pt idx="2778">
                  <c:v>40312.563194444447</c:v>
                </c:pt>
                <c:pt idx="2779">
                  <c:v>40312.563888888886</c:v>
                </c:pt>
                <c:pt idx="2780">
                  <c:v>40312.564583333333</c:v>
                </c:pt>
                <c:pt idx="2781">
                  <c:v>40312.56527777778</c:v>
                </c:pt>
                <c:pt idx="2782">
                  <c:v>40312.565972222219</c:v>
                </c:pt>
                <c:pt idx="2783">
                  <c:v>40312.566666666666</c:v>
                </c:pt>
                <c:pt idx="2784">
                  <c:v>40312.567361111112</c:v>
                </c:pt>
                <c:pt idx="2785">
                  <c:v>40312.568055555559</c:v>
                </c:pt>
                <c:pt idx="2786">
                  <c:v>40312.568749999999</c:v>
                </c:pt>
                <c:pt idx="2787">
                  <c:v>40312.569444444445</c:v>
                </c:pt>
                <c:pt idx="2788">
                  <c:v>40312.570138888892</c:v>
                </c:pt>
                <c:pt idx="2789">
                  <c:v>40312.570833333331</c:v>
                </c:pt>
                <c:pt idx="2790">
                  <c:v>40312.571527777778</c:v>
                </c:pt>
                <c:pt idx="2791">
                  <c:v>40312.572222222225</c:v>
                </c:pt>
                <c:pt idx="2792">
                  <c:v>40312.572916666664</c:v>
                </c:pt>
                <c:pt idx="2793">
                  <c:v>40312.573611111111</c:v>
                </c:pt>
                <c:pt idx="2794">
                  <c:v>40312.574305555558</c:v>
                </c:pt>
                <c:pt idx="2795">
                  <c:v>40312.574999999997</c:v>
                </c:pt>
                <c:pt idx="2796">
                  <c:v>40312.575694444444</c:v>
                </c:pt>
                <c:pt idx="2797">
                  <c:v>40312.576388888891</c:v>
                </c:pt>
                <c:pt idx="2798">
                  <c:v>40312.57708333333</c:v>
                </c:pt>
                <c:pt idx="2799">
                  <c:v>40312.577777777777</c:v>
                </c:pt>
                <c:pt idx="2800">
                  <c:v>40312.578472222223</c:v>
                </c:pt>
                <c:pt idx="2801">
                  <c:v>40312.57916666667</c:v>
                </c:pt>
                <c:pt idx="2802">
                  <c:v>40312.579861111109</c:v>
                </c:pt>
                <c:pt idx="2803">
                  <c:v>40312.580555555556</c:v>
                </c:pt>
                <c:pt idx="2804">
                  <c:v>40312.581250000003</c:v>
                </c:pt>
                <c:pt idx="2805">
                  <c:v>40312.581944444442</c:v>
                </c:pt>
                <c:pt idx="2806">
                  <c:v>40312.582638888889</c:v>
                </c:pt>
                <c:pt idx="2807">
                  <c:v>40312.583333333336</c:v>
                </c:pt>
                <c:pt idx="2808">
                  <c:v>40312.584027777775</c:v>
                </c:pt>
                <c:pt idx="2809">
                  <c:v>40312.584722222222</c:v>
                </c:pt>
                <c:pt idx="2810">
                  <c:v>40312.585416666669</c:v>
                </c:pt>
                <c:pt idx="2811">
                  <c:v>40312.586111111108</c:v>
                </c:pt>
                <c:pt idx="2812">
                  <c:v>40312.586805555555</c:v>
                </c:pt>
                <c:pt idx="2813">
                  <c:v>40312.587500000001</c:v>
                </c:pt>
                <c:pt idx="2814">
                  <c:v>40312.588194444441</c:v>
                </c:pt>
                <c:pt idx="2815">
                  <c:v>40312.588888888888</c:v>
                </c:pt>
                <c:pt idx="2816">
                  <c:v>40312.589583333334</c:v>
                </c:pt>
                <c:pt idx="2817">
                  <c:v>40312.590277777781</c:v>
                </c:pt>
                <c:pt idx="2818">
                  <c:v>40312.59097222222</c:v>
                </c:pt>
                <c:pt idx="2819">
                  <c:v>40312.591666666667</c:v>
                </c:pt>
                <c:pt idx="2820">
                  <c:v>40312.592361111114</c:v>
                </c:pt>
                <c:pt idx="2821">
                  <c:v>40312.593055555553</c:v>
                </c:pt>
                <c:pt idx="2822">
                  <c:v>40312.59375</c:v>
                </c:pt>
                <c:pt idx="2823">
                  <c:v>40312.594444444447</c:v>
                </c:pt>
                <c:pt idx="2824">
                  <c:v>40312.595138888886</c:v>
                </c:pt>
                <c:pt idx="2825">
                  <c:v>40312.595833333333</c:v>
                </c:pt>
                <c:pt idx="2826">
                  <c:v>40312.59652777778</c:v>
                </c:pt>
                <c:pt idx="2827">
                  <c:v>40312.597222222219</c:v>
                </c:pt>
                <c:pt idx="2828">
                  <c:v>40312.597916666666</c:v>
                </c:pt>
                <c:pt idx="2829">
                  <c:v>40312.598611111112</c:v>
                </c:pt>
                <c:pt idx="2830">
                  <c:v>40312.599305555559</c:v>
                </c:pt>
                <c:pt idx="2831">
                  <c:v>40312.6</c:v>
                </c:pt>
                <c:pt idx="2832">
                  <c:v>40312.600694444445</c:v>
                </c:pt>
                <c:pt idx="2833">
                  <c:v>40312.601388888892</c:v>
                </c:pt>
                <c:pt idx="2834">
                  <c:v>40312.602083333331</c:v>
                </c:pt>
                <c:pt idx="2835">
                  <c:v>40312.602777777778</c:v>
                </c:pt>
                <c:pt idx="2836">
                  <c:v>40312.603472222225</c:v>
                </c:pt>
                <c:pt idx="2837">
                  <c:v>40312.604166666664</c:v>
                </c:pt>
                <c:pt idx="2838">
                  <c:v>40312.604861111111</c:v>
                </c:pt>
                <c:pt idx="2839">
                  <c:v>40312.605555555558</c:v>
                </c:pt>
                <c:pt idx="2840">
                  <c:v>40312.606249999997</c:v>
                </c:pt>
                <c:pt idx="2841">
                  <c:v>40312.606944444444</c:v>
                </c:pt>
                <c:pt idx="2842">
                  <c:v>40312.607638888891</c:v>
                </c:pt>
                <c:pt idx="2843">
                  <c:v>40312.60833333333</c:v>
                </c:pt>
                <c:pt idx="2844">
                  <c:v>40312.609027777777</c:v>
                </c:pt>
                <c:pt idx="2845">
                  <c:v>40312.609722222223</c:v>
                </c:pt>
                <c:pt idx="2846">
                  <c:v>40312.61041666667</c:v>
                </c:pt>
                <c:pt idx="2847">
                  <c:v>40312.611111111109</c:v>
                </c:pt>
                <c:pt idx="2848">
                  <c:v>40312.611805555556</c:v>
                </c:pt>
                <c:pt idx="2849">
                  <c:v>40312.612500000003</c:v>
                </c:pt>
                <c:pt idx="2850">
                  <c:v>40312.613194444442</c:v>
                </c:pt>
                <c:pt idx="2851">
                  <c:v>40312.613888888889</c:v>
                </c:pt>
                <c:pt idx="2852">
                  <c:v>40312.614583333336</c:v>
                </c:pt>
                <c:pt idx="2853">
                  <c:v>40312.615277777775</c:v>
                </c:pt>
                <c:pt idx="2854">
                  <c:v>40312.615972222222</c:v>
                </c:pt>
                <c:pt idx="2855">
                  <c:v>40312.616666666669</c:v>
                </c:pt>
                <c:pt idx="2856">
                  <c:v>40312.617361111108</c:v>
                </c:pt>
                <c:pt idx="2857">
                  <c:v>40312.618055555555</c:v>
                </c:pt>
                <c:pt idx="2858">
                  <c:v>40312.618750000001</c:v>
                </c:pt>
                <c:pt idx="2859">
                  <c:v>40312.619444444441</c:v>
                </c:pt>
                <c:pt idx="2860">
                  <c:v>40312.620138888888</c:v>
                </c:pt>
                <c:pt idx="2861">
                  <c:v>40312.620833333334</c:v>
                </c:pt>
                <c:pt idx="2862">
                  <c:v>40312.621527777781</c:v>
                </c:pt>
                <c:pt idx="2863">
                  <c:v>40312.62222222222</c:v>
                </c:pt>
                <c:pt idx="2864">
                  <c:v>40312.622916666667</c:v>
                </c:pt>
                <c:pt idx="2865">
                  <c:v>40312.623611111114</c:v>
                </c:pt>
                <c:pt idx="2866">
                  <c:v>40312.624305555553</c:v>
                </c:pt>
                <c:pt idx="2867">
                  <c:v>40312.625</c:v>
                </c:pt>
                <c:pt idx="2868">
                  <c:v>40312.625694444447</c:v>
                </c:pt>
                <c:pt idx="2869">
                  <c:v>40312.626388888886</c:v>
                </c:pt>
                <c:pt idx="2870">
                  <c:v>40312.627083333333</c:v>
                </c:pt>
                <c:pt idx="2871">
                  <c:v>40312.62777777778</c:v>
                </c:pt>
                <c:pt idx="2872">
                  <c:v>40312.628472222219</c:v>
                </c:pt>
                <c:pt idx="2873">
                  <c:v>40312.629166666666</c:v>
                </c:pt>
                <c:pt idx="2874">
                  <c:v>40312.629861111112</c:v>
                </c:pt>
                <c:pt idx="2875">
                  <c:v>40312.630555555559</c:v>
                </c:pt>
                <c:pt idx="2876">
                  <c:v>40312.631249999999</c:v>
                </c:pt>
                <c:pt idx="2877">
                  <c:v>40312.631944444445</c:v>
                </c:pt>
                <c:pt idx="2878">
                  <c:v>40312.632638888892</c:v>
                </c:pt>
                <c:pt idx="2879">
                  <c:v>40312.633333333331</c:v>
                </c:pt>
                <c:pt idx="2880">
                  <c:v>40312.634027777778</c:v>
                </c:pt>
                <c:pt idx="2881">
                  <c:v>40312.634722222225</c:v>
                </c:pt>
                <c:pt idx="2882">
                  <c:v>40312.635416666664</c:v>
                </c:pt>
                <c:pt idx="2883">
                  <c:v>40312.636111111111</c:v>
                </c:pt>
                <c:pt idx="2884">
                  <c:v>40312.636805555558</c:v>
                </c:pt>
                <c:pt idx="2885">
                  <c:v>40312.637499999997</c:v>
                </c:pt>
                <c:pt idx="2886">
                  <c:v>40312.638194444444</c:v>
                </c:pt>
                <c:pt idx="2887">
                  <c:v>40312.638888888891</c:v>
                </c:pt>
                <c:pt idx="2888">
                  <c:v>40312.63958333333</c:v>
                </c:pt>
                <c:pt idx="2889">
                  <c:v>40312.640277777777</c:v>
                </c:pt>
                <c:pt idx="2890">
                  <c:v>40312.640972222223</c:v>
                </c:pt>
                <c:pt idx="2891">
                  <c:v>40312.64166666667</c:v>
                </c:pt>
                <c:pt idx="2892">
                  <c:v>40312.642361111109</c:v>
                </c:pt>
                <c:pt idx="2893">
                  <c:v>40312.643055555556</c:v>
                </c:pt>
                <c:pt idx="2894">
                  <c:v>40312.643750000003</c:v>
                </c:pt>
                <c:pt idx="2895">
                  <c:v>40312.644444444442</c:v>
                </c:pt>
                <c:pt idx="2896">
                  <c:v>40312.645138888889</c:v>
                </c:pt>
                <c:pt idx="2897">
                  <c:v>40312.645833333336</c:v>
                </c:pt>
                <c:pt idx="2898">
                  <c:v>40312.646527777775</c:v>
                </c:pt>
                <c:pt idx="2899">
                  <c:v>40312.647222222222</c:v>
                </c:pt>
                <c:pt idx="2900">
                  <c:v>40312.647916666669</c:v>
                </c:pt>
                <c:pt idx="2901">
                  <c:v>40312.648611111108</c:v>
                </c:pt>
                <c:pt idx="2902">
                  <c:v>40312.649305555555</c:v>
                </c:pt>
                <c:pt idx="2903">
                  <c:v>40312.65</c:v>
                </c:pt>
                <c:pt idx="2904">
                  <c:v>40312.650694444441</c:v>
                </c:pt>
                <c:pt idx="2905">
                  <c:v>40312.651388888888</c:v>
                </c:pt>
                <c:pt idx="2906">
                  <c:v>40312.652083333334</c:v>
                </c:pt>
                <c:pt idx="2907">
                  <c:v>40312.652777777781</c:v>
                </c:pt>
                <c:pt idx="2908">
                  <c:v>40312.65347222222</c:v>
                </c:pt>
                <c:pt idx="2909">
                  <c:v>40312.654166666667</c:v>
                </c:pt>
                <c:pt idx="2910">
                  <c:v>40312.654861111114</c:v>
                </c:pt>
                <c:pt idx="2911">
                  <c:v>40312.655555555553</c:v>
                </c:pt>
                <c:pt idx="2912">
                  <c:v>40312.65625</c:v>
                </c:pt>
                <c:pt idx="2913">
                  <c:v>40312.656944444447</c:v>
                </c:pt>
                <c:pt idx="2914">
                  <c:v>40312.657638888886</c:v>
                </c:pt>
                <c:pt idx="2915">
                  <c:v>40312.658333333333</c:v>
                </c:pt>
                <c:pt idx="2916">
                  <c:v>40312.65902777778</c:v>
                </c:pt>
                <c:pt idx="2917">
                  <c:v>40312.659722222219</c:v>
                </c:pt>
                <c:pt idx="2918">
                  <c:v>40312.660416666666</c:v>
                </c:pt>
                <c:pt idx="2919">
                  <c:v>40312.661111111112</c:v>
                </c:pt>
                <c:pt idx="2920">
                  <c:v>40312.661805555559</c:v>
                </c:pt>
                <c:pt idx="2921">
                  <c:v>40312.662499999999</c:v>
                </c:pt>
                <c:pt idx="2922">
                  <c:v>40312.663194444445</c:v>
                </c:pt>
                <c:pt idx="2923">
                  <c:v>40312.663888888892</c:v>
                </c:pt>
                <c:pt idx="2924">
                  <c:v>40312.664583333331</c:v>
                </c:pt>
                <c:pt idx="2925">
                  <c:v>40312.665277777778</c:v>
                </c:pt>
                <c:pt idx="2926">
                  <c:v>40312.665972222225</c:v>
                </c:pt>
                <c:pt idx="2927">
                  <c:v>40312.666666666664</c:v>
                </c:pt>
                <c:pt idx="2928">
                  <c:v>40312.667361111111</c:v>
                </c:pt>
                <c:pt idx="2929">
                  <c:v>40312.668055555558</c:v>
                </c:pt>
                <c:pt idx="2930">
                  <c:v>40312.668749999997</c:v>
                </c:pt>
                <c:pt idx="2931">
                  <c:v>40312.669444444444</c:v>
                </c:pt>
                <c:pt idx="2932">
                  <c:v>40312.670138888891</c:v>
                </c:pt>
                <c:pt idx="2933">
                  <c:v>40312.67083333333</c:v>
                </c:pt>
                <c:pt idx="2934">
                  <c:v>40312.671527777777</c:v>
                </c:pt>
                <c:pt idx="2935">
                  <c:v>40312.672222222223</c:v>
                </c:pt>
                <c:pt idx="2936">
                  <c:v>40312.67291666667</c:v>
                </c:pt>
                <c:pt idx="2937">
                  <c:v>40312.673611111109</c:v>
                </c:pt>
                <c:pt idx="2938">
                  <c:v>40312.674305555556</c:v>
                </c:pt>
                <c:pt idx="2939">
                  <c:v>40312.675000000003</c:v>
                </c:pt>
                <c:pt idx="2940">
                  <c:v>40312.675694444442</c:v>
                </c:pt>
                <c:pt idx="2941">
                  <c:v>40312.676388888889</c:v>
                </c:pt>
                <c:pt idx="2942">
                  <c:v>40312.677083333336</c:v>
                </c:pt>
                <c:pt idx="2943">
                  <c:v>40312.677777777775</c:v>
                </c:pt>
                <c:pt idx="2944">
                  <c:v>40312.678472222222</c:v>
                </c:pt>
                <c:pt idx="2945">
                  <c:v>40312.679166666669</c:v>
                </c:pt>
                <c:pt idx="2946">
                  <c:v>40312.679861111108</c:v>
                </c:pt>
                <c:pt idx="2947">
                  <c:v>40312.680555555555</c:v>
                </c:pt>
                <c:pt idx="2948">
                  <c:v>40312.681250000001</c:v>
                </c:pt>
                <c:pt idx="2949">
                  <c:v>40312.681944444441</c:v>
                </c:pt>
                <c:pt idx="2950">
                  <c:v>40312.682638888888</c:v>
                </c:pt>
                <c:pt idx="2951">
                  <c:v>40312.683333333334</c:v>
                </c:pt>
                <c:pt idx="2952">
                  <c:v>40312.684027777781</c:v>
                </c:pt>
                <c:pt idx="2953">
                  <c:v>40312.68472222222</c:v>
                </c:pt>
                <c:pt idx="2954">
                  <c:v>40312.685416666667</c:v>
                </c:pt>
                <c:pt idx="2955">
                  <c:v>40312.686111111114</c:v>
                </c:pt>
                <c:pt idx="2956">
                  <c:v>40312.686805555553</c:v>
                </c:pt>
                <c:pt idx="2957">
                  <c:v>40312.6875</c:v>
                </c:pt>
                <c:pt idx="2958">
                  <c:v>40312.688194444447</c:v>
                </c:pt>
                <c:pt idx="2959">
                  <c:v>40312.688888888886</c:v>
                </c:pt>
                <c:pt idx="2960">
                  <c:v>40312.689583333333</c:v>
                </c:pt>
                <c:pt idx="2961">
                  <c:v>40312.69027777778</c:v>
                </c:pt>
                <c:pt idx="2962">
                  <c:v>40312.690972222219</c:v>
                </c:pt>
                <c:pt idx="2963">
                  <c:v>40312.691666666666</c:v>
                </c:pt>
                <c:pt idx="2964">
                  <c:v>40312.692361111112</c:v>
                </c:pt>
                <c:pt idx="2965">
                  <c:v>40312.693055555559</c:v>
                </c:pt>
                <c:pt idx="2966">
                  <c:v>40312.693749999999</c:v>
                </c:pt>
                <c:pt idx="2967">
                  <c:v>40312.694444444445</c:v>
                </c:pt>
                <c:pt idx="2968">
                  <c:v>40312.695138888892</c:v>
                </c:pt>
                <c:pt idx="2969">
                  <c:v>40312.695833333331</c:v>
                </c:pt>
                <c:pt idx="2970">
                  <c:v>40312.696527777778</c:v>
                </c:pt>
                <c:pt idx="2971">
                  <c:v>40312.697222222225</c:v>
                </c:pt>
                <c:pt idx="2972">
                  <c:v>40312.697916666664</c:v>
                </c:pt>
                <c:pt idx="2973">
                  <c:v>40312.698611111111</c:v>
                </c:pt>
                <c:pt idx="2974">
                  <c:v>40312.699305555558</c:v>
                </c:pt>
                <c:pt idx="2975">
                  <c:v>40312.699999999997</c:v>
                </c:pt>
                <c:pt idx="2976">
                  <c:v>40312.700694444444</c:v>
                </c:pt>
                <c:pt idx="2977">
                  <c:v>40312.701388888891</c:v>
                </c:pt>
                <c:pt idx="2978">
                  <c:v>40312.70208333333</c:v>
                </c:pt>
                <c:pt idx="2979">
                  <c:v>40312.702777777777</c:v>
                </c:pt>
                <c:pt idx="2980">
                  <c:v>40312.703472222223</c:v>
                </c:pt>
                <c:pt idx="2981">
                  <c:v>40312.70416666667</c:v>
                </c:pt>
                <c:pt idx="2982">
                  <c:v>40312.704861111109</c:v>
                </c:pt>
                <c:pt idx="2983">
                  <c:v>40312.705555555556</c:v>
                </c:pt>
                <c:pt idx="2984">
                  <c:v>40312.706250000003</c:v>
                </c:pt>
                <c:pt idx="2985">
                  <c:v>40312.706944444442</c:v>
                </c:pt>
                <c:pt idx="2986">
                  <c:v>40312.707638888889</c:v>
                </c:pt>
                <c:pt idx="2987">
                  <c:v>40312.708333333336</c:v>
                </c:pt>
                <c:pt idx="2988">
                  <c:v>40312.709027777775</c:v>
                </c:pt>
                <c:pt idx="2989">
                  <c:v>40312.709722222222</c:v>
                </c:pt>
                <c:pt idx="2990">
                  <c:v>40312.710416666669</c:v>
                </c:pt>
                <c:pt idx="2991">
                  <c:v>40312.711111111108</c:v>
                </c:pt>
                <c:pt idx="2992">
                  <c:v>40312.711805555555</c:v>
                </c:pt>
                <c:pt idx="2993">
                  <c:v>40312.712500000001</c:v>
                </c:pt>
                <c:pt idx="2994">
                  <c:v>40312.713194444441</c:v>
                </c:pt>
                <c:pt idx="2995">
                  <c:v>40312.713888888888</c:v>
                </c:pt>
                <c:pt idx="2996">
                  <c:v>40312.714583333334</c:v>
                </c:pt>
                <c:pt idx="2997">
                  <c:v>40312.715277777781</c:v>
                </c:pt>
                <c:pt idx="2998">
                  <c:v>40312.71597222222</c:v>
                </c:pt>
                <c:pt idx="2999">
                  <c:v>40312.716666666667</c:v>
                </c:pt>
                <c:pt idx="3000">
                  <c:v>40312.717361111114</c:v>
                </c:pt>
                <c:pt idx="3001">
                  <c:v>40312.718055555553</c:v>
                </c:pt>
                <c:pt idx="3002">
                  <c:v>40312.71875</c:v>
                </c:pt>
                <c:pt idx="3003">
                  <c:v>40312.719444444447</c:v>
                </c:pt>
                <c:pt idx="3004">
                  <c:v>40312.720138888886</c:v>
                </c:pt>
                <c:pt idx="3005">
                  <c:v>40312.720833333333</c:v>
                </c:pt>
                <c:pt idx="3006">
                  <c:v>40312.72152777778</c:v>
                </c:pt>
                <c:pt idx="3007">
                  <c:v>40312.722222222219</c:v>
                </c:pt>
                <c:pt idx="3008">
                  <c:v>40312.722916666666</c:v>
                </c:pt>
                <c:pt idx="3009">
                  <c:v>40312.723611111112</c:v>
                </c:pt>
                <c:pt idx="3010">
                  <c:v>40312.724305555559</c:v>
                </c:pt>
                <c:pt idx="3011">
                  <c:v>40312.724999999999</c:v>
                </c:pt>
                <c:pt idx="3012">
                  <c:v>40312.725694444445</c:v>
                </c:pt>
                <c:pt idx="3013">
                  <c:v>40312.726388888892</c:v>
                </c:pt>
                <c:pt idx="3014">
                  <c:v>40312.727083333331</c:v>
                </c:pt>
                <c:pt idx="3015">
                  <c:v>40312.727777777778</c:v>
                </c:pt>
                <c:pt idx="3016">
                  <c:v>40312.728472222225</c:v>
                </c:pt>
                <c:pt idx="3017">
                  <c:v>40312.729166666664</c:v>
                </c:pt>
                <c:pt idx="3018">
                  <c:v>40312.729861111111</c:v>
                </c:pt>
                <c:pt idx="3019">
                  <c:v>40312.730555555558</c:v>
                </c:pt>
                <c:pt idx="3020">
                  <c:v>40312.731249999997</c:v>
                </c:pt>
                <c:pt idx="3021">
                  <c:v>40312.731944444444</c:v>
                </c:pt>
                <c:pt idx="3022">
                  <c:v>40312.732638888891</c:v>
                </c:pt>
                <c:pt idx="3023">
                  <c:v>40312.73333333333</c:v>
                </c:pt>
                <c:pt idx="3024">
                  <c:v>40312.734027777777</c:v>
                </c:pt>
                <c:pt idx="3025">
                  <c:v>40312.734722222223</c:v>
                </c:pt>
                <c:pt idx="3026">
                  <c:v>40312.73541666667</c:v>
                </c:pt>
                <c:pt idx="3027">
                  <c:v>40312.736111111109</c:v>
                </c:pt>
                <c:pt idx="3028">
                  <c:v>40312.736805555556</c:v>
                </c:pt>
                <c:pt idx="3029">
                  <c:v>40312.737500000003</c:v>
                </c:pt>
                <c:pt idx="3030">
                  <c:v>40312.738194444442</c:v>
                </c:pt>
                <c:pt idx="3031">
                  <c:v>40312.738888888889</c:v>
                </c:pt>
                <c:pt idx="3032">
                  <c:v>40312.739583333336</c:v>
                </c:pt>
                <c:pt idx="3033">
                  <c:v>40312.740277777775</c:v>
                </c:pt>
                <c:pt idx="3034">
                  <c:v>40312.740972222222</c:v>
                </c:pt>
                <c:pt idx="3035">
                  <c:v>40312.741666666669</c:v>
                </c:pt>
                <c:pt idx="3036">
                  <c:v>40312.742361111108</c:v>
                </c:pt>
                <c:pt idx="3037">
                  <c:v>40312.743055555555</c:v>
                </c:pt>
                <c:pt idx="3038">
                  <c:v>40312.743750000001</c:v>
                </c:pt>
                <c:pt idx="3039">
                  <c:v>40312.744444444441</c:v>
                </c:pt>
                <c:pt idx="3040">
                  <c:v>40312.745138888888</c:v>
                </c:pt>
                <c:pt idx="3041">
                  <c:v>40312.745833333334</c:v>
                </c:pt>
                <c:pt idx="3042">
                  <c:v>40312.746527777781</c:v>
                </c:pt>
                <c:pt idx="3043">
                  <c:v>40312.74722222222</c:v>
                </c:pt>
                <c:pt idx="3044">
                  <c:v>40312.747916666667</c:v>
                </c:pt>
                <c:pt idx="3045">
                  <c:v>40312.748611111114</c:v>
                </c:pt>
                <c:pt idx="3046">
                  <c:v>40312.749305555553</c:v>
                </c:pt>
                <c:pt idx="3047">
                  <c:v>40312.75</c:v>
                </c:pt>
                <c:pt idx="3048">
                  <c:v>40312.750694444447</c:v>
                </c:pt>
                <c:pt idx="3049">
                  <c:v>40312.751388888886</c:v>
                </c:pt>
                <c:pt idx="3050">
                  <c:v>40312.752083333333</c:v>
                </c:pt>
                <c:pt idx="3051">
                  <c:v>40312.75277777778</c:v>
                </c:pt>
                <c:pt idx="3052">
                  <c:v>40312.753472222219</c:v>
                </c:pt>
                <c:pt idx="3053">
                  <c:v>40312.754166666666</c:v>
                </c:pt>
                <c:pt idx="3054">
                  <c:v>40312.754861111112</c:v>
                </c:pt>
                <c:pt idx="3055">
                  <c:v>40312.755555555559</c:v>
                </c:pt>
                <c:pt idx="3056">
                  <c:v>40312.756249999999</c:v>
                </c:pt>
                <c:pt idx="3057">
                  <c:v>40312.756944444445</c:v>
                </c:pt>
                <c:pt idx="3058">
                  <c:v>40312.757638888892</c:v>
                </c:pt>
                <c:pt idx="3059">
                  <c:v>40312.758333333331</c:v>
                </c:pt>
                <c:pt idx="3060">
                  <c:v>40312.759027777778</c:v>
                </c:pt>
                <c:pt idx="3061">
                  <c:v>40312.759722222225</c:v>
                </c:pt>
                <c:pt idx="3062">
                  <c:v>40312.760416666664</c:v>
                </c:pt>
                <c:pt idx="3063">
                  <c:v>40312.761111111111</c:v>
                </c:pt>
                <c:pt idx="3064">
                  <c:v>40312.761805555558</c:v>
                </c:pt>
                <c:pt idx="3065">
                  <c:v>40312.762499999997</c:v>
                </c:pt>
                <c:pt idx="3066">
                  <c:v>40312.763194444444</c:v>
                </c:pt>
                <c:pt idx="3067">
                  <c:v>40312.763888888891</c:v>
                </c:pt>
                <c:pt idx="3068">
                  <c:v>40312.76458333333</c:v>
                </c:pt>
                <c:pt idx="3069">
                  <c:v>40312.765277777777</c:v>
                </c:pt>
                <c:pt idx="3070">
                  <c:v>40312.765972222223</c:v>
                </c:pt>
                <c:pt idx="3071">
                  <c:v>40312.76666666667</c:v>
                </c:pt>
                <c:pt idx="3072">
                  <c:v>40312.767361111109</c:v>
                </c:pt>
                <c:pt idx="3073">
                  <c:v>40312.768055555556</c:v>
                </c:pt>
                <c:pt idx="3074">
                  <c:v>40312.768750000003</c:v>
                </c:pt>
                <c:pt idx="3075">
                  <c:v>40312.769444444442</c:v>
                </c:pt>
                <c:pt idx="3076">
                  <c:v>40312.770138888889</c:v>
                </c:pt>
                <c:pt idx="3077">
                  <c:v>40312.770833333336</c:v>
                </c:pt>
                <c:pt idx="3078">
                  <c:v>40312.771527777775</c:v>
                </c:pt>
                <c:pt idx="3079">
                  <c:v>40312.772222222222</c:v>
                </c:pt>
                <c:pt idx="3080">
                  <c:v>40312.772916666669</c:v>
                </c:pt>
                <c:pt idx="3081">
                  <c:v>40312.773611111108</c:v>
                </c:pt>
                <c:pt idx="3082">
                  <c:v>40312.774305555555</c:v>
                </c:pt>
                <c:pt idx="3083">
                  <c:v>40312.775000000001</c:v>
                </c:pt>
                <c:pt idx="3084">
                  <c:v>40312.775694444441</c:v>
                </c:pt>
                <c:pt idx="3085">
                  <c:v>40312.776388888888</c:v>
                </c:pt>
                <c:pt idx="3086">
                  <c:v>40312.777083333334</c:v>
                </c:pt>
                <c:pt idx="3087">
                  <c:v>40312.777777777781</c:v>
                </c:pt>
                <c:pt idx="3088">
                  <c:v>40312.77847222222</c:v>
                </c:pt>
                <c:pt idx="3089">
                  <c:v>40312.779166666667</c:v>
                </c:pt>
                <c:pt idx="3090">
                  <c:v>40312.779861111114</c:v>
                </c:pt>
                <c:pt idx="3091">
                  <c:v>40312.780555555553</c:v>
                </c:pt>
                <c:pt idx="3092">
                  <c:v>40312.78125</c:v>
                </c:pt>
                <c:pt idx="3093">
                  <c:v>40312.781944444447</c:v>
                </c:pt>
                <c:pt idx="3094">
                  <c:v>40312.782638888886</c:v>
                </c:pt>
                <c:pt idx="3095">
                  <c:v>40312.783333333333</c:v>
                </c:pt>
                <c:pt idx="3096">
                  <c:v>40312.78402777778</c:v>
                </c:pt>
                <c:pt idx="3097">
                  <c:v>40312.784722222219</c:v>
                </c:pt>
                <c:pt idx="3098">
                  <c:v>40312.785416666666</c:v>
                </c:pt>
                <c:pt idx="3099">
                  <c:v>40312.786111111112</c:v>
                </c:pt>
                <c:pt idx="3100">
                  <c:v>40312.786805555559</c:v>
                </c:pt>
                <c:pt idx="3101">
                  <c:v>40312.787499999999</c:v>
                </c:pt>
                <c:pt idx="3102">
                  <c:v>40312.788194444445</c:v>
                </c:pt>
                <c:pt idx="3103">
                  <c:v>40312.788888888892</c:v>
                </c:pt>
                <c:pt idx="3104">
                  <c:v>40312.789583333331</c:v>
                </c:pt>
                <c:pt idx="3105">
                  <c:v>40312.790277777778</c:v>
                </c:pt>
                <c:pt idx="3106">
                  <c:v>40312.790972222225</c:v>
                </c:pt>
                <c:pt idx="3107">
                  <c:v>40312.791666666664</c:v>
                </c:pt>
                <c:pt idx="3108">
                  <c:v>40312.792361111111</c:v>
                </c:pt>
                <c:pt idx="3109">
                  <c:v>40312.793055555558</c:v>
                </c:pt>
                <c:pt idx="3110">
                  <c:v>40312.793749999997</c:v>
                </c:pt>
                <c:pt idx="3111">
                  <c:v>40312.794444444444</c:v>
                </c:pt>
                <c:pt idx="3112">
                  <c:v>40312.795138888891</c:v>
                </c:pt>
                <c:pt idx="3113">
                  <c:v>40312.79583333333</c:v>
                </c:pt>
                <c:pt idx="3114">
                  <c:v>40312.796527777777</c:v>
                </c:pt>
                <c:pt idx="3115">
                  <c:v>40312.797222222223</c:v>
                </c:pt>
                <c:pt idx="3116">
                  <c:v>40312.79791666667</c:v>
                </c:pt>
                <c:pt idx="3117">
                  <c:v>40312.798611111109</c:v>
                </c:pt>
                <c:pt idx="3118">
                  <c:v>40312.799305555556</c:v>
                </c:pt>
                <c:pt idx="3119">
                  <c:v>40312.800000000003</c:v>
                </c:pt>
                <c:pt idx="3120">
                  <c:v>40312.800694444442</c:v>
                </c:pt>
                <c:pt idx="3121">
                  <c:v>40312.801388888889</c:v>
                </c:pt>
                <c:pt idx="3122">
                  <c:v>40312.802083333336</c:v>
                </c:pt>
                <c:pt idx="3123">
                  <c:v>40312.802777777775</c:v>
                </c:pt>
                <c:pt idx="3124">
                  <c:v>40312.803472222222</c:v>
                </c:pt>
                <c:pt idx="3125">
                  <c:v>40312.804166666669</c:v>
                </c:pt>
                <c:pt idx="3126">
                  <c:v>40312.804861111108</c:v>
                </c:pt>
                <c:pt idx="3127">
                  <c:v>40312.805555555555</c:v>
                </c:pt>
                <c:pt idx="3128">
                  <c:v>40312.806250000001</c:v>
                </c:pt>
                <c:pt idx="3129">
                  <c:v>40312.806944444441</c:v>
                </c:pt>
                <c:pt idx="3130">
                  <c:v>40312.807638888888</c:v>
                </c:pt>
                <c:pt idx="3131">
                  <c:v>40312.808333333334</c:v>
                </c:pt>
                <c:pt idx="3132">
                  <c:v>40312.809027777781</c:v>
                </c:pt>
                <c:pt idx="3133">
                  <c:v>40312.80972222222</c:v>
                </c:pt>
                <c:pt idx="3134">
                  <c:v>40312.810416666667</c:v>
                </c:pt>
                <c:pt idx="3135">
                  <c:v>40312.811111111114</c:v>
                </c:pt>
                <c:pt idx="3136">
                  <c:v>40312.811805555553</c:v>
                </c:pt>
                <c:pt idx="3137">
                  <c:v>40312.8125</c:v>
                </c:pt>
                <c:pt idx="3138">
                  <c:v>40312.813194444447</c:v>
                </c:pt>
                <c:pt idx="3139">
                  <c:v>40312.813888888886</c:v>
                </c:pt>
                <c:pt idx="3140">
                  <c:v>40312.814583333333</c:v>
                </c:pt>
                <c:pt idx="3141">
                  <c:v>40312.81527777778</c:v>
                </c:pt>
                <c:pt idx="3142">
                  <c:v>40312.815972222219</c:v>
                </c:pt>
                <c:pt idx="3143">
                  <c:v>40312.816666666666</c:v>
                </c:pt>
                <c:pt idx="3144">
                  <c:v>40312.817361111112</c:v>
                </c:pt>
                <c:pt idx="3145">
                  <c:v>40312.818055555559</c:v>
                </c:pt>
                <c:pt idx="3146">
                  <c:v>40312.818749999999</c:v>
                </c:pt>
                <c:pt idx="3147">
                  <c:v>40312.819444444445</c:v>
                </c:pt>
                <c:pt idx="3148">
                  <c:v>40312.820138888892</c:v>
                </c:pt>
                <c:pt idx="3149">
                  <c:v>40312.820833333331</c:v>
                </c:pt>
                <c:pt idx="3150">
                  <c:v>40312.821527777778</c:v>
                </c:pt>
                <c:pt idx="3151">
                  <c:v>40312.822222222225</c:v>
                </c:pt>
                <c:pt idx="3152">
                  <c:v>40312.822916666664</c:v>
                </c:pt>
                <c:pt idx="3153">
                  <c:v>40312.823611111111</c:v>
                </c:pt>
                <c:pt idx="3154">
                  <c:v>40312.824305555558</c:v>
                </c:pt>
                <c:pt idx="3155">
                  <c:v>40312.824999999997</c:v>
                </c:pt>
                <c:pt idx="3156">
                  <c:v>40312.825694444444</c:v>
                </c:pt>
                <c:pt idx="3157">
                  <c:v>40312.826388888891</c:v>
                </c:pt>
                <c:pt idx="3158">
                  <c:v>40312.82708333333</c:v>
                </c:pt>
                <c:pt idx="3159">
                  <c:v>40312.827777777777</c:v>
                </c:pt>
                <c:pt idx="3160">
                  <c:v>40312.828472222223</c:v>
                </c:pt>
                <c:pt idx="3161">
                  <c:v>40312.82916666667</c:v>
                </c:pt>
                <c:pt idx="3162">
                  <c:v>40312.829861111109</c:v>
                </c:pt>
                <c:pt idx="3163">
                  <c:v>40312.830555555556</c:v>
                </c:pt>
                <c:pt idx="3164">
                  <c:v>40312.831250000003</c:v>
                </c:pt>
                <c:pt idx="3165">
                  <c:v>40312.831944444442</c:v>
                </c:pt>
                <c:pt idx="3166">
                  <c:v>40312.832638888889</c:v>
                </c:pt>
                <c:pt idx="3167">
                  <c:v>40312.833333333336</c:v>
                </c:pt>
                <c:pt idx="3168">
                  <c:v>40312.834027777775</c:v>
                </c:pt>
                <c:pt idx="3169">
                  <c:v>40312.834722222222</c:v>
                </c:pt>
                <c:pt idx="3170">
                  <c:v>40312.835416666669</c:v>
                </c:pt>
                <c:pt idx="3171">
                  <c:v>40312.836111111108</c:v>
                </c:pt>
                <c:pt idx="3172">
                  <c:v>40312.836805555555</c:v>
                </c:pt>
                <c:pt idx="3173">
                  <c:v>40312.837500000001</c:v>
                </c:pt>
                <c:pt idx="3174">
                  <c:v>40312.838194444441</c:v>
                </c:pt>
                <c:pt idx="3175">
                  <c:v>40312.838888888888</c:v>
                </c:pt>
                <c:pt idx="3176">
                  <c:v>40312.839583333334</c:v>
                </c:pt>
                <c:pt idx="3177">
                  <c:v>40312.840277777781</c:v>
                </c:pt>
                <c:pt idx="3178">
                  <c:v>40312.84097222222</c:v>
                </c:pt>
                <c:pt idx="3179">
                  <c:v>40312.841666666667</c:v>
                </c:pt>
                <c:pt idx="3180">
                  <c:v>40312.842361111114</c:v>
                </c:pt>
                <c:pt idx="3181">
                  <c:v>40312.843055555553</c:v>
                </c:pt>
                <c:pt idx="3182">
                  <c:v>40312.84375</c:v>
                </c:pt>
                <c:pt idx="3183">
                  <c:v>40312.844444444447</c:v>
                </c:pt>
                <c:pt idx="3184">
                  <c:v>40312.845138888886</c:v>
                </c:pt>
                <c:pt idx="3185">
                  <c:v>40312.845833333333</c:v>
                </c:pt>
                <c:pt idx="3186">
                  <c:v>40312.84652777778</c:v>
                </c:pt>
                <c:pt idx="3187">
                  <c:v>40312.847222222219</c:v>
                </c:pt>
                <c:pt idx="3188">
                  <c:v>40312.847916666666</c:v>
                </c:pt>
                <c:pt idx="3189">
                  <c:v>40312.848611111112</c:v>
                </c:pt>
                <c:pt idx="3190">
                  <c:v>40312.849305555559</c:v>
                </c:pt>
                <c:pt idx="3191">
                  <c:v>40312.85</c:v>
                </c:pt>
                <c:pt idx="3192">
                  <c:v>40312.850694444445</c:v>
                </c:pt>
                <c:pt idx="3193">
                  <c:v>40312.851388888892</c:v>
                </c:pt>
                <c:pt idx="3194">
                  <c:v>40312.852083333331</c:v>
                </c:pt>
                <c:pt idx="3195">
                  <c:v>40312.852777777778</c:v>
                </c:pt>
                <c:pt idx="3196">
                  <c:v>40312.853472222225</c:v>
                </c:pt>
                <c:pt idx="3197">
                  <c:v>40312.854166666664</c:v>
                </c:pt>
                <c:pt idx="3198">
                  <c:v>40312.854861111111</c:v>
                </c:pt>
                <c:pt idx="3199">
                  <c:v>40312.855555555558</c:v>
                </c:pt>
                <c:pt idx="3200">
                  <c:v>40312.856249999997</c:v>
                </c:pt>
                <c:pt idx="3201">
                  <c:v>40312.856944444444</c:v>
                </c:pt>
                <c:pt idx="3202">
                  <c:v>40312.857638888891</c:v>
                </c:pt>
                <c:pt idx="3203">
                  <c:v>40312.85833333333</c:v>
                </c:pt>
                <c:pt idx="3204">
                  <c:v>40312.859027777777</c:v>
                </c:pt>
                <c:pt idx="3205">
                  <c:v>40312.859722222223</c:v>
                </c:pt>
                <c:pt idx="3206">
                  <c:v>40312.86041666667</c:v>
                </c:pt>
                <c:pt idx="3207">
                  <c:v>40312.861111111109</c:v>
                </c:pt>
                <c:pt idx="3208">
                  <c:v>40312.861805555556</c:v>
                </c:pt>
                <c:pt idx="3209">
                  <c:v>40312.862500000003</c:v>
                </c:pt>
                <c:pt idx="3210">
                  <c:v>40312.863194444442</c:v>
                </c:pt>
                <c:pt idx="3211">
                  <c:v>40312.863888888889</c:v>
                </c:pt>
                <c:pt idx="3212">
                  <c:v>40312.864583333336</c:v>
                </c:pt>
                <c:pt idx="3213">
                  <c:v>40312.865277777775</c:v>
                </c:pt>
                <c:pt idx="3214">
                  <c:v>40312.865972222222</c:v>
                </c:pt>
                <c:pt idx="3215">
                  <c:v>40312.866666666669</c:v>
                </c:pt>
                <c:pt idx="3216">
                  <c:v>40312.867361111108</c:v>
                </c:pt>
                <c:pt idx="3217">
                  <c:v>40312.868055555555</c:v>
                </c:pt>
                <c:pt idx="3218">
                  <c:v>40312.868750000001</c:v>
                </c:pt>
                <c:pt idx="3219">
                  <c:v>40312.869444444441</c:v>
                </c:pt>
                <c:pt idx="3220">
                  <c:v>40312.870138888888</c:v>
                </c:pt>
                <c:pt idx="3221">
                  <c:v>40312.870833333334</c:v>
                </c:pt>
                <c:pt idx="3222">
                  <c:v>40312.871527777781</c:v>
                </c:pt>
                <c:pt idx="3223">
                  <c:v>40312.87222222222</c:v>
                </c:pt>
                <c:pt idx="3224">
                  <c:v>40312.872916666667</c:v>
                </c:pt>
                <c:pt idx="3225">
                  <c:v>40312.873611111114</c:v>
                </c:pt>
                <c:pt idx="3226">
                  <c:v>40312.874305555553</c:v>
                </c:pt>
                <c:pt idx="3227">
                  <c:v>40312.875</c:v>
                </c:pt>
                <c:pt idx="3228">
                  <c:v>40312.875694444447</c:v>
                </c:pt>
                <c:pt idx="3229">
                  <c:v>40312.876388888886</c:v>
                </c:pt>
                <c:pt idx="3230">
                  <c:v>40312.877083333333</c:v>
                </c:pt>
                <c:pt idx="3231">
                  <c:v>40312.87777777778</c:v>
                </c:pt>
                <c:pt idx="3232">
                  <c:v>40312.878472222219</c:v>
                </c:pt>
                <c:pt idx="3233">
                  <c:v>40312.879166666666</c:v>
                </c:pt>
                <c:pt idx="3234">
                  <c:v>40312.879861111112</c:v>
                </c:pt>
                <c:pt idx="3235">
                  <c:v>40312.880555555559</c:v>
                </c:pt>
                <c:pt idx="3236">
                  <c:v>40312.881249999999</c:v>
                </c:pt>
                <c:pt idx="3237">
                  <c:v>40312.881944444445</c:v>
                </c:pt>
                <c:pt idx="3238">
                  <c:v>40312.882638888892</c:v>
                </c:pt>
                <c:pt idx="3239">
                  <c:v>40312.883333333331</c:v>
                </c:pt>
                <c:pt idx="3240">
                  <c:v>40312.884027777778</c:v>
                </c:pt>
                <c:pt idx="3241">
                  <c:v>40312.884722222225</c:v>
                </c:pt>
                <c:pt idx="3242">
                  <c:v>40312.885416666664</c:v>
                </c:pt>
                <c:pt idx="3243">
                  <c:v>40312.886111111111</c:v>
                </c:pt>
                <c:pt idx="3244">
                  <c:v>40312.886805555558</c:v>
                </c:pt>
                <c:pt idx="3245">
                  <c:v>40312.887499999997</c:v>
                </c:pt>
                <c:pt idx="3246">
                  <c:v>40312.888194444444</c:v>
                </c:pt>
                <c:pt idx="3247">
                  <c:v>40312.888888888891</c:v>
                </c:pt>
                <c:pt idx="3248">
                  <c:v>40312.88958333333</c:v>
                </c:pt>
                <c:pt idx="3249">
                  <c:v>40312.890277777777</c:v>
                </c:pt>
                <c:pt idx="3250">
                  <c:v>40312.890972222223</c:v>
                </c:pt>
                <c:pt idx="3251">
                  <c:v>40312.89166666667</c:v>
                </c:pt>
                <c:pt idx="3252">
                  <c:v>40312.892361111109</c:v>
                </c:pt>
                <c:pt idx="3253">
                  <c:v>40312.893055555556</c:v>
                </c:pt>
                <c:pt idx="3254">
                  <c:v>40312.893750000003</c:v>
                </c:pt>
                <c:pt idx="3255">
                  <c:v>40312.894444444442</c:v>
                </c:pt>
                <c:pt idx="3256">
                  <c:v>40312.895138888889</c:v>
                </c:pt>
                <c:pt idx="3257">
                  <c:v>40312.895833333336</c:v>
                </c:pt>
                <c:pt idx="3258">
                  <c:v>40312.896527777775</c:v>
                </c:pt>
                <c:pt idx="3259">
                  <c:v>40312.897222222222</c:v>
                </c:pt>
                <c:pt idx="3260">
                  <c:v>40312.897916666669</c:v>
                </c:pt>
                <c:pt idx="3261">
                  <c:v>40312.898611111108</c:v>
                </c:pt>
                <c:pt idx="3262">
                  <c:v>40312.899305555555</c:v>
                </c:pt>
                <c:pt idx="3263">
                  <c:v>40312.9</c:v>
                </c:pt>
                <c:pt idx="3264">
                  <c:v>40312.900694444441</c:v>
                </c:pt>
                <c:pt idx="3265">
                  <c:v>40312.901388888888</c:v>
                </c:pt>
                <c:pt idx="3266">
                  <c:v>40312.902083333334</c:v>
                </c:pt>
                <c:pt idx="3267">
                  <c:v>40312.902777777781</c:v>
                </c:pt>
                <c:pt idx="3268">
                  <c:v>40312.90347222222</c:v>
                </c:pt>
                <c:pt idx="3269">
                  <c:v>40312.904166666667</c:v>
                </c:pt>
                <c:pt idx="3270">
                  <c:v>40312.904861111114</c:v>
                </c:pt>
                <c:pt idx="3271">
                  <c:v>40312.905555555553</c:v>
                </c:pt>
                <c:pt idx="3272">
                  <c:v>40312.90625</c:v>
                </c:pt>
                <c:pt idx="3273">
                  <c:v>40312.906944444447</c:v>
                </c:pt>
                <c:pt idx="3274">
                  <c:v>40312.907638888886</c:v>
                </c:pt>
                <c:pt idx="3275">
                  <c:v>40312.908333333333</c:v>
                </c:pt>
                <c:pt idx="3276">
                  <c:v>40312.90902777778</c:v>
                </c:pt>
                <c:pt idx="3277">
                  <c:v>40312.909722222219</c:v>
                </c:pt>
                <c:pt idx="3278">
                  <c:v>40312.910416666666</c:v>
                </c:pt>
                <c:pt idx="3279">
                  <c:v>40312.911111111112</c:v>
                </c:pt>
                <c:pt idx="3280">
                  <c:v>40312.911805555559</c:v>
                </c:pt>
                <c:pt idx="3281">
                  <c:v>40312.912499999999</c:v>
                </c:pt>
                <c:pt idx="3282">
                  <c:v>40312.913194444445</c:v>
                </c:pt>
                <c:pt idx="3283">
                  <c:v>40312.913888888892</c:v>
                </c:pt>
                <c:pt idx="3284">
                  <c:v>40312.914583333331</c:v>
                </c:pt>
                <c:pt idx="3285">
                  <c:v>40312.915277777778</c:v>
                </c:pt>
                <c:pt idx="3286">
                  <c:v>40312.915972222225</c:v>
                </c:pt>
                <c:pt idx="3287">
                  <c:v>40312.916666666664</c:v>
                </c:pt>
                <c:pt idx="3288">
                  <c:v>40312.917361111111</c:v>
                </c:pt>
                <c:pt idx="3289">
                  <c:v>40312.918055555558</c:v>
                </c:pt>
                <c:pt idx="3290">
                  <c:v>40312.918749999997</c:v>
                </c:pt>
                <c:pt idx="3291">
                  <c:v>40312.919444444444</c:v>
                </c:pt>
                <c:pt idx="3292">
                  <c:v>40312.920138888891</c:v>
                </c:pt>
                <c:pt idx="3293">
                  <c:v>40312.92083333333</c:v>
                </c:pt>
                <c:pt idx="3294">
                  <c:v>40312.921527777777</c:v>
                </c:pt>
                <c:pt idx="3295">
                  <c:v>40312.922222222223</c:v>
                </c:pt>
                <c:pt idx="3296">
                  <c:v>40312.92291666667</c:v>
                </c:pt>
                <c:pt idx="3297">
                  <c:v>40312.923611111109</c:v>
                </c:pt>
                <c:pt idx="3298">
                  <c:v>40312.924305555556</c:v>
                </c:pt>
                <c:pt idx="3299">
                  <c:v>40312.925000000003</c:v>
                </c:pt>
                <c:pt idx="3300">
                  <c:v>40312.925694444442</c:v>
                </c:pt>
                <c:pt idx="3301">
                  <c:v>40312.926388888889</c:v>
                </c:pt>
                <c:pt idx="3302">
                  <c:v>40312.927083333336</c:v>
                </c:pt>
                <c:pt idx="3303">
                  <c:v>40312.927777777775</c:v>
                </c:pt>
                <c:pt idx="3304">
                  <c:v>40312.928472222222</c:v>
                </c:pt>
                <c:pt idx="3305">
                  <c:v>40312.929166666669</c:v>
                </c:pt>
                <c:pt idx="3306">
                  <c:v>40312.929861111108</c:v>
                </c:pt>
                <c:pt idx="3307">
                  <c:v>40312.930555555555</c:v>
                </c:pt>
                <c:pt idx="3308">
                  <c:v>40312.931250000001</c:v>
                </c:pt>
                <c:pt idx="3309">
                  <c:v>40312.931944444441</c:v>
                </c:pt>
                <c:pt idx="3310">
                  <c:v>40312.932638888888</c:v>
                </c:pt>
                <c:pt idx="3311">
                  <c:v>40312.933333333334</c:v>
                </c:pt>
                <c:pt idx="3312">
                  <c:v>40312.934027777781</c:v>
                </c:pt>
                <c:pt idx="3313">
                  <c:v>40312.93472222222</c:v>
                </c:pt>
                <c:pt idx="3314">
                  <c:v>40312.935416666667</c:v>
                </c:pt>
                <c:pt idx="3315">
                  <c:v>40312.936111111114</c:v>
                </c:pt>
                <c:pt idx="3316">
                  <c:v>40312.936805555553</c:v>
                </c:pt>
                <c:pt idx="3317">
                  <c:v>40312.9375</c:v>
                </c:pt>
                <c:pt idx="3318">
                  <c:v>40312.938194444447</c:v>
                </c:pt>
                <c:pt idx="3319">
                  <c:v>40312.938888888886</c:v>
                </c:pt>
                <c:pt idx="3320">
                  <c:v>40312.939583333333</c:v>
                </c:pt>
                <c:pt idx="3321">
                  <c:v>40312.94027777778</c:v>
                </c:pt>
                <c:pt idx="3322">
                  <c:v>40312.940972222219</c:v>
                </c:pt>
                <c:pt idx="3323">
                  <c:v>40312.941666666666</c:v>
                </c:pt>
                <c:pt idx="3324">
                  <c:v>40312.942361111112</c:v>
                </c:pt>
                <c:pt idx="3325">
                  <c:v>40312.943055555559</c:v>
                </c:pt>
                <c:pt idx="3326">
                  <c:v>40312.943749999999</c:v>
                </c:pt>
                <c:pt idx="3327">
                  <c:v>40312.944444444445</c:v>
                </c:pt>
                <c:pt idx="3328">
                  <c:v>40312.945138888892</c:v>
                </c:pt>
                <c:pt idx="3329">
                  <c:v>40312.945833333331</c:v>
                </c:pt>
                <c:pt idx="3330">
                  <c:v>40312.946527777778</c:v>
                </c:pt>
                <c:pt idx="3331">
                  <c:v>40312.947222222225</c:v>
                </c:pt>
                <c:pt idx="3332">
                  <c:v>40312.947916666664</c:v>
                </c:pt>
                <c:pt idx="3333">
                  <c:v>40312.948611111111</c:v>
                </c:pt>
                <c:pt idx="3334">
                  <c:v>40312.949305555558</c:v>
                </c:pt>
                <c:pt idx="3335">
                  <c:v>40312.949999999997</c:v>
                </c:pt>
                <c:pt idx="3336">
                  <c:v>40312.950694444444</c:v>
                </c:pt>
                <c:pt idx="3337">
                  <c:v>40312.951388888891</c:v>
                </c:pt>
                <c:pt idx="3338">
                  <c:v>40312.95208333333</c:v>
                </c:pt>
                <c:pt idx="3339">
                  <c:v>40312.952777777777</c:v>
                </c:pt>
                <c:pt idx="3340">
                  <c:v>40312.953472222223</c:v>
                </c:pt>
                <c:pt idx="3341">
                  <c:v>40312.95416666667</c:v>
                </c:pt>
                <c:pt idx="3342">
                  <c:v>40312.954861111109</c:v>
                </c:pt>
                <c:pt idx="3343">
                  <c:v>40312.955555555556</c:v>
                </c:pt>
                <c:pt idx="3344">
                  <c:v>40312.956250000003</c:v>
                </c:pt>
                <c:pt idx="3345">
                  <c:v>40312.956944444442</c:v>
                </c:pt>
                <c:pt idx="3346">
                  <c:v>40312.957638888889</c:v>
                </c:pt>
                <c:pt idx="3347">
                  <c:v>40312.958333333336</c:v>
                </c:pt>
                <c:pt idx="3348">
                  <c:v>40312.959027777775</c:v>
                </c:pt>
                <c:pt idx="3349">
                  <c:v>40312.959722222222</c:v>
                </c:pt>
                <c:pt idx="3350">
                  <c:v>40312.960416666669</c:v>
                </c:pt>
                <c:pt idx="3351">
                  <c:v>40312.961111111108</c:v>
                </c:pt>
                <c:pt idx="3352">
                  <c:v>40312.961805555555</c:v>
                </c:pt>
                <c:pt idx="3353">
                  <c:v>40312.962500000001</c:v>
                </c:pt>
                <c:pt idx="3354">
                  <c:v>40312.963194444441</c:v>
                </c:pt>
                <c:pt idx="3355">
                  <c:v>40312.963888888888</c:v>
                </c:pt>
                <c:pt idx="3356">
                  <c:v>40312.964583333334</c:v>
                </c:pt>
                <c:pt idx="3357">
                  <c:v>40312.965277777781</c:v>
                </c:pt>
                <c:pt idx="3358">
                  <c:v>40312.96597222222</c:v>
                </c:pt>
                <c:pt idx="3359">
                  <c:v>40312.966666666667</c:v>
                </c:pt>
                <c:pt idx="3360">
                  <c:v>40312.967361111114</c:v>
                </c:pt>
                <c:pt idx="3361">
                  <c:v>40312.968055555553</c:v>
                </c:pt>
                <c:pt idx="3362">
                  <c:v>40312.96875</c:v>
                </c:pt>
                <c:pt idx="3363">
                  <c:v>40312.969444444447</c:v>
                </c:pt>
                <c:pt idx="3364">
                  <c:v>40312.970138888886</c:v>
                </c:pt>
                <c:pt idx="3365">
                  <c:v>40312.970833333333</c:v>
                </c:pt>
                <c:pt idx="3366">
                  <c:v>40312.97152777778</c:v>
                </c:pt>
                <c:pt idx="3367">
                  <c:v>40312.972222222219</c:v>
                </c:pt>
                <c:pt idx="3368">
                  <c:v>40312.972916666666</c:v>
                </c:pt>
                <c:pt idx="3369">
                  <c:v>40312.973611111112</c:v>
                </c:pt>
                <c:pt idx="3370">
                  <c:v>40312.974305555559</c:v>
                </c:pt>
                <c:pt idx="3371">
                  <c:v>40312.974999999999</c:v>
                </c:pt>
                <c:pt idx="3372">
                  <c:v>40312.975694444445</c:v>
                </c:pt>
                <c:pt idx="3373">
                  <c:v>40312.976388888892</c:v>
                </c:pt>
                <c:pt idx="3374">
                  <c:v>40312.977083333331</c:v>
                </c:pt>
                <c:pt idx="3375">
                  <c:v>40312.977777777778</c:v>
                </c:pt>
                <c:pt idx="3376">
                  <c:v>40312.978472222225</c:v>
                </c:pt>
                <c:pt idx="3377">
                  <c:v>40312.979166666664</c:v>
                </c:pt>
                <c:pt idx="3378">
                  <c:v>40312.979861111111</c:v>
                </c:pt>
                <c:pt idx="3379">
                  <c:v>40312.980555555558</c:v>
                </c:pt>
                <c:pt idx="3380">
                  <c:v>40312.981249999997</c:v>
                </c:pt>
                <c:pt idx="3381">
                  <c:v>40312.981944444444</c:v>
                </c:pt>
                <c:pt idx="3382">
                  <c:v>40312.982638888891</c:v>
                </c:pt>
                <c:pt idx="3383">
                  <c:v>40312.98333333333</c:v>
                </c:pt>
                <c:pt idx="3384">
                  <c:v>40312.984027777777</c:v>
                </c:pt>
                <c:pt idx="3385">
                  <c:v>40312.984722222223</c:v>
                </c:pt>
                <c:pt idx="3386">
                  <c:v>40312.98541666667</c:v>
                </c:pt>
                <c:pt idx="3387">
                  <c:v>40312.986111111109</c:v>
                </c:pt>
                <c:pt idx="3388">
                  <c:v>40312.986805555556</c:v>
                </c:pt>
                <c:pt idx="3389">
                  <c:v>40312.987500000003</c:v>
                </c:pt>
                <c:pt idx="3390">
                  <c:v>40312.988194444442</c:v>
                </c:pt>
                <c:pt idx="3391">
                  <c:v>40312.988888888889</c:v>
                </c:pt>
                <c:pt idx="3392">
                  <c:v>40312.989583333336</c:v>
                </c:pt>
                <c:pt idx="3393">
                  <c:v>40312.990277777775</c:v>
                </c:pt>
                <c:pt idx="3394">
                  <c:v>40312.990972222222</c:v>
                </c:pt>
                <c:pt idx="3395">
                  <c:v>40312.991666666669</c:v>
                </c:pt>
                <c:pt idx="3396">
                  <c:v>40312.992361111108</c:v>
                </c:pt>
                <c:pt idx="3397">
                  <c:v>40312.993055555555</c:v>
                </c:pt>
                <c:pt idx="3398">
                  <c:v>40312.993750000001</c:v>
                </c:pt>
                <c:pt idx="3399">
                  <c:v>40312.994444444441</c:v>
                </c:pt>
                <c:pt idx="3400">
                  <c:v>40312.995138888888</c:v>
                </c:pt>
                <c:pt idx="3401">
                  <c:v>40312.995833333334</c:v>
                </c:pt>
                <c:pt idx="3402">
                  <c:v>40312.996527777781</c:v>
                </c:pt>
                <c:pt idx="3403">
                  <c:v>40312.99722222222</c:v>
                </c:pt>
                <c:pt idx="3404">
                  <c:v>40312.997916666667</c:v>
                </c:pt>
                <c:pt idx="3405">
                  <c:v>40312.998611111114</c:v>
                </c:pt>
                <c:pt idx="3406">
                  <c:v>40312.999305555553</c:v>
                </c:pt>
                <c:pt idx="3407">
                  <c:v>40313</c:v>
                </c:pt>
                <c:pt idx="3408">
                  <c:v>40313.000694444447</c:v>
                </c:pt>
                <c:pt idx="3409">
                  <c:v>40313.001388888886</c:v>
                </c:pt>
                <c:pt idx="3410">
                  <c:v>40313.002083333333</c:v>
                </c:pt>
                <c:pt idx="3411">
                  <c:v>40313.00277777778</c:v>
                </c:pt>
                <c:pt idx="3412">
                  <c:v>40313.003472222219</c:v>
                </c:pt>
                <c:pt idx="3413">
                  <c:v>40313.004166666666</c:v>
                </c:pt>
                <c:pt idx="3414">
                  <c:v>40313.004861111112</c:v>
                </c:pt>
                <c:pt idx="3415">
                  <c:v>40313.005555555559</c:v>
                </c:pt>
                <c:pt idx="3416">
                  <c:v>40313.006249999999</c:v>
                </c:pt>
                <c:pt idx="3417">
                  <c:v>40313.006944444445</c:v>
                </c:pt>
                <c:pt idx="3418">
                  <c:v>40313.007638888892</c:v>
                </c:pt>
                <c:pt idx="3419">
                  <c:v>40313.008333333331</c:v>
                </c:pt>
                <c:pt idx="3420">
                  <c:v>40313.009027777778</c:v>
                </c:pt>
                <c:pt idx="3421">
                  <c:v>40313.009722222225</c:v>
                </c:pt>
                <c:pt idx="3422">
                  <c:v>40313.010416666664</c:v>
                </c:pt>
                <c:pt idx="3423">
                  <c:v>40313.011111111111</c:v>
                </c:pt>
                <c:pt idx="3424">
                  <c:v>40313.011805555558</c:v>
                </c:pt>
                <c:pt idx="3425">
                  <c:v>40313.012499999997</c:v>
                </c:pt>
                <c:pt idx="3426">
                  <c:v>40313.013194444444</c:v>
                </c:pt>
                <c:pt idx="3427">
                  <c:v>40313.013888888891</c:v>
                </c:pt>
                <c:pt idx="3428">
                  <c:v>40313.01458333333</c:v>
                </c:pt>
                <c:pt idx="3429">
                  <c:v>40313.015277777777</c:v>
                </c:pt>
                <c:pt idx="3430">
                  <c:v>40313.015972222223</c:v>
                </c:pt>
                <c:pt idx="3431">
                  <c:v>40313.01666666667</c:v>
                </c:pt>
                <c:pt idx="3432">
                  <c:v>40313.017361111109</c:v>
                </c:pt>
                <c:pt idx="3433">
                  <c:v>40313.018055555556</c:v>
                </c:pt>
                <c:pt idx="3434">
                  <c:v>40313.018750000003</c:v>
                </c:pt>
                <c:pt idx="3435">
                  <c:v>40313.019444444442</c:v>
                </c:pt>
                <c:pt idx="3436">
                  <c:v>40313.020138888889</c:v>
                </c:pt>
                <c:pt idx="3437">
                  <c:v>40313.020833333336</c:v>
                </c:pt>
                <c:pt idx="3438">
                  <c:v>40313.021527777775</c:v>
                </c:pt>
                <c:pt idx="3439">
                  <c:v>40313.022222222222</c:v>
                </c:pt>
                <c:pt idx="3440">
                  <c:v>40313.022916666669</c:v>
                </c:pt>
                <c:pt idx="3441">
                  <c:v>40313.023611111108</c:v>
                </c:pt>
                <c:pt idx="3442">
                  <c:v>40313.024305555555</c:v>
                </c:pt>
                <c:pt idx="3443">
                  <c:v>40313.025000000001</c:v>
                </c:pt>
                <c:pt idx="3444">
                  <c:v>40313.025694444441</c:v>
                </c:pt>
                <c:pt idx="3445">
                  <c:v>40313.026388888888</c:v>
                </c:pt>
                <c:pt idx="3446">
                  <c:v>40313.027083333334</c:v>
                </c:pt>
                <c:pt idx="3447">
                  <c:v>40313.027777777781</c:v>
                </c:pt>
                <c:pt idx="3448">
                  <c:v>40313.02847222222</c:v>
                </c:pt>
                <c:pt idx="3449">
                  <c:v>40313.029166666667</c:v>
                </c:pt>
                <c:pt idx="3450">
                  <c:v>40313.029861111114</c:v>
                </c:pt>
                <c:pt idx="3451">
                  <c:v>40313.030555555553</c:v>
                </c:pt>
                <c:pt idx="3452">
                  <c:v>40313.03125</c:v>
                </c:pt>
                <c:pt idx="3453">
                  <c:v>40313.031944444447</c:v>
                </c:pt>
                <c:pt idx="3454">
                  <c:v>40313.032638888886</c:v>
                </c:pt>
                <c:pt idx="3455">
                  <c:v>40313.033333333333</c:v>
                </c:pt>
                <c:pt idx="3456">
                  <c:v>40313.03402777778</c:v>
                </c:pt>
                <c:pt idx="3457">
                  <c:v>40313.034722222219</c:v>
                </c:pt>
                <c:pt idx="3458">
                  <c:v>40313.035416666666</c:v>
                </c:pt>
                <c:pt idx="3459">
                  <c:v>40313.036111111112</c:v>
                </c:pt>
                <c:pt idx="3460">
                  <c:v>40313.036805555559</c:v>
                </c:pt>
                <c:pt idx="3461">
                  <c:v>40313.037499999999</c:v>
                </c:pt>
                <c:pt idx="3462">
                  <c:v>40313.038194444445</c:v>
                </c:pt>
                <c:pt idx="3463">
                  <c:v>40313.038888888892</c:v>
                </c:pt>
                <c:pt idx="3464">
                  <c:v>40313.039583333331</c:v>
                </c:pt>
                <c:pt idx="3465">
                  <c:v>40313.040277777778</c:v>
                </c:pt>
                <c:pt idx="3466">
                  <c:v>40313.040972222225</c:v>
                </c:pt>
                <c:pt idx="3467">
                  <c:v>40313.041666666664</c:v>
                </c:pt>
                <c:pt idx="3468">
                  <c:v>40313.042361111111</c:v>
                </c:pt>
                <c:pt idx="3469">
                  <c:v>40313.043055555558</c:v>
                </c:pt>
                <c:pt idx="3470">
                  <c:v>40313.043749999997</c:v>
                </c:pt>
                <c:pt idx="3471">
                  <c:v>40313.044444444444</c:v>
                </c:pt>
                <c:pt idx="3472">
                  <c:v>40313.045138888891</c:v>
                </c:pt>
                <c:pt idx="3473">
                  <c:v>40313.04583333333</c:v>
                </c:pt>
                <c:pt idx="3474">
                  <c:v>40313.046527777777</c:v>
                </c:pt>
                <c:pt idx="3475">
                  <c:v>40313.047222222223</c:v>
                </c:pt>
                <c:pt idx="3476">
                  <c:v>40313.04791666667</c:v>
                </c:pt>
                <c:pt idx="3477">
                  <c:v>40313.048611111109</c:v>
                </c:pt>
                <c:pt idx="3478">
                  <c:v>40313.049305555556</c:v>
                </c:pt>
                <c:pt idx="3479">
                  <c:v>40313.050000000003</c:v>
                </c:pt>
                <c:pt idx="3480">
                  <c:v>40313.050694444442</c:v>
                </c:pt>
                <c:pt idx="3481">
                  <c:v>40313.051388888889</c:v>
                </c:pt>
                <c:pt idx="3482">
                  <c:v>40313.052083333336</c:v>
                </c:pt>
                <c:pt idx="3483">
                  <c:v>40313.052777777775</c:v>
                </c:pt>
                <c:pt idx="3484">
                  <c:v>40313.053472222222</c:v>
                </c:pt>
                <c:pt idx="3485">
                  <c:v>40313.054166666669</c:v>
                </c:pt>
                <c:pt idx="3486">
                  <c:v>40313.054861111108</c:v>
                </c:pt>
                <c:pt idx="3487">
                  <c:v>40313.055555555555</c:v>
                </c:pt>
                <c:pt idx="3488">
                  <c:v>40313.056250000001</c:v>
                </c:pt>
                <c:pt idx="3489">
                  <c:v>40313.056944444441</c:v>
                </c:pt>
                <c:pt idx="3490">
                  <c:v>40313.057638888888</c:v>
                </c:pt>
                <c:pt idx="3491">
                  <c:v>40313.058333333334</c:v>
                </c:pt>
                <c:pt idx="3492">
                  <c:v>40313.059027777781</c:v>
                </c:pt>
                <c:pt idx="3493">
                  <c:v>40313.05972222222</c:v>
                </c:pt>
                <c:pt idx="3494">
                  <c:v>40313.060416666667</c:v>
                </c:pt>
                <c:pt idx="3495">
                  <c:v>40313.061111111114</c:v>
                </c:pt>
                <c:pt idx="3496">
                  <c:v>40313.061805555553</c:v>
                </c:pt>
                <c:pt idx="3497">
                  <c:v>40313.0625</c:v>
                </c:pt>
                <c:pt idx="3498">
                  <c:v>40313.063194444447</c:v>
                </c:pt>
                <c:pt idx="3499">
                  <c:v>40313.063888888886</c:v>
                </c:pt>
                <c:pt idx="3500">
                  <c:v>40313.064583333333</c:v>
                </c:pt>
                <c:pt idx="3501">
                  <c:v>40313.06527777778</c:v>
                </c:pt>
                <c:pt idx="3502">
                  <c:v>40313.065972222219</c:v>
                </c:pt>
                <c:pt idx="3503">
                  <c:v>40313.066666666666</c:v>
                </c:pt>
                <c:pt idx="3504">
                  <c:v>40313.067361111112</c:v>
                </c:pt>
                <c:pt idx="3505">
                  <c:v>40313.068055555559</c:v>
                </c:pt>
                <c:pt idx="3506">
                  <c:v>40313.068749999999</c:v>
                </c:pt>
                <c:pt idx="3507">
                  <c:v>40313.069444444445</c:v>
                </c:pt>
                <c:pt idx="3508">
                  <c:v>40313.070138888892</c:v>
                </c:pt>
                <c:pt idx="3509">
                  <c:v>40313.070833333331</c:v>
                </c:pt>
                <c:pt idx="3510">
                  <c:v>40313.071527777778</c:v>
                </c:pt>
                <c:pt idx="3511">
                  <c:v>40313.072222222225</c:v>
                </c:pt>
                <c:pt idx="3512">
                  <c:v>40313.072916666664</c:v>
                </c:pt>
                <c:pt idx="3513">
                  <c:v>40313.073611111111</c:v>
                </c:pt>
                <c:pt idx="3514">
                  <c:v>40313.074305555558</c:v>
                </c:pt>
                <c:pt idx="3515">
                  <c:v>40313.074999999997</c:v>
                </c:pt>
                <c:pt idx="3516">
                  <c:v>40313.075694444444</c:v>
                </c:pt>
                <c:pt idx="3517">
                  <c:v>40313.076388888891</c:v>
                </c:pt>
                <c:pt idx="3518">
                  <c:v>40313.07708333333</c:v>
                </c:pt>
                <c:pt idx="3519">
                  <c:v>40313.077777777777</c:v>
                </c:pt>
                <c:pt idx="3520">
                  <c:v>40313.078472222223</c:v>
                </c:pt>
                <c:pt idx="3521">
                  <c:v>40313.07916666667</c:v>
                </c:pt>
                <c:pt idx="3522">
                  <c:v>40313.079861111109</c:v>
                </c:pt>
                <c:pt idx="3523">
                  <c:v>40313.080555555556</c:v>
                </c:pt>
                <c:pt idx="3524">
                  <c:v>40313.081250000003</c:v>
                </c:pt>
                <c:pt idx="3525">
                  <c:v>40313.081944444442</c:v>
                </c:pt>
                <c:pt idx="3526">
                  <c:v>40313.082638888889</c:v>
                </c:pt>
                <c:pt idx="3527">
                  <c:v>40313.083333333336</c:v>
                </c:pt>
                <c:pt idx="3528">
                  <c:v>40313.084027777775</c:v>
                </c:pt>
                <c:pt idx="3529">
                  <c:v>40313.084722222222</c:v>
                </c:pt>
                <c:pt idx="3530">
                  <c:v>40313.085416666669</c:v>
                </c:pt>
                <c:pt idx="3531">
                  <c:v>40313.086111111108</c:v>
                </c:pt>
                <c:pt idx="3532">
                  <c:v>40313.086805555555</c:v>
                </c:pt>
                <c:pt idx="3533">
                  <c:v>40313.087500000001</c:v>
                </c:pt>
                <c:pt idx="3534">
                  <c:v>40313.088194444441</c:v>
                </c:pt>
                <c:pt idx="3535">
                  <c:v>40313.088888888888</c:v>
                </c:pt>
                <c:pt idx="3536">
                  <c:v>40313.089583333334</c:v>
                </c:pt>
                <c:pt idx="3537">
                  <c:v>40313.090277777781</c:v>
                </c:pt>
                <c:pt idx="3538">
                  <c:v>40313.09097222222</c:v>
                </c:pt>
                <c:pt idx="3539">
                  <c:v>40313.091666666667</c:v>
                </c:pt>
                <c:pt idx="3540">
                  <c:v>40313.092361111114</c:v>
                </c:pt>
                <c:pt idx="3541">
                  <c:v>40313.093055555553</c:v>
                </c:pt>
                <c:pt idx="3542">
                  <c:v>40313.09375</c:v>
                </c:pt>
                <c:pt idx="3543">
                  <c:v>40313.094444444447</c:v>
                </c:pt>
                <c:pt idx="3544">
                  <c:v>40313.095138888886</c:v>
                </c:pt>
                <c:pt idx="3545">
                  <c:v>40313.095833333333</c:v>
                </c:pt>
                <c:pt idx="3546">
                  <c:v>40313.09652777778</c:v>
                </c:pt>
                <c:pt idx="3547">
                  <c:v>40313.097222222219</c:v>
                </c:pt>
                <c:pt idx="3548">
                  <c:v>40313.097916666666</c:v>
                </c:pt>
                <c:pt idx="3549">
                  <c:v>40313.098611111112</c:v>
                </c:pt>
                <c:pt idx="3550">
                  <c:v>40313.099305555559</c:v>
                </c:pt>
                <c:pt idx="3551">
                  <c:v>40313.1</c:v>
                </c:pt>
                <c:pt idx="3552">
                  <c:v>40313.100694444445</c:v>
                </c:pt>
                <c:pt idx="3553">
                  <c:v>40313.101388888892</c:v>
                </c:pt>
                <c:pt idx="3554">
                  <c:v>40313.102083333331</c:v>
                </c:pt>
                <c:pt idx="3555">
                  <c:v>40313.102777777778</c:v>
                </c:pt>
                <c:pt idx="3556">
                  <c:v>40313.103472222225</c:v>
                </c:pt>
                <c:pt idx="3557">
                  <c:v>40313.104166666664</c:v>
                </c:pt>
                <c:pt idx="3558">
                  <c:v>40313.104861111111</c:v>
                </c:pt>
                <c:pt idx="3559">
                  <c:v>40313.105555555558</c:v>
                </c:pt>
                <c:pt idx="3560">
                  <c:v>40313.106249999997</c:v>
                </c:pt>
                <c:pt idx="3561">
                  <c:v>40313.106944444444</c:v>
                </c:pt>
                <c:pt idx="3562">
                  <c:v>40313.107638888891</c:v>
                </c:pt>
                <c:pt idx="3563">
                  <c:v>40313.10833333333</c:v>
                </c:pt>
                <c:pt idx="3564">
                  <c:v>40313.109027777777</c:v>
                </c:pt>
                <c:pt idx="3565">
                  <c:v>40313.109722222223</c:v>
                </c:pt>
                <c:pt idx="3566">
                  <c:v>40313.11041666667</c:v>
                </c:pt>
                <c:pt idx="3567">
                  <c:v>40313.111111111109</c:v>
                </c:pt>
                <c:pt idx="3568">
                  <c:v>40313.111805555556</c:v>
                </c:pt>
                <c:pt idx="3569">
                  <c:v>40313.112500000003</c:v>
                </c:pt>
                <c:pt idx="3570">
                  <c:v>40313.113194444442</c:v>
                </c:pt>
                <c:pt idx="3571">
                  <c:v>40313.113888888889</c:v>
                </c:pt>
                <c:pt idx="3572">
                  <c:v>40313.114583333336</c:v>
                </c:pt>
                <c:pt idx="3573">
                  <c:v>40313.115277777775</c:v>
                </c:pt>
                <c:pt idx="3574">
                  <c:v>40313.115972222222</c:v>
                </c:pt>
                <c:pt idx="3575">
                  <c:v>40313.116666666669</c:v>
                </c:pt>
                <c:pt idx="3576">
                  <c:v>40313.117361111108</c:v>
                </c:pt>
                <c:pt idx="3577">
                  <c:v>40313.118055555555</c:v>
                </c:pt>
                <c:pt idx="3578">
                  <c:v>40313.118750000001</c:v>
                </c:pt>
                <c:pt idx="3579">
                  <c:v>40313.119444444441</c:v>
                </c:pt>
                <c:pt idx="3580">
                  <c:v>40313.120138888888</c:v>
                </c:pt>
                <c:pt idx="3581">
                  <c:v>40313.120833333334</c:v>
                </c:pt>
                <c:pt idx="3582">
                  <c:v>40313.121527777781</c:v>
                </c:pt>
                <c:pt idx="3583">
                  <c:v>40313.12222222222</c:v>
                </c:pt>
                <c:pt idx="3584">
                  <c:v>40313.122916666667</c:v>
                </c:pt>
                <c:pt idx="3585">
                  <c:v>40313.123611111114</c:v>
                </c:pt>
                <c:pt idx="3586">
                  <c:v>40313.124305555553</c:v>
                </c:pt>
                <c:pt idx="3587">
                  <c:v>40313.125</c:v>
                </c:pt>
                <c:pt idx="3588">
                  <c:v>40313.125694444447</c:v>
                </c:pt>
                <c:pt idx="3589">
                  <c:v>40313.126388888886</c:v>
                </c:pt>
                <c:pt idx="3590">
                  <c:v>40313.127083333333</c:v>
                </c:pt>
                <c:pt idx="3591">
                  <c:v>40313.12777777778</c:v>
                </c:pt>
                <c:pt idx="3592">
                  <c:v>40313.128472222219</c:v>
                </c:pt>
                <c:pt idx="3593">
                  <c:v>40313.129166666666</c:v>
                </c:pt>
                <c:pt idx="3594">
                  <c:v>40313.129861111112</c:v>
                </c:pt>
                <c:pt idx="3595">
                  <c:v>40313.130555555559</c:v>
                </c:pt>
                <c:pt idx="3596">
                  <c:v>40313.131249999999</c:v>
                </c:pt>
                <c:pt idx="3597">
                  <c:v>40313.131944444445</c:v>
                </c:pt>
                <c:pt idx="3598">
                  <c:v>40313.132638888892</c:v>
                </c:pt>
                <c:pt idx="3599">
                  <c:v>40313.133333333331</c:v>
                </c:pt>
                <c:pt idx="3600">
                  <c:v>40313.134027777778</c:v>
                </c:pt>
                <c:pt idx="3601">
                  <c:v>40313.134722222225</c:v>
                </c:pt>
                <c:pt idx="3602">
                  <c:v>40313.135416666664</c:v>
                </c:pt>
                <c:pt idx="3603">
                  <c:v>40313.136111111111</c:v>
                </c:pt>
                <c:pt idx="3604">
                  <c:v>40313.136805555558</c:v>
                </c:pt>
                <c:pt idx="3605">
                  <c:v>40313.137499999997</c:v>
                </c:pt>
                <c:pt idx="3606">
                  <c:v>40313.138194444444</c:v>
                </c:pt>
                <c:pt idx="3607">
                  <c:v>40313.138888888891</c:v>
                </c:pt>
                <c:pt idx="3608">
                  <c:v>40313.13958333333</c:v>
                </c:pt>
                <c:pt idx="3609">
                  <c:v>40313.140277777777</c:v>
                </c:pt>
                <c:pt idx="3610">
                  <c:v>40313.140972222223</c:v>
                </c:pt>
                <c:pt idx="3611">
                  <c:v>40313.14166666667</c:v>
                </c:pt>
                <c:pt idx="3612">
                  <c:v>40313.142361111109</c:v>
                </c:pt>
                <c:pt idx="3613">
                  <c:v>40313.143055555556</c:v>
                </c:pt>
                <c:pt idx="3614">
                  <c:v>40313.143750000003</c:v>
                </c:pt>
                <c:pt idx="3615">
                  <c:v>40313.144444444442</c:v>
                </c:pt>
                <c:pt idx="3616">
                  <c:v>40313.145138888889</c:v>
                </c:pt>
                <c:pt idx="3617">
                  <c:v>40313.145833333336</c:v>
                </c:pt>
                <c:pt idx="3618">
                  <c:v>40313.146527777775</c:v>
                </c:pt>
                <c:pt idx="3619">
                  <c:v>40313.147222222222</c:v>
                </c:pt>
                <c:pt idx="3620">
                  <c:v>40313.147916666669</c:v>
                </c:pt>
                <c:pt idx="3621">
                  <c:v>40313.148611111108</c:v>
                </c:pt>
                <c:pt idx="3622">
                  <c:v>40313.149305555555</c:v>
                </c:pt>
                <c:pt idx="3623">
                  <c:v>40313.15</c:v>
                </c:pt>
                <c:pt idx="3624">
                  <c:v>40313.150694444441</c:v>
                </c:pt>
                <c:pt idx="3625">
                  <c:v>40313.151388888888</c:v>
                </c:pt>
                <c:pt idx="3626">
                  <c:v>40313.152083333334</c:v>
                </c:pt>
                <c:pt idx="3627">
                  <c:v>40313.152777777781</c:v>
                </c:pt>
                <c:pt idx="3628">
                  <c:v>40313.15347222222</c:v>
                </c:pt>
                <c:pt idx="3629">
                  <c:v>40313.154166666667</c:v>
                </c:pt>
                <c:pt idx="3630">
                  <c:v>40313.154861111114</c:v>
                </c:pt>
                <c:pt idx="3631">
                  <c:v>40313.155555555553</c:v>
                </c:pt>
                <c:pt idx="3632">
                  <c:v>40313.15625</c:v>
                </c:pt>
                <c:pt idx="3633">
                  <c:v>40313.156944444447</c:v>
                </c:pt>
                <c:pt idx="3634">
                  <c:v>40313.157638888886</c:v>
                </c:pt>
                <c:pt idx="3635">
                  <c:v>40313.158333333333</c:v>
                </c:pt>
                <c:pt idx="3636">
                  <c:v>40313.15902777778</c:v>
                </c:pt>
                <c:pt idx="3637">
                  <c:v>40313.159722222219</c:v>
                </c:pt>
                <c:pt idx="3638">
                  <c:v>40313.160416666666</c:v>
                </c:pt>
                <c:pt idx="3639">
                  <c:v>40313.161111111112</c:v>
                </c:pt>
                <c:pt idx="3640">
                  <c:v>40313.161805555559</c:v>
                </c:pt>
                <c:pt idx="3641">
                  <c:v>40313.162499999999</c:v>
                </c:pt>
                <c:pt idx="3642">
                  <c:v>40313.163194444445</c:v>
                </c:pt>
                <c:pt idx="3643">
                  <c:v>40313.163888888892</c:v>
                </c:pt>
                <c:pt idx="3644">
                  <c:v>40313.164583333331</c:v>
                </c:pt>
                <c:pt idx="3645">
                  <c:v>40313.165277777778</c:v>
                </c:pt>
                <c:pt idx="3646">
                  <c:v>40313.165972222225</c:v>
                </c:pt>
                <c:pt idx="3647">
                  <c:v>40313.166666666664</c:v>
                </c:pt>
                <c:pt idx="3648">
                  <c:v>40313.167361111111</c:v>
                </c:pt>
                <c:pt idx="3649">
                  <c:v>40313.168055555558</c:v>
                </c:pt>
                <c:pt idx="3650">
                  <c:v>40313.168749999997</c:v>
                </c:pt>
                <c:pt idx="3651">
                  <c:v>40313.169444444444</c:v>
                </c:pt>
                <c:pt idx="3652">
                  <c:v>40313.170138888891</c:v>
                </c:pt>
                <c:pt idx="3653">
                  <c:v>40313.17083333333</c:v>
                </c:pt>
                <c:pt idx="3654">
                  <c:v>40313.171527777777</c:v>
                </c:pt>
                <c:pt idx="3655">
                  <c:v>40313.172222222223</c:v>
                </c:pt>
                <c:pt idx="3656">
                  <c:v>40313.17291666667</c:v>
                </c:pt>
                <c:pt idx="3657">
                  <c:v>40313.173611111109</c:v>
                </c:pt>
                <c:pt idx="3658">
                  <c:v>40313.174305555556</c:v>
                </c:pt>
                <c:pt idx="3659">
                  <c:v>40313.175000000003</c:v>
                </c:pt>
                <c:pt idx="3660">
                  <c:v>40313.175694444442</c:v>
                </c:pt>
                <c:pt idx="3661">
                  <c:v>40313.176388888889</c:v>
                </c:pt>
                <c:pt idx="3662">
                  <c:v>40313.177083333336</c:v>
                </c:pt>
                <c:pt idx="3663">
                  <c:v>40313.177777777775</c:v>
                </c:pt>
                <c:pt idx="3664">
                  <c:v>40313.178472222222</c:v>
                </c:pt>
                <c:pt idx="3665">
                  <c:v>40313.179166666669</c:v>
                </c:pt>
                <c:pt idx="3666">
                  <c:v>40313.179861111108</c:v>
                </c:pt>
                <c:pt idx="3667">
                  <c:v>40313.180555555555</c:v>
                </c:pt>
                <c:pt idx="3668">
                  <c:v>40313.181250000001</c:v>
                </c:pt>
                <c:pt idx="3669">
                  <c:v>40313.181944444441</c:v>
                </c:pt>
                <c:pt idx="3670">
                  <c:v>40313.182638888888</c:v>
                </c:pt>
                <c:pt idx="3671">
                  <c:v>40313.183333333334</c:v>
                </c:pt>
                <c:pt idx="3672">
                  <c:v>40313.184027777781</c:v>
                </c:pt>
                <c:pt idx="3673">
                  <c:v>40313.18472222222</c:v>
                </c:pt>
                <c:pt idx="3674">
                  <c:v>40313.185416666667</c:v>
                </c:pt>
                <c:pt idx="3675">
                  <c:v>40313.186111111114</c:v>
                </c:pt>
                <c:pt idx="3676">
                  <c:v>40313.186805555553</c:v>
                </c:pt>
                <c:pt idx="3677">
                  <c:v>40313.1875</c:v>
                </c:pt>
                <c:pt idx="3678">
                  <c:v>40313.188194444447</c:v>
                </c:pt>
                <c:pt idx="3679">
                  <c:v>40313.188888888886</c:v>
                </c:pt>
                <c:pt idx="3680">
                  <c:v>40313.189583333333</c:v>
                </c:pt>
                <c:pt idx="3681">
                  <c:v>40313.19027777778</c:v>
                </c:pt>
                <c:pt idx="3682">
                  <c:v>40313.190972222219</c:v>
                </c:pt>
                <c:pt idx="3683">
                  <c:v>40313.191666666666</c:v>
                </c:pt>
                <c:pt idx="3684">
                  <c:v>40313.192361111112</c:v>
                </c:pt>
                <c:pt idx="3685">
                  <c:v>40313.193055555559</c:v>
                </c:pt>
                <c:pt idx="3686">
                  <c:v>40313.193749999999</c:v>
                </c:pt>
                <c:pt idx="3687">
                  <c:v>40313.194444444445</c:v>
                </c:pt>
                <c:pt idx="3688">
                  <c:v>40313.195138888892</c:v>
                </c:pt>
                <c:pt idx="3689">
                  <c:v>40313.195833333331</c:v>
                </c:pt>
                <c:pt idx="3690">
                  <c:v>40313.196527777778</c:v>
                </c:pt>
                <c:pt idx="3691">
                  <c:v>40313.197222222225</c:v>
                </c:pt>
                <c:pt idx="3692">
                  <c:v>40313.197916666664</c:v>
                </c:pt>
                <c:pt idx="3693">
                  <c:v>40313.198611111111</c:v>
                </c:pt>
                <c:pt idx="3694">
                  <c:v>40313.199305555558</c:v>
                </c:pt>
                <c:pt idx="3695">
                  <c:v>40313.199999999997</c:v>
                </c:pt>
                <c:pt idx="3696">
                  <c:v>40313.200694444444</c:v>
                </c:pt>
                <c:pt idx="3697">
                  <c:v>40313.201388888891</c:v>
                </c:pt>
                <c:pt idx="3698">
                  <c:v>40313.20208333333</c:v>
                </c:pt>
                <c:pt idx="3699">
                  <c:v>40313.202777777777</c:v>
                </c:pt>
                <c:pt idx="3700">
                  <c:v>40313.203472222223</c:v>
                </c:pt>
                <c:pt idx="3701">
                  <c:v>40313.20416666667</c:v>
                </c:pt>
                <c:pt idx="3702">
                  <c:v>40313.204861111109</c:v>
                </c:pt>
                <c:pt idx="3703">
                  <c:v>40313.205555555556</c:v>
                </c:pt>
                <c:pt idx="3704">
                  <c:v>40313.206250000003</c:v>
                </c:pt>
                <c:pt idx="3705">
                  <c:v>40313.206944444442</c:v>
                </c:pt>
                <c:pt idx="3706">
                  <c:v>40313.207638888889</c:v>
                </c:pt>
                <c:pt idx="3707">
                  <c:v>40313.208333333336</c:v>
                </c:pt>
                <c:pt idx="3708">
                  <c:v>40313.209027777775</c:v>
                </c:pt>
                <c:pt idx="3709">
                  <c:v>40313.209722222222</c:v>
                </c:pt>
                <c:pt idx="3710">
                  <c:v>40313.210416666669</c:v>
                </c:pt>
                <c:pt idx="3711">
                  <c:v>40313.211111111108</c:v>
                </c:pt>
                <c:pt idx="3712">
                  <c:v>40313.211805555555</c:v>
                </c:pt>
                <c:pt idx="3713">
                  <c:v>40313.212500000001</c:v>
                </c:pt>
                <c:pt idx="3714">
                  <c:v>40313.213194444441</c:v>
                </c:pt>
                <c:pt idx="3715">
                  <c:v>40313.213888888888</c:v>
                </c:pt>
                <c:pt idx="3716">
                  <c:v>40313.214583333334</c:v>
                </c:pt>
                <c:pt idx="3717">
                  <c:v>40313.215277777781</c:v>
                </c:pt>
                <c:pt idx="3718">
                  <c:v>40313.21597222222</c:v>
                </c:pt>
                <c:pt idx="3719">
                  <c:v>40313.216666666667</c:v>
                </c:pt>
                <c:pt idx="3720">
                  <c:v>40313.217361111114</c:v>
                </c:pt>
                <c:pt idx="3721">
                  <c:v>40313.218055555553</c:v>
                </c:pt>
                <c:pt idx="3722">
                  <c:v>40313.21875</c:v>
                </c:pt>
                <c:pt idx="3723">
                  <c:v>40313.219444444447</c:v>
                </c:pt>
                <c:pt idx="3724">
                  <c:v>40313.220138888886</c:v>
                </c:pt>
                <c:pt idx="3725">
                  <c:v>40313.220833333333</c:v>
                </c:pt>
                <c:pt idx="3726">
                  <c:v>40313.22152777778</c:v>
                </c:pt>
                <c:pt idx="3727">
                  <c:v>40313.222222222219</c:v>
                </c:pt>
                <c:pt idx="3728">
                  <c:v>40313.222916666666</c:v>
                </c:pt>
                <c:pt idx="3729">
                  <c:v>40313.223611111112</c:v>
                </c:pt>
                <c:pt idx="3730">
                  <c:v>40313.224305555559</c:v>
                </c:pt>
                <c:pt idx="3731">
                  <c:v>40313.224999999999</c:v>
                </c:pt>
                <c:pt idx="3732">
                  <c:v>40313.225694444445</c:v>
                </c:pt>
                <c:pt idx="3733">
                  <c:v>40313.226388888892</c:v>
                </c:pt>
                <c:pt idx="3734">
                  <c:v>40313.227083333331</c:v>
                </c:pt>
                <c:pt idx="3735">
                  <c:v>40313.227777777778</c:v>
                </c:pt>
                <c:pt idx="3736">
                  <c:v>40313.228472222225</c:v>
                </c:pt>
                <c:pt idx="3737">
                  <c:v>40313.229166666664</c:v>
                </c:pt>
                <c:pt idx="3738">
                  <c:v>40313.229861111111</c:v>
                </c:pt>
                <c:pt idx="3739">
                  <c:v>40313.230555555558</c:v>
                </c:pt>
                <c:pt idx="3740">
                  <c:v>40313.231249999997</c:v>
                </c:pt>
                <c:pt idx="3741">
                  <c:v>40313.231944444444</c:v>
                </c:pt>
                <c:pt idx="3742">
                  <c:v>40313.232638888891</c:v>
                </c:pt>
                <c:pt idx="3743">
                  <c:v>40313.23333333333</c:v>
                </c:pt>
                <c:pt idx="3744">
                  <c:v>40313.234027777777</c:v>
                </c:pt>
                <c:pt idx="3745">
                  <c:v>40313.234722222223</c:v>
                </c:pt>
                <c:pt idx="3746">
                  <c:v>40313.23541666667</c:v>
                </c:pt>
                <c:pt idx="3747">
                  <c:v>40313.236111111109</c:v>
                </c:pt>
                <c:pt idx="3748">
                  <c:v>40313.236805555556</c:v>
                </c:pt>
                <c:pt idx="3749">
                  <c:v>40313.237500000003</c:v>
                </c:pt>
                <c:pt idx="3750">
                  <c:v>40313.238194444442</c:v>
                </c:pt>
                <c:pt idx="3751">
                  <c:v>40313.238888888889</c:v>
                </c:pt>
                <c:pt idx="3752">
                  <c:v>40313.239583333336</c:v>
                </c:pt>
                <c:pt idx="3753">
                  <c:v>40313.240277777775</c:v>
                </c:pt>
                <c:pt idx="3754">
                  <c:v>40313.240972222222</c:v>
                </c:pt>
                <c:pt idx="3755">
                  <c:v>40313.241666666669</c:v>
                </c:pt>
                <c:pt idx="3756">
                  <c:v>40313.242361111108</c:v>
                </c:pt>
                <c:pt idx="3757">
                  <c:v>40313.243055555555</c:v>
                </c:pt>
                <c:pt idx="3758">
                  <c:v>40313.243750000001</c:v>
                </c:pt>
                <c:pt idx="3759">
                  <c:v>40313.244444444441</c:v>
                </c:pt>
                <c:pt idx="3760">
                  <c:v>40313.245138888888</c:v>
                </c:pt>
                <c:pt idx="3761">
                  <c:v>40313.245833333334</c:v>
                </c:pt>
                <c:pt idx="3762">
                  <c:v>40313.246527777781</c:v>
                </c:pt>
                <c:pt idx="3763">
                  <c:v>40313.24722222222</c:v>
                </c:pt>
                <c:pt idx="3764">
                  <c:v>40313.247916666667</c:v>
                </c:pt>
                <c:pt idx="3765">
                  <c:v>40313.248611111114</c:v>
                </c:pt>
                <c:pt idx="3766">
                  <c:v>40313.249305555553</c:v>
                </c:pt>
                <c:pt idx="3767">
                  <c:v>40313.25</c:v>
                </c:pt>
                <c:pt idx="3768">
                  <c:v>40313.250694444447</c:v>
                </c:pt>
                <c:pt idx="3769">
                  <c:v>40313.251388888886</c:v>
                </c:pt>
                <c:pt idx="3770">
                  <c:v>40313.252083333333</c:v>
                </c:pt>
                <c:pt idx="3771">
                  <c:v>40313.25277777778</c:v>
                </c:pt>
                <c:pt idx="3772">
                  <c:v>40313.253472222219</c:v>
                </c:pt>
                <c:pt idx="3773">
                  <c:v>40313.254166666666</c:v>
                </c:pt>
                <c:pt idx="3774">
                  <c:v>40313.254861111112</c:v>
                </c:pt>
                <c:pt idx="3775">
                  <c:v>40313.255555555559</c:v>
                </c:pt>
                <c:pt idx="3776">
                  <c:v>40313.256249999999</c:v>
                </c:pt>
                <c:pt idx="3777">
                  <c:v>40313.256944444445</c:v>
                </c:pt>
                <c:pt idx="3778">
                  <c:v>40313.257638888892</c:v>
                </c:pt>
                <c:pt idx="3779">
                  <c:v>40313.258333333331</c:v>
                </c:pt>
                <c:pt idx="3780">
                  <c:v>40313.259027777778</c:v>
                </c:pt>
                <c:pt idx="3781">
                  <c:v>40313.259722222225</c:v>
                </c:pt>
                <c:pt idx="3782">
                  <c:v>40313.260416666664</c:v>
                </c:pt>
                <c:pt idx="3783">
                  <c:v>40313.261111111111</c:v>
                </c:pt>
                <c:pt idx="3784">
                  <c:v>40313.261805555558</c:v>
                </c:pt>
                <c:pt idx="3785">
                  <c:v>40313.262499999997</c:v>
                </c:pt>
                <c:pt idx="3786">
                  <c:v>40313.263194444444</c:v>
                </c:pt>
                <c:pt idx="3787">
                  <c:v>40313.263888888891</c:v>
                </c:pt>
                <c:pt idx="3788">
                  <c:v>40313.26458333333</c:v>
                </c:pt>
                <c:pt idx="3789">
                  <c:v>40313.265277777777</c:v>
                </c:pt>
                <c:pt idx="3790">
                  <c:v>40313.265972222223</c:v>
                </c:pt>
                <c:pt idx="3791">
                  <c:v>40313.26666666667</c:v>
                </c:pt>
                <c:pt idx="3792">
                  <c:v>40313.267361111109</c:v>
                </c:pt>
                <c:pt idx="3793">
                  <c:v>40313.268055555556</c:v>
                </c:pt>
                <c:pt idx="3794">
                  <c:v>40313.268750000003</c:v>
                </c:pt>
                <c:pt idx="3795">
                  <c:v>40313.269444444442</c:v>
                </c:pt>
                <c:pt idx="3796">
                  <c:v>40313.270138888889</c:v>
                </c:pt>
                <c:pt idx="3797">
                  <c:v>40313.270833333336</c:v>
                </c:pt>
                <c:pt idx="3798">
                  <c:v>40313.271527777775</c:v>
                </c:pt>
                <c:pt idx="3799">
                  <c:v>40313.272222222222</c:v>
                </c:pt>
                <c:pt idx="3800">
                  <c:v>40313.272916666669</c:v>
                </c:pt>
                <c:pt idx="3801">
                  <c:v>40313.273611111108</c:v>
                </c:pt>
                <c:pt idx="3802">
                  <c:v>40313.274305555555</c:v>
                </c:pt>
                <c:pt idx="3803">
                  <c:v>40313.275000000001</c:v>
                </c:pt>
                <c:pt idx="3804">
                  <c:v>40313.275694444441</c:v>
                </c:pt>
                <c:pt idx="3805">
                  <c:v>40313.276388888888</c:v>
                </c:pt>
                <c:pt idx="3806">
                  <c:v>40313.277083333334</c:v>
                </c:pt>
                <c:pt idx="3807">
                  <c:v>40313.277777777781</c:v>
                </c:pt>
                <c:pt idx="3808">
                  <c:v>40313.27847222222</c:v>
                </c:pt>
                <c:pt idx="3809">
                  <c:v>40313.279166666667</c:v>
                </c:pt>
                <c:pt idx="3810">
                  <c:v>40313.279861111114</c:v>
                </c:pt>
                <c:pt idx="3811">
                  <c:v>40313.280555555553</c:v>
                </c:pt>
                <c:pt idx="3812">
                  <c:v>40313.28125</c:v>
                </c:pt>
                <c:pt idx="3813">
                  <c:v>40313.281944444447</c:v>
                </c:pt>
                <c:pt idx="3814">
                  <c:v>40313.282638888886</c:v>
                </c:pt>
                <c:pt idx="3815">
                  <c:v>40313.283333333333</c:v>
                </c:pt>
                <c:pt idx="3816">
                  <c:v>40313.28402777778</c:v>
                </c:pt>
                <c:pt idx="3817">
                  <c:v>40313.284722222219</c:v>
                </c:pt>
                <c:pt idx="3818">
                  <c:v>40313.285416666666</c:v>
                </c:pt>
                <c:pt idx="3819">
                  <c:v>40313.286111111112</c:v>
                </c:pt>
                <c:pt idx="3820">
                  <c:v>40313.286805555559</c:v>
                </c:pt>
                <c:pt idx="3821">
                  <c:v>40313.287499999999</c:v>
                </c:pt>
                <c:pt idx="3822">
                  <c:v>40313.288194444445</c:v>
                </c:pt>
                <c:pt idx="3823">
                  <c:v>40313.288888888892</c:v>
                </c:pt>
                <c:pt idx="3824">
                  <c:v>40313.289583333331</c:v>
                </c:pt>
                <c:pt idx="3825">
                  <c:v>40313.290277777778</c:v>
                </c:pt>
                <c:pt idx="3826">
                  <c:v>40313.290972222225</c:v>
                </c:pt>
                <c:pt idx="3827">
                  <c:v>40313.291666666664</c:v>
                </c:pt>
                <c:pt idx="3828">
                  <c:v>40313.292361111111</c:v>
                </c:pt>
                <c:pt idx="3829">
                  <c:v>40313.293055555558</c:v>
                </c:pt>
                <c:pt idx="3830">
                  <c:v>40313.293749999997</c:v>
                </c:pt>
                <c:pt idx="3831">
                  <c:v>40313.294444444444</c:v>
                </c:pt>
                <c:pt idx="3832">
                  <c:v>40313.295138888891</c:v>
                </c:pt>
                <c:pt idx="3833">
                  <c:v>40313.29583333333</c:v>
                </c:pt>
                <c:pt idx="3834">
                  <c:v>40313.296527777777</c:v>
                </c:pt>
                <c:pt idx="3835">
                  <c:v>40313.297222222223</c:v>
                </c:pt>
                <c:pt idx="3836">
                  <c:v>40313.29791666667</c:v>
                </c:pt>
                <c:pt idx="3837">
                  <c:v>40313.298611111109</c:v>
                </c:pt>
                <c:pt idx="3838">
                  <c:v>40313.299305555556</c:v>
                </c:pt>
                <c:pt idx="3839">
                  <c:v>40313.300000000003</c:v>
                </c:pt>
                <c:pt idx="3840">
                  <c:v>40313.300694444442</c:v>
                </c:pt>
                <c:pt idx="3841">
                  <c:v>40313.301388888889</c:v>
                </c:pt>
                <c:pt idx="3842">
                  <c:v>40313.302083333336</c:v>
                </c:pt>
                <c:pt idx="3843">
                  <c:v>40313.302777777775</c:v>
                </c:pt>
                <c:pt idx="3844">
                  <c:v>40313.303472222222</c:v>
                </c:pt>
                <c:pt idx="3845">
                  <c:v>40313.304166666669</c:v>
                </c:pt>
                <c:pt idx="3846">
                  <c:v>40313.304861111108</c:v>
                </c:pt>
                <c:pt idx="3847">
                  <c:v>40313.305555555555</c:v>
                </c:pt>
                <c:pt idx="3848">
                  <c:v>40313.306250000001</c:v>
                </c:pt>
                <c:pt idx="3849">
                  <c:v>40313.306944444441</c:v>
                </c:pt>
                <c:pt idx="3850">
                  <c:v>40313.307638888888</c:v>
                </c:pt>
                <c:pt idx="3851">
                  <c:v>40313.308333333334</c:v>
                </c:pt>
                <c:pt idx="3852">
                  <c:v>40313.309027777781</c:v>
                </c:pt>
                <c:pt idx="3853">
                  <c:v>40313.30972222222</c:v>
                </c:pt>
                <c:pt idx="3854">
                  <c:v>40313.310416666667</c:v>
                </c:pt>
                <c:pt idx="3855">
                  <c:v>40313.311111111114</c:v>
                </c:pt>
                <c:pt idx="3856">
                  <c:v>40313.311805555553</c:v>
                </c:pt>
                <c:pt idx="3857">
                  <c:v>40313.3125</c:v>
                </c:pt>
                <c:pt idx="3858">
                  <c:v>40313.313194444447</c:v>
                </c:pt>
                <c:pt idx="3859">
                  <c:v>40313.313888888886</c:v>
                </c:pt>
                <c:pt idx="3860">
                  <c:v>40313.314583333333</c:v>
                </c:pt>
                <c:pt idx="3861">
                  <c:v>40313.31527777778</c:v>
                </c:pt>
                <c:pt idx="3862">
                  <c:v>40313.315972222219</c:v>
                </c:pt>
                <c:pt idx="3863">
                  <c:v>40313.316666666666</c:v>
                </c:pt>
                <c:pt idx="3864">
                  <c:v>40313.317361111112</c:v>
                </c:pt>
                <c:pt idx="3865">
                  <c:v>40313.318055555559</c:v>
                </c:pt>
                <c:pt idx="3866">
                  <c:v>40313.318749999999</c:v>
                </c:pt>
                <c:pt idx="3867">
                  <c:v>40313.319444444445</c:v>
                </c:pt>
                <c:pt idx="3868">
                  <c:v>40313.320138888892</c:v>
                </c:pt>
                <c:pt idx="3869">
                  <c:v>40313.320833333331</c:v>
                </c:pt>
                <c:pt idx="3870">
                  <c:v>40313.321527777778</c:v>
                </c:pt>
                <c:pt idx="3871">
                  <c:v>40313.322222222225</c:v>
                </c:pt>
                <c:pt idx="3872">
                  <c:v>40313.322916666664</c:v>
                </c:pt>
                <c:pt idx="3873">
                  <c:v>40313.323611111111</c:v>
                </c:pt>
                <c:pt idx="3874">
                  <c:v>40313.324305555558</c:v>
                </c:pt>
                <c:pt idx="3875">
                  <c:v>40313.324999999997</c:v>
                </c:pt>
                <c:pt idx="3876">
                  <c:v>40313.325694444444</c:v>
                </c:pt>
                <c:pt idx="3877">
                  <c:v>40313.326388888891</c:v>
                </c:pt>
                <c:pt idx="3878">
                  <c:v>40313.32708333333</c:v>
                </c:pt>
                <c:pt idx="3879">
                  <c:v>40313.327777777777</c:v>
                </c:pt>
                <c:pt idx="3880">
                  <c:v>40313.328472222223</c:v>
                </c:pt>
                <c:pt idx="3881">
                  <c:v>40313.32916666667</c:v>
                </c:pt>
                <c:pt idx="3882">
                  <c:v>40313.329861111109</c:v>
                </c:pt>
                <c:pt idx="3883">
                  <c:v>40313.330555555556</c:v>
                </c:pt>
                <c:pt idx="3884">
                  <c:v>40313.331250000003</c:v>
                </c:pt>
                <c:pt idx="3885">
                  <c:v>40313.331944444442</c:v>
                </c:pt>
                <c:pt idx="3886">
                  <c:v>40313.332638888889</c:v>
                </c:pt>
                <c:pt idx="3887">
                  <c:v>40313.333333333336</c:v>
                </c:pt>
                <c:pt idx="3888">
                  <c:v>40313.334027777775</c:v>
                </c:pt>
                <c:pt idx="3889">
                  <c:v>40313.334722222222</c:v>
                </c:pt>
                <c:pt idx="3890">
                  <c:v>40313.335416666669</c:v>
                </c:pt>
                <c:pt idx="3891">
                  <c:v>40313.336111111108</c:v>
                </c:pt>
                <c:pt idx="3892">
                  <c:v>40313.336805555555</c:v>
                </c:pt>
                <c:pt idx="3893">
                  <c:v>40313.337500000001</c:v>
                </c:pt>
                <c:pt idx="3894">
                  <c:v>40313.338194444441</c:v>
                </c:pt>
                <c:pt idx="3895">
                  <c:v>40313.338888888888</c:v>
                </c:pt>
                <c:pt idx="3896">
                  <c:v>40313.339583333334</c:v>
                </c:pt>
                <c:pt idx="3897">
                  <c:v>40313.340277777781</c:v>
                </c:pt>
                <c:pt idx="3898">
                  <c:v>40313.34097222222</c:v>
                </c:pt>
                <c:pt idx="3899">
                  <c:v>40313.341666666667</c:v>
                </c:pt>
                <c:pt idx="3900">
                  <c:v>40313.342361111114</c:v>
                </c:pt>
                <c:pt idx="3901">
                  <c:v>40313.343055555553</c:v>
                </c:pt>
                <c:pt idx="3902">
                  <c:v>40313.34375</c:v>
                </c:pt>
                <c:pt idx="3903">
                  <c:v>40313.344444444447</c:v>
                </c:pt>
                <c:pt idx="3904">
                  <c:v>40313.345138888886</c:v>
                </c:pt>
                <c:pt idx="3905">
                  <c:v>40313.345833333333</c:v>
                </c:pt>
                <c:pt idx="3906">
                  <c:v>40313.34652777778</c:v>
                </c:pt>
                <c:pt idx="3907">
                  <c:v>40313.347222222219</c:v>
                </c:pt>
                <c:pt idx="3908">
                  <c:v>40313.347916666666</c:v>
                </c:pt>
                <c:pt idx="3909">
                  <c:v>40313.348611111112</c:v>
                </c:pt>
                <c:pt idx="3910">
                  <c:v>40313.349305555559</c:v>
                </c:pt>
                <c:pt idx="3911">
                  <c:v>40313.35</c:v>
                </c:pt>
                <c:pt idx="3912">
                  <c:v>40313.350694444445</c:v>
                </c:pt>
                <c:pt idx="3913">
                  <c:v>40313.351388888892</c:v>
                </c:pt>
                <c:pt idx="3914">
                  <c:v>40313.352083333331</c:v>
                </c:pt>
                <c:pt idx="3915">
                  <c:v>40313.352777777778</c:v>
                </c:pt>
                <c:pt idx="3916">
                  <c:v>40313.353472222225</c:v>
                </c:pt>
                <c:pt idx="3917">
                  <c:v>40313.354166666664</c:v>
                </c:pt>
                <c:pt idx="3918">
                  <c:v>40313.354861111111</c:v>
                </c:pt>
                <c:pt idx="3919">
                  <c:v>40313.355555555558</c:v>
                </c:pt>
                <c:pt idx="3920">
                  <c:v>40313.356249999997</c:v>
                </c:pt>
                <c:pt idx="3921">
                  <c:v>40313.356944444444</c:v>
                </c:pt>
                <c:pt idx="3922">
                  <c:v>40313.357638888891</c:v>
                </c:pt>
                <c:pt idx="3923">
                  <c:v>40313.35833333333</c:v>
                </c:pt>
                <c:pt idx="3924">
                  <c:v>40313.359027777777</c:v>
                </c:pt>
                <c:pt idx="3925">
                  <c:v>40313.359722222223</c:v>
                </c:pt>
                <c:pt idx="3926">
                  <c:v>40313.36041666667</c:v>
                </c:pt>
                <c:pt idx="3927">
                  <c:v>40313.361111111109</c:v>
                </c:pt>
                <c:pt idx="3928">
                  <c:v>40313.361805555556</c:v>
                </c:pt>
                <c:pt idx="3929">
                  <c:v>40313.362500000003</c:v>
                </c:pt>
                <c:pt idx="3930">
                  <c:v>40313.363194444442</c:v>
                </c:pt>
                <c:pt idx="3931">
                  <c:v>40313.363888888889</c:v>
                </c:pt>
                <c:pt idx="3932">
                  <c:v>40313.364583333336</c:v>
                </c:pt>
                <c:pt idx="3933">
                  <c:v>40313.365277777775</c:v>
                </c:pt>
                <c:pt idx="3934">
                  <c:v>40313.365972222222</c:v>
                </c:pt>
                <c:pt idx="3935">
                  <c:v>40313.366666666669</c:v>
                </c:pt>
                <c:pt idx="3936">
                  <c:v>40313.367361111108</c:v>
                </c:pt>
                <c:pt idx="3937">
                  <c:v>40313.368055555555</c:v>
                </c:pt>
                <c:pt idx="3938">
                  <c:v>40313.368750000001</c:v>
                </c:pt>
                <c:pt idx="3939">
                  <c:v>40313.369444444441</c:v>
                </c:pt>
                <c:pt idx="3940">
                  <c:v>40313.370138888888</c:v>
                </c:pt>
                <c:pt idx="3941">
                  <c:v>40313.370833333334</c:v>
                </c:pt>
                <c:pt idx="3942">
                  <c:v>40313.371527777781</c:v>
                </c:pt>
                <c:pt idx="3943">
                  <c:v>40313.37222222222</c:v>
                </c:pt>
                <c:pt idx="3944">
                  <c:v>40313.372916666667</c:v>
                </c:pt>
                <c:pt idx="3945">
                  <c:v>40313.373611111114</c:v>
                </c:pt>
                <c:pt idx="3946">
                  <c:v>40313.374305555553</c:v>
                </c:pt>
                <c:pt idx="3947">
                  <c:v>40313.375</c:v>
                </c:pt>
                <c:pt idx="3948">
                  <c:v>40313.375694444447</c:v>
                </c:pt>
                <c:pt idx="3949">
                  <c:v>40313.376388888886</c:v>
                </c:pt>
                <c:pt idx="3950">
                  <c:v>40313.377083333333</c:v>
                </c:pt>
                <c:pt idx="3951">
                  <c:v>40313.37777777778</c:v>
                </c:pt>
                <c:pt idx="3952">
                  <c:v>40313.378472222219</c:v>
                </c:pt>
                <c:pt idx="3953">
                  <c:v>40313.379166666666</c:v>
                </c:pt>
                <c:pt idx="3954">
                  <c:v>40313.379861111112</c:v>
                </c:pt>
                <c:pt idx="3955">
                  <c:v>40313.380555555559</c:v>
                </c:pt>
                <c:pt idx="3956">
                  <c:v>40313.381249999999</c:v>
                </c:pt>
                <c:pt idx="3957">
                  <c:v>40313.381944444445</c:v>
                </c:pt>
                <c:pt idx="3958">
                  <c:v>40313.382638888892</c:v>
                </c:pt>
                <c:pt idx="3959">
                  <c:v>40313.383333333331</c:v>
                </c:pt>
                <c:pt idx="3960">
                  <c:v>40313.384027777778</c:v>
                </c:pt>
                <c:pt idx="3961">
                  <c:v>40313.384722222225</c:v>
                </c:pt>
                <c:pt idx="3962">
                  <c:v>40313.385416666664</c:v>
                </c:pt>
                <c:pt idx="3963">
                  <c:v>40313.386111111111</c:v>
                </c:pt>
                <c:pt idx="3964">
                  <c:v>40313.386805555558</c:v>
                </c:pt>
                <c:pt idx="3965">
                  <c:v>40313.387499999997</c:v>
                </c:pt>
                <c:pt idx="3966">
                  <c:v>40313.388194444444</c:v>
                </c:pt>
                <c:pt idx="3967">
                  <c:v>40313.388888888891</c:v>
                </c:pt>
                <c:pt idx="3968">
                  <c:v>40313.38958333333</c:v>
                </c:pt>
                <c:pt idx="3969">
                  <c:v>40313.390277777777</c:v>
                </c:pt>
                <c:pt idx="3970">
                  <c:v>40313.390972222223</c:v>
                </c:pt>
                <c:pt idx="3971">
                  <c:v>40313.39166666667</c:v>
                </c:pt>
                <c:pt idx="3972">
                  <c:v>40313.392361111109</c:v>
                </c:pt>
                <c:pt idx="3973">
                  <c:v>40313.393055555556</c:v>
                </c:pt>
                <c:pt idx="3974">
                  <c:v>40313.393750000003</c:v>
                </c:pt>
                <c:pt idx="3975">
                  <c:v>40313.394444444442</c:v>
                </c:pt>
                <c:pt idx="3976">
                  <c:v>40313.395138888889</c:v>
                </c:pt>
                <c:pt idx="3977">
                  <c:v>40313.395833333336</c:v>
                </c:pt>
                <c:pt idx="3978">
                  <c:v>40313.396527777775</c:v>
                </c:pt>
                <c:pt idx="3979">
                  <c:v>40313.397222222222</c:v>
                </c:pt>
                <c:pt idx="3980">
                  <c:v>40313.397916666669</c:v>
                </c:pt>
                <c:pt idx="3981">
                  <c:v>40313.398611111108</c:v>
                </c:pt>
                <c:pt idx="3982">
                  <c:v>40313.399305555555</c:v>
                </c:pt>
                <c:pt idx="3983">
                  <c:v>40313.4</c:v>
                </c:pt>
                <c:pt idx="3984">
                  <c:v>40313.400694444441</c:v>
                </c:pt>
                <c:pt idx="3985">
                  <c:v>40313.401388888888</c:v>
                </c:pt>
                <c:pt idx="3986">
                  <c:v>40313.402083333334</c:v>
                </c:pt>
                <c:pt idx="3987">
                  <c:v>40313.402777777781</c:v>
                </c:pt>
                <c:pt idx="3988">
                  <c:v>40313.40347222222</c:v>
                </c:pt>
                <c:pt idx="3989">
                  <c:v>40313.404166666667</c:v>
                </c:pt>
                <c:pt idx="3990">
                  <c:v>40313.404861111114</c:v>
                </c:pt>
                <c:pt idx="3991">
                  <c:v>40313.405555555553</c:v>
                </c:pt>
                <c:pt idx="3992">
                  <c:v>40313.40625</c:v>
                </c:pt>
                <c:pt idx="3993">
                  <c:v>40313.406944444447</c:v>
                </c:pt>
                <c:pt idx="3994">
                  <c:v>40313.407638888886</c:v>
                </c:pt>
                <c:pt idx="3995">
                  <c:v>40313.408333333333</c:v>
                </c:pt>
                <c:pt idx="3996">
                  <c:v>40313.40902777778</c:v>
                </c:pt>
                <c:pt idx="3997">
                  <c:v>40313.409722222219</c:v>
                </c:pt>
                <c:pt idx="3998">
                  <c:v>40313.410416666666</c:v>
                </c:pt>
                <c:pt idx="3999">
                  <c:v>40313.411111111112</c:v>
                </c:pt>
                <c:pt idx="4000">
                  <c:v>40313.411805555559</c:v>
                </c:pt>
                <c:pt idx="4001">
                  <c:v>40313.412499999999</c:v>
                </c:pt>
                <c:pt idx="4002">
                  <c:v>40313.413194444445</c:v>
                </c:pt>
                <c:pt idx="4003">
                  <c:v>40313.413888888892</c:v>
                </c:pt>
                <c:pt idx="4004">
                  <c:v>40313.414583333331</c:v>
                </c:pt>
                <c:pt idx="4005">
                  <c:v>40313.415277777778</c:v>
                </c:pt>
                <c:pt idx="4006">
                  <c:v>40313.415972222225</c:v>
                </c:pt>
                <c:pt idx="4007">
                  <c:v>40313.416666666664</c:v>
                </c:pt>
                <c:pt idx="4008">
                  <c:v>40313.417361111111</c:v>
                </c:pt>
                <c:pt idx="4009">
                  <c:v>40313.418055555558</c:v>
                </c:pt>
                <c:pt idx="4010">
                  <c:v>40313.418749999997</c:v>
                </c:pt>
                <c:pt idx="4011">
                  <c:v>40313.419444444444</c:v>
                </c:pt>
                <c:pt idx="4012">
                  <c:v>40313.420138888891</c:v>
                </c:pt>
                <c:pt idx="4013">
                  <c:v>40313.42083333333</c:v>
                </c:pt>
                <c:pt idx="4014">
                  <c:v>40313.421527777777</c:v>
                </c:pt>
                <c:pt idx="4015">
                  <c:v>40313.422222222223</c:v>
                </c:pt>
                <c:pt idx="4016">
                  <c:v>40313.42291666667</c:v>
                </c:pt>
                <c:pt idx="4017">
                  <c:v>40313.423611111109</c:v>
                </c:pt>
                <c:pt idx="4018">
                  <c:v>40313.424305555556</c:v>
                </c:pt>
                <c:pt idx="4019">
                  <c:v>40313.425000000003</c:v>
                </c:pt>
                <c:pt idx="4020">
                  <c:v>40313.425694444442</c:v>
                </c:pt>
                <c:pt idx="4021">
                  <c:v>40313.426388888889</c:v>
                </c:pt>
                <c:pt idx="4022">
                  <c:v>40313.427083333336</c:v>
                </c:pt>
                <c:pt idx="4023">
                  <c:v>40313.427777777775</c:v>
                </c:pt>
                <c:pt idx="4024">
                  <c:v>40313.428472222222</c:v>
                </c:pt>
                <c:pt idx="4025">
                  <c:v>40313.429166666669</c:v>
                </c:pt>
                <c:pt idx="4026">
                  <c:v>40313.429861111108</c:v>
                </c:pt>
                <c:pt idx="4027">
                  <c:v>40313.430555555555</c:v>
                </c:pt>
                <c:pt idx="4028">
                  <c:v>40313.431250000001</c:v>
                </c:pt>
                <c:pt idx="4029">
                  <c:v>40313.431944444441</c:v>
                </c:pt>
                <c:pt idx="4030">
                  <c:v>40313.432638888888</c:v>
                </c:pt>
                <c:pt idx="4031">
                  <c:v>40313.433333333334</c:v>
                </c:pt>
                <c:pt idx="4032">
                  <c:v>40313.434027777781</c:v>
                </c:pt>
                <c:pt idx="4033">
                  <c:v>40313.43472222222</c:v>
                </c:pt>
                <c:pt idx="4034">
                  <c:v>40313.435416666667</c:v>
                </c:pt>
                <c:pt idx="4035">
                  <c:v>40313.436111111114</c:v>
                </c:pt>
                <c:pt idx="4036">
                  <c:v>40313.436805555553</c:v>
                </c:pt>
                <c:pt idx="4037">
                  <c:v>40313.4375</c:v>
                </c:pt>
                <c:pt idx="4038">
                  <c:v>40313.438194444447</c:v>
                </c:pt>
                <c:pt idx="4039">
                  <c:v>40313.438888888886</c:v>
                </c:pt>
                <c:pt idx="4040">
                  <c:v>40313.439583333333</c:v>
                </c:pt>
                <c:pt idx="4041">
                  <c:v>40313.44027777778</c:v>
                </c:pt>
                <c:pt idx="4042">
                  <c:v>40313.440972222219</c:v>
                </c:pt>
                <c:pt idx="4043">
                  <c:v>40313.441666666666</c:v>
                </c:pt>
                <c:pt idx="4044">
                  <c:v>40313.442361111112</c:v>
                </c:pt>
                <c:pt idx="4045">
                  <c:v>40313.443055555559</c:v>
                </c:pt>
                <c:pt idx="4046">
                  <c:v>40313.443749999999</c:v>
                </c:pt>
                <c:pt idx="4047">
                  <c:v>40313.444444444445</c:v>
                </c:pt>
                <c:pt idx="4048">
                  <c:v>40313.445138888892</c:v>
                </c:pt>
                <c:pt idx="4049">
                  <c:v>40313.445833333331</c:v>
                </c:pt>
                <c:pt idx="4050">
                  <c:v>40313.446527777778</c:v>
                </c:pt>
                <c:pt idx="4051">
                  <c:v>40313.447222222225</c:v>
                </c:pt>
                <c:pt idx="4052">
                  <c:v>40313.447916666664</c:v>
                </c:pt>
                <c:pt idx="4053">
                  <c:v>40313.448611111111</c:v>
                </c:pt>
                <c:pt idx="4054">
                  <c:v>40313.449305555558</c:v>
                </c:pt>
                <c:pt idx="4055">
                  <c:v>40313.449999999997</c:v>
                </c:pt>
                <c:pt idx="4056">
                  <c:v>40313.450694444444</c:v>
                </c:pt>
                <c:pt idx="4057">
                  <c:v>40313.451388888891</c:v>
                </c:pt>
                <c:pt idx="4058">
                  <c:v>40313.45208333333</c:v>
                </c:pt>
                <c:pt idx="4059">
                  <c:v>40313.452777777777</c:v>
                </c:pt>
                <c:pt idx="4060">
                  <c:v>40313.453472222223</c:v>
                </c:pt>
                <c:pt idx="4061">
                  <c:v>40313.45416666667</c:v>
                </c:pt>
                <c:pt idx="4062">
                  <c:v>40313.454861111109</c:v>
                </c:pt>
                <c:pt idx="4063">
                  <c:v>40313.455555555556</c:v>
                </c:pt>
                <c:pt idx="4064">
                  <c:v>40313.456250000003</c:v>
                </c:pt>
                <c:pt idx="4065">
                  <c:v>40313.456944444442</c:v>
                </c:pt>
                <c:pt idx="4066">
                  <c:v>40313.457638888889</c:v>
                </c:pt>
                <c:pt idx="4067">
                  <c:v>40313.458333333336</c:v>
                </c:pt>
                <c:pt idx="4068">
                  <c:v>40313.459027777775</c:v>
                </c:pt>
                <c:pt idx="4069">
                  <c:v>40313.459722222222</c:v>
                </c:pt>
                <c:pt idx="4070">
                  <c:v>40313.460416666669</c:v>
                </c:pt>
                <c:pt idx="4071">
                  <c:v>40313.461111111108</c:v>
                </c:pt>
                <c:pt idx="4072">
                  <c:v>40313.461805555555</c:v>
                </c:pt>
                <c:pt idx="4073">
                  <c:v>40313.462500000001</c:v>
                </c:pt>
                <c:pt idx="4074">
                  <c:v>40313.463194444441</c:v>
                </c:pt>
                <c:pt idx="4075">
                  <c:v>40313.463888888888</c:v>
                </c:pt>
                <c:pt idx="4076">
                  <c:v>40313.464583333334</c:v>
                </c:pt>
                <c:pt idx="4077">
                  <c:v>40313.465277777781</c:v>
                </c:pt>
                <c:pt idx="4078">
                  <c:v>40313.46597222222</c:v>
                </c:pt>
                <c:pt idx="4079">
                  <c:v>40313.466666666667</c:v>
                </c:pt>
                <c:pt idx="4080">
                  <c:v>40313.467361111114</c:v>
                </c:pt>
                <c:pt idx="4081">
                  <c:v>40313.468055555553</c:v>
                </c:pt>
                <c:pt idx="4082">
                  <c:v>40313.46875</c:v>
                </c:pt>
                <c:pt idx="4083">
                  <c:v>40313.469444444447</c:v>
                </c:pt>
                <c:pt idx="4084">
                  <c:v>40313.470138888886</c:v>
                </c:pt>
                <c:pt idx="4085">
                  <c:v>40313.470833333333</c:v>
                </c:pt>
                <c:pt idx="4086">
                  <c:v>40313.47152777778</c:v>
                </c:pt>
                <c:pt idx="4087">
                  <c:v>40313.472222222219</c:v>
                </c:pt>
                <c:pt idx="4088">
                  <c:v>40313.472916666666</c:v>
                </c:pt>
                <c:pt idx="4089">
                  <c:v>40313.473611111112</c:v>
                </c:pt>
                <c:pt idx="4090">
                  <c:v>40313.474305555559</c:v>
                </c:pt>
                <c:pt idx="4091">
                  <c:v>40313.474999999999</c:v>
                </c:pt>
                <c:pt idx="4092">
                  <c:v>40313.475694444445</c:v>
                </c:pt>
                <c:pt idx="4093">
                  <c:v>40313.476388888892</c:v>
                </c:pt>
                <c:pt idx="4094">
                  <c:v>40313.477083333331</c:v>
                </c:pt>
                <c:pt idx="4095">
                  <c:v>40313.477777777778</c:v>
                </c:pt>
                <c:pt idx="4096">
                  <c:v>40313.478472222225</c:v>
                </c:pt>
                <c:pt idx="4097">
                  <c:v>40313.479166666664</c:v>
                </c:pt>
                <c:pt idx="4098">
                  <c:v>40313.479861111111</c:v>
                </c:pt>
                <c:pt idx="4099">
                  <c:v>40313.480555555558</c:v>
                </c:pt>
                <c:pt idx="4100">
                  <c:v>40313.481249999997</c:v>
                </c:pt>
                <c:pt idx="4101">
                  <c:v>40313.481944444444</c:v>
                </c:pt>
                <c:pt idx="4102">
                  <c:v>40313.482638888891</c:v>
                </c:pt>
                <c:pt idx="4103">
                  <c:v>40313.48333333333</c:v>
                </c:pt>
                <c:pt idx="4104">
                  <c:v>40313.484027777777</c:v>
                </c:pt>
                <c:pt idx="4105">
                  <c:v>40313.484722222223</c:v>
                </c:pt>
                <c:pt idx="4106">
                  <c:v>40313.48541666667</c:v>
                </c:pt>
                <c:pt idx="4107">
                  <c:v>40313.486111111109</c:v>
                </c:pt>
                <c:pt idx="4108">
                  <c:v>40313.486805555556</c:v>
                </c:pt>
                <c:pt idx="4109">
                  <c:v>40313.487500000003</c:v>
                </c:pt>
                <c:pt idx="4110">
                  <c:v>40313.488194444442</c:v>
                </c:pt>
                <c:pt idx="4111">
                  <c:v>40313.488888888889</c:v>
                </c:pt>
                <c:pt idx="4112">
                  <c:v>40313.489583333336</c:v>
                </c:pt>
                <c:pt idx="4113">
                  <c:v>40313.490277777775</c:v>
                </c:pt>
                <c:pt idx="4114">
                  <c:v>40313.490972222222</c:v>
                </c:pt>
                <c:pt idx="4115">
                  <c:v>40313.491666666669</c:v>
                </c:pt>
                <c:pt idx="4116">
                  <c:v>40313.492361111108</c:v>
                </c:pt>
                <c:pt idx="4117">
                  <c:v>40313.493055555555</c:v>
                </c:pt>
                <c:pt idx="4118">
                  <c:v>40313.493750000001</c:v>
                </c:pt>
                <c:pt idx="4119">
                  <c:v>40313.494444444441</c:v>
                </c:pt>
                <c:pt idx="4120">
                  <c:v>40313.495138888888</c:v>
                </c:pt>
                <c:pt idx="4121">
                  <c:v>40313.495833333334</c:v>
                </c:pt>
                <c:pt idx="4122">
                  <c:v>40313.496527777781</c:v>
                </c:pt>
                <c:pt idx="4123">
                  <c:v>40313.49722222222</c:v>
                </c:pt>
                <c:pt idx="4124">
                  <c:v>40313.497916666667</c:v>
                </c:pt>
                <c:pt idx="4125">
                  <c:v>40313.498611111114</c:v>
                </c:pt>
                <c:pt idx="4126">
                  <c:v>40313.499305555553</c:v>
                </c:pt>
                <c:pt idx="4127">
                  <c:v>40313.5</c:v>
                </c:pt>
                <c:pt idx="4128">
                  <c:v>40313.500694444447</c:v>
                </c:pt>
                <c:pt idx="4129">
                  <c:v>40313.501388888886</c:v>
                </c:pt>
                <c:pt idx="4130">
                  <c:v>40313.502083333333</c:v>
                </c:pt>
                <c:pt idx="4131">
                  <c:v>40313.50277777778</c:v>
                </c:pt>
                <c:pt idx="4132">
                  <c:v>40313.503472222219</c:v>
                </c:pt>
                <c:pt idx="4133">
                  <c:v>40313.504166666666</c:v>
                </c:pt>
                <c:pt idx="4134">
                  <c:v>40313.504861111112</c:v>
                </c:pt>
                <c:pt idx="4135">
                  <c:v>40313.505555555559</c:v>
                </c:pt>
                <c:pt idx="4136">
                  <c:v>40313.506249999999</c:v>
                </c:pt>
                <c:pt idx="4137">
                  <c:v>40313.506944444445</c:v>
                </c:pt>
                <c:pt idx="4138">
                  <c:v>40313.507638888892</c:v>
                </c:pt>
                <c:pt idx="4139">
                  <c:v>40313.508333333331</c:v>
                </c:pt>
                <c:pt idx="4140">
                  <c:v>40313.509027777778</c:v>
                </c:pt>
                <c:pt idx="4141">
                  <c:v>40313.509722222225</c:v>
                </c:pt>
                <c:pt idx="4142">
                  <c:v>40313.510416666664</c:v>
                </c:pt>
                <c:pt idx="4143">
                  <c:v>40313.511111111111</c:v>
                </c:pt>
                <c:pt idx="4144">
                  <c:v>40313.511805555558</c:v>
                </c:pt>
                <c:pt idx="4145">
                  <c:v>40313.512499999997</c:v>
                </c:pt>
                <c:pt idx="4146">
                  <c:v>40313.513194444444</c:v>
                </c:pt>
                <c:pt idx="4147">
                  <c:v>40313.513888888891</c:v>
                </c:pt>
                <c:pt idx="4148">
                  <c:v>40313.51458333333</c:v>
                </c:pt>
                <c:pt idx="4149">
                  <c:v>40313.515277777777</c:v>
                </c:pt>
                <c:pt idx="4150">
                  <c:v>40313.515972222223</c:v>
                </c:pt>
                <c:pt idx="4151">
                  <c:v>40313.51666666667</c:v>
                </c:pt>
                <c:pt idx="4152">
                  <c:v>40313.517361111109</c:v>
                </c:pt>
                <c:pt idx="4153">
                  <c:v>40313.518055555556</c:v>
                </c:pt>
                <c:pt idx="4154">
                  <c:v>40313.518750000003</c:v>
                </c:pt>
                <c:pt idx="4155">
                  <c:v>40313.519444444442</c:v>
                </c:pt>
                <c:pt idx="4156">
                  <c:v>40313.520138888889</c:v>
                </c:pt>
                <c:pt idx="4157">
                  <c:v>40313.520833333336</c:v>
                </c:pt>
                <c:pt idx="4158">
                  <c:v>40313.521527777775</c:v>
                </c:pt>
                <c:pt idx="4159">
                  <c:v>40313.522222222222</c:v>
                </c:pt>
                <c:pt idx="4160">
                  <c:v>40313.522916666669</c:v>
                </c:pt>
                <c:pt idx="4161">
                  <c:v>40313.523611111108</c:v>
                </c:pt>
                <c:pt idx="4162">
                  <c:v>40313.524305555555</c:v>
                </c:pt>
                <c:pt idx="4163">
                  <c:v>40313.525000000001</c:v>
                </c:pt>
                <c:pt idx="4164">
                  <c:v>40313.525694444441</c:v>
                </c:pt>
                <c:pt idx="4165">
                  <c:v>40313.526388888888</c:v>
                </c:pt>
                <c:pt idx="4166">
                  <c:v>40313.527083333334</c:v>
                </c:pt>
                <c:pt idx="4167">
                  <c:v>40313.527777777781</c:v>
                </c:pt>
                <c:pt idx="4168">
                  <c:v>40313.52847222222</c:v>
                </c:pt>
                <c:pt idx="4169">
                  <c:v>40313.529166666667</c:v>
                </c:pt>
                <c:pt idx="4170">
                  <c:v>40313.529861111114</c:v>
                </c:pt>
                <c:pt idx="4171">
                  <c:v>40313.530555555553</c:v>
                </c:pt>
                <c:pt idx="4172">
                  <c:v>40313.53125</c:v>
                </c:pt>
                <c:pt idx="4173">
                  <c:v>40313.531944444447</c:v>
                </c:pt>
                <c:pt idx="4174">
                  <c:v>40313.532638888886</c:v>
                </c:pt>
                <c:pt idx="4175">
                  <c:v>40313.533333333333</c:v>
                </c:pt>
                <c:pt idx="4176">
                  <c:v>40313.53402777778</c:v>
                </c:pt>
                <c:pt idx="4177">
                  <c:v>40313.534722222219</c:v>
                </c:pt>
                <c:pt idx="4178">
                  <c:v>40313.535416666666</c:v>
                </c:pt>
                <c:pt idx="4179">
                  <c:v>40313.536111111112</c:v>
                </c:pt>
                <c:pt idx="4180">
                  <c:v>40313.536805555559</c:v>
                </c:pt>
                <c:pt idx="4181">
                  <c:v>40313.537499999999</c:v>
                </c:pt>
                <c:pt idx="4182">
                  <c:v>40313.538194444445</c:v>
                </c:pt>
                <c:pt idx="4183">
                  <c:v>40313.538888888892</c:v>
                </c:pt>
                <c:pt idx="4184">
                  <c:v>40313.539583333331</c:v>
                </c:pt>
                <c:pt idx="4185">
                  <c:v>40313.540277777778</c:v>
                </c:pt>
                <c:pt idx="4186">
                  <c:v>40313.540972222225</c:v>
                </c:pt>
                <c:pt idx="4187">
                  <c:v>40313.541666666664</c:v>
                </c:pt>
                <c:pt idx="4188">
                  <c:v>40313.542361111111</c:v>
                </c:pt>
                <c:pt idx="4189">
                  <c:v>40313.543055555558</c:v>
                </c:pt>
                <c:pt idx="4190">
                  <c:v>40313.543749999997</c:v>
                </c:pt>
                <c:pt idx="4191">
                  <c:v>40313.544444444444</c:v>
                </c:pt>
                <c:pt idx="4192">
                  <c:v>40313.545138888891</c:v>
                </c:pt>
                <c:pt idx="4193">
                  <c:v>40313.54583333333</c:v>
                </c:pt>
                <c:pt idx="4194">
                  <c:v>40313.546527777777</c:v>
                </c:pt>
                <c:pt idx="4195">
                  <c:v>40313.547222222223</c:v>
                </c:pt>
                <c:pt idx="4196">
                  <c:v>40313.54791666667</c:v>
                </c:pt>
                <c:pt idx="4197">
                  <c:v>40313.548611111109</c:v>
                </c:pt>
                <c:pt idx="4198">
                  <c:v>40313.549305555556</c:v>
                </c:pt>
                <c:pt idx="4199">
                  <c:v>40313.550000000003</c:v>
                </c:pt>
                <c:pt idx="4200">
                  <c:v>40313.550694444442</c:v>
                </c:pt>
                <c:pt idx="4201">
                  <c:v>40313.551388888889</c:v>
                </c:pt>
                <c:pt idx="4202">
                  <c:v>40313.552083333336</c:v>
                </c:pt>
                <c:pt idx="4203">
                  <c:v>40313.552777777775</c:v>
                </c:pt>
                <c:pt idx="4204">
                  <c:v>40313.553472222222</c:v>
                </c:pt>
                <c:pt idx="4205">
                  <c:v>40313.554166666669</c:v>
                </c:pt>
                <c:pt idx="4206">
                  <c:v>40313.554861111108</c:v>
                </c:pt>
                <c:pt idx="4207">
                  <c:v>40313.555555555555</c:v>
                </c:pt>
                <c:pt idx="4208">
                  <c:v>40313.556250000001</c:v>
                </c:pt>
                <c:pt idx="4209">
                  <c:v>40313.556944444441</c:v>
                </c:pt>
                <c:pt idx="4210">
                  <c:v>40313.557638888888</c:v>
                </c:pt>
                <c:pt idx="4211">
                  <c:v>40313.558333333334</c:v>
                </c:pt>
                <c:pt idx="4212">
                  <c:v>40313.559027777781</c:v>
                </c:pt>
                <c:pt idx="4213">
                  <c:v>40313.55972222222</c:v>
                </c:pt>
                <c:pt idx="4214">
                  <c:v>40313.560416666667</c:v>
                </c:pt>
                <c:pt idx="4215">
                  <c:v>40313.561111111114</c:v>
                </c:pt>
                <c:pt idx="4216">
                  <c:v>40313.561805555553</c:v>
                </c:pt>
                <c:pt idx="4217">
                  <c:v>40313.5625</c:v>
                </c:pt>
                <c:pt idx="4218">
                  <c:v>40313.563194444447</c:v>
                </c:pt>
                <c:pt idx="4219">
                  <c:v>40313.563888888886</c:v>
                </c:pt>
                <c:pt idx="4220">
                  <c:v>40313.564583333333</c:v>
                </c:pt>
                <c:pt idx="4221">
                  <c:v>40313.56527777778</c:v>
                </c:pt>
                <c:pt idx="4222">
                  <c:v>40313.565972222219</c:v>
                </c:pt>
                <c:pt idx="4223">
                  <c:v>40313.566666666666</c:v>
                </c:pt>
                <c:pt idx="4224">
                  <c:v>40313.567361111112</c:v>
                </c:pt>
                <c:pt idx="4225">
                  <c:v>40313.568055555559</c:v>
                </c:pt>
                <c:pt idx="4226">
                  <c:v>40313.568749999999</c:v>
                </c:pt>
                <c:pt idx="4227">
                  <c:v>40313.569444444445</c:v>
                </c:pt>
                <c:pt idx="4228">
                  <c:v>40313.570138888892</c:v>
                </c:pt>
                <c:pt idx="4229">
                  <c:v>40313.570833333331</c:v>
                </c:pt>
                <c:pt idx="4230">
                  <c:v>40313.571527777778</c:v>
                </c:pt>
                <c:pt idx="4231">
                  <c:v>40313.572222222225</c:v>
                </c:pt>
                <c:pt idx="4232">
                  <c:v>40313.572916666664</c:v>
                </c:pt>
                <c:pt idx="4233">
                  <c:v>40313.573611111111</c:v>
                </c:pt>
                <c:pt idx="4234">
                  <c:v>40313.574305555558</c:v>
                </c:pt>
                <c:pt idx="4235">
                  <c:v>40313.574999999997</c:v>
                </c:pt>
                <c:pt idx="4236">
                  <c:v>40313.575694444444</c:v>
                </c:pt>
                <c:pt idx="4237">
                  <c:v>40313.576388888891</c:v>
                </c:pt>
                <c:pt idx="4238">
                  <c:v>40313.57708333333</c:v>
                </c:pt>
                <c:pt idx="4239">
                  <c:v>40313.577777777777</c:v>
                </c:pt>
                <c:pt idx="4240">
                  <c:v>40313.578472222223</c:v>
                </c:pt>
                <c:pt idx="4241">
                  <c:v>40313.57916666667</c:v>
                </c:pt>
                <c:pt idx="4242">
                  <c:v>40313.579861111109</c:v>
                </c:pt>
                <c:pt idx="4243">
                  <c:v>40313.580555555556</c:v>
                </c:pt>
                <c:pt idx="4244">
                  <c:v>40313.581250000003</c:v>
                </c:pt>
                <c:pt idx="4245">
                  <c:v>40313.581944444442</c:v>
                </c:pt>
                <c:pt idx="4246">
                  <c:v>40313.582638888889</c:v>
                </c:pt>
                <c:pt idx="4247">
                  <c:v>40313.583333333336</c:v>
                </c:pt>
                <c:pt idx="4248">
                  <c:v>40313.584027777775</c:v>
                </c:pt>
                <c:pt idx="4249">
                  <c:v>40313.584722222222</c:v>
                </c:pt>
                <c:pt idx="4250">
                  <c:v>40313.585416666669</c:v>
                </c:pt>
                <c:pt idx="4251">
                  <c:v>40313.586111111108</c:v>
                </c:pt>
                <c:pt idx="4252">
                  <c:v>40313.586805555555</c:v>
                </c:pt>
                <c:pt idx="4253">
                  <c:v>40313.587500000001</c:v>
                </c:pt>
                <c:pt idx="4254">
                  <c:v>40313.588194444441</c:v>
                </c:pt>
                <c:pt idx="4255">
                  <c:v>40313.588888888888</c:v>
                </c:pt>
                <c:pt idx="4256">
                  <c:v>40313.589583333334</c:v>
                </c:pt>
                <c:pt idx="4257">
                  <c:v>40313.590277777781</c:v>
                </c:pt>
                <c:pt idx="4258">
                  <c:v>40313.59097222222</c:v>
                </c:pt>
                <c:pt idx="4259">
                  <c:v>40313.591666666667</c:v>
                </c:pt>
                <c:pt idx="4260">
                  <c:v>40313.592361111114</c:v>
                </c:pt>
                <c:pt idx="4261">
                  <c:v>40313.593055555553</c:v>
                </c:pt>
                <c:pt idx="4262">
                  <c:v>40313.59375</c:v>
                </c:pt>
                <c:pt idx="4263">
                  <c:v>40313.594444444447</c:v>
                </c:pt>
                <c:pt idx="4264">
                  <c:v>40313.595138888886</c:v>
                </c:pt>
                <c:pt idx="4265">
                  <c:v>40313.595833333333</c:v>
                </c:pt>
                <c:pt idx="4266">
                  <c:v>40313.59652777778</c:v>
                </c:pt>
                <c:pt idx="4267">
                  <c:v>40313.597222222219</c:v>
                </c:pt>
                <c:pt idx="4268">
                  <c:v>40313.597916666666</c:v>
                </c:pt>
                <c:pt idx="4269">
                  <c:v>40313.598611111112</c:v>
                </c:pt>
                <c:pt idx="4270">
                  <c:v>40313.599305555559</c:v>
                </c:pt>
                <c:pt idx="4271">
                  <c:v>40313.599999999999</c:v>
                </c:pt>
                <c:pt idx="4272">
                  <c:v>40313.600694444445</c:v>
                </c:pt>
                <c:pt idx="4273">
                  <c:v>40313.601388888892</c:v>
                </c:pt>
                <c:pt idx="4274">
                  <c:v>40313.602083333331</c:v>
                </c:pt>
                <c:pt idx="4275">
                  <c:v>40313.602777777778</c:v>
                </c:pt>
                <c:pt idx="4276">
                  <c:v>40313.603472222225</c:v>
                </c:pt>
                <c:pt idx="4277">
                  <c:v>40313.604166666664</c:v>
                </c:pt>
                <c:pt idx="4278">
                  <c:v>40313.604861111111</c:v>
                </c:pt>
                <c:pt idx="4279">
                  <c:v>40313.605555555558</c:v>
                </c:pt>
                <c:pt idx="4280">
                  <c:v>40313.606249999997</c:v>
                </c:pt>
                <c:pt idx="4281">
                  <c:v>40313.606944444444</c:v>
                </c:pt>
                <c:pt idx="4282">
                  <c:v>40313.607638888891</c:v>
                </c:pt>
                <c:pt idx="4283">
                  <c:v>40313.60833333333</c:v>
                </c:pt>
                <c:pt idx="4284">
                  <c:v>40313.609027777777</c:v>
                </c:pt>
                <c:pt idx="4285">
                  <c:v>40313.609722222223</c:v>
                </c:pt>
                <c:pt idx="4286">
                  <c:v>40313.61041666667</c:v>
                </c:pt>
                <c:pt idx="4287">
                  <c:v>40313.611111111109</c:v>
                </c:pt>
                <c:pt idx="4288">
                  <c:v>40313.611805555556</c:v>
                </c:pt>
                <c:pt idx="4289">
                  <c:v>40313.612500000003</c:v>
                </c:pt>
                <c:pt idx="4290">
                  <c:v>40313.613194444442</c:v>
                </c:pt>
                <c:pt idx="4291">
                  <c:v>40313.613888888889</c:v>
                </c:pt>
                <c:pt idx="4292">
                  <c:v>40313.614583333336</c:v>
                </c:pt>
                <c:pt idx="4293">
                  <c:v>40313.615277777775</c:v>
                </c:pt>
                <c:pt idx="4294">
                  <c:v>40313.615972222222</c:v>
                </c:pt>
                <c:pt idx="4295">
                  <c:v>40313.616666666669</c:v>
                </c:pt>
                <c:pt idx="4296">
                  <c:v>40313.617361111108</c:v>
                </c:pt>
                <c:pt idx="4297">
                  <c:v>40313.618055555555</c:v>
                </c:pt>
                <c:pt idx="4298">
                  <c:v>40313.618750000001</c:v>
                </c:pt>
                <c:pt idx="4299">
                  <c:v>40313.619444444441</c:v>
                </c:pt>
                <c:pt idx="4300">
                  <c:v>40313.620138888888</c:v>
                </c:pt>
                <c:pt idx="4301">
                  <c:v>40313.620833333334</c:v>
                </c:pt>
                <c:pt idx="4302">
                  <c:v>40313.621527777781</c:v>
                </c:pt>
                <c:pt idx="4303">
                  <c:v>40313.62222222222</c:v>
                </c:pt>
                <c:pt idx="4304">
                  <c:v>40313.622916666667</c:v>
                </c:pt>
                <c:pt idx="4305">
                  <c:v>40313.623611111114</c:v>
                </c:pt>
                <c:pt idx="4306">
                  <c:v>40313.624305555553</c:v>
                </c:pt>
                <c:pt idx="4307">
                  <c:v>40313.625</c:v>
                </c:pt>
                <c:pt idx="4308">
                  <c:v>40313.625694444447</c:v>
                </c:pt>
                <c:pt idx="4309">
                  <c:v>40313.626388888886</c:v>
                </c:pt>
                <c:pt idx="4310">
                  <c:v>40313.627083333333</c:v>
                </c:pt>
                <c:pt idx="4311">
                  <c:v>40313.62777777778</c:v>
                </c:pt>
                <c:pt idx="4312">
                  <c:v>40313.628472222219</c:v>
                </c:pt>
                <c:pt idx="4313">
                  <c:v>40313.629166666666</c:v>
                </c:pt>
                <c:pt idx="4314">
                  <c:v>40313.629861111112</c:v>
                </c:pt>
                <c:pt idx="4315">
                  <c:v>40313.630555555559</c:v>
                </c:pt>
                <c:pt idx="4316">
                  <c:v>40313.631249999999</c:v>
                </c:pt>
                <c:pt idx="4317">
                  <c:v>40313.631944444445</c:v>
                </c:pt>
                <c:pt idx="4318">
                  <c:v>40313.632638888892</c:v>
                </c:pt>
                <c:pt idx="4319">
                  <c:v>40313.633333333331</c:v>
                </c:pt>
                <c:pt idx="4320">
                  <c:v>40313.634027777778</c:v>
                </c:pt>
                <c:pt idx="4321">
                  <c:v>40313.634722222225</c:v>
                </c:pt>
                <c:pt idx="4322">
                  <c:v>40313.635416666664</c:v>
                </c:pt>
                <c:pt idx="4323">
                  <c:v>40313.636111111111</c:v>
                </c:pt>
                <c:pt idx="4324">
                  <c:v>40313.636805555558</c:v>
                </c:pt>
                <c:pt idx="4325">
                  <c:v>40313.637499999997</c:v>
                </c:pt>
                <c:pt idx="4326">
                  <c:v>40313.638194444444</c:v>
                </c:pt>
                <c:pt idx="4327">
                  <c:v>40313.638888888891</c:v>
                </c:pt>
                <c:pt idx="4328">
                  <c:v>40313.63958333333</c:v>
                </c:pt>
                <c:pt idx="4329">
                  <c:v>40313.640277777777</c:v>
                </c:pt>
                <c:pt idx="4330">
                  <c:v>40313.640972222223</c:v>
                </c:pt>
                <c:pt idx="4331">
                  <c:v>40313.64166666667</c:v>
                </c:pt>
                <c:pt idx="4332">
                  <c:v>40313.642361111109</c:v>
                </c:pt>
                <c:pt idx="4333">
                  <c:v>40313.643055555556</c:v>
                </c:pt>
                <c:pt idx="4334">
                  <c:v>40313.643750000003</c:v>
                </c:pt>
                <c:pt idx="4335">
                  <c:v>40313.644444444442</c:v>
                </c:pt>
                <c:pt idx="4336">
                  <c:v>40313.645138888889</c:v>
                </c:pt>
                <c:pt idx="4337">
                  <c:v>40313.645833333336</c:v>
                </c:pt>
                <c:pt idx="4338">
                  <c:v>40313.646527777775</c:v>
                </c:pt>
                <c:pt idx="4339">
                  <c:v>40313.647222222222</c:v>
                </c:pt>
                <c:pt idx="4340">
                  <c:v>40313.647916666669</c:v>
                </c:pt>
                <c:pt idx="4341">
                  <c:v>40313.648611111108</c:v>
                </c:pt>
                <c:pt idx="4342">
                  <c:v>40313.649305555555</c:v>
                </c:pt>
                <c:pt idx="4343">
                  <c:v>40313.65</c:v>
                </c:pt>
                <c:pt idx="4344">
                  <c:v>40313.650694444441</c:v>
                </c:pt>
                <c:pt idx="4345">
                  <c:v>40313.651388888888</c:v>
                </c:pt>
                <c:pt idx="4346">
                  <c:v>40313.652083333334</c:v>
                </c:pt>
                <c:pt idx="4347">
                  <c:v>40313.652777777781</c:v>
                </c:pt>
                <c:pt idx="4348">
                  <c:v>40313.65347222222</c:v>
                </c:pt>
                <c:pt idx="4349">
                  <c:v>40313.654166666667</c:v>
                </c:pt>
                <c:pt idx="4350">
                  <c:v>40313.654861111114</c:v>
                </c:pt>
                <c:pt idx="4351">
                  <c:v>40313.655555555553</c:v>
                </c:pt>
                <c:pt idx="4352">
                  <c:v>40313.65625</c:v>
                </c:pt>
                <c:pt idx="4353">
                  <c:v>40313.656944444447</c:v>
                </c:pt>
                <c:pt idx="4354">
                  <c:v>40313.657638888886</c:v>
                </c:pt>
                <c:pt idx="4355">
                  <c:v>40313.658333333333</c:v>
                </c:pt>
                <c:pt idx="4356">
                  <c:v>40313.65902777778</c:v>
                </c:pt>
                <c:pt idx="4357">
                  <c:v>40313.659722222219</c:v>
                </c:pt>
                <c:pt idx="4358">
                  <c:v>40313.660416666666</c:v>
                </c:pt>
                <c:pt idx="4359">
                  <c:v>40313.661111111112</c:v>
                </c:pt>
                <c:pt idx="4360">
                  <c:v>40313.661805555559</c:v>
                </c:pt>
                <c:pt idx="4361">
                  <c:v>40313.662499999999</c:v>
                </c:pt>
                <c:pt idx="4362">
                  <c:v>40313.663194444445</c:v>
                </c:pt>
                <c:pt idx="4363">
                  <c:v>40313.663888888892</c:v>
                </c:pt>
                <c:pt idx="4364">
                  <c:v>40313.664583333331</c:v>
                </c:pt>
                <c:pt idx="4365">
                  <c:v>40313.665277777778</c:v>
                </c:pt>
                <c:pt idx="4366">
                  <c:v>40313.665972222225</c:v>
                </c:pt>
                <c:pt idx="4367">
                  <c:v>40313.666666666664</c:v>
                </c:pt>
                <c:pt idx="4368">
                  <c:v>40313.667361111111</c:v>
                </c:pt>
                <c:pt idx="4369">
                  <c:v>40313.668055555558</c:v>
                </c:pt>
                <c:pt idx="4370">
                  <c:v>40313.668749999997</c:v>
                </c:pt>
                <c:pt idx="4371">
                  <c:v>40313.669444444444</c:v>
                </c:pt>
                <c:pt idx="4372">
                  <c:v>40313.670138888891</c:v>
                </c:pt>
                <c:pt idx="4373">
                  <c:v>40313.67083333333</c:v>
                </c:pt>
                <c:pt idx="4374">
                  <c:v>40313.671527777777</c:v>
                </c:pt>
                <c:pt idx="4375">
                  <c:v>40313.672222222223</c:v>
                </c:pt>
                <c:pt idx="4376">
                  <c:v>40313.67291666667</c:v>
                </c:pt>
                <c:pt idx="4377">
                  <c:v>40313.673611111109</c:v>
                </c:pt>
                <c:pt idx="4378">
                  <c:v>40313.674305555556</c:v>
                </c:pt>
                <c:pt idx="4379">
                  <c:v>40313.675000000003</c:v>
                </c:pt>
                <c:pt idx="4380">
                  <c:v>40313.675694444442</c:v>
                </c:pt>
                <c:pt idx="4381">
                  <c:v>40313.676388888889</c:v>
                </c:pt>
                <c:pt idx="4382">
                  <c:v>40313.677083333336</c:v>
                </c:pt>
                <c:pt idx="4383">
                  <c:v>40313.677777777775</c:v>
                </c:pt>
                <c:pt idx="4384">
                  <c:v>40313.678472222222</c:v>
                </c:pt>
                <c:pt idx="4385">
                  <c:v>40313.679166666669</c:v>
                </c:pt>
                <c:pt idx="4386">
                  <c:v>40313.679861111108</c:v>
                </c:pt>
                <c:pt idx="4387">
                  <c:v>40313.680555555555</c:v>
                </c:pt>
                <c:pt idx="4388">
                  <c:v>40313.681250000001</c:v>
                </c:pt>
                <c:pt idx="4389">
                  <c:v>40313.681944444441</c:v>
                </c:pt>
                <c:pt idx="4390">
                  <c:v>40313.682638888888</c:v>
                </c:pt>
                <c:pt idx="4391">
                  <c:v>40313.683333333334</c:v>
                </c:pt>
                <c:pt idx="4392">
                  <c:v>40313.684027777781</c:v>
                </c:pt>
                <c:pt idx="4393">
                  <c:v>40313.68472222222</c:v>
                </c:pt>
                <c:pt idx="4394">
                  <c:v>40313.685416666667</c:v>
                </c:pt>
                <c:pt idx="4395">
                  <c:v>40313.686111111114</c:v>
                </c:pt>
                <c:pt idx="4396">
                  <c:v>40313.686805555553</c:v>
                </c:pt>
                <c:pt idx="4397">
                  <c:v>40313.6875</c:v>
                </c:pt>
                <c:pt idx="4398">
                  <c:v>40313.688194444447</c:v>
                </c:pt>
                <c:pt idx="4399">
                  <c:v>40313.688888888886</c:v>
                </c:pt>
                <c:pt idx="4400">
                  <c:v>40313.689583333333</c:v>
                </c:pt>
                <c:pt idx="4401">
                  <c:v>40313.69027777778</c:v>
                </c:pt>
                <c:pt idx="4402">
                  <c:v>40313.690972222219</c:v>
                </c:pt>
                <c:pt idx="4403">
                  <c:v>40313.691666666666</c:v>
                </c:pt>
                <c:pt idx="4404">
                  <c:v>40313.692361111112</c:v>
                </c:pt>
                <c:pt idx="4405">
                  <c:v>40313.693055555559</c:v>
                </c:pt>
                <c:pt idx="4406">
                  <c:v>40313.693749999999</c:v>
                </c:pt>
                <c:pt idx="4407">
                  <c:v>40313.694444444445</c:v>
                </c:pt>
                <c:pt idx="4408">
                  <c:v>40313.695138888892</c:v>
                </c:pt>
                <c:pt idx="4409">
                  <c:v>40313.695833333331</c:v>
                </c:pt>
                <c:pt idx="4410">
                  <c:v>40313.696527777778</c:v>
                </c:pt>
                <c:pt idx="4411">
                  <c:v>40313.697222222225</c:v>
                </c:pt>
                <c:pt idx="4412">
                  <c:v>40313.697916666664</c:v>
                </c:pt>
                <c:pt idx="4413">
                  <c:v>40313.698611111111</c:v>
                </c:pt>
                <c:pt idx="4414">
                  <c:v>40313.699305555558</c:v>
                </c:pt>
                <c:pt idx="4415">
                  <c:v>40313.699999999997</c:v>
                </c:pt>
                <c:pt idx="4416">
                  <c:v>40313.700694444444</c:v>
                </c:pt>
                <c:pt idx="4417">
                  <c:v>40313.701388888891</c:v>
                </c:pt>
                <c:pt idx="4418">
                  <c:v>40313.70208333333</c:v>
                </c:pt>
                <c:pt idx="4419">
                  <c:v>40313.702777777777</c:v>
                </c:pt>
                <c:pt idx="4420">
                  <c:v>40313.703472222223</c:v>
                </c:pt>
                <c:pt idx="4421">
                  <c:v>40313.70416666667</c:v>
                </c:pt>
                <c:pt idx="4422">
                  <c:v>40313.704861111109</c:v>
                </c:pt>
                <c:pt idx="4423">
                  <c:v>40313.705555555556</c:v>
                </c:pt>
                <c:pt idx="4424">
                  <c:v>40313.706250000003</c:v>
                </c:pt>
                <c:pt idx="4425">
                  <c:v>40313.706944444442</c:v>
                </c:pt>
                <c:pt idx="4426">
                  <c:v>40313.707638888889</c:v>
                </c:pt>
                <c:pt idx="4427">
                  <c:v>40313.708333333336</c:v>
                </c:pt>
                <c:pt idx="4428">
                  <c:v>40313.709027777775</c:v>
                </c:pt>
                <c:pt idx="4429">
                  <c:v>40313.709722222222</c:v>
                </c:pt>
                <c:pt idx="4430">
                  <c:v>40313.710416666669</c:v>
                </c:pt>
                <c:pt idx="4431">
                  <c:v>40313.711111111108</c:v>
                </c:pt>
                <c:pt idx="4432">
                  <c:v>40313.711805555555</c:v>
                </c:pt>
                <c:pt idx="4433">
                  <c:v>40313.712500000001</c:v>
                </c:pt>
                <c:pt idx="4434">
                  <c:v>40313.713194444441</c:v>
                </c:pt>
                <c:pt idx="4435">
                  <c:v>40313.713888888888</c:v>
                </c:pt>
                <c:pt idx="4436">
                  <c:v>40313.714583333334</c:v>
                </c:pt>
                <c:pt idx="4437">
                  <c:v>40313.715277777781</c:v>
                </c:pt>
                <c:pt idx="4438">
                  <c:v>40313.71597222222</c:v>
                </c:pt>
                <c:pt idx="4439">
                  <c:v>40313.716666666667</c:v>
                </c:pt>
                <c:pt idx="4440">
                  <c:v>40313.717361111114</c:v>
                </c:pt>
                <c:pt idx="4441">
                  <c:v>40313.718055555553</c:v>
                </c:pt>
                <c:pt idx="4442">
                  <c:v>40313.71875</c:v>
                </c:pt>
                <c:pt idx="4443">
                  <c:v>40313.719444444447</c:v>
                </c:pt>
                <c:pt idx="4444">
                  <c:v>40313.720138888886</c:v>
                </c:pt>
                <c:pt idx="4445">
                  <c:v>40313.720833333333</c:v>
                </c:pt>
                <c:pt idx="4446">
                  <c:v>40313.72152777778</c:v>
                </c:pt>
                <c:pt idx="4447">
                  <c:v>40313.722222222219</c:v>
                </c:pt>
                <c:pt idx="4448">
                  <c:v>40313.722916666666</c:v>
                </c:pt>
                <c:pt idx="4449">
                  <c:v>40313.723611111112</c:v>
                </c:pt>
                <c:pt idx="4450">
                  <c:v>40313.724305555559</c:v>
                </c:pt>
                <c:pt idx="4451">
                  <c:v>40313.724999999999</c:v>
                </c:pt>
                <c:pt idx="4452">
                  <c:v>40313.725694444445</c:v>
                </c:pt>
                <c:pt idx="4453">
                  <c:v>40313.726388888892</c:v>
                </c:pt>
                <c:pt idx="4454">
                  <c:v>40313.727083333331</c:v>
                </c:pt>
                <c:pt idx="4455">
                  <c:v>40313.727777777778</c:v>
                </c:pt>
                <c:pt idx="4456">
                  <c:v>40313.728472222225</c:v>
                </c:pt>
                <c:pt idx="4457">
                  <c:v>40313.729166666664</c:v>
                </c:pt>
                <c:pt idx="4458">
                  <c:v>40313.729861111111</c:v>
                </c:pt>
                <c:pt idx="4459">
                  <c:v>40313.730555555558</c:v>
                </c:pt>
                <c:pt idx="4460">
                  <c:v>40313.731249999997</c:v>
                </c:pt>
                <c:pt idx="4461">
                  <c:v>40313.731944444444</c:v>
                </c:pt>
                <c:pt idx="4462">
                  <c:v>40313.732638888891</c:v>
                </c:pt>
                <c:pt idx="4463">
                  <c:v>40313.73333333333</c:v>
                </c:pt>
                <c:pt idx="4464">
                  <c:v>40313.734027777777</c:v>
                </c:pt>
                <c:pt idx="4465">
                  <c:v>40313.734722222223</c:v>
                </c:pt>
                <c:pt idx="4466">
                  <c:v>40313.73541666667</c:v>
                </c:pt>
                <c:pt idx="4467">
                  <c:v>40313.736111111109</c:v>
                </c:pt>
                <c:pt idx="4468">
                  <c:v>40313.736805555556</c:v>
                </c:pt>
                <c:pt idx="4469">
                  <c:v>40313.737500000003</c:v>
                </c:pt>
                <c:pt idx="4470">
                  <c:v>40313.738194444442</c:v>
                </c:pt>
                <c:pt idx="4471">
                  <c:v>40313.738888888889</c:v>
                </c:pt>
                <c:pt idx="4472">
                  <c:v>40313.739583333336</c:v>
                </c:pt>
                <c:pt idx="4473">
                  <c:v>40313.740277777775</c:v>
                </c:pt>
                <c:pt idx="4474">
                  <c:v>40313.740972222222</c:v>
                </c:pt>
                <c:pt idx="4475">
                  <c:v>40313.741666666669</c:v>
                </c:pt>
                <c:pt idx="4476">
                  <c:v>40313.742361111108</c:v>
                </c:pt>
                <c:pt idx="4477">
                  <c:v>40313.743055555555</c:v>
                </c:pt>
                <c:pt idx="4478">
                  <c:v>40313.743750000001</c:v>
                </c:pt>
                <c:pt idx="4479">
                  <c:v>40313.744444444441</c:v>
                </c:pt>
                <c:pt idx="4480">
                  <c:v>40313.745138888888</c:v>
                </c:pt>
                <c:pt idx="4481">
                  <c:v>40313.745833333334</c:v>
                </c:pt>
                <c:pt idx="4482">
                  <c:v>40313.746527777781</c:v>
                </c:pt>
                <c:pt idx="4483">
                  <c:v>40313.74722222222</c:v>
                </c:pt>
                <c:pt idx="4484">
                  <c:v>40313.747916666667</c:v>
                </c:pt>
                <c:pt idx="4485">
                  <c:v>40313.748611111114</c:v>
                </c:pt>
                <c:pt idx="4486">
                  <c:v>40313.749305555553</c:v>
                </c:pt>
                <c:pt idx="4487">
                  <c:v>40313.75</c:v>
                </c:pt>
                <c:pt idx="4488">
                  <c:v>40313.750694444447</c:v>
                </c:pt>
                <c:pt idx="4489">
                  <c:v>40313.751388888886</c:v>
                </c:pt>
                <c:pt idx="4490">
                  <c:v>40313.752083333333</c:v>
                </c:pt>
                <c:pt idx="4491">
                  <c:v>40313.75277777778</c:v>
                </c:pt>
                <c:pt idx="4492">
                  <c:v>40313.753472222219</c:v>
                </c:pt>
                <c:pt idx="4493">
                  <c:v>40313.754166666666</c:v>
                </c:pt>
                <c:pt idx="4494">
                  <c:v>40313.754861111112</c:v>
                </c:pt>
                <c:pt idx="4495">
                  <c:v>40313.755555555559</c:v>
                </c:pt>
                <c:pt idx="4496">
                  <c:v>40313.756249999999</c:v>
                </c:pt>
                <c:pt idx="4497">
                  <c:v>40313.756944444445</c:v>
                </c:pt>
                <c:pt idx="4498">
                  <c:v>40313.757638888892</c:v>
                </c:pt>
                <c:pt idx="4499">
                  <c:v>40313.758333333331</c:v>
                </c:pt>
                <c:pt idx="4500">
                  <c:v>40313.759027777778</c:v>
                </c:pt>
                <c:pt idx="4501">
                  <c:v>40313.759722222225</c:v>
                </c:pt>
                <c:pt idx="4502">
                  <c:v>40313.760416666664</c:v>
                </c:pt>
                <c:pt idx="4503">
                  <c:v>40313.761111111111</c:v>
                </c:pt>
                <c:pt idx="4504">
                  <c:v>40313.761805555558</c:v>
                </c:pt>
                <c:pt idx="4505">
                  <c:v>40313.762499999997</c:v>
                </c:pt>
                <c:pt idx="4506">
                  <c:v>40313.763194444444</c:v>
                </c:pt>
                <c:pt idx="4507">
                  <c:v>40313.763888888891</c:v>
                </c:pt>
                <c:pt idx="4508">
                  <c:v>40313.76458333333</c:v>
                </c:pt>
                <c:pt idx="4509">
                  <c:v>40313.765277777777</c:v>
                </c:pt>
                <c:pt idx="4510">
                  <c:v>40313.765972222223</c:v>
                </c:pt>
                <c:pt idx="4511">
                  <c:v>40313.76666666667</c:v>
                </c:pt>
                <c:pt idx="4512">
                  <c:v>40313.767361111109</c:v>
                </c:pt>
                <c:pt idx="4513">
                  <c:v>40313.768055555556</c:v>
                </c:pt>
                <c:pt idx="4514">
                  <c:v>40313.768750000003</c:v>
                </c:pt>
                <c:pt idx="4515">
                  <c:v>40313.769444444442</c:v>
                </c:pt>
                <c:pt idx="4516">
                  <c:v>40313.770138888889</c:v>
                </c:pt>
                <c:pt idx="4517">
                  <c:v>40313.770833333336</c:v>
                </c:pt>
                <c:pt idx="4518">
                  <c:v>40313.771527777775</c:v>
                </c:pt>
                <c:pt idx="4519">
                  <c:v>40313.772222222222</c:v>
                </c:pt>
                <c:pt idx="4520">
                  <c:v>40313.772916666669</c:v>
                </c:pt>
                <c:pt idx="4521">
                  <c:v>40313.773611111108</c:v>
                </c:pt>
                <c:pt idx="4522">
                  <c:v>40313.774305555555</c:v>
                </c:pt>
                <c:pt idx="4523">
                  <c:v>40313.775000000001</c:v>
                </c:pt>
                <c:pt idx="4524">
                  <c:v>40313.775694444441</c:v>
                </c:pt>
                <c:pt idx="4525">
                  <c:v>40313.776388888888</c:v>
                </c:pt>
                <c:pt idx="4526">
                  <c:v>40313.777083333334</c:v>
                </c:pt>
                <c:pt idx="4527">
                  <c:v>40313.777777777781</c:v>
                </c:pt>
                <c:pt idx="4528">
                  <c:v>40313.77847222222</c:v>
                </c:pt>
                <c:pt idx="4529">
                  <c:v>40313.779166666667</c:v>
                </c:pt>
                <c:pt idx="4530">
                  <c:v>40313.779861111114</c:v>
                </c:pt>
                <c:pt idx="4531">
                  <c:v>40313.780555555553</c:v>
                </c:pt>
                <c:pt idx="4532">
                  <c:v>40313.78125</c:v>
                </c:pt>
                <c:pt idx="4533">
                  <c:v>40313.781944444447</c:v>
                </c:pt>
                <c:pt idx="4534">
                  <c:v>40313.782638888886</c:v>
                </c:pt>
                <c:pt idx="4535">
                  <c:v>40313.783333333333</c:v>
                </c:pt>
                <c:pt idx="4536">
                  <c:v>40313.78402777778</c:v>
                </c:pt>
                <c:pt idx="4537">
                  <c:v>40313.784722222219</c:v>
                </c:pt>
                <c:pt idx="4538">
                  <c:v>40313.785416666666</c:v>
                </c:pt>
                <c:pt idx="4539">
                  <c:v>40313.786111111112</c:v>
                </c:pt>
                <c:pt idx="4540">
                  <c:v>40313.786805555559</c:v>
                </c:pt>
                <c:pt idx="4541">
                  <c:v>40313.787499999999</c:v>
                </c:pt>
                <c:pt idx="4542">
                  <c:v>40313.788194444445</c:v>
                </c:pt>
                <c:pt idx="4543">
                  <c:v>40313.788888888892</c:v>
                </c:pt>
                <c:pt idx="4544">
                  <c:v>40313.789583333331</c:v>
                </c:pt>
                <c:pt idx="4545">
                  <c:v>40313.790277777778</c:v>
                </c:pt>
                <c:pt idx="4546">
                  <c:v>40313.790972222225</c:v>
                </c:pt>
                <c:pt idx="4547">
                  <c:v>40313.791666666664</c:v>
                </c:pt>
                <c:pt idx="4548">
                  <c:v>40313.792361111111</c:v>
                </c:pt>
                <c:pt idx="4549">
                  <c:v>40313.793055555558</c:v>
                </c:pt>
                <c:pt idx="4550">
                  <c:v>40313.793749999997</c:v>
                </c:pt>
                <c:pt idx="4551">
                  <c:v>40313.794444444444</c:v>
                </c:pt>
                <c:pt idx="4552">
                  <c:v>40313.795138888891</c:v>
                </c:pt>
                <c:pt idx="4553">
                  <c:v>40313.79583333333</c:v>
                </c:pt>
                <c:pt idx="4554">
                  <c:v>40313.796527777777</c:v>
                </c:pt>
                <c:pt idx="4555">
                  <c:v>40313.797222222223</c:v>
                </c:pt>
                <c:pt idx="4556">
                  <c:v>40313.79791666667</c:v>
                </c:pt>
                <c:pt idx="4557">
                  <c:v>40313.798611111109</c:v>
                </c:pt>
                <c:pt idx="4558">
                  <c:v>40313.799305555556</c:v>
                </c:pt>
                <c:pt idx="4559">
                  <c:v>40313.800000000003</c:v>
                </c:pt>
                <c:pt idx="4560">
                  <c:v>40313.800694444442</c:v>
                </c:pt>
                <c:pt idx="4561">
                  <c:v>40313.801388888889</c:v>
                </c:pt>
                <c:pt idx="4562">
                  <c:v>40313.802083333336</c:v>
                </c:pt>
                <c:pt idx="4563">
                  <c:v>40313.802777777775</c:v>
                </c:pt>
                <c:pt idx="4564">
                  <c:v>40313.803472222222</c:v>
                </c:pt>
                <c:pt idx="4565">
                  <c:v>40313.804166666669</c:v>
                </c:pt>
                <c:pt idx="4566">
                  <c:v>40313.804861111108</c:v>
                </c:pt>
                <c:pt idx="4567">
                  <c:v>40313.805555555555</c:v>
                </c:pt>
                <c:pt idx="4568">
                  <c:v>40313.806250000001</c:v>
                </c:pt>
                <c:pt idx="4569">
                  <c:v>40313.806944444441</c:v>
                </c:pt>
                <c:pt idx="4570">
                  <c:v>40313.807638888888</c:v>
                </c:pt>
                <c:pt idx="4571">
                  <c:v>40313.808333333334</c:v>
                </c:pt>
                <c:pt idx="4572">
                  <c:v>40313.809027777781</c:v>
                </c:pt>
                <c:pt idx="4573">
                  <c:v>40313.80972222222</c:v>
                </c:pt>
                <c:pt idx="4574">
                  <c:v>40313.810416666667</c:v>
                </c:pt>
                <c:pt idx="4575">
                  <c:v>40313.811111111114</c:v>
                </c:pt>
                <c:pt idx="4576">
                  <c:v>40313.811805555553</c:v>
                </c:pt>
                <c:pt idx="4577">
                  <c:v>40313.8125</c:v>
                </c:pt>
                <c:pt idx="4578">
                  <c:v>40313.813194444447</c:v>
                </c:pt>
                <c:pt idx="4579">
                  <c:v>40313.813888888886</c:v>
                </c:pt>
                <c:pt idx="4580">
                  <c:v>40313.814583333333</c:v>
                </c:pt>
                <c:pt idx="4581">
                  <c:v>40313.81527777778</c:v>
                </c:pt>
                <c:pt idx="4582">
                  <c:v>40313.815972222219</c:v>
                </c:pt>
                <c:pt idx="4583">
                  <c:v>40313.816666666666</c:v>
                </c:pt>
                <c:pt idx="4584">
                  <c:v>40313.817361111112</c:v>
                </c:pt>
                <c:pt idx="4585">
                  <c:v>40313.818055555559</c:v>
                </c:pt>
                <c:pt idx="4586">
                  <c:v>40313.818749999999</c:v>
                </c:pt>
                <c:pt idx="4587">
                  <c:v>40313.819444444445</c:v>
                </c:pt>
                <c:pt idx="4588">
                  <c:v>40313.820138888892</c:v>
                </c:pt>
                <c:pt idx="4589">
                  <c:v>40313.820833333331</c:v>
                </c:pt>
                <c:pt idx="4590">
                  <c:v>40313.821527777778</c:v>
                </c:pt>
                <c:pt idx="4591">
                  <c:v>40313.822222222225</c:v>
                </c:pt>
                <c:pt idx="4592">
                  <c:v>40313.822916666664</c:v>
                </c:pt>
                <c:pt idx="4593">
                  <c:v>40313.823611111111</c:v>
                </c:pt>
                <c:pt idx="4594">
                  <c:v>40313.824305555558</c:v>
                </c:pt>
                <c:pt idx="4595">
                  <c:v>40313.824999999997</c:v>
                </c:pt>
                <c:pt idx="4596">
                  <c:v>40313.825694444444</c:v>
                </c:pt>
                <c:pt idx="4597">
                  <c:v>40313.826388888891</c:v>
                </c:pt>
                <c:pt idx="4598">
                  <c:v>40313.82708333333</c:v>
                </c:pt>
                <c:pt idx="4599">
                  <c:v>40313.827777777777</c:v>
                </c:pt>
                <c:pt idx="4600">
                  <c:v>40313.828472222223</c:v>
                </c:pt>
                <c:pt idx="4601">
                  <c:v>40313.82916666667</c:v>
                </c:pt>
                <c:pt idx="4602">
                  <c:v>40313.829861111109</c:v>
                </c:pt>
                <c:pt idx="4603">
                  <c:v>40313.830555555556</c:v>
                </c:pt>
                <c:pt idx="4604">
                  <c:v>40313.831250000003</c:v>
                </c:pt>
                <c:pt idx="4605">
                  <c:v>40313.831944444442</c:v>
                </c:pt>
                <c:pt idx="4606">
                  <c:v>40313.832638888889</c:v>
                </c:pt>
                <c:pt idx="4607">
                  <c:v>40313.833333333336</c:v>
                </c:pt>
                <c:pt idx="4608">
                  <c:v>40313.834027777775</c:v>
                </c:pt>
                <c:pt idx="4609">
                  <c:v>40313.834722222222</c:v>
                </c:pt>
                <c:pt idx="4610">
                  <c:v>40313.835416666669</c:v>
                </c:pt>
                <c:pt idx="4611">
                  <c:v>40313.836111111108</c:v>
                </c:pt>
                <c:pt idx="4612">
                  <c:v>40313.836805555555</c:v>
                </c:pt>
                <c:pt idx="4613">
                  <c:v>40313.837500000001</c:v>
                </c:pt>
                <c:pt idx="4614">
                  <c:v>40313.838194444441</c:v>
                </c:pt>
                <c:pt idx="4615">
                  <c:v>40313.838888888888</c:v>
                </c:pt>
                <c:pt idx="4616">
                  <c:v>40313.839583333334</c:v>
                </c:pt>
                <c:pt idx="4617">
                  <c:v>40313.840277777781</c:v>
                </c:pt>
                <c:pt idx="4618">
                  <c:v>40313.84097222222</c:v>
                </c:pt>
                <c:pt idx="4619">
                  <c:v>40313.841666666667</c:v>
                </c:pt>
                <c:pt idx="4620">
                  <c:v>40313.842361111114</c:v>
                </c:pt>
                <c:pt idx="4621">
                  <c:v>40313.843055555553</c:v>
                </c:pt>
                <c:pt idx="4622">
                  <c:v>40313.84375</c:v>
                </c:pt>
                <c:pt idx="4623">
                  <c:v>40313.844444444447</c:v>
                </c:pt>
                <c:pt idx="4624">
                  <c:v>40313.845138888886</c:v>
                </c:pt>
                <c:pt idx="4625">
                  <c:v>40313.845833333333</c:v>
                </c:pt>
                <c:pt idx="4626">
                  <c:v>40313.84652777778</c:v>
                </c:pt>
                <c:pt idx="4627">
                  <c:v>40313.847222222219</c:v>
                </c:pt>
                <c:pt idx="4628">
                  <c:v>40313.847916666666</c:v>
                </c:pt>
                <c:pt idx="4629">
                  <c:v>40313.848611111112</c:v>
                </c:pt>
                <c:pt idx="4630">
                  <c:v>40313.849305555559</c:v>
                </c:pt>
                <c:pt idx="4631">
                  <c:v>40313.85</c:v>
                </c:pt>
                <c:pt idx="4632">
                  <c:v>40313.850694444445</c:v>
                </c:pt>
                <c:pt idx="4633">
                  <c:v>40313.851388888892</c:v>
                </c:pt>
                <c:pt idx="4634">
                  <c:v>40313.852083333331</c:v>
                </c:pt>
                <c:pt idx="4635">
                  <c:v>40313.852777777778</c:v>
                </c:pt>
                <c:pt idx="4636">
                  <c:v>40313.853472222225</c:v>
                </c:pt>
                <c:pt idx="4637">
                  <c:v>40313.854166666664</c:v>
                </c:pt>
                <c:pt idx="4638">
                  <c:v>40313.854861111111</c:v>
                </c:pt>
                <c:pt idx="4639">
                  <c:v>40313.855555555558</c:v>
                </c:pt>
                <c:pt idx="4640">
                  <c:v>40313.856249999997</c:v>
                </c:pt>
                <c:pt idx="4641">
                  <c:v>40313.856944444444</c:v>
                </c:pt>
                <c:pt idx="4642">
                  <c:v>40313.857638888891</c:v>
                </c:pt>
                <c:pt idx="4643">
                  <c:v>40313.85833333333</c:v>
                </c:pt>
                <c:pt idx="4644">
                  <c:v>40313.859027777777</c:v>
                </c:pt>
                <c:pt idx="4645">
                  <c:v>40313.859722222223</c:v>
                </c:pt>
                <c:pt idx="4646">
                  <c:v>40313.86041666667</c:v>
                </c:pt>
                <c:pt idx="4647">
                  <c:v>40313.861111111109</c:v>
                </c:pt>
                <c:pt idx="4648">
                  <c:v>40313.861805555556</c:v>
                </c:pt>
                <c:pt idx="4649">
                  <c:v>40313.862500000003</c:v>
                </c:pt>
                <c:pt idx="4650">
                  <c:v>40313.863194444442</c:v>
                </c:pt>
                <c:pt idx="4651">
                  <c:v>40313.863888888889</c:v>
                </c:pt>
                <c:pt idx="4652">
                  <c:v>40313.864583333336</c:v>
                </c:pt>
                <c:pt idx="4653">
                  <c:v>40313.865277777775</c:v>
                </c:pt>
                <c:pt idx="4654">
                  <c:v>40313.865972222222</c:v>
                </c:pt>
                <c:pt idx="4655">
                  <c:v>40313.866666666669</c:v>
                </c:pt>
                <c:pt idx="4656">
                  <c:v>40313.867361111108</c:v>
                </c:pt>
                <c:pt idx="4657">
                  <c:v>40313.868055555555</c:v>
                </c:pt>
                <c:pt idx="4658">
                  <c:v>40313.868750000001</c:v>
                </c:pt>
                <c:pt idx="4659">
                  <c:v>40313.869444444441</c:v>
                </c:pt>
                <c:pt idx="4660">
                  <c:v>40313.870138888888</c:v>
                </c:pt>
                <c:pt idx="4661">
                  <c:v>40313.870833333334</c:v>
                </c:pt>
                <c:pt idx="4662">
                  <c:v>40313.871527777781</c:v>
                </c:pt>
                <c:pt idx="4663">
                  <c:v>40313.87222222222</c:v>
                </c:pt>
                <c:pt idx="4664">
                  <c:v>40313.872916666667</c:v>
                </c:pt>
                <c:pt idx="4665">
                  <c:v>40313.873611111114</c:v>
                </c:pt>
                <c:pt idx="4666">
                  <c:v>40313.874305555553</c:v>
                </c:pt>
                <c:pt idx="4667">
                  <c:v>40313.875</c:v>
                </c:pt>
                <c:pt idx="4668">
                  <c:v>40313.875694444447</c:v>
                </c:pt>
                <c:pt idx="4669">
                  <c:v>40313.876388888886</c:v>
                </c:pt>
                <c:pt idx="4670">
                  <c:v>40313.877083333333</c:v>
                </c:pt>
                <c:pt idx="4671">
                  <c:v>40313.87777777778</c:v>
                </c:pt>
                <c:pt idx="4672">
                  <c:v>40313.878472222219</c:v>
                </c:pt>
                <c:pt idx="4673">
                  <c:v>40313.879166666666</c:v>
                </c:pt>
                <c:pt idx="4674">
                  <c:v>40313.879861111112</c:v>
                </c:pt>
                <c:pt idx="4675">
                  <c:v>40313.880555555559</c:v>
                </c:pt>
                <c:pt idx="4676">
                  <c:v>40313.881249999999</c:v>
                </c:pt>
                <c:pt idx="4677">
                  <c:v>40313.881944444445</c:v>
                </c:pt>
                <c:pt idx="4678">
                  <c:v>40313.882638888892</c:v>
                </c:pt>
                <c:pt idx="4679">
                  <c:v>40313.883333333331</c:v>
                </c:pt>
                <c:pt idx="4680">
                  <c:v>40313.884027777778</c:v>
                </c:pt>
                <c:pt idx="4681">
                  <c:v>40313.884722222225</c:v>
                </c:pt>
                <c:pt idx="4682">
                  <c:v>40313.885416666664</c:v>
                </c:pt>
                <c:pt idx="4683">
                  <c:v>40313.886111111111</c:v>
                </c:pt>
                <c:pt idx="4684">
                  <c:v>40313.886805555558</c:v>
                </c:pt>
                <c:pt idx="4685">
                  <c:v>40313.887499999997</c:v>
                </c:pt>
                <c:pt idx="4686">
                  <c:v>40313.888194444444</c:v>
                </c:pt>
                <c:pt idx="4687">
                  <c:v>40313.888888888891</c:v>
                </c:pt>
                <c:pt idx="4688">
                  <c:v>40313.88958333333</c:v>
                </c:pt>
                <c:pt idx="4689">
                  <c:v>40313.890277777777</c:v>
                </c:pt>
                <c:pt idx="4690">
                  <c:v>40313.890972222223</c:v>
                </c:pt>
                <c:pt idx="4691">
                  <c:v>40313.89166666667</c:v>
                </c:pt>
                <c:pt idx="4692">
                  <c:v>40313.892361111109</c:v>
                </c:pt>
                <c:pt idx="4693">
                  <c:v>40313.893055555556</c:v>
                </c:pt>
                <c:pt idx="4694">
                  <c:v>40313.893750000003</c:v>
                </c:pt>
                <c:pt idx="4695">
                  <c:v>40313.894444444442</c:v>
                </c:pt>
                <c:pt idx="4696">
                  <c:v>40313.895138888889</c:v>
                </c:pt>
                <c:pt idx="4697">
                  <c:v>40313.895833333336</c:v>
                </c:pt>
                <c:pt idx="4698">
                  <c:v>40313.896527777775</c:v>
                </c:pt>
                <c:pt idx="4699">
                  <c:v>40313.897222222222</c:v>
                </c:pt>
                <c:pt idx="4700">
                  <c:v>40313.897916666669</c:v>
                </c:pt>
                <c:pt idx="4701">
                  <c:v>40313.898611111108</c:v>
                </c:pt>
                <c:pt idx="4702">
                  <c:v>40313.899305555555</c:v>
                </c:pt>
                <c:pt idx="4703">
                  <c:v>40313.9</c:v>
                </c:pt>
                <c:pt idx="4704">
                  <c:v>40313.900694444441</c:v>
                </c:pt>
                <c:pt idx="4705">
                  <c:v>40313.901388888888</c:v>
                </c:pt>
                <c:pt idx="4706">
                  <c:v>40313.902083333334</c:v>
                </c:pt>
                <c:pt idx="4707">
                  <c:v>40313.902777777781</c:v>
                </c:pt>
                <c:pt idx="4708">
                  <c:v>40313.90347222222</c:v>
                </c:pt>
                <c:pt idx="4709">
                  <c:v>40313.904166666667</c:v>
                </c:pt>
                <c:pt idx="4710">
                  <c:v>40313.904861111114</c:v>
                </c:pt>
                <c:pt idx="4711">
                  <c:v>40313.905555555553</c:v>
                </c:pt>
                <c:pt idx="4712">
                  <c:v>40313.90625</c:v>
                </c:pt>
                <c:pt idx="4713">
                  <c:v>40313.906944444447</c:v>
                </c:pt>
                <c:pt idx="4714">
                  <c:v>40313.907638888886</c:v>
                </c:pt>
                <c:pt idx="4715">
                  <c:v>40313.908333333333</c:v>
                </c:pt>
                <c:pt idx="4716">
                  <c:v>40313.90902777778</c:v>
                </c:pt>
                <c:pt idx="4717">
                  <c:v>40313.909722222219</c:v>
                </c:pt>
                <c:pt idx="4718">
                  <c:v>40313.910416666666</c:v>
                </c:pt>
                <c:pt idx="4719">
                  <c:v>40313.911111111112</c:v>
                </c:pt>
                <c:pt idx="4720">
                  <c:v>40313.911805555559</c:v>
                </c:pt>
                <c:pt idx="4721">
                  <c:v>40313.912499999999</c:v>
                </c:pt>
                <c:pt idx="4722">
                  <c:v>40313.913194444445</c:v>
                </c:pt>
                <c:pt idx="4723">
                  <c:v>40313.913888888892</c:v>
                </c:pt>
                <c:pt idx="4724">
                  <c:v>40313.914583333331</c:v>
                </c:pt>
                <c:pt idx="4725">
                  <c:v>40313.915277777778</c:v>
                </c:pt>
                <c:pt idx="4726">
                  <c:v>40313.915972222225</c:v>
                </c:pt>
                <c:pt idx="4727">
                  <c:v>40313.916666666664</c:v>
                </c:pt>
                <c:pt idx="4728">
                  <c:v>40313.917361111111</c:v>
                </c:pt>
                <c:pt idx="4729">
                  <c:v>40313.918055555558</c:v>
                </c:pt>
                <c:pt idx="4730">
                  <c:v>40313.918749999997</c:v>
                </c:pt>
                <c:pt idx="4731">
                  <c:v>40313.919444444444</c:v>
                </c:pt>
                <c:pt idx="4732">
                  <c:v>40313.920138888891</c:v>
                </c:pt>
                <c:pt idx="4733">
                  <c:v>40313.92083333333</c:v>
                </c:pt>
                <c:pt idx="4734">
                  <c:v>40313.921527777777</c:v>
                </c:pt>
                <c:pt idx="4735">
                  <c:v>40313.922222222223</c:v>
                </c:pt>
                <c:pt idx="4736">
                  <c:v>40313.92291666667</c:v>
                </c:pt>
                <c:pt idx="4737">
                  <c:v>40313.923611111109</c:v>
                </c:pt>
                <c:pt idx="4738">
                  <c:v>40313.924305555556</c:v>
                </c:pt>
                <c:pt idx="4739">
                  <c:v>40313.925000000003</c:v>
                </c:pt>
                <c:pt idx="4740">
                  <c:v>40313.925694444442</c:v>
                </c:pt>
                <c:pt idx="4741">
                  <c:v>40313.926388888889</c:v>
                </c:pt>
                <c:pt idx="4742">
                  <c:v>40313.927083333336</c:v>
                </c:pt>
                <c:pt idx="4743">
                  <c:v>40313.927777777775</c:v>
                </c:pt>
                <c:pt idx="4744">
                  <c:v>40313.928472222222</c:v>
                </c:pt>
                <c:pt idx="4745">
                  <c:v>40313.929166666669</c:v>
                </c:pt>
                <c:pt idx="4746">
                  <c:v>40313.929861111108</c:v>
                </c:pt>
                <c:pt idx="4747">
                  <c:v>40313.930555555555</c:v>
                </c:pt>
                <c:pt idx="4748">
                  <c:v>40313.931250000001</c:v>
                </c:pt>
                <c:pt idx="4749">
                  <c:v>40313.931944444441</c:v>
                </c:pt>
                <c:pt idx="4750">
                  <c:v>40313.932638888888</c:v>
                </c:pt>
                <c:pt idx="4751">
                  <c:v>40313.933333333334</c:v>
                </c:pt>
                <c:pt idx="4752">
                  <c:v>40313.934027777781</c:v>
                </c:pt>
                <c:pt idx="4753">
                  <c:v>40313.93472222222</c:v>
                </c:pt>
                <c:pt idx="4754">
                  <c:v>40313.935416666667</c:v>
                </c:pt>
                <c:pt idx="4755">
                  <c:v>40313.936111111114</c:v>
                </c:pt>
                <c:pt idx="4756">
                  <c:v>40313.936805555553</c:v>
                </c:pt>
                <c:pt idx="4757">
                  <c:v>40313.9375</c:v>
                </c:pt>
                <c:pt idx="4758">
                  <c:v>40313.938194444447</c:v>
                </c:pt>
                <c:pt idx="4759">
                  <c:v>40313.938888888886</c:v>
                </c:pt>
                <c:pt idx="4760">
                  <c:v>40313.939583333333</c:v>
                </c:pt>
                <c:pt idx="4761">
                  <c:v>40313.94027777778</c:v>
                </c:pt>
                <c:pt idx="4762">
                  <c:v>40313.940972222219</c:v>
                </c:pt>
                <c:pt idx="4763">
                  <c:v>40313.941666666666</c:v>
                </c:pt>
                <c:pt idx="4764">
                  <c:v>40313.942361111112</c:v>
                </c:pt>
                <c:pt idx="4765">
                  <c:v>40313.943055555559</c:v>
                </c:pt>
                <c:pt idx="4766">
                  <c:v>40313.943749999999</c:v>
                </c:pt>
                <c:pt idx="4767">
                  <c:v>40313.944444444445</c:v>
                </c:pt>
                <c:pt idx="4768">
                  <c:v>40313.945138888892</c:v>
                </c:pt>
                <c:pt idx="4769">
                  <c:v>40313.945833333331</c:v>
                </c:pt>
                <c:pt idx="4770">
                  <c:v>40313.946527777778</c:v>
                </c:pt>
                <c:pt idx="4771">
                  <c:v>40313.947222222225</c:v>
                </c:pt>
                <c:pt idx="4772">
                  <c:v>40313.947916666664</c:v>
                </c:pt>
                <c:pt idx="4773">
                  <c:v>40313.948611111111</c:v>
                </c:pt>
                <c:pt idx="4774">
                  <c:v>40313.949305555558</c:v>
                </c:pt>
                <c:pt idx="4775">
                  <c:v>40313.949999999997</c:v>
                </c:pt>
                <c:pt idx="4776">
                  <c:v>40313.950694444444</c:v>
                </c:pt>
                <c:pt idx="4777">
                  <c:v>40313.951388888891</c:v>
                </c:pt>
                <c:pt idx="4778">
                  <c:v>40313.95208333333</c:v>
                </c:pt>
                <c:pt idx="4779">
                  <c:v>40313.952777777777</c:v>
                </c:pt>
                <c:pt idx="4780">
                  <c:v>40313.953472222223</c:v>
                </c:pt>
                <c:pt idx="4781">
                  <c:v>40313.95416666667</c:v>
                </c:pt>
                <c:pt idx="4782">
                  <c:v>40313.954861111109</c:v>
                </c:pt>
                <c:pt idx="4783">
                  <c:v>40313.955555555556</c:v>
                </c:pt>
                <c:pt idx="4784">
                  <c:v>40313.956250000003</c:v>
                </c:pt>
                <c:pt idx="4785">
                  <c:v>40313.956944444442</c:v>
                </c:pt>
                <c:pt idx="4786">
                  <c:v>40313.957638888889</c:v>
                </c:pt>
                <c:pt idx="4787">
                  <c:v>40313.958333333336</c:v>
                </c:pt>
                <c:pt idx="4788">
                  <c:v>40313.959027777775</c:v>
                </c:pt>
                <c:pt idx="4789">
                  <c:v>40313.959722222222</c:v>
                </c:pt>
                <c:pt idx="4790">
                  <c:v>40313.960416666669</c:v>
                </c:pt>
                <c:pt idx="4791">
                  <c:v>40313.961111111108</c:v>
                </c:pt>
                <c:pt idx="4792">
                  <c:v>40313.961805555555</c:v>
                </c:pt>
                <c:pt idx="4793">
                  <c:v>40313.962500000001</c:v>
                </c:pt>
                <c:pt idx="4794">
                  <c:v>40313.963194444441</c:v>
                </c:pt>
                <c:pt idx="4795">
                  <c:v>40313.963888888888</c:v>
                </c:pt>
                <c:pt idx="4796">
                  <c:v>40313.964583333334</c:v>
                </c:pt>
                <c:pt idx="4797">
                  <c:v>40313.965277777781</c:v>
                </c:pt>
                <c:pt idx="4798">
                  <c:v>40313.96597222222</c:v>
                </c:pt>
                <c:pt idx="4799">
                  <c:v>40313.966666666667</c:v>
                </c:pt>
                <c:pt idx="4800">
                  <c:v>40313.967361111114</c:v>
                </c:pt>
                <c:pt idx="4801">
                  <c:v>40313.968055555553</c:v>
                </c:pt>
                <c:pt idx="4802">
                  <c:v>40313.96875</c:v>
                </c:pt>
                <c:pt idx="4803">
                  <c:v>40313.969444444447</c:v>
                </c:pt>
                <c:pt idx="4804">
                  <c:v>40313.970138888886</c:v>
                </c:pt>
                <c:pt idx="4805">
                  <c:v>40313.970833333333</c:v>
                </c:pt>
                <c:pt idx="4806">
                  <c:v>40313.97152777778</c:v>
                </c:pt>
                <c:pt idx="4807">
                  <c:v>40313.972222222219</c:v>
                </c:pt>
                <c:pt idx="4808">
                  <c:v>40313.972916666666</c:v>
                </c:pt>
                <c:pt idx="4809">
                  <c:v>40313.973611111112</c:v>
                </c:pt>
                <c:pt idx="4810">
                  <c:v>40313.974305555559</c:v>
                </c:pt>
                <c:pt idx="4811">
                  <c:v>40313.974999999999</c:v>
                </c:pt>
                <c:pt idx="4812">
                  <c:v>40313.975694444445</c:v>
                </c:pt>
                <c:pt idx="4813">
                  <c:v>40313.976388888892</c:v>
                </c:pt>
                <c:pt idx="4814">
                  <c:v>40313.977083333331</c:v>
                </c:pt>
                <c:pt idx="4815">
                  <c:v>40313.977777777778</c:v>
                </c:pt>
                <c:pt idx="4816">
                  <c:v>40313.978472222225</c:v>
                </c:pt>
                <c:pt idx="4817">
                  <c:v>40313.979166666664</c:v>
                </c:pt>
                <c:pt idx="4818">
                  <c:v>40313.979861111111</c:v>
                </c:pt>
                <c:pt idx="4819">
                  <c:v>40313.980555555558</c:v>
                </c:pt>
                <c:pt idx="4820">
                  <c:v>40313.981249999997</c:v>
                </c:pt>
                <c:pt idx="4821">
                  <c:v>40313.981944444444</c:v>
                </c:pt>
                <c:pt idx="4822">
                  <c:v>40313.982638888891</c:v>
                </c:pt>
                <c:pt idx="4823">
                  <c:v>40313.98333333333</c:v>
                </c:pt>
                <c:pt idx="4824">
                  <c:v>40313.984027777777</c:v>
                </c:pt>
                <c:pt idx="4825">
                  <c:v>40313.984722222223</c:v>
                </c:pt>
                <c:pt idx="4826">
                  <c:v>40313.98541666667</c:v>
                </c:pt>
                <c:pt idx="4827">
                  <c:v>40313.986111111109</c:v>
                </c:pt>
                <c:pt idx="4828">
                  <c:v>40313.986805555556</c:v>
                </c:pt>
                <c:pt idx="4829">
                  <c:v>40313.987500000003</c:v>
                </c:pt>
                <c:pt idx="4830">
                  <c:v>40313.988194444442</c:v>
                </c:pt>
                <c:pt idx="4831">
                  <c:v>40313.988888888889</c:v>
                </c:pt>
                <c:pt idx="4832">
                  <c:v>40313.989583333336</c:v>
                </c:pt>
                <c:pt idx="4833">
                  <c:v>40313.990277777775</c:v>
                </c:pt>
                <c:pt idx="4834">
                  <c:v>40313.990972222222</c:v>
                </c:pt>
                <c:pt idx="4835">
                  <c:v>40313.991666666669</c:v>
                </c:pt>
                <c:pt idx="4836">
                  <c:v>40313.992361111108</c:v>
                </c:pt>
                <c:pt idx="4837">
                  <c:v>40313.993055555555</c:v>
                </c:pt>
                <c:pt idx="4838">
                  <c:v>40313.993750000001</c:v>
                </c:pt>
                <c:pt idx="4839">
                  <c:v>40313.994444444441</c:v>
                </c:pt>
                <c:pt idx="4840">
                  <c:v>40313.995138888888</c:v>
                </c:pt>
                <c:pt idx="4841">
                  <c:v>40313.995833333334</c:v>
                </c:pt>
                <c:pt idx="4842">
                  <c:v>40313.996527777781</c:v>
                </c:pt>
                <c:pt idx="4843">
                  <c:v>40313.99722222222</c:v>
                </c:pt>
                <c:pt idx="4844">
                  <c:v>40313.997916666667</c:v>
                </c:pt>
                <c:pt idx="4845">
                  <c:v>40313.998611111114</c:v>
                </c:pt>
                <c:pt idx="4846">
                  <c:v>40313.999305555553</c:v>
                </c:pt>
                <c:pt idx="4847">
                  <c:v>40314</c:v>
                </c:pt>
                <c:pt idx="4848">
                  <c:v>40314.000694444447</c:v>
                </c:pt>
                <c:pt idx="4849">
                  <c:v>40314.001388888886</c:v>
                </c:pt>
                <c:pt idx="4850">
                  <c:v>40314.002083333333</c:v>
                </c:pt>
                <c:pt idx="4851">
                  <c:v>40314.00277777778</c:v>
                </c:pt>
                <c:pt idx="4852">
                  <c:v>40314.003472222219</c:v>
                </c:pt>
                <c:pt idx="4853">
                  <c:v>40314.004166666666</c:v>
                </c:pt>
                <c:pt idx="4854">
                  <c:v>40314.004861111112</c:v>
                </c:pt>
                <c:pt idx="4855">
                  <c:v>40314.005555555559</c:v>
                </c:pt>
                <c:pt idx="4856">
                  <c:v>40314.006249999999</c:v>
                </c:pt>
                <c:pt idx="4857">
                  <c:v>40314.006944444445</c:v>
                </c:pt>
                <c:pt idx="4858">
                  <c:v>40314.007638888892</c:v>
                </c:pt>
                <c:pt idx="4859">
                  <c:v>40314.008333333331</c:v>
                </c:pt>
                <c:pt idx="4860">
                  <c:v>40314.009027777778</c:v>
                </c:pt>
                <c:pt idx="4861">
                  <c:v>40314.009722222225</c:v>
                </c:pt>
                <c:pt idx="4862">
                  <c:v>40314.010416666664</c:v>
                </c:pt>
                <c:pt idx="4863">
                  <c:v>40314.011111111111</c:v>
                </c:pt>
                <c:pt idx="4864">
                  <c:v>40314.011805555558</c:v>
                </c:pt>
                <c:pt idx="4865">
                  <c:v>40314.012499999997</c:v>
                </c:pt>
                <c:pt idx="4866">
                  <c:v>40314.013194444444</c:v>
                </c:pt>
                <c:pt idx="4867">
                  <c:v>40314.013888888891</c:v>
                </c:pt>
                <c:pt idx="4868">
                  <c:v>40314.01458333333</c:v>
                </c:pt>
                <c:pt idx="4869">
                  <c:v>40314.015277777777</c:v>
                </c:pt>
                <c:pt idx="4870">
                  <c:v>40314.015972222223</c:v>
                </c:pt>
                <c:pt idx="4871">
                  <c:v>40314.01666666667</c:v>
                </c:pt>
                <c:pt idx="4872">
                  <c:v>40314.017361111109</c:v>
                </c:pt>
                <c:pt idx="4873">
                  <c:v>40314.018055555556</c:v>
                </c:pt>
                <c:pt idx="4874">
                  <c:v>40314.018750000003</c:v>
                </c:pt>
                <c:pt idx="4875">
                  <c:v>40314.019444444442</c:v>
                </c:pt>
                <c:pt idx="4876">
                  <c:v>40314.020138888889</c:v>
                </c:pt>
                <c:pt idx="4877">
                  <c:v>40314.020833333336</c:v>
                </c:pt>
                <c:pt idx="4878">
                  <c:v>40314.021527777775</c:v>
                </c:pt>
                <c:pt idx="4879">
                  <c:v>40314.022222222222</c:v>
                </c:pt>
                <c:pt idx="4880">
                  <c:v>40314.022916666669</c:v>
                </c:pt>
                <c:pt idx="4881">
                  <c:v>40314.023611111108</c:v>
                </c:pt>
                <c:pt idx="4882">
                  <c:v>40314.024305555555</c:v>
                </c:pt>
                <c:pt idx="4883">
                  <c:v>40314.025000000001</c:v>
                </c:pt>
                <c:pt idx="4884">
                  <c:v>40314.025694444441</c:v>
                </c:pt>
                <c:pt idx="4885">
                  <c:v>40314.026388888888</c:v>
                </c:pt>
                <c:pt idx="4886">
                  <c:v>40314.027083333334</c:v>
                </c:pt>
                <c:pt idx="4887">
                  <c:v>40314.027777777781</c:v>
                </c:pt>
                <c:pt idx="4888">
                  <c:v>40314.02847222222</c:v>
                </c:pt>
                <c:pt idx="4889">
                  <c:v>40314.029166666667</c:v>
                </c:pt>
                <c:pt idx="4890">
                  <c:v>40314.029861111114</c:v>
                </c:pt>
                <c:pt idx="4891">
                  <c:v>40314.030555555553</c:v>
                </c:pt>
                <c:pt idx="4892">
                  <c:v>40314.03125</c:v>
                </c:pt>
                <c:pt idx="4893">
                  <c:v>40314.031944444447</c:v>
                </c:pt>
                <c:pt idx="4894">
                  <c:v>40314.032638888886</c:v>
                </c:pt>
                <c:pt idx="4895">
                  <c:v>40314.033333333333</c:v>
                </c:pt>
                <c:pt idx="4896">
                  <c:v>40314.03402777778</c:v>
                </c:pt>
                <c:pt idx="4897">
                  <c:v>40314.034722222219</c:v>
                </c:pt>
                <c:pt idx="4898">
                  <c:v>40314.035416666666</c:v>
                </c:pt>
                <c:pt idx="4899">
                  <c:v>40314.036111111112</c:v>
                </c:pt>
                <c:pt idx="4900">
                  <c:v>40314.036805555559</c:v>
                </c:pt>
                <c:pt idx="4901">
                  <c:v>40314.037499999999</c:v>
                </c:pt>
                <c:pt idx="4902">
                  <c:v>40314.038194444445</c:v>
                </c:pt>
                <c:pt idx="4903">
                  <c:v>40314.038888888892</c:v>
                </c:pt>
                <c:pt idx="4904">
                  <c:v>40314.039583333331</c:v>
                </c:pt>
                <c:pt idx="4905">
                  <c:v>40314.040277777778</c:v>
                </c:pt>
                <c:pt idx="4906">
                  <c:v>40314.040972222225</c:v>
                </c:pt>
                <c:pt idx="4907">
                  <c:v>40314.041666666664</c:v>
                </c:pt>
                <c:pt idx="4908">
                  <c:v>40314.042361111111</c:v>
                </c:pt>
                <c:pt idx="4909">
                  <c:v>40314.043055555558</c:v>
                </c:pt>
                <c:pt idx="4910">
                  <c:v>40314.043749999997</c:v>
                </c:pt>
                <c:pt idx="4911">
                  <c:v>40314.044444444444</c:v>
                </c:pt>
                <c:pt idx="4912">
                  <c:v>40314.045138888891</c:v>
                </c:pt>
                <c:pt idx="4913">
                  <c:v>40314.04583333333</c:v>
                </c:pt>
                <c:pt idx="4914">
                  <c:v>40314.046527777777</c:v>
                </c:pt>
                <c:pt idx="4915">
                  <c:v>40314.047222222223</c:v>
                </c:pt>
                <c:pt idx="4916">
                  <c:v>40314.04791666667</c:v>
                </c:pt>
                <c:pt idx="4917">
                  <c:v>40314.048611111109</c:v>
                </c:pt>
                <c:pt idx="4918">
                  <c:v>40314.049305555556</c:v>
                </c:pt>
                <c:pt idx="4919">
                  <c:v>40314.050000000003</c:v>
                </c:pt>
                <c:pt idx="4920">
                  <c:v>40314.050694444442</c:v>
                </c:pt>
                <c:pt idx="4921">
                  <c:v>40314.051388888889</c:v>
                </c:pt>
                <c:pt idx="4922">
                  <c:v>40314.052083333336</c:v>
                </c:pt>
                <c:pt idx="4923">
                  <c:v>40314.052777777775</c:v>
                </c:pt>
                <c:pt idx="4924">
                  <c:v>40314.053472222222</c:v>
                </c:pt>
                <c:pt idx="4925">
                  <c:v>40314.054166666669</c:v>
                </c:pt>
                <c:pt idx="4926">
                  <c:v>40314.054861111108</c:v>
                </c:pt>
                <c:pt idx="4927">
                  <c:v>40314.055555555555</c:v>
                </c:pt>
                <c:pt idx="4928">
                  <c:v>40314.056250000001</c:v>
                </c:pt>
                <c:pt idx="4929">
                  <c:v>40314.056944444441</c:v>
                </c:pt>
                <c:pt idx="4930">
                  <c:v>40314.057638888888</c:v>
                </c:pt>
                <c:pt idx="4931">
                  <c:v>40314.058333333334</c:v>
                </c:pt>
                <c:pt idx="4932">
                  <c:v>40314.059027777781</c:v>
                </c:pt>
                <c:pt idx="4933">
                  <c:v>40314.05972222222</c:v>
                </c:pt>
                <c:pt idx="4934">
                  <c:v>40314.060416666667</c:v>
                </c:pt>
                <c:pt idx="4935">
                  <c:v>40314.061111111114</c:v>
                </c:pt>
                <c:pt idx="4936">
                  <c:v>40314.061805555553</c:v>
                </c:pt>
                <c:pt idx="4937">
                  <c:v>40314.0625</c:v>
                </c:pt>
                <c:pt idx="4938">
                  <c:v>40314.063194444447</c:v>
                </c:pt>
                <c:pt idx="4939">
                  <c:v>40314.063888888886</c:v>
                </c:pt>
                <c:pt idx="4940">
                  <c:v>40314.064583333333</c:v>
                </c:pt>
                <c:pt idx="4941">
                  <c:v>40314.06527777778</c:v>
                </c:pt>
                <c:pt idx="4942">
                  <c:v>40314.065972222219</c:v>
                </c:pt>
                <c:pt idx="4943">
                  <c:v>40314.066666666666</c:v>
                </c:pt>
                <c:pt idx="4944">
                  <c:v>40314.067361111112</c:v>
                </c:pt>
                <c:pt idx="4945">
                  <c:v>40314.068055555559</c:v>
                </c:pt>
                <c:pt idx="4946">
                  <c:v>40314.068749999999</c:v>
                </c:pt>
                <c:pt idx="4947">
                  <c:v>40314.069444444445</c:v>
                </c:pt>
                <c:pt idx="4948">
                  <c:v>40314.070138888892</c:v>
                </c:pt>
                <c:pt idx="4949">
                  <c:v>40314.070833333331</c:v>
                </c:pt>
                <c:pt idx="4950">
                  <c:v>40314.071527777778</c:v>
                </c:pt>
                <c:pt idx="4951">
                  <c:v>40314.072222222225</c:v>
                </c:pt>
                <c:pt idx="4952">
                  <c:v>40314.072916666664</c:v>
                </c:pt>
                <c:pt idx="4953">
                  <c:v>40314.073611111111</c:v>
                </c:pt>
                <c:pt idx="4954">
                  <c:v>40314.074305555558</c:v>
                </c:pt>
                <c:pt idx="4955">
                  <c:v>40314.074999999997</c:v>
                </c:pt>
                <c:pt idx="4956">
                  <c:v>40314.075694444444</c:v>
                </c:pt>
                <c:pt idx="4957">
                  <c:v>40314.076388888891</c:v>
                </c:pt>
                <c:pt idx="4958">
                  <c:v>40314.07708333333</c:v>
                </c:pt>
                <c:pt idx="4959">
                  <c:v>40314.077777777777</c:v>
                </c:pt>
                <c:pt idx="4960">
                  <c:v>40314.078472222223</c:v>
                </c:pt>
                <c:pt idx="4961">
                  <c:v>40314.07916666667</c:v>
                </c:pt>
                <c:pt idx="4962">
                  <c:v>40314.079861111109</c:v>
                </c:pt>
                <c:pt idx="4963">
                  <c:v>40314.080555555556</c:v>
                </c:pt>
                <c:pt idx="4964">
                  <c:v>40314.081250000003</c:v>
                </c:pt>
                <c:pt idx="4965">
                  <c:v>40314.081944444442</c:v>
                </c:pt>
                <c:pt idx="4966">
                  <c:v>40314.082638888889</c:v>
                </c:pt>
                <c:pt idx="4967">
                  <c:v>40314.083333333336</c:v>
                </c:pt>
                <c:pt idx="4968">
                  <c:v>40314.084027777775</c:v>
                </c:pt>
                <c:pt idx="4969">
                  <c:v>40314.084722222222</c:v>
                </c:pt>
                <c:pt idx="4970">
                  <c:v>40314.085416666669</c:v>
                </c:pt>
                <c:pt idx="4971">
                  <c:v>40314.086111111108</c:v>
                </c:pt>
                <c:pt idx="4972">
                  <c:v>40314.086805555555</c:v>
                </c:pt>
                <c:pt idx="4973">
                  <c:v>40314.087500000001</c:v>
                </c:pt>
                <c:pt idx="4974">
                  <c:v>40314.088194444441</c:v>
                </c:pt>
                <c:pt idx="4975">
                  <c:v>40314.088888888888</c:v>
                </c:pt>
                <c:pt idx="4976">
                  <c:v>40314.089583333334</c:v>
                </c:pt>
                <c:pt idx="4977">
                  <c:v>40314.090277777781</c:v>
                </c:pt>
                <c:pt idx="4978">
                  <c:v>40314.09097222222</c:v>
                </c:pt>
                <c:pt idx="4979">
                  <c:v>40314.091666666667</c:v>
                </c:pt>
                <c:pt idx="4980">
                  <c:v>40314.092361111114</c:v>
                </c:pt>
                <c:pt idx="4981">
                  <c:v>40314.093055555553</c:v>
                </c:pt>
                <c:pt idx="4982">
                  <c:v>40314.09375</c:v>
                </c:pt>
                <c:pt idx="4983">
                  <c:v>40314.094444444447</c:v>
                </c:pt>
                <c:pt idx="4984">
                  <c:v>40314.095138888886</c:v>
                </c:pt>
                <c:pt idx="4985">
                  <c:v>40314.095833333333</c:v>
                </c:pt>
                <c:pt idx="4986">
                  <c:v>40314.09652777778</c:v>
                </c:pt>
                <c:pt idx="4987">
                  <c:v>40314.097222222219</c:v>
                </c:pt>
                <c:pt idx="4988">
                  <c:v>40314.097916666666</c:v>
                </c:pt>
                <c:pt idx="4989">
                  <c:v>40314.098611111112</c:v>
                </c:pt>
                <c:pt idx="4990">
                  <c:v>40314.099305555559</c:v>
                </c:pt>
                <c:pt idx="4991">
                  <c:v>40314.1</c:v>
                </c:pt>
                <c:pt idx="4992">
                  <c:v>40314.100694444445</c:v>
                </c:pt>
                <c:pt idx="4993">
                  <c:v>40314.101388888892</c:v>
                </c:pt>
                <c:pt idx="4994">
                  <c:v>40314.102083333331</c:v>
                </c:pt>
                <c:pt idx="4995">
                  <c:v>40314.102777777778</c:v>
                </c:pt>
                <c:pt idx="4996">
                  <c:v>40314.103472222225</c:v>
                </c:pt>
                <c:pt idx="4997">
                  <c:v>40314.104166666664</c:v>
                </c:pt>
                <c:pt idx="4998">
                  <c:v>40314.104861111111</c:v>
                </c:pt>
                <c:pt idx="4999">
                  <c:v>40314.105555555558</c:v>
                </c:pt>
                <c:pt idx="5000">
                  <c:v>40314.106249999997</c:v>
                </c:pt>
                <c:pt idx="5001">
                  <c:v>40314.106944444444</c:v>
                </c:pt>
                <c:pt idx="5002">
                  <c:v>40314.107638888891</c:v>
                </c:pt>
                <c:pt idx="5003">
                  <c:v>40314.10833333333</c:v>
                </c:pt>
                <c:pt idx="5004">
                  <c:v>40314.109027777777</c:v>
                </c:pt>
                <c:pt idx="5005">
                  <c:v>40314.109722222223</c:v>
                </c:pt>
                <c:pt idx="5006">
                  <c:v>40314.11041666667</c:v>
                </c:pt>
                <c:pt idx="5007">
                  <c:v>40314.111111111109</c:v>
                </c:pt>
                <c:pt idx="5008">
                  <c:v>40314.111805555556</c:v>
                </c:pt>
                <c:pt idx="5009">
                  <c:v>40314.112500000003</c:v>
                </c:pt>
                <c:pt idx="5010">
                  <c:v>40314.113194444442</c:v>
                </c:pt>
                <c:pt idx="5011">
                  <c:v>40314.113888888889</c:v>
                </c:pt>
                <c:pt idx="5012">
                  <c:v>40314.114583333336</c:v>
                </c:pt>
                <c:pt idx="5013">
                  <c:v>40314.115277777775</c:v>
                </c:pt>
                <c:pt idx="5014">
                  <c:v>40314.115972222222</c:v>
                </c:pt>
                <c:pt idx="5015">
                  <c:v>40314.116666666669</c:v>
                </c:pt>
                <c:pt idx="5016">
                  <c:v>40314.117361111108</c:v>
                </c:pt>
                <c:pt idx="5017">
                  <c:v>40314.118055555555</c:v>
                </c:pt>
                <c:pt idx="5018">
                  <c:v>40314.118750000001</c:v>
                </c:pt>
                <c:pt idx="5019">
                  <c:v>40314.119444444441</c:v>
                </c:pt>
                <c:pt idx="5020">
                  <c:v>40314.120138888888</c:v>
                </c:pt>
                <c:pt idx="5021">
                  <c:v>40314.120833333334</c:v>
                </c:pt>
                <c:pt idx="5022">
                  <c:v>40314.121527777781</c:v>
                </c:pt>
                <c:pt idx="5023">
                  <c:v>40314.12222222222</c:v>
                </c:pt>
                <c:pt idx="5024">
                  <c:v>40314.122916666667</c:v>
                </c:pt>
                <c:pt idx="5025">
                  <c:v>40314.123611111114</c:v>
                </c:pt>
                <c:pt idx="5026">
                  <c:v>40314.124305555553</c:v>
                </c:pt>
                <c:pt idx="5027">
                  <c:v>40314.125</c:v>
                </c:pt>
                <c:pt idx="5028">
                  <c:v>40314.125694444447</c:v>
                </c:pt>
                <c:pt idx="5029">
                  <c:v>40314.126388888886</c:v>
                </c:pt>
                <c:pt idx="5030">
                  <c:v>40314.127083333333</c:v>
                </c:pt>
                <c:pt idx="5031">
                  <c:v>40314.12777777778</c:v>
                </c:pt>
                <c:pt idx="5032">
                  <c:v>40314.128472222219</c:v>
                </c:pt>
                <c:pt idx="5033">
                  <c:v>40314.129166666666</c:v>
                </c:pt>
                <c:pt idx="5034">
                  <c:v>40314.129861111112</c:v>
                </c:pt>
                <c:pt idx="5035">
                  <c:v>40314.130555555559</c:v>
                </c:pt>
                <c:pt idx="5036">
                  <c:v>40314.131249999999</c:v>
                </c:pt>
                <c:pt idx="5037">
                  <c:v>40314.131944444445</c:v>
                </c:pt>
                <c:pt idx="5038">
                  <c:v>40314.132638888892</c:v>
                </c:pt>
                <c:pt idx="5039">
                  <c:v>40314.133333333331</c:v>
                </c:pt>
                <c:pt idx="5040">
                  <c:v>40314.134027777778</c:v>
                </c:pt>
                <c:pt idx="5041">
                  <c:v>40314.134722222225</c:v>
                </c:pt>
                <c:pt idx="5042">
                  <c:v>40314.135416666664</c:v>
                </c:pt>
                <c:pt idx="5043">
                  <c:v>40314.136111111111</c:v>
                </c:pt>
                <c:pt idx="5044">
                  <c:v>40314.136805555558</c:v>
                </c:pt>
                <c:pt idx="5045">
                  <c:v>40314.137499999997</c:v>
                </c:pt>
                <c:pt idx="5046">
                  <c:v>40314.138194444444</c:v>
                </c:pt>
                <c:pt idx="5047">
                  <c:v>40314.138888888891</c:v>
                </c:pt>
                <c:pt idx="5048">
                  <c:v>40314.13958333333</c:v>
                </c:pt>
                <c:pt idx="5049">
                  <c:v>40314.140277777777</c:v>
                </c:pt>
                <c:pt idx="5050">
                  <c:v>40314.140972222223</c:v>
                </c:pt>
                <c:pt idx="5051">
                  <c:v>40314.14166666667</c:v>
                </c:pt>
                <c:pt idx="5052">
                  <c:v>40314.142361111109</c:v>
                </c:pt>
                <c:pt idx="5053">
                  <c:v>40314.143055555556</c:v>
                </c:pt>
                <c:pt idx="5054">
                  <c:v>40314.143750000003</c:v>
                </c:pt>
                <c:pt idx="5055">
                  <c:v>40314.144444444442</c:v>
                </c:pt>
                <c:pt idx="5056">
                  <c:v>40314.145138888889</c:v>
                </c:pt>
                <c:pt idx="5057">
                  <c:v>40314.145833333336</c:v>
                </c:pt>
                <c:pt idx="5058">
                  <c:v>40314.146527777775</c:v>
                </c:pt>
                <c:pt idx="5059">
                  <c:v>40314.147222222222</c:v>
                </c:pt>
                <c:pt idx="5060">
                  <c:v>40314.147916666669</c:v>
                </c:pt>
                <c:pt idx="5061">
                  <c:v>40314.148611111108</c:v>
                </c:pt>
                <c:pt idx="5062">
                  <c:v>40314.149305555555</c:v>
                </c:pt>
                <c:pt idx="5063">
                  <c:v>40314.15</c:v>
                </c:pt>
                <c:pt idx="5064">
                  <c:v>40314.150694444441</c:v>
                </c:pt>
                <c:pt idx="5065">
                  <c:v>40314.151388888888</c:v>
                </c:pt>
                <c:pt idx="5066">
                  <c:v>40314.152083333334</c:v>
                </c:pt>
                <c:pt idx="5067">
                  <c:v>40314.152777777781</c:v>
                </c:pt>
                <c:pt idx="5068">
                  <c:v>40314.15347222222</c:v>
                </c:pt>
                <c:pt idx="5069">
                  <c:v>40314.154166666667</c:v>
                </c:pt>
                <c:pt idx="5070">
                  <c:v>40314.154861111114</c:v>
                </c:pt>
                <c:pt idx="5071">
                  <c:v>40314.155555555553</c:v>
                </c:pt>
                <c:pt idx="5072">
                  <c:v>40314.15625</c:v>
                </c:pt>
                <c:pt idx="5073">
                  <c:v>40314.156944444447</c:v>
                </c:pt>
                <c:pt idx="5074">
                  <c:v>40314.157638888886</c:v>
                </c:pt>
                <c:pt idx="5075">
                  <c:v>40314.158333333333</c:v>
                </c:pt>
                <c:pt idx="5076">
                  <c:v>40314.15902777778</c:v>
                </c:pt>
                <c:pt idx="5077">
                  <c:v>40314.159722222219</c:v>
                </c:pt>
                <c:pt idx="5078">
                  <c:v>40314.160416666666</c:v>
                </c:pt>
                <c:pt idx="5079">
                  <c:v>40314.161111111112</c:v>
                </c:pt>
                <c:pt idx="5080">
                  <c:v>40314.161805555559</c:v>
                </c:pt>
                <c:pt idx="5081">
                  <c:v>40314.162499999999</c:v>
                </c:pt>
                <c:pt idx="5082">
                  <c:v>40314.163194444445</c:v>
                </c:pt>
                <c:pt idx="5083">
                  <c:v>40314.163888888892</c:v>
                </c:pt>
                <c:pt idx="5084">
                  <c:v>40314.164583333331</c:v>
                </c:pt>
                <c:pt idx="5085">
                  <c:v>40314.165277777778</c:v>
                </c:pt>
                <c:pt idx="5086">
                  <c:v>40314.165972222225</c:v>
                </c:pt>
                <c:pt idx="5087">
                  <c:v>40314.166666666664</c:v>
                </c:pt>
                <c:pt idx="5088">
                  <c:v>40314.167361111111</c:v>
                </c:pt>
                <c:pt idx="5089">
                  <c:v>40314.168055555558</c:v>
                </c:pt>
                <c:pt idx="5090">
                  <c:v>40314.168749999997</c:v>
                </c:pt>
                <c:pt idx="5091">
                  <c:v>40314.169444444444</c:v>
                </c:pt>
                <c:pt idx="5092">
                  <c:v>40314.170138888891</c:v>
                </c:pt>
                <c:pt idx="5093">
                  <c:v>40314.17083333333</c:v>
                </c:pt>
                <c:pt idx="5094">
                  <c:v>40314.171527777777</c:v>
                </c:pt>
                <c:pt idx="5095">
                  <c:v>40314.172222222223</c:v>
                </c:pt>
                <c:pt idx="5096">
                  <c:v>40314.17291666667</c:v>
                </c:pt>
                <c:pt idx="5097">
                  <c:v>40314.173611111109</c:v>
                </c:pt>
                <c:pt idx="5098">
                  <c:v>40314.174305555556</c:v>
                </c:pt>
                <c:pt idx="5099">
                  <c:v>40314.175000000003</c:v>
                </c:pt>
                <c:pt idx="5100">
                  <c:v>40314.175694444442</c:v>
                </c:pt>
                <c:pt idx="5101">
                  <c:v>40314.176388888889</c:v>
                </c:pt>
                <c:pt idx="5102">
                  <c:v>40314.177083333336</c:v>
                </c:pt>
                <c:pt idx="5103">
                  <c:v>40314.177777777775</c:v>
                </c:pt>
                <c:pt idx="5104">
                  <c:v>40314.178472222222</c:v>
                </c:pt>
                <c:pt idx="5105">
                  <c:v>40314.179166666669</c:v>
                </c:pt>
                <c:pt idx="5106">
                  <c:v>40314.179861111108</c:v>
                </c:pt>
                <c:pt idx="5107">
                  <c:v>40314.180555555555</c:v>
                </c:pt>
                <c:pt idx="5108">
                  <c:v>40314.181250000001</c:v>
                </c:pt>
                <c:pt idx="5109">
                  <c:v>40314.181944444441</c:v>
                </c:pt>
                <c:pt idx="5110">
                  <c:v>40314.182638888888</c:v>
                </c:pt>
                <c:pt idx="5111">
                  <c:v>40314.183333333334</c:v>
                </c:pt>
                <c:pt idx="5112">
                  <c:v>40314.184027777781</c:v>
                </c:pt>
                <c:pt idx="5113">
                  <c:v>40314.18472222222</c:v>
                </c:pt>
                <c:pt idx="5114">
                  <c:v>40314.185416666667</c:v>
                </c:pt>
                <c:pt idx="5115">
                  <c:v>40314.186111111114</c:v>
                </c:pt>
                <c:pt idx="5116">
                  <c:v>40314.186805555553</c:v>
                </c:pt>
                <c:pt idx="5117">
                  <c:v>40314.1875</c:v>
                </c:pt>
                <c:pt idx="5118">
                  <c:v>40314.188194444447</c:v>
                </c:pt>
                <c:pt idx="5119">
                  <c:v>40314.188888888886</c:v>
                </c:pt>
                <c:pt idx="5120">
                  <c:v>40314.189583333333</c:v>
                </c:pt>
                <c:pt idx="5121">
                  <c:v>40314.19027777778</c:v>
                </c:pt>
                <c:pt idx="5122">
                  <c:v>40314.190972222219</c:v>
                </c:pt>
                <c:pt idx="5123">
                  <c:v>40314.191666666666</c:v>
                </c:pt>
                <c:pt idx="5124">
                  <c:v>40314.192361111112</c:v>
                </c:pt>
                <c:pt idx="5125">
                  <c:v>40314.193055555559</c:v>
                </c:pt>
                <c:pt idx="5126">
                  <c:v>40314.193749999999</c:v>
                </c:pt>
                <c:pt idx="5127">
                  <c:v>40314.194444444445</c:v>
                </c:pt>
                <c:pt idx="5128">
                  <c:v>40314.195138888892</c:v>
                </c:pt>
                <c:pt idx="5129">
                  <c:v>40314.195833333331</c:v>
                </c:pt>
                <c:pt idx="5130">
                  <c:v>40314.196527777778</c:v>
                </c:pt>
                <c:pt idx="5131">
                  <c:v>40314.197222222225</c:v>
                </c:pt>
                <c:pt idx="5132">
                  <c:v>40314.197916666664</c:v>
                </c:pt>
                <c:pt idx="5133">
                  <c:v>40314.198611111111</c:v>
                </c:pt>
                <c:pt idx="5134">
                  <c:v>40314.199305555558</c:v>
                </c:pt>
                <c:pt idx="5135">
                  <c:v>40314.199999999997</c:v>
                </c:pt>
                <c:pt idx="5136">
                  <c:v>40314.200694444444</c:v>
                </c:pt>
                <c:pt idx="5137">
                  <c:v>40314.201388888891</c:v>
                </c:pt>
                <c:pt idx="5138">
                  <c:v>40314.20208333333</c:v>
                </c:pt>
                <c:pt idx="5139">
                  <c:v>40314.202777777777</c:v>
                </c:pt>
                <c:pt idx="5140">
                  <c:v>40314.203472222223</c:v>
                </c:pt>
                <c:pt idx="5141">
                  <c:v>40314.20416666667</c:v>
                </c:pt>
                <c:pt idx="5142">
                  <c:v>40314.204861111109</c:v>
                </c:pt>
                <c:pt idx="5143">
                  <c:v>40314.205555555556</c:v>
                </c:pt>
                <c:pt idx="5144">
                  <c:v>40314.206250000003</c:v>
                </c:pt>
                <c:pt idx="5145">
                  <c:v>40314.206944444442</c:v>
                </c:pt>
                <c:pt idx="5146">
                  <c:v>40314.207638888889</c:v>
                </c:pt>
                <c:pt idx="5147">
                  <c:v>40314.208333333336</c:v>
                </c:pt>
                <c:pt idx="5148">
                  <c:v>40314.209027777775</c:v>
                </c:pt>
                <c:pt idx="5149">
                  <c:v>40314.209722222222</c:v>
                </c:pt>
                <c:pt idx="5150">
                  <c:v>40314.210416666669</c:v>
                </c:pt>
                <c:pt idx="5151">
                  <c:v>40314.211111111108</c:v>
                </c:pt>
                <c:pt idx="5152">
                  <c:v>40314.211805555555</c:v>
                </c:pt>
                <c:pt idx="5153">
                  <c:v>40314.212500000001</c:v>
                </c:pt>
                <c:pt idx="5154">
                  <c:v>40314.213194444441</c:v>
                </c:pt>
                <c:pt idx="5155">
                  <c:v>40314.213888888888</c:v>
                </c:pt>
                <c:pt idx="5156">
                  <c:v>40314.214583333334</c:v>
                </c:pt>
                <c:pt idx="5157">
                  <c:v>40314.215277777781</c:v>
                </c:pt>
                <c:pt idx="5158">
                  <c:v>40314.21597222222</c:v>
                </c:pt>
                <c:pt idx="5159">
                  <c:v>40314.216666666667</c:v>
                </c:pt>
                <c:pt idx="5160">
                  <c:v>40314.217361111114</c:v>
                </c:pt>
                <c:pt idx="5161">
                  <c:v>40314.218055555553</c:v>
                </c:pt>
                <c:pt idx="5162">
                  <c:v>40314.21875</c:v>
                </c:pt>
                <c:pt idx="5163">
                  <c:v>40314.219444444447</c:v>
                </c:pt>
                <c:pt idx="5164">
                  <c:v>40314.220138888886</c:v>
                </c:pt>
                <c:pt idx="5165">
                  <c:v>40314.220833333333</c:v>
                </c:pt>
                <c:pt idx="5166">
                  <c:v>40314.22152777778</c:v>
                </c:pt>
                <c:pt idx="5167">
                  <c:v>40314.222222222219</c:v>
                </c:pt>
                <c:pt idx="5168">
                  <c:v>40314.222916666666</c:v>
                </c:pt>
                <c:pt idx="5169">
                  <c:v>40314.223611111112</c:v>
                </c:pt>
                <c:pt idx="5170">
                  <c:v>40314.224305555559</c:v>
                </c:pt>
                <c:pt idx="5171">
                  <c:v>40314.224999999999</c:v>
                </c:pt>
                <c:pt idx="5172">
                  <c:v>40314.225694444445</c:v>
                </c:pt>
                <c:pt idx="5173">
                  <c:v>40314.226388888892</c:v>
                </c:pt>
                <c:pt idx="5174">
                  <c:v>40314.227083333331</c:v>
                </c:pt>
                <c:pt idx="5175">
                  <c:v>40314.227777777778</c:v>
                </c:pt>
                <c:pt idx="5176">
                  <c:v>40314.228472222225</c:v>
                </c:pt>
                <c:pt idx="5177">
                  <c:v>40314.229166666664</c:v>
                </c:pt>
                <c:pt idx="5178">
                  <c:v>40314.229861111111</c:v>
                </c:pt>
                <c:pt idx="5179">
                  <c:v>40314.230555555558</c:v>
                </c:pt>
                <c:pt idx="5180">
                  <c:v>40314.231249999997</c:v>
                </c:pt>
                <c:pt idx="5181">
                  <c:v>40314.231944444444</c:v>
                </c:pt>
                <c:pt idx="5182">
                  <c:v>40314.232638888891</c:v>
                </c:pt>
                <c:pt idx="5183">
                  <c:v>40314.23333333333</c:v>
                </c:pt>
                <c:pt idx="5184">
                  <c:v>40314.234027777777</c:v>
                </c:pt>
                <c:pt idx="5185">
                  <c:v>40314.234722222223</c:v>
                </c:pt>
                <c:pt idx="5186">
                  <c:v>40314.23541666667</c:v>
                </c:pt>
                <c:pt idx="5187">
                  <c:v>40314.236111111109</c:v>
                </c:pt>
                <c:pt idx="5188">
                  <c:v>40314.236805555556</c:v>
                </c:pt>
                <c:pt idx="5189">
                  <c:v>40314.237500000003</c:v>
                </c:pt>
                <c:pt idx="5190">
                  <c:v>40314.238194444442</c:v>
                </c:pt>
                <c:pt idx="5191">
                  <c:v>40314.238888888889</c:v>
                </c:pt>
                <c:pt idx="5192">
                  <c:v>40314.239583333336</c:v>
                </c:pt>
                <c:pt idx="5193">
                  <c:v>40314.240277777775</c:v>
                </c:pt>
                <c:pt idx="5194">
                  <c:v>40314.240972222222</c:v>
                </c:pt>
                <c:pt idx="5195">
                  <c:v>40314.241666666669</c:v>
                </c:pt>
                <c:pt idx="5196">
                  <c:v>40314.242361111108</c:v>
                </c:pt>
                <c:pt idx="5197">
                  <c:v>40314.243055555555</c:v>
                </c:pt>
                <c:pt idx="5198">
                  <c:v>40314.243750000001</c:v>
                </c:pt>
                <c:pt idx="5199">
                  <c:v>40314.244444444441</c:v>
                </c:pt>
                <c:pt idx="5200">
                  <c:v>40314.245138888888</c:v>
                </c:pt>
                <c:pt idx="5201">
                  <c:v>40314.245833333334</c:v>
                </c:pt>
                <c:pt idx="5202">
                  <c:v>40314.246527777781</c:v>
                </c:pt>
                <c:pt idx="5203">
                  <c:v>40314.24722222222</c:v>
                </c:pt>
                <c:pt idx="5204">
                  <c:v>40314.247916666667</c:v>
                </c:pt>
                <c:pt idx="5205">
                  <c:v>40314.248611111114</c:v>
                </c:pt>
                <c:pt idx="5206">
                  <c:v>40314.249305555553</c:v>
                </c:pt>
                <c:pt idx="5207">
                  <c:v>40314.25</c:v>
                </c:pt>
                <c:pt idx="5208">
                  <c:v>40314.250694444447</c:v>
                </c:pt>
                <c:pt idx="5209">
                  <c:v>40314.251388888886</c:v>
                </c:pt>
                <c:pt idx="5210">
                  <c:v>40314.252083333333</c:v>
                </c:pt>
                <c:pt idx="5211">
                  <c:v>40314.25277777778</c:v>
                </c:pt>
                <c:pt idx="5212">
                  <c:v>40314.253472222219</c:v>
                </c:pt>
                <c:pt idx="5213">
                  <c:v>40314.254166666666</c:v>
                </c:pt>
                <c:pt idx="5214">
                  <c:v>40314.254861111112</c:v>
                </c:pt>
                <c:pt idx="5215">
                  <c:v>40314.255555555559</c:v>
                </c:pt>
                <c:pt idx="5216">
                  <c:v>40314.256249999999</c:v>
                </c:pt>
                <c:pt idx="5217">
                  <c:v>40314.256944444445</c:v>
                </c:pt>
                <c:pt idx="5218">
                  <c:v>40314.257638888892</c:v>
                </c:pt>
                <c:pt idx="5219">
                  <c:v>40314.258333333331</c:v>
                </c:pt>
                <c:pt idx="5220">
                  <c:v>40314.259027777778</c:v>
                </c:pt>
                <c:pt idx="5221">
                  <c:v>40314.259722222225</c:v>
                </c:pt>
                <c:pt idx="5222">
                  <c:v>40314.260416666664</c:v>
                </c:pt>
                <c:pt idx="5223">
                  <c:v>40314.261111111111</c:v>
                </c:pt>
                <c:pt idx="5224">
                  <c:v>40314.261805555558</c:v>
                </c:pt>
                <c:pt idx="5225">
                  <c:v>40314.262499999997</c:v>
                </c:pt>
                <c:pt idx="5226">
                  <c:v>40314.263194444444</c:v>
                </c:pt>
                <c:pt idx="5227">
                  <c:v>40314.263888888891</c:v>
                </c:pt>
                <c:pt idx="5228">
                  <c:v>40314.26458333333</c:v>
                </c:pt>
                <c:pt idx="5229">
                  <c:v>40314.265277777777</c:v>
                </c:pt>
                <c:pt idx="5230">
                  <c:v>40314.265972222223</c:v>
                </c:pt>
                <c:pt idx="5231">
                  <c:v>40314.26666666667</c:v>
                </c:pt>
                <c:pt idx="5232">
                  <c:v>40314.267361111109</c:v>
                </c:pt>
                <c:pt idx="5233">
                  <c:v>40314.268055555556</c:v>
                </c:pt>
                <c:pt idx="5234">
                  <c:v>40314.268750000003</c:v>
                </c:pt>
                <c:pt idx="5235">
                  <c:v>40314.269444444442</c:v>
                </c:pt>
                <c:pt idx="5236">
                  <c:v>40314.270138888889</c:v>
                </c:pt>
                <c:pt idx="5237">
                  <c:v>40314.270833333336</c:v>
                </c:pt>
                <c:pt idx="5238">
                  <c:v>40314.271527777775</c:v>
                </c:pt>
                <c:pt idx="5239">
                  <c:v>40314.272222222222</c:v>
                </c:pt>
                <c:pt idx="5240">
                  <c:v>40314.272916666669</c:v>
                </c:pt>
                <c:pt idx="5241">
                  <c:v>40314.273611111108</c:v>
                </c:pt>
                <c:pt idx="5242">
                  <c:v>40314.274305555555</c:v>
                </c:pt>
                <c:pt idx="5243">
                  <c:v>40314.275000000001</c:v>
                </c:pt>
                <c:pt idx="5244">
                  <c:v>40314.275694444441</c:v>
                </c:pt>
                <c:pt idx="5245">
                  <c:v>40314.276388888888</c:v>
                </c:pt>
                <c:pt idx="5246">
                  <c:v>40314.277083333334</c:v>
                </c:pt>
                <c:pt idx="5247">
                  <c:v>40314.277777777781</c:v>
                </c:pt>
                <c:pt idx="5248">
                  <c:v>40314.27847222222</c:v>
                </c:pt>
                <c:pt idx="5249">
                  <c:v>40314.279166666667</c:v>
                </c:pt>
                <c:pt idx="5250">
                  <c:v>40314.279861111114</c:v>
                </c:pt>
                <c:pt idx="5251">
                  <c:v>40314.280555555553</c:v>
                </c:pt>
                <c:pt idx="5252">
                  <c:v>40314.28125</c:v>
                </c:pt>
                <c:pt idx="5253">
                  <c:v>40314.281944444447</c:v>
                </c:pt>
                <c:pt idx="5254">
                  <c:v>40314.282638888886</c:v>
                </c:pt>
                <c:pt idx="5255">
                  <c:v>40314.283333333333</c:v>
                </c:pt>
                <c:pt idx="5256">
                  <c:v>40314.28402777778</c:v>
                </c:pt>
                <c:pt idx="5257">
                  <c:v>40314.284722222219</c:v>
                </c:pt>
                <c:pt idx="5258">
                  <c:v>40314.285416666666</c:v>
                </c:pt>
                <c:pt idx="5259">
                  <c:v>40314.286111111112</c:v>
                </c:pt>
                <c:pt idx="5260">
                  <c:v>40314.286805555559</c:v>
                </c:pt>
                <c:pt idx="5261">
                  <c:v>40314.287499999999</c:v>
                </c:pt>
                <c:pt idx="5262">
                  <c:v>40314.288194444445</c:v>
                </c:pt>
                <c:pt idx="5263">
                  <c:v>40314.288888888892</c:v>
                </c:pt>
                <c:pt idx="5264">
                  <c:v>40314.289583333331</c:v>
                </c:pt>
                <c:pt idx="5265">
                  <c:v>40314.290277777778</c:v>
                </c:pt>
                <c:pt idx="5266">
                  <c:v>40314.290972222225</c:v>
                </c:pt>
                <c:pt idx="5267">
                  <c:v>40314.291666666664</c:v>
                </c:pt>
                <c:pt idx="5268">
                  <c:v>40314.292361111111</c:v>
                </c:pt>
                <c:pt idx="5269">
                  <c:v>40314.293055555558</c:v>
                </c:pt>
                <c:pt idx="5270">
                  <c:v>40314.293749999997</c:v>
                </c:pt>
                <c:pt idx="5271">
                  <c:v>40314.294444444444</c:v>
                </c:pt>
                <c:pt idx="5272">
                  <c:v>40314.295138888891</c:v>
                </c:pt>
                <c:pt idx="5273">
                  <c:v>40314.29583333333</c:v>
                </c:pt>
                <c:pt idx="5274">
                  <c:v>40314.296527777777</c:v>
                </c:pt>
                <c:pt idx="5275">
                  <c:v>40314.297222222223</c:v>
                </c:pt>
                <c:pt idx="5276">
                  <c:v>40314.29791666667</c:v>
                </c:pt>
                <c:pt idx="5277">
                  <c:v>40314.298611111109</c:v>
                </c:pt>
                <c:pt idx="5278">
                  <c:v>40314.299305555556</c:v>
                </c:pt>
                <c:pt idx="5279">
                  <c:v>40314.300000000003</c:v>
                </c:pt>
                <c:pt idx="5280">
                  <c:v>40314.300694444442</c:v>
                </c:pt>
                <c:pt idx="5281">
                  <c:v>40314.301388888889</c:v>
                </c:pt>
                <c:pt idx="5282">
                  <c:v>40314.302083333336</c:v>
                </c:pt>
                <c:pt idx="5283">
                  <c:v>40314.302777777775</c:v>
                </c:pt>
                <c:pt idx="5284">
                  <c:v>40314.303472222222</c:v>
                </c:pt>
                <c:pt idx="5285">
                  <c:v>40314.304166666669</c:v>
                </c:pt>
                <c:pt idx="5286">
                  <c:v>40314.304861111108</c:v>
                </c:pt>
                <c:pt idx="5287">
                  <c:v>40314.305555555555</c:v>
                </c:pt>
                <c:pt idx="5288">
                  <c:v>40314.306250000001</c:v>
                </c:pt>
                <c:pt idx="5289">
                  <c:v>40314.306944444441</c:v>
                </c:pt>
                <c:pt idx="5290">
                  <c:v>40314.307638888888</c:v>
                </c:pt>
                <c:pt idx="5291">
                  <c:v>40314.308333333334</c:v>
                </c:pt>
                <c:pt idx="5292">
                  <c:v>40314.309027777781</c:v>
                </c:pt>
                <c:pt idx="5293">
                  <c:v>40314.30972222222</c:v>
                </c:pt>
                <c:pt idx="5294">
                  <c:v>40314.310416666667</c:v>
                </c:pt>
                <c:pt idx="5295">
                  <c:v>40314.311111111114</c:v>
                </c:pt>
                <c:pt idx="5296">
                  <c:v>40314.311805555553</c:v>
                </c:pt>
                <c:pt idx="5297">
                  <c:v>40314.3125</c:v>
                </c:pt>
                <c:pt idx="5298">
                  <c:v>40314.313194444447</c:v>
                </c:pt>
                <c:pt idx="5299">
                  <c:v>40314.313888888886</c:v>
                </c:pt>
                <c:pt idx="5300">
                  <c:v>40314.314583333333</c:v>
                </c:pt>
                <c:pt idx="5301">
                  <c:v>40314.31527777778</c:v>
                </c:pt>
                <c:pt idx="5302">
                  <c:v>40314.315972222219</c:v>
                </c:pt>
                <c:pt idx="5303">
                  <c:v>40314.316666666666</c:v>
                </c:pt>
                <c:pt idx="5304">
                  <c:v>40314.317361111112</c:v>
                </c:pt>
                <c:pt idx="5305">
                  <c:v>40314.318055555559</c:v>
                </c:pt>
                <c:pt idx="5306">
                  <c:v>40314.318749999999</c:v>
                </c:pt>
                <c:pt idx="5307">
                  <c:v>40314.319444444445</c:v>
                </c:pt>
                <c:pt idx="5308">
                  <c:v>40314.320138888892</c:v>
                </c:pt>
                <c:pt idx="5309">
                  <c:v>40314.320833333331</c:v>
                </c:pt>
                <c:pt idx="5310">
                  <c:v>40314.321527777778</c:v>
                </c:pt>
                <c:pt idx="5311">
                  <c:v>40314.322222222225</c:v>
                </c:pt>
                <c:pt idx="5312">
                  <c:v>40314.322916666664</c:v>
                </c:pt>
                <c:pt idx="5313">
                  <c:v>40314.323611111111</c:v>
                </c:pt>
                <c:pt idx="5314">
                  <c:v>40314.324305555558</c:v>
                </c:pt>
                <c:pt idx="5315">
                  <c:v>40314.324999999997</c:v>
                </c:pt>
                <c:pt idx="5316">
                  <c:v>40314.325694444444</c:v>
                </c:pt>
                <c:pt idx="5317">
                  <c:v>40314.326388888891</c:v>
                </c:pt>
                <c:pt idx="5318">
                  <c:v>40314.32708333333</c:v>
                </c:pt>
                <c:pt idx="5319">
                  <c:v>40314.327777777777</c:v>
                </c:pt>
                <c:pt idx="5320">
                  <c:v>40314.328472222223</c:v>
                </c:pt>
                <c:pt idx="5321">
                  <c:v>40314.32916666667</c:v>
                </c:pt>
                <c:pt idx="5322">
                  <c:v>40314.329861111109</c:v>
                </c:pt>
                <c:pt idx="5323">
                  <c:v>40314.330555555556</c:v>
                </c:pt>
                <c:pt idx="5324">
                  <c:v>40314.331250000003</c:v>
                </c:pt>
                <c:pt idx="5325">
                  <c:v>40314.331944444442</c:v>
                </c:pt>
                <c:pt idx="5326">
                  <c:v>40314.332638888889</c:v>
                </c:pt>
                <c:pt idx="5327">
                  <c:v>40314.333333333336</c:v>
                </c:pt>
                <c:pt idx="5328">
                  <c:v>40314.334027777775</c:v>
                </c:pt>
                <c:pt idx="5329">
                  <c:v>40314.334722222222</c:v>
                </c:pt>
                <c:pt idx="5330">
                  <c:v>40314.335416666669</c:v>
                </c:pt>
                <c:pt idx="5331">
                  <c:v>40314.336111111108</c:v>
                </c:pt>
                <c:pt idx="5332">
                  <c:v>40314.336805555555</c:v>
                </c:pt>
                <c:pt idx="5333">
                  <c:v>40314.337500000001</c:v>
                </c:pt>
                <c:pt idx="5334">
                  <c:v>40314.338194444441</c:v>
                </c:pt>
                <c:pt idx="5335">
                  <c:v>40314.338888888888</c:v>
                </c:pt>
                <c:pt idx="5336">
                  <c:v>40314.339583333334</c:v>
                </c:pt>
                <c:pt idx="5337">
                  <c:v>40314.340277777781</c:v>
                </c:pt>
                <c:pt idx="5338">
                  <c:v>40314.34097222222</c:v>
                </c:pt>
                <c:pt idx="5339">
                  <c:v>40314.341666666667</c:v>
                </c:pt>
                <c:pt idx="5340">
                  <c:v>40314.342361111114</c:v>
                </c:pt>
                <c:pt idx="5341">
                  <c:v>40314.343055555553</c:v>
                </c:pt>
                <c:pt idx="5342">
                  <c:v>40314.34375</c:v>
                </c:pt>
                <c:pt idx="5343">
                  <c:v>40314.344444444447</c:v>
                </c:pt>
                <c:pt idx="5344">
                  <c:v>40314.345138888886</c:v>
                </c:pt>
                <c:pt idx="5345">
                  <c:v>40314.345833333333</c:v>
                </c:pt>
                <c:pt idx="5346">
                  <c:v>40314.34652777778</c:v>
                </c:pt>
                <c:pt idx="5347">
                  <c:v>40314.347222222219</c:v>
                </c:pt>
                <c:pt idx="5348">
                  <c:v>40314.347916666666</c:v>
                </c:pt>
                <c:pt idx="5349">
                  <c:v>40314.348611111112</c:v>
                </c:pt>
                <c:pt idx="5350">
                  <c:v>40314.349305555559</c:v>
                </c:pt>
                <c:pt idx="5351">
                  <c:v>40314.35</c:v>
                </c:pt>
                <c:pt idx="5352">
                  <c:v>40314.350694444445</c:v>
                </c:pt>
                <c:pt idx="5353">
                  <c:v>40314.351388888892</c:v>
                </c:pt>
                <c:pt idx="5354">
                  <c:v>40314.352083333331</c:v>
                </c:pt>
                <c:pt idx="5355">
                  <c:v>40314.352777777778</c:v>
                </c:pt>
                <c:pt idx="5356">
                  <c:v>40314.353472222225</c:v>
                </c:pt>
                <c:pt idx="5357">
                  <c:v>40314.354166666664</c:v>
                </c:pt>
                <c:pt idx="5358">
                  <c:v>40314.354861111111</c:v>
                </c:pt>
                <c:pt idx="5359">
                  <c:v>40314.355555555558</c:v>
                </c:pt>
                <c:pt idx="5360">
                  <c:v>40314.356249999997</c:v>
                </c:pt>
                <c:pt idx="5361">
                  <c:v>40314.356944444444</c:v>
                </c:pt>
                <c:pt idx="5362">
                  <c:v>40314.357638888891</c:v>
                </c:pt>
                <c:pt idx="5363">
                  <c:v>40314.35833333333</c:v>
                </c:pt>
                <c:pt idx="5364">
                  <c:v>40314.359027777777</c:v>
                </c:pt>
                <c:pt idx="5365">
                  <c:v>40314.359722222223</c:v>
                </c:pt>
                <c:pt idx="5366">
                  <c:v>40314.36041666667</c:v>
                </c:pt>
                <c:pt idx="5367">
                  <c:v>40314.361111111109</c:v>
                </c:pt>
                <c:pt idx="5368">
                  <c:v>40314.361805555556</c:v>
                </c:pt>
                <c:pt idx="5369">
                  <c:v>40314.362500000003</c:v>
                </c:pt>
                <c:pt idx="5370">
                  <c:v>40314.363194444442</c:v>
                </c:pt>
                <c:pt idx="5371">
                  <c:v>40314.363888888889</c:v>
                </c:pt>
                <c:pt idx="5372">
                  <c:v>40314.364583333336</c:v>
                </c:pt>
                <c:pt idx="5373">
                  <c:v>40314.365277777775</c:v>
                </c:pt>
                <c:pt idx="5374">
                  <c:v>40314.365972222222</c:v>
                </c:pt>
                <c:pt idx="5375">
                  <c:v>40314.366666666669</c:v>
                </c:pt>
                <c:pt idx="5376">
                  <c:v>40314.367361111108</c:v>
                </c:pt>
                <c:pt idx="5377">
                  <c:v>40314.368055555555</c:v>
                </c:pt>
                <c:pt idx="5378">
                  <c:v>40314.368750000001</c:v>
                </c:pt>
                <c:pt idx="5379">
                  <c:v>40314.369444444441</c:v>
                </c:pt>
                <c:pt idx="5380">
                  <c:v>40314.370138888888</c:v>
                </c:pt>
                <c:pt idx="5381">
                  <c:v>40314.370833333334</c:v>
                </c:pt>
                <c:pt idx="5382">
                  <c:v>40314.371527777781</c:v>
                </c:pt>
                <c:pt idx="5383">
                  <c:v>40314.37222222222</c:v>
                </c:pt>
                <c:pt idx="5384">
                  <c:v>40314.372916666667</c:v>
                </c:pt>
                <c:pt idx="5385">
                  <c:v>40314.373611111114</c:v>
                </c:pt>
                <c:pt idx="5386">
                  <c:v>40314.374305555553</c:v>
                </c:pt>
                <c:pt idx="5387">
                  <c:v>40314.375</c:v>
                </c:pt>
                <c:pt idx="5388">
                  <c:v>40314.375694444447</c:v>
                </c:pt>
                <c:pt idx="5389">
                  <c:v>40314.376388888886</c:v>
                </c:pt>
                <c:pt idx="5390">
                  <c:v>40314.377083333333</c:v>
                </c:pt>
                <c:pt idx="5391">
                  <c:v>40314.37777777778</c:v>
                </c:pt>
                <c:pt idx="5392">
                  <c:v>40314.378472222219</c:v>
                </c:pt>
                <c:pt idx="5393">
                  <c:v>40314.379166666666</c:v>
                </c:pt>
                <c:pt idx="5394">
                  <c:v>40314.379861111112</c:v>
                </c:pt>
                <c:pt idx="5395">
                  <c:v>40314.380555555559</c:v>
                </c:pt>
                <c:pt idx="5396">
                  <c:v>40314.381249999999</c:v>
                </c:pt>
                <c:pt idx="5397">
                  <c:v>40314.381944444445</c:v>
                </c:pt>
                <c:pt idx="5398">
                  <c:v>40314.382638888892</c:v>
                </c:pt>
                <c:pt idx="5399">
                  <c:v>40314.383333333331</c:v>
                </c:pt>
                <c:pt idx="5400">
                  <c:v>40314.384027777778</c:v>
                </c:pt>
                <c:pt idx="5401">
                  <c:v>40314.384722222225</c:v>
                </c:pt>
                <c:pt idx="5402">
                  <c:v>40314.385416666664</c:v>
                </c:pt>
                <c:pt idx="5403">
                  <c:v>40314.386111111111</c:v>
                </c:pt>
                <c:pt idx="5404">
                  <c:v>40314.386805555558</c:v>
                </c:pt>
                <c:pt idx="5405">
                  <c:v>40314.387499999997</c:v>
                </c:pt>
                <c:pt idx="5406">
                  <c:v>40314.388194444444</c:v>
                </c:pt>
                <c:pt idx="5407">
                  <c:v>40314.388888888891</c:v>
                </c:pt>
                <c:pt idx="5408">
                  <c:v>40314.38958333333</c:v>
                </c:pt>
                <c:pt idx="5409">
                  <c:v>40314.390277777777</c:v>
                </c:pt>
                <c:pt idx="5410">
                  <c:v>40314.390972222223</c:v>
                </c:pt>
                <c:pt idx="5411">
                  <c:v>40314.39166666667</c:v>
                </c:pt>
                <c:pt idx="5412">
                  <c:v>40314.392361111109</c:v>
                </c:pt>
                <c:pt idx="5413">
                  <c:v>40314.393055555556</c:v>
                </c:pt>
                <c:pt idx="5414">
                  <c:v>40314.393750000003</c:v>
                </c:pt>
                <c:pt idx="5415">
                  <c:v>40314.394444444442</c:v>
                </c:pt>
                <c:pt idx="5416">
                  <c:v>40314.395138888889</c:v>
                </c:pt>
                <c:pt idx="5417">
                  <c:v>40314.395833333336</c:v>
                </c:pt>
                <c:pt idx="5418">
                  <c:v>40314.396527777775</c:v>
                </c:pt>
                <c:pt idx="5419">
                  <c:v>40314.397222222222</c:v>
                </c:pt>
                <c:pt idx="5420">
                  <c:v>40314.397916666669</c:v>
                </c:pt>
                <c:pt idx="5421">
                  <c:v>40314.398611111108</c:v>
                </c:pt>
                <c:pt idx="5422">
                  <c:v>40314.399305555555</c:v>
                </c:pt>
                <c:pt idx="5423">
                  <c:v>40314.400000000001</c:v>
                </c:pt>
                <c:pt idx="5424">
                  <c:v>40314.400694444441</c:v>
                </c:pt>
                <c:pt idx="5425">
                  <c:v>40314.401388888888</c:v>
                </c:pt>
                <c:pt idx="5426">
                  <c:v>40314.402083333334</c:v>
                </c:pt>
                <c:pt idx="5427">
                  <c:v>40314.402777777781</c:v>
                </c:pt>
                <c:pt idx="5428">
                  <c:v>40314.40347222222</c:v>
                </c:pt>
                <c:pt idx="5429">
                  <c:v>40314.404166666667</c:v>
                </c:pt>
                <c:pt idx="5430">
                  <c:v>40314.404861111114</c:v>
                </c:pt>
                <c:pt idx="5431">
                  <c:v>40314.405555555553</c:v>
                </c:pt>
                <c:pt idx="5432">
                  <c:v>40314.40625</c:v>
                </c:pt>
                <c:pt idx="5433">
                  <c:v>40314.406944444447</c:v>
                </c:pt>
                <c:pt idx="5434">
                  <c:v>40314.407638888886</c:v>
                </c:pt>
                <c:pt idx="5435">
                  <c:v>40314.408333333333</c:v>
                </c:pt>
                <c:pt idx="5436">
                  <c:v>40314.40902777778</c:v>
                </c:pt>
                <c:pt idx="5437">
                  <c:v>40314.409722222219</c:v>
                </c:pt>
                <c:pt idx="5438">
                  <c:v>40314.410416666666</c:v>
                </c:pt>
                <c:pt idx="5439">
                  <c:v>40314.411111111112</c:v>
                </c:pt>
                <c:pt idx="5440">
                  <c:v>40314.411805555559</c:v>
                </c:pt>
                <c:pt idx="5441">
                  <c:v>40314.412499999999</c:v>
                </c:pt>
                <c:pt idx="5442">
                  <c:v>40314.413194444445</c:v>
                </c:pt>
                <c:pt idx="5443">
                  <c:v>40314.413888888892</c:v>
                </c:pt>
                <c:pt idx="5444">
                  <c:v>40314.414583333331</c:v>
                </c:pt>
                <c:pt idx="5445">
                  <c:v>40314.415277777778</c:v>
                </c:pt>
                <c:pt idx="5446">
                  <c:v>40314.415972222225</c:v>
                </c:pt>
                <c:pt idx="5447">
                  <c:v>40314.416666666664</c:v>
                </c:pt>
                <c:pt idx="5448">
                  <c:v>40314.417361111111</c:v>
                </c:pt>
                <c:pt idx="5449">
                  <c:v>40314.418055555558</c:v>
                </c:pt>
                <c:pt idx="5450">
                  <c:v>40314.418749999997</c:v>
                </c:pt>
                <c:pt idx="5451">
                  <c:v>40314.419444444444</c:v>
                </c:pt>
                <c:pt idx="5452">
                  <c:v>40314.420138888891</c:v>
                </c:pt>
                <c:pt idx="5453">
                  <c:v>40314.42083333333</c:v>
                </c:pt>
                <c:pt idx="5454">
                  <c:v>40314.421527777777</c:v>
                </c:pt>
                <c:pt idx="5455">
                  <c:v>40314.422222222223</c:v>
                </c:pt>
                <c:pt idx="5456">
                  <c:v>40314.42291666667</c:v>
                </c:pt>
                <c:pt idx="5457">
                  <c:v>40314.423611111109</c:v>
                </c:pt>
                <c:pt idx="5458">
                  <c:v>40314.424305555556</c:v>
                </c:pt>
                <c:pt idx="5459">
                  <c:v>40314.425000000003</c:v>
                </c:pt>
                <c:pt idx="5460">
                  <c:v>40314.425694444442</c:v>
                </c:pt>
                <c:pt idx="5461">
                  <c:v>40314.426388888889</c:v>
                </c:pt>
                <c:pt idx="5462">
                  <c:v>40314.427083333336</c:v>
                </c:pt>
                <c:pt idx="5463">
                  <c:v>40314.427777777775</c:v>
                </c:pt>
                <c:pt idx="5464">
                  <c:v>40314.428472222222</c:v>
                </c:pt>
                <c:pt idx="5465">
                  <c:v>40314.429166666669</c:v>
                </c:pt>
                <c:pt idx="5466">
                  <c:v>40314.429861111108</c:v>
                </c:pt>
                <c:pt idx="5467">
                  <c:v>40314.430555555555</c:v>
                </c:pt>
                <c:pt idx="5468">
                  <c:v>40314.431250000001</c:v>
                </c:pt>
                <c:pt idx="5469">
                  <c:v>40314.431944444441</c:v>
                </c:pt>
                <c:pt idx="5470">
                  <c:v>40314.432638888888</c:v>
                </c:pt>
                <c:pt idx="5471">
                  <c:v>40314.433333333334</c:v>
                </c:pt>
                <c:pt idx="5472">
                  <c:v>40314.434027777781</c:v>
                </c:pt>
                <c:pt idx="5473">
                  <c:v>40314.43472222222</c:v>
                </c:pt>
                <c:pt idx="5474">
                  <c:v>40314.435416666667</c:v>
                </c:pt>
                <c:pt idx="5475">
                  <c:v>40314.436111111114</c:v>
                </c:pt>
                <c:pt idx="5476">
                  <c:v>40314.436805555553</c:v>
                </c:pt>
                <c:pt idx="5477">
                  <c:v>40314.4375</c:v>
                </c:pt>
                <c:pt idx="5478">
                  <c:v>40314.438194444447</c:v>
                </c:pt>
                <c:pt idx="5479">
                  <c:v>40314.438888888886</c:v>
                </c:pt>
                <c:pt idx="5480">
                  <c:v>40314.439583333333</c:v>
                </c:pt>
                <c:pt idx="5481">
                  <c:v>40314.44027777778</c:v>
                </c:pt>
                <c:pt idx="5482">
                  <c:v>40314.440972222219</c:v>
                </c:pt>
                <c:pt idx="5483">
                  <c:v>40314.441666666666</c:v>
                </c:pt>
                <c:pt idx="5484">
                  <c:v>40314.442361111112</c:v>
                </c:pt>
                <c:pt idx="5485">
                  <c:v>40314.443055555559</c:v>
                </c:pt>
                <c:pt idx="5486">
                  <c:v>40314.443749999999</c:v>
                </c:pt>
                <c:pt idx="5487">
                  <c:v>40314.444444444445</c:v>
                </c:pt>
                <c:pt idx="5488">
                  <c:v>40314.445138888892</c:v>
                </c:pt>
                <c:pt idx="5489">
                  <c:v>40314.445833333331</c:v>
                </c:pt>
                <c:pt idx="5490">
                  <c:v>40314.446527777778</c:v>
                </c:pt>
                <c:pt idx="5491">
                  <c:v>40314.447222222225</c:v>
                </c:pt>
                <c:pt idx="5492">
                  <c:v>40314.447916666664</c:v>
                </c:pt>
                <c:pt idx="5493">
                  <c:v>40314.448611111111</c:v>
                </c:pt>
                <c:pt idx="5494">
                  <c:v>40314.449305555558</c:v>
                </c:pt>
                <c:pt idx="5495">
                  <c:v>40314.449999999997</c:v>
                </c:pt>
                <c:pt idx="5496">
                  <c:v>40314.450694444444</c:v>
                </c:pt>
                <c:pt idx="5497">
                  <c:v>40314.451388888891</c:v>
                </c:pt>
                <c:pt idx="5498">
                  <c:v>40314.45208333333</c:v>
                </c:pt>
                <c:pt idx="5499">
                  <c:v>40314.452777777777</c:v>
                </c:pt>
                <c:pt idx="5500">
                  <c:v>40314.453472222223</c:v>
                </c:pt>
                <c:pt idx="5501">
                  <c:v>40314.45416666667</c:v>
                </c:pt>
                <c:pt idx="5502">
                  <c:v>40314.454861111109</c:v>
                </c:pt>
                <c:pt idx="5503">
                  <c:v>40314.455555555556</c:v>
                </c:pt>
                <c:pt idx="5504">
                  <c:v>40314.456250000003</c:v>
                </c:pt>
                <c:pt idx="5505">
                  <c:v>40314.456944444442</c:v>
                </c:pt>
                <c:pt idx="5506">
                  <c:v>40314.457638888889</c:v>
                </c:pt>
                <c:pt idx="5507">
                  <c:v>40314.458333333336</c:v>
                </c:pt>
                <c:pt idx="5508">
                  <c:v>40314.459027777775</c:v>
                </c:pt>
                <c:pt idx="5509">
                  <c:v>40314.459722222222</c:v>
                </c:pt>
                <c:pt idx="5510">
                  <c:v>40314.460416666669</c:v>
                </c:pt>
                <c:pt idx="5511">
                  <c:v>40314.461111111108</c:v>
                </c:pt>
                <c:pt idx="5512">
                  <c:v>40314.461805555555</c:v>
                </c:pt>
                <c:pt idx="5513">
                  <c:v>40314.462500000001</c:v>
                </c:pt>
                <c:pt idx="5514">
                  <c:v>40314.463194444441</c:v>
                </c:pt>
                <c:pt idx="5515">
                  <c:v>40314.463888888888</c:v>
                </c:pt>
                <c:pt idx="5516">
                  <c:v>40314.464583333334</c:v>
                </c:pt>
                <c:pt idx="5517">
                  <c:v>40314.465277777781</c:v>
                </c:pt>
                <c:pt idx="5518">
                  <c:v>40314.46597222222</c:v>
                </c:pt>
                <c:pt idx="5519">
                  <c:v>40314.466666666667</c:v>
                </c:pt>
                <c:pt idx="5520">
                  <c:v>40314.467361111114</c:v>
                </c:pt>
                <c:pt idx="5521">
                  <c:v>40314.468055555553</c:v>
                </c:pt>
                <c:pt idx="5522">
                  <c:v>40314.46875</c:v>
                </c:pt>
                <c:pt idx="5523">
                  <c:v>40314.469444444447</c:v>
                </c:pt>
                <c:pt idx="5524">
                  <c:v>40314.470138888886</c:v>
                </c:pt>
                <c:pt idx="5525">
                  <c:v>40314.470833333333</c:v>
                </c:pt>
                <c:pt idx="5526">
                  <c:v>40314.47152777778</c:v>
                </c:pt>
                <c:pt idx="5527">
                  <c:v>40314.472222222219</c:v>
                </c:pt>
                <c:pt idx="5528">
                  <c:v>40314.472916666666</c:v>
                </c:pt>
                <c:pt idx="5529">
                  <c:v>40314.473611111112</c:v>
                </c:pt>
                <c:pt idx="5530">
                  <c:v>40314.474305555559</c:v>
                </c:pt>
                <c:pt idx="5531">
                  <c:v>40314.474999999999</c:v>
                </c:pt>
                <c:pt idx="5532">
                  <c:v>40314.475694444445</c:v>
                </c:pt>
                <c:pt idx="5533">
                  <c:v>40314.476388888892</c:v>
                </c:pt>
                <c:pt idx="5534">
                  <c:v>40314.477083333331</c:v>
                </c:pt>
                <c:pt idx="5535">
                  <c:v>40314.477777777778</c:v>
                </c:pt>
                <c:pt idx="5536">
                  <c:v>40314.478472222225</c:v>
                </c:pt>
                <c:pt idx="5537">
                  <c:v>40314.479166666664</c:v>
                </c:pt>
                <c:pt idx="5538">
                  <c:v>40314.479861111111</c:v>
                </c:pt>
                <c:pt idx="5539">
                  <c:v>40314.480555555558</c:v>
                </c:pt>
                <c:pt idx="5540">
                  <c:v>40314.481249999997</c:v>
                </c:pt>
                <c:pt idx="5541">
                  <c:v>40314.481944444444</c:v>
                </c:pt>
                <c:pt idx="5542">
                  <c:v>40314.482638888891</c:v>
                </c:pt>
                <c:pt idx="5543">
                  <c:v>40314.48333333333</c:v>
                </c:pt>
                <c:pt idx="5544">
                  <c:v>40314.484027777777</c:v>
                </c:pt>
                <c:pt idx="5545">
                  <c:v>40314.484722222223</c:v>
                </c:pt>
                <c:pt idx="5546">
                  <c:v>40314.48541666667</c:v>
                </c:pt>
                <c:pt idx="5547">
                  <c:v>40314.486111111109</c:v>
                </c:pt>
                <c:pt idx="5548">
                  <c:v>40314.486805555556</c:v>
                </c:pt>
                <c:pt idx="5549">
                  <c:v>40314.487500000003</c:v>
                </c:pt>
                <c:pt idx="5550">
                  <c:v>40314.488194444442</c:v>
                </c:pt>
                <c:pt idx="5551">
                  <c:v>40314.488888888889</c:v>
                </c:pt>
                <c:pt idx="5552">
                  <c:v>40314.489583333336</c:v>
                </c:pt>
                <c:pt idx="5553">
                  <c:v>40314.490277777775</c:v>
                </c:pt>
                <c:pt idx="5554">
                  <c:v>40314.490972222222</c:v>
                </c:pt>
                <c:pt idx="5555">
                  <c:v>40314.491666666669</c:v>
                </c:pt>
                <c:pt idx="5556">
                  <c:v>40314.492361111108</c:v>
                </c:pt>
                <c:pt idx="5557">
                  <c:v>40314.493055555555</c:v>
                </c:pt>
                <c:pt idx="5558">
                  <c:v>40314.493750000001</c:v>
                </c:pt>
                <c:pt idx="5559">
                  <c:v>40314.494444444441</c:v>
                </c:pt>
                <c:pt idx="5560">
                  <c:v>40314.495138888888</c:v>
                </c:pt>
                <c:pt idx="5561">
                  <c:v>40314.495833333334</c:v>
                </c:pt>
                <c:pt idx="5562">
                  <c:v>40314.496527777781</c:v>
                </c:pt>
                <c:pt idx="5563">
                  <c:v>40314.49722222222</c:v>
                </c:pt>
                <c:pt idx="5564">
                  <c:v>40314.497916666667</c:v>
                </c:pt>
                <c:pt idx="5565">
                  <c:v>40314.498611111114</c:v>
                </c:pt>
                <c:pt idx="5566">
                  <c:v>40314.499305555553</c:v>
                </c:pt>
                <c:pt idx="5567">
                  <c:v>40314.5</c:v>
                </c:pt>
                <c:pt idx="5568">
                  <c:v>40314.500694444447</c:v>
                </c:pt>
                <c:pt idx="5569">
                  <c:v>40314.501388888886</c:v>
                </c:pt>
                <c:pt idx="5570">
                  <c:v>40314.502083333333</c:v>
                </c:pt>
                <c:pt idx="5571">
                  <c:v>40314.50277777778</c:v>
                </c:pt>
                <c:pt idx="5572">
                  <c:v>40314.503472222219</c:v>
                </c:pt>
                <c:pt idx="5573">
                  <c:v>40314.504166666666</c:v>
                </c:pt>
                <c:pt idx="5574">
                  <c:v>40314.504861111112</c:v>
                </c:pt>
                <c:pt idx="5575">
                  <c:v>40314.505555555559</c:v>
                </c:pt>
                <c:pt idx="5576">
                  <c:v>40314.506249999999</c:v>
                </c:pt>
                <c:pt idx="5577">
                  <c:v>40314.506944444445</c:v>
                </c:pt>
                <c:pt idx="5578">
                  <c:v>40314.507638888892</c:v>
                </c:pt>
                <c:pt idx="5579">
                  <c:v>40314.508333333331</c:v>
                </c:pt>
                <c:pt idx="5580">
                  <c:v>40314.509027777778</c:v>
                </c:pt>
                <c:pt idx="5581">
                  <c:v>40314.509722222225</c:v>
                </c:pt>
                <c:pt idx="5582">
                  <c:v>40314.510416666664</c:v>
                </c:pt>
                <c:pt idx="5583">
                  <c:v>40314.511111111111</c:v>
                </c:pt>
                <c:pt idx="5584">
                  <c:v>40314.511805555558</c:v>
                </c:pt>
                <c:pt idx="5585">
                  <c:v>40314.512499999997</c:v>
                </c:pt>
                <c:pt idx="5586">
                  <c:v>40314.513194444444</c:v>
                </c:pt>
                <c:pt idx="5587">
                  <c:v>40314.513888888891</c:v>
                </c:pt>
                <c:pt idx="5588">
                  <c:v>40314.51458333333</c:v>
                </c:pt>
                <c:pt idx="5589">
                  <c:v>40314.515277777777</c:v>
                </c:pt>
                <c:pt idx="5590">
                  <c:v>40314.515972222223</c:v>
                </c:pt>
                <c:pt idx="5591">
                  <c:v>40314.51666666667</c:v>
                </c:pt>
                <c:pt idx="5592">
                  <c:v>40314.517361111109</c:v>
                </c:pt>
                <c:pt idx="5593">
                  <c:v>40314.518055555556</c:v>
                </c:pt>
                <c:pt idx="5594">
                  <c:v>40314.518750000003</c:v>
                </c:pt>
                <c:pt idx="5595">
                  <c:v>40314.519444444442</c:v>
                </c:pt>
                <c:pt idx="5596">
                  <c:v>40314.520138888889</c:v>
                </c:pt>
                <c:pt idx="5597">
                  <c:v>40314.520833333336</c:v>
                </c:pt>
                <c:pt idx="5598">
                  <c:v>40314.521527777775</c:v>
                </c:pt>
                <c:pt idx="5599">
                  <c:v>40314.522222222222</c:v>
                </c:pt>
                <c:pt idx="5600">
                  <c:v>40314.522916666669</c:v>
                </c:pt>
                <c:pt idx="5601">
                  <c:v>40314.523611111108</c:v>
                </c:pt>
                <c:pt idx="5602">
                  <c:v>40314.524305555555</c:v>
                </c:pt>
                <c:pt idx="5603">
                  <c:v>40314.525000000001</c:v>
                </c:pt>
                <c:pt idx="5604">
                  <c:v>40314.525694444441</c:v>
                </c:pt>
                <c:pt idx="5605">
                  <c:v>40314.526388888888</c:v>
                </c:pt>
                <c:pt idx="5606">
                  <c:v>40314.527083333334</c:v>
                </c:pt>
                <c:pt idx="5607">
                  <c:v>40314.527777777781</c:v>
                </c:pt>
                <c:pt idx="5608">
                  <c:v>40314.52847222222</c:v>
                </c:pt>
                <c:pt idx="5609">
                  <c:v>40314.529166666667</c:v>
                </c:pt>
                <c:pt idx="5610">
                  <c:v>40314.529861111114</c:v>
                </c:pt>
                <c:pt idx="5611">
                  <c:v>40314.530555555553</c:v>
                </c:pt>
                <c:pt idx="5612">
                  <c:v>40314.53125</c:v>
                </c:pt>
                <c:pt idx="5613">
                  <c:v>40314.531944444447</c:v>
                </c:pt>
                <c:pt idx="5614">
                  <c:v>40314.532638888886</c:v>
                </c:pt>
                <c:pt idx="5615">
                  <c:v>40314.533333333333</c:v>
                </c:pt>
                <c:pt idx="5616">
                  <c:v>40314.53402777778</c:v>
                </c:pt>
                <c:pt idx="5617">
                  <c:v>40314.534722222219</c:v>
                </c:pt>
                <c:pt idx="5618">
                  <c:v>40314.535416666666</c:v>
                </c:pt>
                <c:pt idx="5619">
                  <c:v>40314.536111111112</c:v>
                </c:pt>
                <c:pt idx="5620">
                  <c:v>40314.536805555559</c:v>
                </c:pt>
                <c:pt idx="5621">
                  <c:v>40314.537499999999</c:v>
                </c:pt>
                <c:pt idx="5622">
                  <c:v>40314.538194444445</c:v>
                </c:pt>
                <c:pt idx="5623">
                  <c:v>40314.538888888892</c:v>
                </c:pt>
                <c:pt idx="5624">
                  <c:v>40314.539583333331</c:v>
                </c:pt>
                <c:pt idx="5625">
                  <c:v>40314.540277777778</c:v>
                </c:pt>
                <c:pt idx="5626">
                  <c:v>40314.540972222225</c:v>
                </c:pt>
                <c:pt idx="5627">
                  <c:v>40314.541666666664</c:v>
                </c:pt>
                <c:pt idx="5628">
                  <c:v>40314.542361111111</c:v>
                </c:pt>
                <c:pt idx="5629">
                  <c:v>40314.543055555558</c:v>
                </c:pt>
                <c:pt idx="5630">
                  <c:v>40314.543749999997</c:v>
                </c:pt>
                <c:pt idx="5631">
                  <c:v>40314.544444444444</c:v>
                </c:pt>
                <c:pt idx="5632">
                  <c:v>40314.545138888891</c:v>
                </c:pt>
                <c:pt idx="5633">
                  <c:v>40314.54583333333</c:v>
                </c:pt>
                <c:pt idx="5634">
                  <c:v>40314.546527777777</c:v>
                </c:pt>
                <c:pt idx="5635">
                  <c:v>40314.547222222223</c:v>
                </c:pt>
                <c:pt idx="5636">
                  <c:v>40314.54791666667</c:v>
                </c:pt>
                <c:pt idx="5637">
                  <c:v>40314.548611111109</c:v>
                </c:pt>
                <c:pt idx="5638">
                  <c:v>40314.549305555556</c:v>
                </c:pt>
                <c:pt idx="5639">
                  <c:v>40314.550000000003</c:v>
                </c:pt>
                <c:pt idx="5640">
                  <c:v>40314.550694444442</c:v>
                </c:pt>
                <c:pt idx="5641">
                  <c:v>40314.551388888889</c:v>
                </c:pt>
                <c:pt idx="5642">
                  <c:v>40314.552083333336</c:v>
                </c:pt>
                <c:pt idx="5643">
                  <c:v>40314.552777777775</c:v>
                </c:pt>
                <c:pt idx="5644">
                  <c:v>40314.553472222222</c:v>
                </c:pt>
                <c:pt idx="5645">
                  <c:v>40314.554166666669</c:v>
                </c:pt>
                <c:pt idx="5646">
                  <c:v>40314.554861111108</c:v>
                </c:pt>
                <c:pt idx="5647">
                  <c:v>40314.555555555555</c:v>
                </c:pt>
                <c:pt idx="5648">
                  <c:v>40314.556250000001</c:v>
                </c:pt>
                <c:pt idx="5649">
                  <c:v>40314.556944444441</c:v>
                </c:pt>
                <c:pt idx="5650">
                  <c:v>40314.557638888888</c:v>
                </c:pt>
                <c:pt idx="5651">
                  <c:v>40314.558333333334</c:v>
                </c:pt>
                <c:pt idx="5652">
                  <c:v>40314.559027777781</c:v>
                </c:pt>
                <c:pt idx="5653">
                  <c:v>40314.55972222222</c:v>
                </c:pt>
                <c:pt idx="5654">
                  <c:v>40314.560416666667</c:v>
                </c:pt>
                <c:pt idx="5655">
                  <c:v>40314.561111111114</c:v>
                </c:pt>
                <c:pt idx="5656">
                  <c:v>40314.561805555553</c:v>
                </c:pt>
                <c:pt idx="5657">
                  <c:v>40314.5625</c:v>
                </c:pt>
                <c:pt idx="5658">
                  <c:v>40314.563194444447</c:v>
                </c:pt>
                <c:pt idx="5659">
                  <c:v>40314.563888888886</c:v>
                </c:pt>
                <c:pt idx="5660">
                  <c:v>40314.564583333333</c:v>
                </c:pt>
                <c:pt idx="5661">
                  <c:v>40314.56527777778</c:v>
                </c:pt>
                <c:pt idx="5662">
                  <c:v>40314.565972222219</c:v>
                </c:pt>
                <c:pt idx="5663">
                  <c:v>40314.566666666666</c:v>
                </c:pt>
                <c:pt idx="5664">
                  <c:v>40314.567361111112</c:v>
                </c:pt>
                <c:pt idx="5665">
                  <c:v>40314.568055555559</c:v>
                </c:pt>
                <c:pt idx="5666">
                  <c:v>40314.568749999999</c:v>
                </c:pt>
                <c:pt idx="5667">
                  <c:v>40314.569444444445</c:v>
                </c:pt>
                <c:pt idx="5668">
                  <c:v>40314.570138888892</c:v>
                </c:pt>
                <c:pt idx="5669">
                  <c:v>40314.570833333331</c:v>
                </c:pt>
                <c:pt idx="5670">
                  <c:v>40314.571527777778</c:v>
                </c:pt>
                <c:pt idx="5671">
                  <c:v>40314.572222222225</c:v>
                </c:pt>
                <c:pt idx="5672">
                  <c:v>40314.572916666664</c:v>
                </c:pt>
                <c:pt idx="5673">
                  <c:v>40314.573611111111</c:v>
                </c:pt>
                <c:pt idx="5674">
                  <c:v>40314.574305555558</c:v>
                </c:pt>
                <c:pt idx="5675">
                  <c:v>40314.574999999997</c:v>
                </c:pt>
                <c:pt idx="5676">
                  <c:v>40314.575694444444</c:v>
                </c:pt>
                <c:pt idx="5677">
                  <c:v>40314.576388888891</c:v>
                </c:pt>
                <c:pt idx="5678">
                  <c:v>40314.57708333333</c:v>
                </c:pt>
                <c:pt idx="5679">
                  <c:v>40314.577777777777</c:v>
                </c:pt>
                <c:pt idx="5680">
                  <c:v>40314.578472222223</c:v>
                </c:pt>
                <c:pt idx="5681">
                  <c:v>40314.57916666667</c:v>
                </c:pt>
                <c:pt idx="5682">
                  <c:v>40314.579861111109</c:v>
                </c:pt>
                <c:pt idx="5683">
                  <c:v>40314.580555555556</c:v>
                </c:pt>
                <c:pt idx="5684">
                  <c:v>40314.581250000003</c:v>
                </c:pt>
                <c:pt idx="5685">
                  <c:v>40314.581944444442</c:v>
                </c:pt>
                <c:pt idx="5686">
                  <c:v>40314.582638888889</c:v>
                </c:pt>
                <c:pt idx="5687">
                  <c:v>40314.583333333336</c:v>
                </c:pt>
                <c:pt idx="5688">
                  <c:v>40314.584027777775</c:v>
                </c:pt>
                <c:pt idx="5689">
                  <c:v>40314.584722222222</c:v>
                </c:pt>
                <c:pt idx="5690">
                  <c:v>40314.585416666669</c:v>
                </c:pt>
                <c:pt idx="5691">
                  <c:v>40314.586111111108</c:v>
                </c:pt>
                <c:pt idx="5692">
                  <c:v>40314.586805555555</c:v>
                </c:pt>
                <c:pt idx="5693">
                  <c:v>40314.587500000001</c:v>
                </c:pt>
                <c:pt idx="5694">
                  <c:v>40314.588194444441</c:v>
                </c:pt>
                <c:pt idx="5695">
                  <c:v>40314.588888888888</c:v>
                </c:pt>
                <c:pt idx="5696">
                  <c:v>40314.589583333334</c:v>
                </c:pt>
                <c:pt idx="5697">
                  <c:v>40314.590277777781</c:v>
                </c:pt>
                <c:pt idx="5698">
                  <c:v>40314.59097222222</c:v>
                </c:pt>
                <c:pt idx="5699">
                  <c:v>40314.591666666667</c:v>
                </c:pt>
                <c:pt idx="5700">
                  <c:v>40314.592361111114</c:v>
                </c:pt>
                <c:pt idx="5701">
                  <c:v>40314.593055555553</c:v>
                </c:pt>
                <c:pt idx="5702">
                  <c:v>40314.59375</c:v>
                </c:pt>
                <c:pt idx="5703">
                  <c:v>40314.594444444447</c:v>
                </c:pt>
                <c:pt idx="5704">
                  <c:v>40314.595138888886</c:v>
                </c:pt>
                <c:pt idx="5705">
                  <c:v>40314.595833333333</c:v>
                </c:pt>
                <c:pt idx="5706">
                  <c:v>40314.59652777778</c:v>
                </c:pt>
                <c:pt idx="5707">
                  <c:v>40314.597222222219</c:v>
                </c:pt>
                <c:pt idx="5708">
                  <c:v>40314.597916666666</c:v>
                </c:pt>
                <c:pt idx="5709">
                  <c:v>40314.598611111112</c:v>
                </c:pt>
                <c:pt idx="5710">
                  <c:v>40314.599305555559</c:v>
                </c:pt>
                <c:pt idx="5711">
                  <c:v>40314.6</c:v>
                </c:pt>
                <c:pt idx="5712">
                  <c:v>40314.600694444445</c:v>
                </c:pt>
                <c:pt idx="5713">
                  <c:v>40314.601388888892</c:v>
                </c:pt>
                <c:pt idx="5714">
                  <c:v>40314.602083333331</c:v>
                </c:pt>
                <c:pt idx="5715">
                  <c:v>40314.602777777778</c:v>
                </c:pt>
                <c:pt idx="5716">
                  <c:v>40314.603472222225</c:v>
                </c:pt>
                <c:pt idx="5717">
                  <c:v>40314.604166666664</c:v>
                </c:pt>
                <c:pt idx="5718">
                  <c:v>40314.604861111111</c:v>
                </c:pt>
                <c:pt idx="5719">
                  <c:v>40314.605555555558</c:v>
                </c:pt>
                <c:pt idx="5720">
                  <c:v>40314.606249999997</c:v>
                </c:pt>
                <c:pt idx="5721">
                  <c:v>40314.606944444444</c:v>
                </c:pt>
                <c:pt idx="5722">
                  <c:v>40314.607638888891</c:v>
                </c:pt>
                <c:pt idx="5723">
                  <c:v>40314.60833333333</c:v>
                </c:pt>
                <c:pt idx="5724">
                  <c:v>40314.609027777777</c:v>
                </c:pt>
                <c:pt idx="5725">
                  <c:v>40314.609722222223</c:v>
                </c:pt>
                <c:pt idx="5726">
                  <c:v>40314.61041666667</c:v>
                </c:pt>
                <c:pt idx="5727">
                  <c:v>40314.611111111109</c:v>
                </c:pt>
                <c:pt idx="5728">
                  <c:v>40314.611805555556</c:v>
                </c:pt>
                <c:pt idx="5729">
                  <c:v>40314.612500000003</c:v>
                </c:pt>
                <c:pt idx="5730">
                  <c:v>40314.613194444442</c:v>
                </c:pt>
                <c:pt idx="5731">
                  <c:v>40314.613888888889</c:v>
                </c:pt>
                <c:pt idx="5732">
                  <c:v>40314.614583333336</c:v>
                </c:pt>
                <c:pt idx="5733">
                  <c:v>40314.615277777775</c:v>
                </c:pt>
                <c:pt idx="5734">
                  <c:v>40314.615972222222</c:v>
                </c:pt>
                <c:pt idx="5735">
                  <c:v>40314.616666666669</c:v>
                </c:pt>
                <c:pt idx="5736">
                  <c:v>40314.617361111108</c:v>
                </c:pt>
                <c:pt idx="5737">
                  <c:v>40314.618055555555</c:v>
                </c:pt>
                <c:pt idx="5738">
                  <c:v>40314.618750000001</c:v>
                </c:pt>
                <c:pt idx="5739">
                  <c:v>40314.619444444441</c:v>
                </c:pt>
                <c:pt idx="5740">
                  <c:v>40314.620138888888</c:v>
                </c:pt>
                <c:pt idx="5741">
                  <c:v>40314.620833333334</c:v>
                </c:pt>
                <c:pt idx="5742">
                  <c:v>40314.621527777781</c:v>
                </c:pt>
                <c:pt idx="5743">
                  <c:v>40314.62222222222</c:v>
                </c:pt>
                <c:pt idx="5744">
                  <c:v>40314.622916666667</c:v>
                </c:pt>
                <c:pt idx="5745">
                  <c:v>40314.623611111114</c:v>
                </c:pt>
                <c:pt idx="5746">
                  <c:v>40314.624305555553</c:v>
                </c:pt>
                <c:pt idx="5747">
                  <c:v>40314.625</c:v>
                </c:pt>
                <c:pt idx="5748">
                  <c:v>40314.625694444447</c:v>
                </c:pt>
                <c:pt idx="5749">
                  <c:v>40314.626388888886</c:v>
                </c:pt>
                <c:pt idx="5750">
                  <c:v>40314.627083333333</c:v>
                </c:pt>
                <c:pt idx="5751">
                  <c:v>40314.62777777778</c:v>
                </c:pt>
                <c:pt idx="5752">
                  <c:v>40314.628472222219</c:v>
                </c:pt>
                <c:pt idx="5753">
                  <c:v>40314.629166666666</c:v>
                </c:pt>
                <c:pt idx="5754">
                  <c:v>40314.629861111112</c:v>
                </c:pt>
                <c:pt idx="5755">
                  <c:v>40314.630555555559</c:v>
                </c:pt>
                <c:pt idx="5756">
                  <c:v>40314.631249999999</c:v>
                </c:pt>
                <c:pt idx="5757">
                  <c:v>40314.631944444445</c:v>
                </c:pt>
                <c:pt idx="5758">
                  <c:v>40314.632638888892</c:v>
                </c:pt>
                <c:pt idx="5759">
                  <c:v>40314.633333333331</c:v>
                </c:pt>
                <c:pt idx="5760">
                  <c:v>40314.634027777778</c:v>
                </c:pt>
                <c:pt idx="5761">
                  <c:v>40314.634722222225</c:v>
                </c:pt>
                <c:pt idx="5762">
                  <c:v>40314.635416666664</c:v>
                </c:pt>
                <c:pt idx="5763">
                  <c:v>40314.636111111111</c:v>
                </c:pt>
                <c:pt idx="5764">
                  <c:v>40314.636805555558</c:v>
                </c:pt>
                <c:pt idx="5765">
                  <c:v>40314.637499999997</c:v>
                </c:pt>
                <c:pt idx="5766">
                  <c:v>40314.638194444444</c:v>
                </c:pt>
                <c:pt idx="5767">
                  <c:v>40314.638888888891</c:v>
                </c:pt>
                <c:pt idx="5768">
                  <c:v>40314.63958333333</c:v>
                </c:pt>
                <c:pt idx="5769">
                  <c:v>40314.640277777777</c:v>
                </c:pt>
                <c:pt idx="5770">
                  <c:v>40314.640972222223</c:v>
                </c:pt>
                <c:pt idx="5771">
                  <c:v>40314.64166666667</c:v>
                </c:pt>
                <c:pt idx="5772">
                  <c:v>40314.642361111109</c:v>
                </c:pt>
                <c:pt idx="5773">
                  <c:v>40314.643055555556</c:v>
                </c:pt>
                <c:pt idx="5774">
                  <c:v>40314.643750000003</c:v>
                </c:pt>
                <c:pt idx="5775">
                  <c:v>40314.644444444442</c:v>
                </c:pt>
                <c:pt idx="5776">
                  <c:v>40314.645138888889</c:v>
                </c:pt>
                <c:pt idx="5777">
                  <c:v>40314.645833333336</c:v>
                </c:pt>
                <c:pt idx="5778">
                  <c:v>40314.646527777775</c:v>
                </c:pt>
                <c:pt idx="5779">
                  <c:v>40314.647222222222</c:v>
                </c:pt>
                <c:pt idx="5780">
                  <c:v>40314.647916666669</c:v>
                </c:pt>
                <c:pt idx="5781">
                  <c:v>40314.648611111108</c:v>
                </c:pt>
                <c:pt idx="5782">
                  <c:v>40314.649305555555</c:v>
                </c:pt>
                <c:pt idx="5783">
                  <c:v>40314.65</c:v>
                </c:pt>
                <c:pt idx="5784">
                  <c:v>40314.650694444441</c:v>
                </c:pt>
                <c:pt idx="5785">
                  <c:v>40314.651388888888</c:v>
                </c:pt>
                <c:pt idx="5786">
                  <c:v>40314.652083333334</c:v>
                </c:pt>
                <c:pt idx="5787">
                  <c:v>40314.652777777781</c:v>
                </c:pt>
                <c:pt idx="5788">
                  <c:v>40314.65347222222</c:v>
                </c:pt>
                <c:pt idx="5789">
                  <c:v>40314.654166666667</c:v>
                </c:pt>
                <c:pt idx="5790">
                  <c:v>40314.654861111114</c:v>
                </c:pt>
                <c:pt idx="5791">
                  <c:v>40314.655555555553</c:v>
                </c:pt>
                <c:pt idx="5792">
                  <c:v>40314.65625</c:v>
                </c:pt>
                <c:pt idx="5793">
                  <c:v>40314.656944444447</c:v>
                </c:pt>
                <c:pt idx="5794">
                  <c:v>40314.657638888886</c:v>
                </c:pt>
                <c:pt idx="5795">
                  <c:v>40314.658333333333</c:v>
                </c:pt>
                <c:pt idx="5796">
                  <c:v>40314.65902777778</c:v>
                </c:pt>
                <c:pt idx="5797">
                  <c:v>40314.659722222219</c:v>
                </c:pt>
                <c:pt idx="5798">
                  <c:v>40314.660416666666</c:v>
                </c:pt>
                <c:pt idx="5799">
                  <c:v>40314.661111111112</c:v>
                </c:pt>
                <c:pt idx="5800">
                  <c:v>40314.661805555559</c:v>
                </c:pt>
                <c:pt idx="5801">
                  <c:v>40314.662499999999</c:v>
                </c:pt>
                <c:pt idx="5802">
                  <c:v>40314.663194444445</c:v>
                </c:pt>
                <c:pt idx="5803">
                  <c:v>40314.663888888892</c:v>
                </c:pt>
                <c:pt idx="5804">
                  <c:v>40314.664583333331</c:v>
                </c:pt>
                <c:pt idx="5805">
                  <c:v>40314.665277777778</c:v>
                </c:pt>
                <c:pt idx="5806">
                  <c:v>40314.665972222225</c:v>
                </c:pt>
                <c:pt idx="5807">
                  <c:v>40314.666666666664</c:v>
                </c:pt>
                <c:pt idx="5808">
                  <c:v>40314.667361111111</c:v>
                </c:pt>
                <c:pt idx="5809">
                  <c:v>40314.668055555558</c:v>
                </c:pt>
                <c:pt idx="5810">
                  <c:v>40314.668749999997</c:v>
                </c:pt>
                <c:pt idx="5811">
                  <c:v>40314.669444444444</c:v>
                </c:pt>
                <c:pt idx="5812">
                  <c:v>40314.670138888891</c:v>
                </c:pt>
                <c:pt idx="5813">
                  <c:v>40314.67083333333</c:v>
                </c:pt>
                <c:pt idx="5814">
                  <c:v>40314.671527777777</c:v>
                </c:pt>
                <c:pt idx="5815">
                  <c:v>40314.672222222223</c:v>
                </c:pt>
                <c:pt idx="5816">
                  <c:v>40314.67291666667</c:v>
                </c:pt>
                <c:pt idx="5817">
                  <c:v>40314.673611111109</c:v>
                </c:pt>
                <c:pt idx="5818">
                  <c:v>40314.674305555556</c:v>
                </c:pt>
                <c:pt idx="5819">
                  <c:v>40314.675000000003</c:v>
                </c:pt>
                <c:pt idx="5820">
                  <c:v>40314.675694444442</c:v>
                </c:pt>
                <c:pt idx="5821">
                  <c:v>40314.676388888889</c:v>
                </c:pt>
                <c:pt idx="5822">
                  <c:v>40314.677083333336</c:v>
                </c:pt>
                <c:pt idx="5823">
                  <c:v>40314.677777777775</c:v>
                </c:pt>
                <c:pt idx="5824">
                  <c:v>40314.678472222222</c:v>
                </c:pt>
                <c:pt idx="5825">
                  <c:v>40314.679166666669</c:v>
                </c:pt>
                <c:pt idx="5826">
                  <c:v>40314.679861111108</c:v>
                </c:pt>
                <c:pt idx="5827">
                  <c:v>40314.680555555555</c:v>
                </c:pt>
                <c:pt idx="5828">
                  <c:v>40314.681250000001</c:v>
                </c:pt>
                <c:pt idx="5829">
                  <c:v>40314.681944444441</c:v>
                </c:pt>
                <c:pt idx="5830">
                  <c:v>40314.682638888888</c:v>
                </c:pt>
                <c:pt idx="5831">
                  <c:v>40314.683333333334</c:v>
                </c:pt>
                <c:pt idx="5832">
                  <c:v>40314.684027777781</c:v>
                </c:pt>
                <c:pt idx="5833">
                  <c:v>40314.68472222222</c:v>
                </c:pt>
                <c:pt idx="5834">
                  <c:v>40314.685416666667</c:v>
                </c:pt>
                <c:pt idx="5835">
                  <c:v>40314.686111111114</c:v>
                </c:pt>
                <c:pt idx="5836">
                  <c:v>40314.686805555553</c:v>
                </c:pt>
                <c:pt idx="5837">
                  <c:v>40314.6875</c:v>
                </c:pt>
                <c:pt idx="5838">
                  <c:v>40314.688194444447</c:v>
                </c:pt>
                <c:pt idx="5839">
                  <c:v>40314.688888888886</c:v>
                </c:pt>
                <c:pt idx="5840">
                  <c:v>40314.689583333333</c:v>
                </c:pt>
                <c:pt idx="5841">
                  <c:v>40314.69027777778</c:v>
                </c:pt>
                <c:pt idx="5842">
                  <c:v>40314.690972222219</c:v>
                </c:pt>
                <c:pt idx="5843">
                  <c:v>40314.691666666666</c:v>
                </c:pt>
                <c:pt idx="5844">
                  <c:v>40314.692361111112</c:v>
                </c:pt>
                <c:pt idx="5845">
                  <c:v>40314.693055555559</c:v>
                </c:pt>
                <c:pt idx="5846">
                  <c:v>40314.693749999999</c:v>
                </c:pt>
                <c:pt idx="5847">
                  <c:v>40314.694444444445</c:v>
                </c:pt>
                <c:pt idx="5848">
                  <c:v>40314.695138888892</c:v>
                </c:pt>
                <c:pt idx="5849">
                  <c:v>40314.695833333331</c:v>
                </c:pt>
                <c:pt idx="5850">
                  <c:v>40314.696527777778</c:v>
                </c:pt>
                <c:pt idx="5851">
                  <c:v>40314.697222222225</c:v>
                </c:pt>
                <c:pt idx="5852">
                  <c:v>40314.697916666664</c:v>
                </c:pt>
                <c:pt idx="5853">
                  <c:v>40314.698611111111</c:v>
                </c:pt>
                <c:pt idx="5854">
                  <c:v>40314.699305555558</c:v>
                </c:pt>
                <c:pt idx="5855">
                  <c:v>40314.699999999997</c:v>
                </c:pt>
                <c:pt idx="5856">
                  <c:v>40314.700694444444</c:v>
                </c:pt>
                <c:pt idx="5857">
                  <c:v>40314.701388888891</c:v>
                </c:pt>
                <c:pt idx="5858">
                  <c:v>40314.70208333333</c:v>
                </c:pt>
                <c:pt idx="5859">
                  <c:v>40314.702777777777</c:v>
                </c:pt>
                <c:pt idx="5860">
                  <c:v>40314.703472222223</c:v>
                </c:pt>
                <c:pt idx="5861">
                  <c:v>40314.70416666667</c:v>
                </c:pt>
                <c:pt idx="5862">
                  <c:v>40314.704861111109</c:v>
                </c:pt>
                <c:pt idx="5863">
                  <c:v>40314.705555555556</c:v>
                </c:pt>
                <c:pt idx="5864">
                  <c:v>40314.706250000003</c:v>
                </c:pt>
                <c:pt idx="5865">
                  <c:v>40314.706944444442</c:v>
                </c:pt>
                <c:pt idx="5866">
                  <c:v>40314.707638888889</c:v>
                </c:pt>
                <c:pt idx="5867">
                  <c:v>40314.708333333336</c:v>
                </c:pt>
                <c:pt idx="5868">
                  <c:v>40314.709027777775</c:v>
                </c:pt>
                <c:pt idx="5869">
                  <c:v>40314.709722222222</c:v>
                </c:pt>
                <c:pt idx="5870">
                  <c:v>40314.710416666669</c:v>
                </c:pt>
                <c:pt idx="5871">
                  <c:v>40314.711111111108</c:v>
                </c:pt>
                <c:pt idx="5872">
                  <c:v>40314.711805555555</c:v>
                </c:pt>
                <c:pt idx="5873">
                  <c:v>40314.712500000001</c:v>
                </c:pt>
                <c:pt idx="5874">
                  <c:v>40314.713194444441</c:v>
                </c:pt>
                <c:pt idx="5875">
                  <c:v>40314.713888888888</c:v>
                </c:pt>
                <c:pt idx="5876">
                  <c:v>40314.714583333334</c:v>
                </c:pt>
                <c:pt idx="5877">
                  <c:v>40314.715277777781</c:v>
                </c:pt>
                <c:pt idx="5878">
                  <c:v>40314.71597222222</c:v>
                </c:pt>
                <c:pt idx="5879">
                  <c:v>40314.716666666667</c:v>
                </c:pt>
                <c:pt idx="5880">
                  <c:v>40314.717361111114</c:v>
                </c:pt>
                <c:pt idx="5881">
                  <c:v>40314.718055555553</c:v>
                </c:pt>
                <c:pt idx="5882">
                  <c:v>40314.71875</c:v>
                </c:pt>
                <c:pt idx="5883">
                  <c:v>40314.719444444447</c:v>
                </c:pt>
                <c:pt idx="5884">
                  <c:v>40314.720138888886</c:v>
                </c:pt>
                <c:pt idx="5885">
                  <c:v>40314.720833333333</c:v>
                </c:pt>
                <c:pt idx="5886">
                  <c:v>40314.72152777778</c:v>
                </c:pt>
                <c:pt idx="5887">
                  <c:v>40314.722222222219</c:v>
                </c:pt>
                <c:pt idx="5888">
                  <c:v>40314.722916666666</c:v>
                </c:pt>
                <c:pt idx="5889">
                  <c:v>40314.723611111112</c:v>
                </c:pt>
                <c:pt idx="5890">
                  <c:v>40314.724305555559</c:v>
                </c:pt>
                <c:pt idx="5891">
                  <c:v>40314.724999999999</c:v>
                </c:pt>
                <c:pt idx="5892">
                  <c:v>40314.725694444445</c:v>
                </c:pt>
                <c:pt idx="5893">
                  <c:v>40314.726388888892</c:v>
                </c:pt>
                <c:pt idx="5894">
                  <c:v>40314.727083333331</c:v>
                </c:pt>
                <c:pt idx="5895">
                  <c:v>40314.727777777778</c:v>
                </c:pt>
                <c:pt idx="5896">
                  <c:v>40314.728472222225</c:v>
                </c:pt>
                <c:pt idx="5897">
                  <c:v>40314.729166666664</c:v>
                </c:pt>
                <c:pt idx="5898">
                  <c:v>40314.729861111111</c:v>
                </c:pt>
                <c:pt idx="5899">
                  <c:v>40314.730555555558</c:v>
                </c:pt>
                <c:pt idx="5900">
                  <c:v>40314.731249999997</c:v>
                </c:pt>
                <c:pt idx="5901">
                  <c:v>40314.731944444444</c:v>
                </c:pt>
                <c:pt idx="5902">
                  <c:v>40314.732638888891</c:v>
                </c:pt>
                <c:pt idx="5903">
                  <c:v>40314.73333333333</c:v>
                </c:pt>
                <c:pt idx="5904">
                  <c:v>40314.734027777777</c:v>
                </c:pt>
                <c:pt idx="5905">
                  <c:v>40314.734722222223</c:v>
                </c:pt>
                <c:pt idx="5906">
                  <c:v>40314.73541666667</c:v>
                </c:pt>
                <c:pt idx="5907">
                  <c:v>40314.736111111109</c:v>
                </c:pt>
                <c:pt idx="5908">
                  <c:v>40314.736805555556</c:v>
                </c:pt>
                <c:pt idx="5909">
                  <c:v>40314.737500000003</c:v>
                </c:pt>
                <c:pt idx="5910">
                  <c:v>40314.738194444442</c:v>
                </c:pt>
                <c:pt idx="5911">
                  <c:v>40314.738888888889</c:v>
                </c:pt>
                <c:pt idx="5912">
                  <c:v>40314.739583333336</c:v>
                </c:pt>
                <c:pt idx="5913">
                  <c:v>40314.740277777775</c:v>
                </c:pt>
                <c:pt idx="5914">
                  <c:v>40314.740972222222</c:v>
                </c:pt>
                <c:pt idx="5915">
                  <c:v>40314.741666666669</c:v>
                </c:pt>
                <c:pt idx="5916">
                  <c:v>40314.742361111108</c:v>
                </c:pt>
                <c:pt idx="5917">
                  <c:v>40314.743055555555</c:v>
                </c:pt>
                <c:pt idx="5918">
                  <c:v>40314.743750000001</c:v>
                </c:pt>
                <c:pt idx="5919">
                  <c:v>40314.744444444441</c:v>
                </c:pt>
                <c:pt idx="5920">
                  <c:v>40314.745138888888</c:v>
                </c:pt>
                <c:pt idx="5921">
                  <c:v>40314.745833333334</c:v>
                </c:pt>
                <c:pt idx="5922">
                  <c:v>40314.746527777781</c:v>
                </c:pt>
                <c:pt idx="5923">
                  <c:v>40314.74722222222</c:v>
                </c:pt>
                <c:pt idx="5924">
                  <c:v>40314.747916666667</c:v>
                </c:pt>
                <c:pt idx="5925">
                  <c:v>40314.748611111114</c:v>
                </c:pt>
                <c:pt idx="5926">
                  <c:v>40314.749305555553</c:v>
                </c:pt>
                <c:pt idx="5927">
                  <c:v>40314.75</c:v>
                </c:pt>
                <c:pt idx="5928">
                  <c:v>40314.750694444447</c:v>
                </c:pt>
                <c:pt idx="5929">
                  <c:v>40314.751388888886</c:v>
                </c:pt>
                <c:pt idx="5930">
                  <c:v>40314.752083333333</c:v>
                </c:pt>
                <c:pt idx="5931">
                  <c:v>40314.75277777778</c:v>
                </c:pt>
                <c:pt idx="5932">
                  <c:v>40314.753472222219</c:v>
                </c:pt>
                <c:pt idx="5933">
                  <c:v>40314.754166666666</c:v>
                </c:pt>
                <c:pt idx="5934">
                  <c:v>40314.754861111112</c:v>
                </c:pt>
                <c:pt idx="5935">
                  <c:v>40314.755555555559</c:v>
                </c:pt>
                <c:pt idx="5936">
                  <c:v>40314.756249999999</c:v>
                </c:pt>
                <c:pt idx="5937">
                  <c:v>40314.756944444445</c:v>
                </c:pt>
                <c:pt idx="5938">
                  <c:v>40314.757638888892</c:v>
                </c:pt>
                <c:pt idx="5939">
                  <c:v>40314.758333333331</c:v>
                </c:pt>
                <c:pt idx="5940">
                  <c:v>40314.759027777778</c:v>
                </c:pt>
                <c:pt idx="5941">
                  <c:v>40314.759722222225</c:v>
                </c:pt>
                <c:pt idx="5942">
                  <c:v>40314.760416666664</c:v>
                </c:pt>
                <c:pt idx="5943">
                  <c:v>40314.761111111111</c:v>
                </c:pt>
                <c:pt idx="5944">
                  <c:v>40314.761805555558</c:v>
                </c:pt>
                <c:pt idx="5945">
                  <c:v>40314.762499999997</c:v>
                </c:pt>
                <c:pt idx="5946">
                  <c:v>40314.763194444444</c:v>
                </c:pt>
                <c:pt idx="5947">
                  <c:v>40314.763888888891</c:v>
                </c:pt>
                <c:pt idx="5948">
                  <c:v>40314.76458333333</c:v>
                </c:pt>
                <c:pt idx="5949">
                  <c:v>40314.765277777777</c:v>
                </c:pt>
                <c:pt idx="5950">
                  <c:v>40314.765972222223</c:v>
                </c:pt>
                <c:pt idx="5951">
                  <c:v>40314.76666666667</c:v>
                </c:pt>
                <c:pt idx="5952">
                  <c:v>40314.767361111109</c:v>
                </c:pt>
                <c:pt idx="5953">
                  <c:v>40314.768055555556</c:v>
                </c:pt>
                <c:pt idx="5954">
                  <c:v>40314.768750000003</c:v>
                </c:pt>
                <c:pt idx="5955">
                  <c:v>40314.769444444442</c:v>
                </c:pt>
                <c:pt idx="5956">
                  <c:v>40314.770138888889</c:v>
                </c:pt>
                <c:pt idx="5957">
                  <c:v>40314.770833333336</c:v>
                </c:pt>
                <c:pt idx="5958">
                  <c:v>40314.771527777775</c:v>
                </c:pt>
                <c:pt idx="5959">
                  <c:v>40314.772222222222</c:v>
                </c:pt>
                <c:pt idx="5960">
                  <c:v>40314.772916666669</c:v>
                </c:pt>
                <c:pt idx="5961">
                  <c:v>40314.773611111108</c:v>
                </c:pt>
                <c:pt idx="5962">
                  <c:v>40314.774305555555</c:v>
                </c:pt>
                <c:pt idx="5963">
                  <c:v>40314.775000000001</c:v>
                </c:pt>
                <c:pt idx="5964">
                  <c:v>40314.775694444441</c:v>
                </c:pt>
                <c:pt idx="5965">
                  <c:v>40314.776388888888</c:v>
                </c:pt>
                <c:pt idx="5966">
                  <c:v>40314.777083333334</c:v>
                </c:pt>
                <c:pt idx="5967">
                  <c:v>40314.777777777781</c:v>
                </c:pt>
                <c:pt idx="5968">
                  <c:v>40314.77847222222</c:v>
                </c:pt>
                <c:pt idx="5969">
                  <c:v>40314.779166666667</c:v>
                </c:pt>
                <c:pt idx="5970">
                  <c:v>40314.779861111114</c:v>
                </c:pt>
                <c:pt idx="5971">
                  <c:v>40314.780555555553</c:v>
                </c:pt>
                <c:pt idx="5972">
                  <c:v>40314.78125</c:v>
                </c:pt>
                <c:pt idx="5973">
                  <c:v>40314.781944444447</c:v>
                </c:pt>
                <c:pt idx="5974">
                  <c:v>40314.782638888886</c:v>
                </c:pt>
                <c:pt idx="5975">
                  <c:v>40314.783333333333</c:v>
                </c:pt>
                <c:pt idx="5976">
                  <c:v>40314.78402777778</c:v>
                </c:pt>
                <c:pt idx="5977">
                  <c:v>40314.784722222219</c:v>
                </c:pt>
                <c:pt idx="5978">
                  <c:v>40314.785416666666</c:v>
                </c:pt>
                <c:pt idx="5979">
                  <c:v>40314.786111111112</c:v>
                </c:pt>
                <c:pt idx="5980">
                  <c:v>40314.786805555559</c:v>
                </c:pt>
                <c:pt idx="5981">
                  <c:v>40314.787499999999</c:v>
                </c:pt>
                <c:pt idx="5982">
                  <c:v>40314.788194444445</c:v>
                </c:pt>
                <c:pt idx="5983">
                  <c:v>40314.788888888892</c:v>
                </c:pt>
                <c:pt idx="5984">
                  <c:v>40314.789583333331</c:v>
                </c:pt>
                <c:pt idx="5985">
                  <c:v>40314.790277777778</c:v>
                </c:pt>
                <c:pt idx="5986">
                  <c:v>40314.790972222225</c:v>
                </c:pt>
                <c:pt idx="5987">
                  <c:v>40314.791666666664</c:v>
                </c:pt>
                <c:pt idx="5988">
                  <c:v>40314.792361111111</c:v>
                </c:pt>
                <c:pt idx="5989">
                  <c:v>40314.793055555558</c:v>
                </c:pt>
                <c:pt idx="5990">
                  <c:v>40314.793749999997</c:v>
                </c:pt>
                <c:pt idx="5991">
                  <c:v>40314.794444444444</c:v>
                </c:pt>
                <c:pt idx="5992">
                  <c:v>40314.795138888891</c:v>
                </c:pt>
                <c:pt idx="5993">
                  <c:v>40314.79583333333</c:v>
                </c:pt>
                <c:pt idx="5994">
                  <c:v>40314.796527777777</c:v>
                </c:pt>
                <c:pt idx="5995">
                  <c:v>40314.797222222223</c:v>
                </c:pt>
                <c:pt idx="5996">
                  <c:v>40314.79791666667</c:v>
                </c:pt>
                <c:pt idx="5997">
                  <c:v>40314.798611111109</c:v>
                </c:pt>
                <c:pt idx="5998">
                  <c:v>40314.799305555556</c:v>
                </c:pt>
                <c:pt idx="5999">
                  <c:v>40314.800000000003</c:v>
                </c:pt>
                <c:pt idx="6000">
                  <c:v>40314.800694444442</c:v>
                </c:pt>
                <c:pt idx="6001">
                  <c:v>40314.801388888889</c:v>
                </c:pt>
                <c:pt idx="6002">
                  <c:v>40314.802083333336</c:v>
                </c:pt>
                <c:pt idx="6003">
                  <c:v>40314.802777777775</c:v>
                </c:pt>
                <c:pt idx="6004">
                  <c:v>40314.803472222222</c:v>
                </c:pt>
                <c:pt idx="6005">
                  <c:v>40314.804166666669</c:v>
                </c:pt>
                <c:pt idx="6006">
                  <c:v>40314.804861111108</c:v>
                </c:pt>
                <c:pt idx="6007">
                  <c:v>40314.805555555555</c:v>
                </c:pt>
                <c:pt idx="6008">
                  <c:v>40314.806250000001</c:v>
                </c:pt>
                <c:pt idx="6009">
                  <c:v>40314.806944444441</c:v>
                </c:pt>
                <c:pt idx="6010">
                  <c:v>40314.807638888888</c:v>
                </c:pt>
                <c:pt idx="6011">
                  <c:v>40314.808333333334</c:v>
                </c:pt>
                <c:pt idx="6012">
                  <c:v>40314.809027777781</c:v>
                </c:pt>
                <c:pt idx="6013">
                  <c:v>40314.80972222222</c:v>
                </c:pt>
                <c:pt idx="6014">
                  <c:v>40314.810416666667</c:v>
                </c:pt>
                <c:pt idx="6015">
                  <c:v>40314.811111111114</c:v>
                </c:pt>
                <c:pt idx="6016">
                  <c:v>40314.811805555553</c:v>
                </c:pt>
                <c:pt idx="6017">
                  <c:v>40314.8125</c:v>
                </c:pt>
                <c:pt idx="6018">
                  <c:v>40314.813194444447</c:v>
                </c:pt>
                <c:pt idx="6019">
                  <c:v>40314.813888888886</c:v>
                </c:pt>
                <c:pt idx="6020">
                  <c:v>40314.814583333333</c:v>
                </c:pt>
                <c:pt idx="6021">
                  <c:v>40314.81527777778</c:v>
                </c:pt>
                <c:pt idx="6022">
                  <c:v>40314.815972222219</c:v>
                </c:pt>
                <c:pt idx="6023">
                  <c:v>40314.816666666666</c:v>
                </c:pt>
                <c:pt idx="6024">
                  <c:v>40314.817361111112</c:v>
                </c:pt>
                <c:pt idx="6025">
                  <c:v>40314.818055555559</c:v>
                </c:pt>
                <c:pt idx="6026">
                  <c:v>40314.818749999999</c:v>
                </c:pt>
                <c:pt idx="6027">
                  <c:v>40314.819444444445</c:v>
                </c:pt>
                <c:pt idx="6028">
                  <c:v>40314.820138888892</c:v>
                </c:pt>
                <c:pt idx="6029">
                  <c:v>40314.820833333331</c:v>
                </c:pt>
                <c:pt idx="6030">
                  <c:v>40314.821527777778</c:v>
                </c:pt>
                <c:pt idx="6031">
                  <c:v>40314.822222222225</c:v>
                </c:pt>
                <c:pt idx="6032">
                  <c:v>40314.822916666664</c:v>
                </c:pt>
                <c:pt idx="6033">
                  <c:v>40314.823611111111</c:v>
                </c:pt>
                <c:pt idx="6034">
                  <c:v>40314.824305555558</c:v>
                </c:pt>
                <c:pt idx="6035">
                  <c:v>40314.824999999997</c:v>
                </c:pt>
                <c:pt idx="6036">
                  <c:v>40314.825694444444</c:v>
                </c:pt>
                <c:pt idx="6037">
                  <c:v>40314.826388888891</c:v>
                </c:pt>
                <c:pt idx="6038">
                  <c:v>40314.82708333333</c:v>
                </c:pt>
                <c:pt idx="6039">
                  <c:v>40314.827777777777</c:v>
                </c:pt>
                <c:pt idx="6040">
                  <c:v>40314.828472222223</c:v>
                </c:pt>
                <c:pt idx="6041">
                  <c:v>40314.82916666667</c:v>
                </c:pt>
                <c:pt idx="6042">
                  <c:v>40314.829861111109</c:v>
                </c:pt>
                <c:pt idx="6043">
                  <c:v>40314.830555555556</c:v>
                </c:pt>
                <c:pt idx="6044">
                  <c:v>40314.831250000003</c:v>
                </c:pt>
                <c:pt idx="6045">
                  <c:v>40314.831944444442</c:v>
                </c:pt>
                <c:pt idx="6046">
                  <c:v>40314.832638888889</c:v>
                </c:pt>
                <c:pt idx="6047">
                  <c:v>40314.833333333336</c:v>
                </c:pt>
                <c:pt idx="6048">
                  <c:v>40314.834027777775</c:v>
                </c:pt>
                <c:pt idx="6049">
                  <c:v>40314.834722222222</c:v>
                </c:pt>
                <c:pt idx="6050">
                  <c:v>40314.835416666669</c:v>
                </c:pt>
                <c:pt idx="6051">
                  <c:v>40314.836111111108</c:v>
                </c:pt>
                <c:pt idx="6052">
                  <c:v>40314.836805555555</c:v>
                </c:pt>
                <c:pt idx="6053">
                  <c:v>40314.837500000001</c:v>
                </c:pt>
                <c:pt idx="6054">
                  <c:v>40314.838194444441</c:v>
                </c:pt>
                <c:pt idx="6055">
                  <c:v>40314.838888888888</c:v>
                </c:pt>
                <c:pt idx="6056">
                  <c:v>40314.839583333334</c:v>
                </c:pt>
                <c:pt idx="6057">
                  <c:v>40314.840277777781</c:v>
                </c:pt>
                <c:pt idx="6058">
                  <c:v>40314.84097222222</c:v>
                </c:pt>
                <c:pt idx="6059">
                  <c:v>40314.841666666667</c:v>
                </c:pt>
                <c:pt idx="6060">
                  <c:v>40314.842361111114</c:v>
                </c:pt>
                <c:pt idx="6061">
                  <c:v>40314.843055555553</c:v>
                </c:pt>
                <c:pt idx="6062">
                  <c:v>40314.84375</c:v>
                </c:pt>
                <c:pt idx="6063">
                  <c:v>40314.844444444447</c:v>
                </c:pt>
                <c:pt idx="6064">
                  <c:v>40314.845138888886</c:v>
                </c:pt>
                <c:pt idx="6065">
                  <c:v>40314.845833333333</c:v>
                </c:pt>
                <c:pt idx="6066">
                  <c:v>40314.84652777778</c:v>
                </c:pt>
                <c:pt idx="6067">
                  <c:v>40314.847222222219</c:v>
                </c:pt>
                <c:pt idx="6068">
                  <c:v>40314.847916666666</c:v>
                </c:pt>
                <c:pt idx="6069">
                  <c:v>40314.848611111112</c:v>
                </c:pt>
                <c:pt idx="6070">
                  <c:v>40314.849305555559</c:v>
                </c:pt>
                <c:pt idx="6071">
                  <c:v>40314.85</c:v>
                </c:pt>
                <c:pt idx="6072">
                  <c:v>40314.850694444445</c:v>
                </c:pt>
                <c:pt idx="6073">
                  <c:v>40314.851388888892</c:v>
                </c:pt>
                <c:pt idx="6074">
                  <c:v>40314.852083333331</c:v>
                </c:pt>
                <c:pt idx="6075">
                  <c:v>40314.852777777778</c:v>
                </c:pt>
                <c:pt idx="6076">
                  <c:v>40314.853472222225</c:v>
                </c:pt>
                <c:pt idx="6077">
                  <c:v>40314.854166666664</c:v>
                </c:pt>
                <c:pt idx="6078">
                  <c:v>40314.854861111111</c:v>
                </c:pt>
                <c:pt idx="6079">
                  <c:v>40314.855555555558</c:v>
                </c:pt>
                <c:pt idx="6080">
                  <c:v>40314.856249999997</c:v>
                </c:pt>
                <c:pt idx="6081">
                  <c:v>40314.856944444444</c:v>
                </c:pt>
                <c:pt idx="6082">
                  <c:v>40314.857638888891</c:v>
                </c:pt>
                <c:pt idx="6083">
                  <c:v>40314.85833333333</c:v>
                </c:pt>
                <c:pt idx="6084">
                  <c:v>40314.859027777777</c:v>
                </c:pt>
                <c:pt idx="6085">
                  <c:v>40314.859722222223</c:v>
                </c:pt>
                <c:pt idx="6086">
                  <c:v>40314.86041666667</c:v>
                </c:pt>
                <c:pt idx="6087">
                  <c:v>40314.861111111109</c:v>
                </c:pt>
                <c:pt idx="6088">
                  <c:v>40314.861805555556</c:v>
                </c:pt>
                <c:pt idx="6089">
                  <c:v>40314.862500000003</c:v>
                </c:pt>
                <c:pt idx="6090">
                  <c:v>40314.863194444442</c:v>
                </c:pt>
                <c:pt idx="6091">
                  <c:v>40314.863888888889</c:v>
                </c:pt>
                <c:pt idx="6092">
                  <c:v>40314.864583333336</c:v>
                </c:pt>
                <c:pt idx="6093">
                  <c:v>40314.865277777775</c:v>
                </c:pt>
                <c:pt idx="6094">
                  <c:v>40314.865972222222</c:v>
                </c:pt>
                <c:pt idx="6095">
                  <c:v>40314.866666666669</c:v>
                </c:pt>
                <c:pt idx="6096">
                  <c:v>40314.867361111108</c:v>
                </c:pt>
                <c:pt idx="6097">
                  <c:v>40314.868055555555</c:v>
                </c:pt>
                <c:pt idx="6098">
                  <c:v>40314.868750000001</c:v>
                </c:pt>
                <c:pt idx="6099">
                  <c:v>40314.869444444441</c:v>
                </c:pt>
                <c:pt idx="6100">
                  <c:v>40314.870138888888</c:v>
                </c:pt>
                <c:pt idx="6101">
                  <c:v>40314.870833333334</c:v>
                </c:pt>
                <c:pt idx="6102">
                  <c:v>40314.871527777781</c:v>
                </c:pt>
                <c:pt idx="6103">
                  <c:v>40314.87222222222</c:v>
                </c:pt>
                <c:pt idx="6104">
                  <c:v>40314.872916666667</c:v>
                </c:pt>
                <c:pt idx="6105">
                  <c:v>40314.873611111114</c:v>
                </c:pt>
                <c:pt idx="6106">
                  <c:v>40314.874305555553</c:v>
                </c:pt>
                <c:pt idx="6107">
                  <c:v>40314.875</c:v>
                </c:pt>
                <c:pt idx="6108">
                  <c:v>40314.875694444447</c:v>
                </c:pt>
                <c:pt idx="6109">
                  <c:v>40314.876388888886</c:v>
                </c:pt>
                <c:pt idx="6110">
                  <c:v>40314.877083333333</c:v>
                </c:pt>
                <c:pt idx="6111">
                  <c:v>40314.87777777778</c:v>
                </c:pt>
                <c:pt idx="6112">
                  <c:v>40314.878472222219</c:v>
                </c:pt>
                <c:pt idx="6113">
                  <c:v>40314.879166666666</c:v>
                </c:pt>
                <c:pt idx="6114">
                  <c:v>40314.879861111112</c:v>
                </c:pt>
                <c:pt idx="6115">
                  <c:v>40314.880555555559</c:v>
                </c:pt>
                <c:pt idx="6116">
                  <c:v>40314.881249999999</c:v>
                </c:pt>
                <c:pt idx="6117">
                  <c:v>40314.881944444445</c:v>
                </c:pt>
                <c:pt idx="6118">
                  <c:v>40314.882638888892</c:v>
                </c:pt>
                <c:pt idx="6119">
                  <c:v>40314.883333333331</c:v>
                </c:pt>
                <c:pt idx="6120">
                  <c:v>40314.884027777778</c:v>
                </c:pt>
                <c:pt idx="6121">
                  <c:v>40314.884722222225</c:v>
                </c:pt>
                <c:pt idx="6122">
                  <c:v>40314.885416666664</c:v>
                </c:pt>
                <c:pt idx="6123">
                  <c:v>40314.886111111111</c:v>
                </c:pt>
                <c:pt idx="6124">
                  <c:v>40314.886805555558</c:v>
                </c:pt>
                <c:pt idx="6125">
                  <c:v>40314.887499999997</c:v>
                </c:pt>
                <c:pt idx="6126">
                  <c:v>40314.888194444444</c:v>
                </c:pt>
                <c:pt idx="6127">
                  <c:v>40314.888888888891</c:v>
                </c:pt>
                <c:pt idx="6128">
                  <c:v>40314.88958333333</c:v>
                </c:pt>
                <c:pt idx="6129">
                  <c:v>40314.890277777777</c:v>
                </c:pt>
                <c:pt idx="6130">
                  <c:v>40314.890972222223</c:v>
                </c:pt>
                <c:pt idx="6131">
                  <c:v>40314.89166666667</c:v>
                </c:pt>
                <c:pt idx="6132">
                  <c:v>40314.892361111109</c:v>
                </c:pt>
                <c:pt idx="6133">
                  <c:v>40314.893055555556</c:v>
                </c:pt>
                <c:pt idx="6134">
                  <c:v>40314.893750000003</c:v>
                </c:pt>
                <c:pt idx="6135">
                  <c:v>40314.894444444442</c:v>
                </c:pt>
                <c:pt idx="6136">
                  <c:v>40314.895138888889</c:v>
                </c:pt>
                <c:pt idx="6137">
                  <c:v>40314.895833333336</c:v>
                </c:pt>
                <c:pt idx="6138">
                  <c:v>40314.896527777775</c:v>
                </c:pt>
                <c:pt idx="6139">
                  <c:v>40314.897222222222</c:v>
                </c:pt>
                <c:pt idx="6140">
                  <c:v>40314.897916666669</c:v>
                </c:pt>
                <c:pt idx="6141">
                  <c:v>40314.898611111108</c:v>
                </c:pt>
                <c:pt idx="6142">
                  <c:v>40314.899305555555</c:v>
                </c:pt>
                <c:pt idx="6143">
                  <c:v>40314.9</c:v>
                </c:pt>
                <c:pt idx="6144">
                  <c:v>40314.900694444441</c:v>
                </c:pt>
                <c:pt idx="6145">
                  <c:v>40314.901388888888</c:v>
                </c:pt>
                <c:pt idx="6146">
                  <c:v>40314.902083333334</c:v>
                </c:pt>
                <c:pt idx="6147">
                  <c:v>40314.902777777781</c:v>
                </c:pt>
                <c:pt idx="6148">
                  <c:v>40314.90347222222</c:v>
                </c:pt>
                <c:pt idx="6149">
                  <c:v>40314.904166666667</c:v>
                </c:pt>
                <c:pt idx="6150">
                  <c:v>40314.904861111114</c:v>
                </c:pt>
                <c:pt idx="6151">
                  <c:v>40314.905555555553</c:v>
                </c:pt>
                <c:pt idx="6152">
                  <c:v>40314.90625</c:v>
                </c:pt>
                <c:pt idx="6153">
                  <c:v>40314.906944444447</c:v>
                </c:pt>
                <c:pt idx="6154">
                  <c:v>40314.907638888886</c:v>
                </c:pt>
                <c:pt idx="6155">
                  <c:v>40314.908333333333</c:v>
                </c:pt>
                <c:pt idx="6156">
                  <c:v>40314.90902777778</c:v>
                </c:pt>
                <c:pt idx="6157">
                  <c:v>40314.909722222219</c:v>
                </c:pt>
                <c:pt idx="6158">
                  <c:v>40314.910416666666</c:v>
                </c:pt>
                <c:pt idx="6159">
                  <c:v>40314.911111111112</c:v>
                </c:pt>
                <c:pt idx="6160">
                  <c:v>40314.911805555559</c:v>
                </c:pt>
                <c:pt idx="6161">
                  <c:v>40314.912499999999</c:v>
                </c:pt>
                <c:pt idx="6162">
                  <c:v>40314.913194444445</c:v>
                </c:pt>
                <c:pt idx="6163">
                  <c:v>40314.913888888892</c:v>
                </c:pt>
                <c:pt idx="6164">
                  <c:v>40314.914583333331</c:v>
                </c:pt>
                <c:pt idx="6165">
                  <c:v>40314.915277777778</c:v>
                </c:pt>
                <c:pt idx="6166">
                  <c:v>40314.915972222225</c:v>
                </c:pt>
                <c:pt idx="6167">
                  <c:v>40314.916666666664</c:v>
                </c:pt>
                <c:pt idx="6168">
                  <c:v>40314.917361111111</c:v>
                </c:pt>
                <c:pt idx="6169">
                  <c:v>40314.918055555558</c:v>
                </c:pt>
                <c:pt idx="6170">
                  <c:v>40314.918749999997</c:v>
                </c:pt>
                <c:pt idx="6171">
                  <c:v>40314.919444444444</c:v>
                </c:pt>
                <c:pt idx="6172">
                  <c:v>40314.920138888891</c:v>
                </c:pt>
                <c:pt idx="6173">
                  <c:v>40314.92083333333</c:v>
                </c:pt>
                <c:pt idx="6174">
                  <c:v>40314.921527777777</c:v>
                </c:pt>
                <c:pt idx="6175">
                  <c:v>40314.922222222223</c:v>
                </c:pt>
                <c:pt idx="6176">
                  <c:v>40314.92291666667</c:v>
                </c:pt>
                <c:pt idx="6177">
                  <c:v>40314.923611111109</c:v>
                </c:pt>
                <c:pt idx="6178">
                  <c:v>40314.924305555556</c:v>
                </c:pt>
                <c:pt idx="6179">
                  <c:v>40314.925000000003</c:v>
                </c:pt>
                <c:pt idx="6180">
                  <c:v>40314.925694444442</c:v>
                </c:pt>
                <c:pt idx="6181">
                  <c:v>40314.926388888889</c:v>
                </c:pt>
                <c:pt idx="6182">
                  <c:v>40314.927083333336</c:v>
                </c:pt>
                <c:pt idx="6183">
                  <c:v>40314.927777777775</c:v>
                </c:pt>
                <c:pt idx="6184">
                  <c:v>40314.928472222222</c:v>
                </c:pt>
                <c:pt idx="6185">
                  <c:v>40314.929166666669</c:v>
                </c:pt>
                <c:pt idx="6186">
                  <c:v>40314.929861111108</c:v>
                </c:pt>
                <c:pt idx="6187">
                  <c:v>40314.930555555555</c:v>
                </c:pt>
                <c:pt idx="6188">
                  <c:v>40314.931250000001</c:v>
                </c:pt>
                <c:pt idx="6189">
                  <c:v>40314.931944444441</c:v>
                </c:pt>
                <c:pt idx="6190">
                  <c:v>40314.932638888888</c:v>
                </c:pt>
                <c:pt idx="6191">
                  <c:v>40314.933333333334</c:v>
                </c:pt>
                <c:pt idx="6192">
                  <c:v>40314.934027777781</c:v>
                </c:pt>
                <c:pt idx="6193">
                  <c:v>40314.93472222222</c:v>
                </c:pt>
                <c:pt idx="6194">
                  <c:v>40314.935416666667</c:v>
                </c:pt>
                <c:pt idx="6195">
                  <c:v>40314.936111111114</c:v>
                </c:pt>
                <c:pt idx="6196">
                  <c:v>40314.936805555553</c:v>
                </c:pt>
                <c:pt idx="6197">
                  <c:v>40314.9375</c:v>
                </c:pt>
                <c:pt idx="6198">
                  <c:v>40314.938194444447</c:v>
                </c:pt>
                <c:pt idx="6199">
                  <c:v>40314.938888888886</c:v>
                </c:pt>
                <c:pt idx="6200">
                  <c:v>40314.939583333333</c:v>
                </c:pt>
                <c:pt idx="6201">
                  <c:v>40314.94027777778</c:v>
                </c:pt>
                <c:pt idx="6202">
                  <c:v>40314.940972222219</c:v>
                </c:pt>
                <c:pt idx="6203">
                  <c:v>40314.941666666666</c:v>
                </c:pt>
                <c:pt idx="6204">
                  <c:v>40314.942361111112</c:v>
                </c:pt>
                <c:pt idx="6205">
                  <c:v>40314.943055555559</c:v>
                </c:pt>
                <c:pt idx="6206">
                  <c:v>40314.943749999999</c:v>
                </c:pt>
                <c:pt idx="6207">
                  <c:v>40314.944444444445</c:v>
                </c:pt>
                <c:pt idx="6208">
                  <c:v>40314.945138888892</c:v>
                </c:pt>
                <c:pt idx="6209">
                  <c:v>40314.945833333331</c:v>
                </c:pt>
                <c:pt idx="6210">
                  <c:v>40314.946527777778</c:v>
                </c:pt>
                <c:pt idx="6211">
                  <c:v>40314.947222222225</c:v>
                </c:pt>
                <c:pt idx="6212">
                  <c:v>40314.947916666664</c:v>
                </c:pt>
                <c:pt idx="6213">
                  <c:v>40314.948611111111</c:v>
                </c:pt>
                <c:pt idx="6214">
                  <c:v>40314.949305555558</c:v>
                </c:pt>
                <c:pt idx="6215">
                  <c:v>40314.949999999997</c:v>
                </c:pt>
                <c:pt idx="6216">
                  <c:v>40314.950694444444</c:v>
                </c:pt>
                <c:pt idx="6217">
                  <c:v>40314.951388888891</c:v>
                </c:pt>
                <c:pt idx="6218">
                  <c:v>40314.95208333333</c:v>
                </c:pt>
                <c:pt idx="6219">
                  <c:v>40314.952777777777</c:v>
                </c:pt>
                <c:pt idx="6220">
                  <c:v>40314.953472222223</c:v>
                </c:pt>
                <c:pt idx="6221">
                  <c:v>40314.95416666667</c:v>
                </c:pt>
                <c:pt idx="6222">
                  <c:v>40314.954861111109</c:v>
                </c:pt>
                <c:pt idx="6223">
                  <c:v>40314.955555555556</c:v>
                </c:pt>
                <c:pt idx="6224">
                  <c:v>40314.956250000003</c:v>
                </c:pt>
                <c:pt idx="6225">
                  <c:v>40314.956944444442</c:v>
                </c:pt>
                <c:pt idx="6226">
                  <c:v>40314.957638888889</c:v>
                </c:pt>
                <c:pt idx="6227">
                  <c:v>40314.958333333336</c:v>
                </c:pt>
                <c:pt idx="6228">
                  <c:v>40314.959027777775</c:v>
                </c:pt>
                <c:pt idx="6229">
                  <c:v>40314.959722222222</c:v>
                </c:pt>
                <c:pt idx="6230">
                  <c:v>40314.960416666669</c:v>
                </c:pt>
                <c:pt idx="6231">
                  <c:v>40314.961111111108</c:v>
                </c:pt>
                <c:pt idx="6232">
                  <c:v>40314.961805555555</c:v>
                </c:pt>
                <c:pt idx="6233">
                  <c:v>40314.962500000001</c:v>
                </c:pt>
                <c:pt idx="6234">
                  <c:v>40314.963194444441</c:v>
                </c:pt>
                <c:pt idx="6235">
                  <c:v>40314.963888888888</c:v>
                </c:pt>
                <c:pt idx="6236">
                  <c:v>40314.964583333334</c:v>
                </c:pt>
                <c:pt idx="6237">
                  <c:v>40314.965277777781</c:v>
                </c:pt>
                <c:pt idx="6238">
                  <c:v>40314.96597222222</c:v>
                </c:pt>
                <c:pt idx="6239">
                  <c:v>40314.966666666667</c:v>
                </c:pt>
                <c:pt idx="6240">
                  <c:v>40314.967361111114</c:v>
                </c:pt>
                <c:pt idx="6241">
                  <c:v>40314.968055555553</c:v>
                </c:pt>
                <c:pt idx="6242">
                  <c:v>40314.96875</c:v>
                </c:pt>
                <c:pt idx="6243">
                  <c:v>40314.969444444447</c:v>
                </c:pt>
                <c:pt idx="6244">
                  <c:v>40314.970138888886</c:v>
                </c:pt>
                <c:pt idx="6245">
                  <c:v>40314.970833333333</c:v>
                </c:pt>
                <c:pt idx="6246">
                  <c:v>40314.97152777778</c:v>
                </c:pt>
                <c:pt idx="6247">
                  <c:v>40314.972222222219</c:v>
                </c:pt>
                <c:pt idx="6248">
                  <c:v>40314.972916666666</c:v>
                </c:pt>
                <c:pt idx="6249">
                  <c:v>40314.973611111112</c:v>
                </c:pt>
                <c:pt idx="6250">
                  <c:v>40314.974305555559</c:v>
                </c:pt>
                <c:pt idx="6251">
                  <c:v>40314.974999999999</c:v>
                </c:pt>
                <c:pt idx="6252">
                  <c:v>40314.975694444445</c:v>
                </c:pt>
                <c:pt idx="6253">
                  <c:v>40314.976388888892</c:v>
                </c:pt>
                <c:pt idx="6254">
                  <c:v>40314.977083333331</c:v>
                </c:pt>
                <c:pt idx="6255">
                  <c:v>40314.977777777778</c:v>
                </c:pt>
                <c:pt idx="6256">
                  <c:v>40314.978472222225</c:v>
                </c:pt>
                <c:pt idx="6257">
                  <c:v>40314.979166666664</c:v>
                </c:pt>
                <c:pt idx="6258">
                  <c:v>40314.979861111111</c:v>
                </c:pt>
                <c:pt idx="6259">
                  <c:v>40314.980555555558</c:v>
                </c:pt>
                <c:pt idx="6260">
                  <c:v>40314.981249999997</c:v>
                </c:pt>
                <c:pt idx="6261">
                  <c:v>40314.981944444444</c:v>
                </c:pt>
                <c:pt idx="6262">
                  <c:v>40314.982638888891</c:v>
                </c:pt>
                <c:pt idx="6263">
                  <c:v>40314.98333333333</c:v>
                </c:pt>
                <c:pt idx="6264">
                  <c:v>40314.984027777777</c:v>
                </c:pt>
                <c:pt idx="6265">
                  <c:v>40314.984722222223</c:v>
                </c:pt>
                <c:pt idx="6266">
                  <c:v>40314.98541666667</c:v>
                </c:pt>
                <c:pt idx="6267">
                  <c:v>40314.986111111109</c:v>
                </c:pt>
                <c:pt idx="6268">
                  <c:v>40314.986805555556</c:v>
                </c:pt>
                <c:pt idx="6269">
                  <c:v>40314.987500000003</c:v>
                </c:pt>
                <c:pt idx="6270">
                  <c:v>40314.988194444442</c:v>
                </c:pt>
                <c:pt idx="6271">
                  <c:v>40314.988888888889</c:v>
                </c:pt>
                <c:pt idx="6272">
                  <c:v>40314.989583333336</c:v>
                </c:pt>
                <c:pt idx="6273">
                  <c:v>40314.990277777775</c:v>
                </c:pt>
                <c:pt idx="6274">
                  <c:v>40314.990972222222</c:v>
                </c:pt>
                <c:pt idx="6275">
                  <c:v>40314.991666666669</c:v>
                </c:pt>
                <c:pt idx="6276">
                  <c:v>40314.992361111108</c:v>
                </c:pt>
                <c:pt idx="6277">
                  <c:v>40314.993055555555</c:v>
                </c:pt>
                <c:pt idx="6278">
                  <c:v>40314.993750000001</c:v>
                </c:pt>
                <c:pt idx="6279">
                  <c:v>40314.994444444441</c:v>
                </c:pt>
                <c:pt idx="6280">
                  <c:v>40314.995138888888</c:v>
                </c:pt>
                <c:pt idx="6281">
                  <c:v>40314.995833333334</c:v>
                </c:pt>
                <c:pt idx="6282">
                  <c:v>40314.996527777781</c:v>
                </c:pt>
                <c:pt idx="6283">
                  <c:v>40314.99722222222</c:v>
                </c:pt>
                <c:pt idx="6284">
                  <c:v>40314.997916666667</c:v>
                </c:pt>
                <c:pt idx="6285">
                  <c:v>40314.998611111114</c:v>
                </c:pt>
                <c:pt idx="6286">
                  <c:v>40314.999305555553</c:v>
                </c:pt>
                <c:pt idx="6287">
                  <c:v>40315</c:v>
                </c:pt>
                <c:pt idx="6288">
                  <c:v>40315.000694444447</c:v>
                </c:pt>
                <c:pt idx="6289">
                  <c:v>40315.001388888886</c:v>
                </c:pt>
                <c:pt idx="6290">
                  <c:v>40315.002083333333</c:v>
                </c:pt>
                <c:pt idx="6291">
                  <c:v>40315.00277777778</c:v>
                </c:pt>
                <c:pt idx="6292">
                  <c:v>40315.003472222219</c:v>
                </c:pt>
                <c:pt idx="6293">
                  <c:v>40315.004166666666</c:v>
                </c:pt>
                <c:pt idx="6294">
                  <c:v>40315.004861111112</c:v>
                </c:pt>
                <c:pt idx="6295">
                  <c:v>40315.005555555559</c:v>
                </c:pt>
                <c:pt idx="6296">
                  <c:v>40315.006249999999</c:v>
                </c:pt>
                <c:pt idx="6297">
                  <c:v>40315.006944444445</c:v>
                </c:pt>
                <c:pt idx="6298">
                  <c:v>40315.007638888892</c:v>
                </c:pt>
                <c:pt idx="6299">
                  <c:v>40315.008333333331</c:v>
                </c:pt>
                <c:pt idx="6300">
                  <c:v>40315.009027777778</c:v>
                </c:pt>
                <c:pt idx="6301">
                  <c:v>40315.009722222225</c:v>
                </c:pt>
                <c:pt idx="6302">
                  <c:v>40315.010416666664</c:v>
                </c:pt>
                <c:pt idx="6303">
                  <c:v>40315.011111111111</c:v>
                </c:pt>
                <c:pt idx="6304">
                  <c:v>40315.011805555558</c:v>
                </c:pt>
                <c:pt idx="6305">
                  <c:v>40315.012499999997</c:v>
                </c:pt>
                <c:pt idx="6306">
                  <c:v>40315.013194444444</c:v>
                </c:pt>
                <c:pt idx="6307">
                  <c:v>40315.013888888891</c:v>
                </c:pt>
                <c:pt idx="6308">
                  <c:v>40315.01458333333</c:v>
                </c:pt>
                <c:pt idx="6309">
                  <c:v>40315.015277777777</c:v>
                </c:pt>
                <c:pt idx="6310">
                  <c:v>40315.015972222223</c:v>
                </c:pt>
                <c:pt idx="6311">
                  <c:v>40315.01666666667</c:v>
                </c:pt>
                <c:pt idx="6312">
                  <c:v>40315.017361111109</c:v>
                </c:pt>
                <c:pt idx="6313">
                  <c:v>40315.018055555556</c:v>
                </c:pt>
                <c:pt idx="6314">
                  <c:v>40315.018750000003</c:v>
                </c:pt>
                <c:pt idx="6315">
                  <c:v>40315.019444444442</c:v>
                </c:pt>
                <c:pt idx="6316">
                  <c:v>40315.020138888889</c:v>
                </c:pt>
                <c:pt idx="6317">
                  <c:v>40315.020833333336</c:v>
                </c:pt>
                <c:pt idx="6318">
                  <c:v>40315.021527777775</c:v>
                </c:pt>
                <c:pt idx="6319">
                  <c:v>40315.022222222222</c:v>
                </c:pt>
                <c:pt idx="6320">
                  <c:v>40315.022916666669</c:v>
                </c:pt>
                <c:pt idx="6321">
                  <c:v>40315.023611111108</c:v>
                </c:pt>
                <c:pt idx="6322">
                  <c:v>40315.024305555555</c:v>
                </c:pt>
                <c:pt idx="6323">
                  <c:v>40315.025000000001</c:v>
                </c:pt>
                <c:pt idx="6324">
                  <c:v>40315.025694444441</c:v>
                </c:pt>
                <c:pt idx="6325">
                  <c:v>40315.026388888888</c:v>
                </c:pt>
                <c:pt idx="6326">
                  <c:v>40315.027083333334</c:v>
                </c:pt>
                <c:pt idx="6327">
                  <c:v>40315.027777777781</c:v>
                </c:pt>
                <c:pt idx="6328">
                  <c:v>40315.02847222222</c:v>
                </c:pt>
                <c:pt idx="6329">
                  <c:v>40315.029166666667</c:v>
                </c:pt>
                <c:pt idx="6330">
                  <c:v>40315.029861111114</c:v>
                </c:pt>
                <c:pt idx="6331">
                  <c:v>40315.030555555553</c:v>
                </c:pt>
                <c:pt idx="6332">
                  <c:v>40315.03125</c:v>
                </c:pt>
                <c:pt idx="6333">
                  <c:v>40315.031944444447</c:v>
                </c:pt>
                <c:pt idx="6334">
                  <c:v>40315.032638888886</c:v>
                </c:pt>
                <c:pt idx="6335">
                  <c:v>40315.033333333333</c:v>
                </c:pt>
                <c:pt idx="6336">
                  <c:v>40315.03402777778</c:v>
                </c:pt>
                <c:pt idx="6337">
                  <c:v>40315.034722222219</c:v>
                </c:pt>
                <c:pt idx="6338">
                  <c:v>40315.035416666666</c:v>
                </c:pt>
                <c:pt idx="6339">
                  <c:v>40315.036111111112</c:v>
                </c:pt>
                <c:pt idx="6340">
                  <c:v>40315.036805555559</c:v>
                </c:pt>
                <c:pt idx="6341">
                  <c:v>40315.037499999999</c:v>
                </c:pt>
                <c:pt idx="6342">
                  <c:v>40315.038194444445</c:v>
                </c:pt>
                <c:pt idx="6343">
                  <c:v>40315.038888888892</c:v>
                </c:pt>
                <c:pt idx="6344">
                  <c:v>40315.039583333331</c:v>
                </c:pt>
                <c:pt idx="6345">
                  <c:v>40315.040277777778</c:v>
                </c:pt>
                <c:pt idx="6346">
                  <c:v>40315.040972222225</c:v>
                </c:pt>
                <c:pt idx="6347">
                  <c:v>40315.041666666664</c:v>
                </c:pt>
                <c:pt idx="6348">
                  <c:v>40315.042361111111</c:v>
                </c:pt>
                <c:pt idx="6349">
                  <c:v>40315.043055555558</c:v>
                </c:pt>
                <c:pt idx="6350">
                  <c:v>40315.043749999997</c:v>
                </c:pt>
                <c:pt idx="6351">
                  <c:v>40315.044444444444</c:v>
                </c:pt>
                <c:pt idx="6352">
                  <c:v>40315.045138888891</c:v>
                </c:pt>
                <c:pt idx="6353">
                  <c:v>40315.04583333333</c:v>
                </c:pt>
                <c:pt idx="6354">
                  <c:v>40315.046527777777</c:v>
                </c:pt>
                <c:pt idx="6355">
                  <c:v>40315.047222222223</c:v>
                </c:pt>
                <c:pt idx="6356">
                  <c:v>40315.04791666667</c:v>
                </c:pt>
                <c:pt idx="6357">
                  <c:v>40315.048611111109</c:v>
                </c:pt>
                <c:pt idx="6358">
                  <c:v>40315.049305555556</c:v>
                </c:pt>
                <c:pt idx="6359">
                  <c:v>40315.050000000003</c:v>
                </c:pt>
                <c:pt idx="6360">
                  <c:v>40315.050694444442</c:v>
                </c:pt>
                <c:pt idx="6361">
                  <c:v>40315.051388888889</c:v>
                </c:pt>
                <c:pt idx="6362">
                  <c:v>40315.052083333336</c:v>
                </c:pt>
                <c:pt idx="6363">
                  <c:v>40315.052777777775</c:v>
                </c:pt>
                <c:pt idx="6364">
                  <c:v>40315.053472222222</c:v>
                </c:pt>
                <c:pt idx="6365">
                  <c:v>40315.054166666669</c:v>
                </c:pt>
                <c:pt idx="6366">
                  <c:v>40315.054861111108</c:v>
                </c:pt>
                <c:pt idx="6367">
                  <c:v>40315.055555555555</c:v>
                </c:pt>
                <c:pt idx="6368">
                  <c:v>40315.056250000001</c:v>
                </c:pt>
                <c:pt idx="6369">
                  <c:v>40315.056944444441</c:v>
                </c:pt>
                <c:pt idx="6370">
                  <c:v>40315.057638888888</c:v>
                </c:pt>
                <c:pt idx="6371">
                  <c:v>40315.058333333334</c:v>
                </c:pt>
                <c:pt idx="6372">
                  <c:v>40315.059027777781</c:v>
                </c:pt>
                <c:pt idx="6373">
                  <c:v>40315.05972222222</c:v>
                </c:pt>
                <c:pt idx="6374">
                  <c:v>40315.060416666667</c:v>
                </c:pt>
                <c:pt idx="6375">
                  <c:v>40315.061111111114</c:v>
                </c:pt>
                <c:pt idx="6376">
                  <c:v>40315.061805555553</c:v>
                </c:pt>
                <c:pt idx="6377">
                  <c:v>40315.0625</c:v>
                </c:pt>
                <c:pt idx="6378">
                  <c:v>40315.063194444447</c:v>
                </c:pt>
                <c:pt idx="6379">
                  <c:v>40315.063888888886</c:v>
                </c:pt>
                <c:pt idx="6380">
                  <c:v>40315.064583333333</c:v>
                </c:pt>
                <c:pt idx="6381">
                  <c:v>40315.06527777778</c:v>
                </c:pt>
                <c:pt idx="6382">
                  <c:v>40315.065972222219</c:v>
                </c:pt>
                <c:pt idx="6383">
                  <c:v>40315.066666666666</c:v>
                </c:pt>
                <c:pt idx="6384">
                  <c:v>40315.067361111112</c:v>
                </c:pt>
                <c:pt idx="6385">
                  <c:v>40315.068055555559</c:v>
                </c:pt>
                <c:pt idx="6386">
                  <c:v>40315.068749999999</c:v>
                </c:pt>
                <c:pt idx="6387">
                  <c:v>40315.069444444445</c:v>
                </c:pt>
                <c:pt idx="6388">
                  <c:v>40315.070138888892</c:v>
                </c:pt>
                <c:pt idx="6389">
                  <c:v>40315.070833333331</c:v>
                </c:pt>
                <c:pt idx="6390">
                  <c:v>40315.071527777778</c:v>
                </c:pt>
                <c:pt idx="6391">
                  <c:v>40315.072222222225</c:v>
                </c:pt>
                <c:pt idx="6392">
                  <c:v>40315.072916666664</c:v>
                </c:pt>
                <c:pt idx="6393">
                  <c:v>40315.073611111111</c:v>
                </c:pt>
                <c:pt idx="6394">
                  <c:v>40315.074305555558</c:v>
                </c:pt>
                <c:pt idx="6395">
                  <c:v>40315.074999999997</c:v>
                </c:pt>
                <c:pt idx="6396">
                  <c:v>40315.075694444444</c:v>
                </c:pt>
                <c:pt idx="6397">
                  <c:v>40315.076388888891</c:v>
                </c:pt>
                <c:pt idx="6398">
                  <c:v>40315.07708333333</c:v>
                </c:pt>
                <c:pt idx="6399">
                  <c:v>40315.077777777777</c:v>
                </c:pt>
                <c:pt idx="6400">
                  <c:v>40315.078472222223</c:v>
                </c:pt>
                <c:pt idx="6401">
                  <c:v>40315.07916666667</c:v>
                </c:pt>
                <c:pt idx="6402">
                  <c:v>40315.079861111109</c:v>
                </c:pt>
                <c:pt idx="6403">
                  <c:v>40315.080555555556</c:v>
                </c:pt>
                <c:pt idx="6404">
                  <c:v>40315.081250000003</c:v>
                </c:pt>
                <c:pt idx="6405">
                  <c:v>40315.081944444442</c:v>
                </c:pt>
                <c:pt idx="6406">
                  <c:v>40315.082638888889</c:v>
                </c:pt>
                <c:pt idx="6407">
                  <c:v>40315.083333333336</c:v>
                </c:pt>
                <c:pt idx="6408">
                  <c:v>40315.084027777775</c:v>
                </c:pt>
                <c:pt idx="6409">
                  <c:v>40315.084722222222</c:v>
                </c:pt>
                <c:pt idx="6410">
                  <c:v>40315.085416666669</c:v>
                </c:pt>
                <c:pt idx="6411">
                  <c:v>40315.086111111108</c:v>
                </c:pt>
                <c:pt idx="6412">
                  <c:v>40315.086805555555</c:v>
                </c:pt>
                <c:pt idx="6413">
                  <c:v>40315.087500000001</c:v>
                </c:pt>
                <c:pt idx="6414">
                  <c:v>40315.088194444441</c:v>
                </c:pt>
                <c:pt idx="6415">
                  <c:v>40315.088888888888</c:v>
                </c:pt>
                <c:pt idx="6416">
                  <c:v>40315.089583333334</c:v>
                </c:pt>
                <c:pt idx="6417">
                  <c:v>40315.090277777781</c:v>
                </c:pt>
                <c:pt idx="6418">
                  <c:v>40315.09097222222</c:v>
                </c:pt>
                <c:pt idx="6419">
                  <c:v>40315.091666666667</c:v>
                </c:pt>
                <c:pt idx="6420">
                  <c:v>40315.092361111114</c:v>
                </c:pt>
                <c:pt idx="6421">
                  <c:v>40315.093055555553</c:v>
                </c:pt>
                <c:pt idx="6422">
                  <c:v>40315.09375</c:v>
                </c:pt>
                <c:pt idx="6423">
                  <c:v>40315.094444444447</c:v>
                </c:pt>
                <c:pt idx="6424">
                  <c:v>40315.095138888886</c:v>
                </c:pt>
                <c:pt idx="6425">
                  <c:v>40315.095833333333</c:v>
                </c:pt>
                <c:pt idx="6426">
                  <c:v>40315.09652777778</c:v>
                </c:pt>
                <c:pt idx="6427">
                  <c:v>40315.097222222219</c:v>
                </c:pt>
                <c:pt idx="6428">
                  <c:v>40315.097916666666</c:v>
                </c:pt>
                <c:pt idx="6429">
                  <c:v>40315.098611111112</c:v>
                </c:pt>
                <c:pt idx="6430">
                  <c:v>40315.099305555559</c:v>
                </c:pt>
                <c:pt idx="6431">
                  <c:v>40315.1</c:v>
                </c:pt>
                <c:pt idx="6432">
                  <c:v>40315.100694444445</c:v>
                </c:pt>
                <c:pt idx="6433">
                  <c:v>40315.101388888892</c:v>
                </c:pt>
                <c:pt idx="6434">
                  <c:v>40315.102083333331</c:v>
                </c:pt>
                <c:pt idx="6435">
                  <c:v>40315.102777777778</c:v>
                </c:pt>
                <c:pt idx="6436">
                  <c:v>40315.103472222225</c:v>
                </c:pt>
                <c:pt idx="6437">
                  <c:v>40315.104166666664</c:v>
                </c:pt>
                <c:pt idx="6438">
                  <c:v>40315.104861111111</c:v>
                </c:pt>
                <c:pt idx="6439">
                  <c:v>40315.105555555558</c:v>
                </c:pt>
                <c:pt idx="6440">
                  <c:v>40315.106249999997</c:v>
                </c:pt>
                <c:pt idx="6441">
                  <c:v>40315.106944444444</c:v>
                </c:pt>
                <c:pt idx="6442">
                  <c:v>40315.107638888891</c:v>
                </c:pt>
                <c:pt idx="6443">
                  <c:v>40315.10833333333</c:v>
                </c:pt>
                <c:pt idx="6444">
                  <c:v>40315.109027777777</c:v>
                </c:pt>
                <c:pt idx="6445">
                  <c:v>40315.109722222223</c:v>
                </c:pt>
                <c:pt idx="6446">
                  <c:v>40315.11041666667</c:v>
                </c:pt>
                <c:pt idx="6447">
                  <c:v>40315.111111111109</c:v>
                </c:pt>
                <c:pt idx="6448">
                  <c:v>40315.111805555556</c:v>
                </c:pt>
                <c:pt idx="6449">
                  <c:v>40315.112500000003</c:v>
                </c:pt>
                <c:pt idx="6450">
                  <c:v>40315.113194444442</c:v>
                </c:pt>
                <c:pt idx="6451">
                  <c:v>40315.113888888889</c:v>
                </c:pt>
                <c:pt idx="6452">
                  <c:v>40315.114583333336</c:v>
                </c:pt>
                <c:pt idx="6453">
                  <c:v>40315.115277777775</c:v>
                </c:pt>
                <c:pt idx="6454">
                  <c:v>40315.115972222222</c:v>
                </c:pt>
                <c:pt idx="6455">
                  <c:v>40315.116666666669</c:v>
                </c:pt>
                <c:pt idx="6456">
                  <c:v>40315.117361111108</c:v>
                </c:pt>
                <c:pt idx="6457">
                  <c:v>40315.118055555555</c:v>
                </c:pt>
                <c:pt idx="6458">
                  <c:v>40315.118750000001</c:v>
                </c:pt>
                <c:pt idx="6459">
                  <c:v>40315.119444444441</c:v>
                </c:pt>
                <c:pt idx="6460">
                  <c:v>40315.120138888888</c:v>
                </c:pt>
                <c:pt idx="6461">
                  <c:v>40315.120833333334</c:v>
                </c:pt>
                <c:pt idx="6462">
                  <c:v>40315.121527777781</c:v>
                </c:pt>
                <c:pt idx="6463">
                  <c:v>40315.12222222222</c:v>
                </c:pt>
                <c:pt idx="6464">
                  <c:v>40315.122916666667</c:v>
                </c:pt>
                <c:pt idx="6465">
                  <c:v>40315.123611111114</c:v>
                </c:pt>
                <c:pt idx="6466">
                  <c:v>40315.124305555553</c:v>
                </c:pt>
                <c:pt idx="6467">
                  <c:v>40315.125</c:v>
                </c:pt>
                <c:pt idx="6468">
                  <c:v>40315.125694444447</c:v>
                </c:pt>
                <c:pt idx="6469">
                  <c:v>40315.126388888886</c:v>
                </c:pt>
                <c:pt idx="6470">
                  <c:v>40315.127083333333</c:v>
                </c:pt>
                <c:pt idx="6471">
                  <c:v>40315.12777777778</c:v>
                </c:pt>
                <c:pt idx="6472">
                  <c:v>40315.128472222219</c:v>
                </c:pt>
                <c:pt idx="6473">
                  <c:v>40315.129166666666</c:v>
                </c:pt>
                <c:pt idx="6474">
                  <c:v>40315.129861111112</c:v>
                </c:pt>
                <c:pt idx="6475">
                  <c:v>40315.130555555559</c:v>
                </c:pt>
                <c:pt idx="6476">
                  <c:v>40315.131249999999</c:v>
                </c:pt>
                <c:pt idx="6477">
                  <c:v>40315.131944444445</c:v>
                </c:pt>
                <c:pt idx="6478">
                  <c:v>40315.132638888892</c:v>
                </c:pt>
                <c:pt idx="6479">
                  <c:v>40315.133333333331</c:v>
                </c:pt>
                <c:pt idx="6480">
                  <c:v>40315.134027777778</c:v>
                </c:pt>
                <c:pt idx="6481">
                  <c:v>40315.134722222225</c:v>
                </c:pt>
                <c:pt idx="6482">
                  <c:v>40315.135416666664</c:v>
                </c:pt>
                <c:pt idx="6483">
                  <c:v>40315.136111111111</c:v>
                </c:pt>
                <c:pt idx="6484">
                  <c:v>40315.136805555558</c:v>
                </c:pt>
                <c:pt idx="6485">
                  <c:v>40315.137499999997</c:v>
                </c:pt>
                <c:pt idx="6486">
                  <c:v>40315.138194444444</c:v>
                </c:pt>
                <c:pt idx="6487">
                  <c:v>40315.138888888891</c:v>
                </c:pt>
                <c:pt idx="6488">
                  <c:v>40315.13958333333</c:v>
                </c:pt>
                <c:pt idx="6489">
                  <c:v>40315.140277777777</c:v>
                </c:pt>
                <c:pt idx="6490">
                  <c:v>40315.140972222223</c:v>
                </c:pt>
                <c:pt idx="6491">
                  <c:v>40315.14166666667</c:v>
                </c:pt>
                <c:pt idx="6492">
                  <c:v>40315.142361111109</c:v>
                </c:pt>
                <c:pt idx="6493">
                  <c:v>40315.143055555556</c:v>
                </c:pt>
                <c:pt idx="6494">
                  <c:v>40315.143750000003</c:v>
                </c:pt>
                <c:pt idx="6495">
                  <c:v>40315.144444444442</c:v>
                </c:pt>
                <c:pt idx="6496">
                  <c:v>40315.145138888889</c:v>
                </c:pt>
                <c:pt idx="6497">
                  <c:v>40315.145833333336</c:v>
                </c:pt>
                <c:pt idx="6498">
                  <c:v>40315.146527777775</c:v>
                </c:pt>
                <c:pt idx="6499">
                  <c:v>40315.147222222222</c:v>
                </c:pt>
                <c:pt idx="6500">
                  <c:v>40315.147916666669</c:v>
                </c:pt>
                <c:pt idx="6501">
                  <c:v>40315.148611111108</c:v>
                </c:pt>
                <c:pt idx="6502">
                  <c:v>40315.149305555555</c:v>
                </c:pt>
                <c:pt idx="6503">
                  <c:v>40315.15</c:v>
                </c:pt>
                <c:pt idx="6504">
                  <c:v>40315.150694444441</c:v>
                </c:pt>
                <c:pt idx="6505">
                  <c:v>40315.151388888888</c:v>
                </c:pt>
                <c:pt idx="6506">
                  <c:v>40315.152083333334</c:v>
                </c:pt>
                <c:pt idx="6507">
                  <c:v>40315.152777777781</c:v>
                </c:pt>
                <c:pt idx="6508">
                  <c:v>40315.15347222222</c:v>
                </c:pt>
                <c:pt idx="6509">
                  <c:v>40315.154166666667</c:v>
                </c:pt>
                <c:pt idx="6510">
                  <c:v>40315.154861111114</c:v>
                </c:pt>
                <c:pt idx="6511">
                  <c:v>40315.155555555553</c:v>
                </c:pt>
                <c:pt idx="6512">
                  <c:v>40315.15625</c:v>
                </c:pt>
                <c:pt idx="6513">
                  <c:v>40315.156944444447</c:v>
                </c:pt>
                <c:pt idx="6514">
                  <c:v>40315.157638888886</c:v>
                </c:pt>
                <c:pt idx="6515">
                  <c:v>40315.158333333333</c:v>
                </c:pt>
                <c:pt idx="6516">
                  <c:v>40315.15902777778</c:v>
                </c:pt>
                <c:pt idx="6517">
                  <c:v>40315.159722222219</c:v>
                </c:pt>
                <c:pt idx="6518">
                  <c:v>40315.160416666666</c:v>
                </c:pt>
                <c:pt idx="6519">
                  <c:v>40315.161111111112</c:v>
                </c:pt>
                <c:pt idx="6520">
                  <c:v>40315.161805555559</c:v>
                </c:pt>
                <c:pt idx="6521">
                  <c:v>40315.162499999999</c:v>
                </c:pt>
                <c:pt idx="6522">
                  <c:v>40315.163194444445</c:v>
                </c:pt>
                <c:pt idx="6523">
                  <c:v>40315.163888888892</c:v>
                </c:pt>
                <c:pt idx="6524">
                  <c:v>40315.164583333331</c:v>
                </c:pt>
                <c:pt idx="6525">
                  <c:v>40315.165277777778</c:v>
                </c:pt>
                <c:pt idx="6526">
                  <c:v>40315.165972222225</c:v>
                </c:pt>
                <c:pt idx="6527">
                  <c:v>40315.166666666664</c:v>
                </c:pt>
                <c:pt idx="6528">
                  <c:v>40315.167361111111</c:v>
                </c:pt>
                <c:pt idx="6529">
                  <c:v>40315.168055555558</c:v>
                </c:pt>
                <c:pt idx="6530">
                  <c:v>40315.168749999997</c:v>
                </c:pt>
                <c:pt idx="6531">
                  <c:v>40315.169444444444</c:v>
                </c:pt>
                <c:pt idx="6532">
                  <c:v>40315.170138888891</c:v>
                </c:pt>
                <c:pt idx="6533">
                  <c:v>40315.17083333333</c:v>
                </c:pt>
                <c:pt idx="6534">
                  <c:v>40315.171527777777</c:v>
                </c:pt>
                <c:pt idx="6535">
                  <c:v>40315.172222222223</c:v>
                </c:pt>
                <c:pt idx="6536">
                  <c:v>40315.17291666667</c:v>
                </c:pt>
                <c:pt idx="6537">
                  <c:v>40315.173611111109</c:v>
                </c:pt>
                <c:pt idx="6538">
                  <c:v>40315.174305555556</c:v>
                </c:pt>
                <c:pt idx="6539">
                  <c:v>40315.175000000003</c:v>
                </c:pt>
                <c:pt idx="6540">
                  <c:v>40315.175694444442</c:v>
                </c:pt>
                <c:pt idx="6541">
                  <c:v>40315.176388888889</c:v>
                </c:pt>
                <c:pt idx="6542">
                  <c:v>40315.177083333336</c:v>
                </c:pt>
                <c:pt idx="6543">
                  <c:v>40315.177777777775</c:v>
                </c:pt>
                <c:pt idx="6544">
                  <c:v>40315.178472222222</c:v>
                </c:pt>
                <c:pt idx="6545">
                  <c:v>40315.179166666669</c:v>
                </c:pt>
                <c:pt idx="6546">
                  <c:v>40315.179861111108</c:v>
                </c:pt>
                <c:pt idx="6547">
                  <c:v>40315.180555555555</c:v>
                </c:pt>
                <c:pt idx="6548">
                  <c:v>40315.181250000001</c:v>
                </c:pt>
                <c:pt idx="6549">
                  <c:v>40315.181944444441</c:v>
                </c:pt>
                <c:pt idx="6550">
                  <c:v>40315.182638888888</c:v>
                </c:pt>
                <c:pt idx="6551">
                  <c:v>40315.183333333334</c:v>
                </c:pt>
                <c:pt idx="6552">
                  <c:v>40315.184027777781</c:v>
                </c:pt>
                <c:pt idx="6553">
                  <c:v>40315.18472222222</c:v>
                </c:pt>
                <c:pt idx="6554">
                  <c:v>40315.185416666667</c:v>
                </c:pt>
                <c:pt idx="6555">
                  <c:v>40315.186111111114</c:v>
                </c:pt>
                <c:pt idx="6556">
                  <c:v>40315.186805555553</c:v>
                </c:pt>
                <c:pt idx="6557">
                  <c:v>40315.1875</c:v>
                </c:pt>
                <c:pt idx="6558">
                  <c:v>40315.188194444447</c:v>
                </c:pt>
                <c:pt idx="6559">
                  <c:v>40315.188888888886</c:v>
                </c:pt>
                <c:pt idx="6560">
                  <c:v>40315.189583333333</c:v>
                </c:pt>
                <c:pt idx="6561">
                  <c:v>40315.19027777778</c:v>
                </c:pt>
                <c:pt idx="6562">
                  <c:v>40315.190972222219</c:v>
                </c:pt>
                <c:pt idx="6563">
                  <c:v>40315.191666666666</c:v>
                </c:pt>
                <c:pt idx="6564">
                  <c:v>40315.192361111112</c:v>
                </c:pt>
                <c:pt idx="6565">
                  <c:v>40315.193055555559</c:v>
                </c:pt>
                <c:pt idx="6566">
                  <c:v>40315.193749999999</c:v>
                </c:pt>
                <c:pt idx="6567">
                  <c:v>40315.194444444445</c:v>
                </c:pt>
                <c:pt idx="6568">
                  <c:v>40315.195138888892</c:v>
                </c:pt>
                <c:pt idx="6569">
                  <c:v>40315.195833333331</c:v>
                </c:pt>
                <c:pt idx="6570">
                  <c:v>40315.196527777778</c:v>
                </c:pt>
                <c:pt idx="6571">
                  <c:v>40315.197222222225</c:v>
                </c:pt>
                <c:pt idx="6572">
                  <c:v>40315.197916666664</c:v>
                </c:pt>
                <c:pt idx="6573">
                  <c:v>40315.198611111111</c:v>
                </c:pt>
                <c:pt idx="6574">
                  <c:v>40315.199305555558</c:v>
                </c:pt>
                <c:pt idx="6575">
                  <c:v>40315.199999999997</c:v>
                </c:pt>
                <c:pt idx="6576">
                  <c:v>40315.200694444444</c:v>
                </c:pt>
                <c:pt idx="6577">
                  <c:v>40315.201388888891</c:v>
                </c:pt>
                <c:pt idx="6578">
                  <c:v>40315.20208333333</c:v>
                </c:pt>
                <c:pt idx="6579">
                  <c:v>40315.202777777777</c:v>
                </c:pt>
                <c:pt idx="6580">
                  <c:v>40315.203472222223</c:v>
                </c:pt>
                <c:pt idx="6581">
                  <c:v>40315.20416666667</c:v>
                </c:pt>
                <c:pt idx="6582">
                  <c:v>40315.204861111109</c:v>
                </c:pt>
                <c:pt idx="6583">
                  <c:v>40315.205555555556</c:v>
                </c:pt>
                <c:pt idx="6584">
                  <c:v>40315.206250000003</c:v>
                </c:pt>
                <c:pt idx="6585">
                  <c:v>40315.206944444442</c:v>
                </c:pt>
                <c:pt idx="6586">
                  <c:v>40315.207638888889</c:v>
                </c:pt>
                <c:pt idx="6587">
                  <c:v>40315.208333333336</c:v>
                </c:pt>
                <c:pt idx="6588">
                  <c:v>40315.209027777775</c:v>
                </c:pt>
                <c:pt idx="6589">
                  <c:v>40315.209722222222</c:v>
                </c:pt>
                <c:pt idx="6590">
                  <c:v>40315.210416666669</c:v>
                </c:pt>
                <c:pt idx="6591">
                  <c:v>40315.211111111108</c:v>
                </c:pt>
                <c:pt idx="6592">
                  <c:v>40315.211805555555</c:v>
                </c:pt>
                <c:pt idx="6593">
                  <c:v>40315.212500000001</c:v>
                </c:pt>
                <c:pt idx="6594">
                  <c:v>40315.213194444441</c:v>
                </c:pt>
                <c:pt idx="6595">
                  <c:v>40315.213888888888</c:v>
                </c:pt>
                <c:pt idx="6596">
                  <c:v>40315.214583333334</c:v>
                </c:pt>
                <c:pt idx="6597">
                  <c:v>40315.215277777781</c:v>
                </c:pt>
                <c:pt idx="6598">
                  <c:v>40315.21597222222</c:v>
                </c:pt>
                <c:pt idx="6599">
                  <c:v>40315.216666666667</c:v>
                </c:pt>
                <c:pt idx="6600">
                  <c:v>40315.217361111114</c:v>
                </c:pt>
                <c:pt idx="6601">
                  <c:v>40315.218055555553</c:v>
                </c:pt>
                <c:pt idx="6602">
                  <c:v>40315.21875</c:v>
                </c:pt>
                <c:pt idx="6603">
                  <c:v>40315.219444444447</c:v>
                </c:pt>
                <c:pt idx="6604">
                  <c:v>40315.220138888886</c:v>
                </c:pt>
                <c:pt idx="6605">
                  <c:v>40315.220833333333</c:v>
                </c:pt>
                <c:pt idx="6606">
                  <c:v>40315.22152777778</c:v>
                </c:pt>
                <c:pt idx="6607">
                  <c:v>40315.222222222219</c:v>
                </c:pt>
                <c:pt idx="6608">
                  <c:v>40315.222916666666</c:v>
                </c:pt>
                <c:pt idx="6609">
                  <c:v>40315.223611111112</c:v>
                </c:pt>
                <c:pt idx="6610">
                  <c:v>40315.224305555559</c:v>
                </c:pt>
                <c:pt idx="6611">
                  <c:v>40315.224999999999</c:v>
                </c:pt>
                <c:pt idx="6612">
                  <c:v>40315.225694444445</c:v>
                </c:pt>
                <c:pt idx="6613">
                  <c:v>40315.226388888892</c:v>
                </c:pt>
                <c:pt idx="6614">
                  <c:v>40315.227083333331</c:v>
                </c:pt>
                <c:pt idx="6615">
                  <c:v>40315.227777777778</c:v>
                </c:pt>
                <c:pt idx="6616">
                  <c:v>40315.228472222225</c:v>
                </c:pt>
                <c:pt idx="6617">
                  <c:v>40315.229166666664</c:v>
                </c:pt>
                <c:pt idx="6618">
                  <c:v>40315.229861111111</c:v>
                </c:pt>
                <c:pt idx="6619">
                  <c:v>40315.230555555558</c:v>
                </c:pt>
                <c:pt idx="6620">
                  <c:v>40315.231249999997</c:v>
                </c:pt>
                <c:pt idx="6621">
                  <c:v>40315.231944444444</c:v>
                </c:pt>
                <c:pt idx="6622">
                  <c:v>40315.232638888891</c:v>
                </c:pt>
                <c:pt idx="6623">
                  <c:v>40315.23333333333</c:v>
                </c:pt>
                <c:pt idx="6624">
                  <c:v>40315.234027777777</c:v>
                </c:pt>
                <c:pt idx="6625">
                  <c:v>40315.234722222223</c:v>
                </c:pt>
                <c:pt idx="6626">
                  <c:v>40315.23541666667</c:v>
                </c:pt>
                <c:pt idx="6627">
                  <c:v>40315.236111111109</c:v>
                </c:pt>
                <c:pt idx="6628">
                  <c:v>40315.236805555556</c:v>
                </c:pt>
                <c:pt idx="6629">
                  <c:v>40315.237500000003</c:v>
                </c:pt>
                <c:pt idx="6630">
                  <c:v>40315.238194444442</c:v>
                </c:pt>
                <c:pt idx="6631">
                  <c:v>40315.238888888889</c:v>
                </c:pt>
                <c:pt idx="6632">
                  <c:v>40315.239583333336</c:v>
                </c:pt>
                <c:pt idx="6633">
                  <c:v>40315.240277777775</c:v>
                </c:pt>
                <c:pt idx="6634">
                  <c:v>40315.240972222222</c:v>
                </c:pt>
                <c:pt idx="6635">
                  <c:v>40315.241666666669</c:v>
                </c:pt>
                <c:pt idx="6636">
                  <c:v>40315.242361111108</c:v>
                </c:pt>
                <c:pt idx="6637">
                  <c:v>40315.243055555555</c:v>
                </c:pt>
                <c:pt idx="6638">
                  <c:v>40315.243750000001</c:v>
                </c:pt>
                <c:pt idx="6639">
                  <c:v>40315.244444444441</c:v>
                </c:pt>
                <c:pt idx="6640">
                  <c:v>40315.245138888888</c:v>
                </c:pt>
                <c:pt idx="6641">
                  <c:v>40315.245833333334</c:v>
                </c:pt>
                <c:pt idx="6642">
                  <c:v>40315.246527777781</c:v>
                </c:pt>
                <c:pt idx="6643">
                  <c:v>40315.24722222222</c:v>
                </c:pt>
                <c:pt idx="6644">
                  <c:v>40315.247916666667</c:v>
                </c:pt>
                <c:pt idx="6645">
                  <c:v>40315.248611111114</c:v>
                </c:pt>
                <c:pt idx="6646">
                  <c:v>40315.249305555553</c:v>
                </c:pt>
                <c:pt idx="6647">
                  <c:v>40315.25</c:v>
                </c:pt>
                <c:pt idx="6648">
                  <c:v>40315.250694444447</c:v>
                </c:pt>
                <c:pt idx="6649">
                  <c:v>40315.251388888886</c:v>
                </c:pt>
                <c:pt idx="6650">
                  <c:v>40315.252083333333</c:v>
                </c:pt>
                <c:pt idx="6651">
                  <c:v>40315.25277777778</c:v>
                </c:pt>
                <c:pt idx="6652">
                  <c:v>40315.253472222219</c:v>
                </c:pt>
                <c:pt idx="6653">
                  <c:v>40315.254166666666</c:v>
                </c:pt>
                <c:pt idx="6654">
                  <c:v>40315.254861111112</c:v>
                </c:pt>
                <c:pt idx="6655">
                  <c:v>40315.255555555559</c:v>
                </c:pt>
                <c:pt idx="6656">
                  <c:v>40315.256249999999</c:v>
                </c:pt>
                <c:pt idx="6657">
                  <c:v>40315.256944444445</c:v>
                </c:pt>
                <c:pt idx="6658">
                  <c:v>40315.257638888892</c:v>
                </c:pt>
                <c:pt idx="6659">
                  <c:v>40315.258333333331</c:v>
                </c:pt>
                <c:pt idx="6660">
                  <c:v>40315.259027777778</c:v>
                </c:pt>
                <c:pt idx="6661">
                  <c:v>40315.259722222225</c:v>
                </c:pt>
                <c:pt idx="6662">
                  <c:v>40315.260416666664</c:v>
                </c:pt>
                <c:pt idx="6663">
                  <c:v>40315.261111111111</c:v>
                </c:pt>
                <c:pt idx="6664">
                  <c:v>40315.261805555558</c:v>
                </c:pt>
                <c:pt idx="6665">
                  <c:v>40315.262499999997</c:v>
                </c:pt>
                <c:pt idx="6666">
                  <c:v>40315.263194444444</c:v>
                </c:pt>
                <c:pt idx="6667">
                  <c:v>40315.263888888891</c:v>
                </c:pt>
                <c:pt idx="6668">
                  <c:v>40315.26458333333</c:v>
                </c:pt>
                <c:pt idx="6669">
                  <c:v>40315.265277777777</c:v>
                </c:pt>
                <c:pt idx="6670">
                  <c:v>40315.265972222223</c:v>
                </c:pt>
                <c:pt idx="6671">
                  <c:v>40315.26666666667</c:v>
                </c:pt>
                <c:pt idx="6672">
                  <c:v>40315.267361111109</c:v>
                </c:pt>
                <c:pt idx="6673">
                  <c:v>40315.268055555556</c:v>
                </c:pt>
                <c:pt idx="6674">
                  <c:v>40315.268750000003</c:v>
                </c:pt>
                <c:pt idx="6675">
                  <c:v>40315.269444444442</c:v>
                </c:pt>
                <c:pt idx="6676">
                  <c:v>40315.270138888889</c:v>
                </c:pt>
                <c:pt idx="6677">
                  <c:v>40315.270833333336</c:v>
                </c:pt>
                <c:pt idx="6678">
                  <c:v>40315.271527777775</c:v>
                </c:pt>
                <c:pt idx="6679">
                  <c:v>40315.272222222222</c:v>
                </c:pt>
                <c:pt idx="6680">
                  <c:v>40315.272916666669</c:v>
                </c:pt>
                <c:pt idx="6681">
                  <c:v>40315.273611111108</c:v>
                </c:pt>
                <c:pt idx="6682">
                  <c:v>40315.274305555555</c:v>
                </c:pt>
                <c:pt idx="6683">
                  <c:v>40315.275000000001</c:v>
                </c:pt>
                <c:pt idx="6684">
                  <c:v>40315.275694444441</c:v>
                </c:pt>
                <c:pt idx="6685">
                  <c:v>40315.276388888888</c:v>
                </c:pt>
                <c:pt idx="6686">
                  <c:v>40315.277083333334</c:v>
                </c:pt>
                <c:pt idx="6687">
                  <c:v>40315.277777777781</c:v>
                </c:pt>
                <c:pt idx="6688">
                  <c:v>40315.27847222222</c:v>
                </c:pt>
                <c:pt idx="6689">
                  <c:v>40315.279166666667</c:v>
                </c:pt>
                <c:pt idx="6690">
                  <c:v>40315.279861111114</c:v>
                </c:pt>
                <c:pt idx="6691">
                  <c:v>40315.280555555553</c:v>
                </c:pt>
                <c:pt idx="6692">
                  <c:v>40315.28125</c:v>
                </c:pt>
                <c:pt idx="6693">
                  <c:v>40315.281944444447</c:v>
                </c:pt>
                <c:pt idx="6694">
                  <c:v>40315.282638888886</c:v>
                </c:pt>
                <c:pt idx="6695">
                  <c:v>40315.283333333333</c:v>
                </c:pt>
                <c:pt idx="6696">
                  <c:v>40315.28402777778</c:v>
                </c:pt>
                <c:pt idx="6697">
                  <c:v>40315.284722222219</c:v>
                </c:pt>
                <c:pt idx="6698">
                  <c:v>40315.285416666666</c:v>
                </c:pt>
                <c:pt idx="6699">
                  <c:v>40315.286111111112</c:v>
                </c:pt>
                <c:pt idx="6700">
                  <c:v>40315.286805555559</c:v>
                </c:pt>
                <c:pt idx="6701">
                  <c:v>40315.287499999999</c:v>
                </c:pt>
                <c:pt idx="6702">
                  <c:v>40315.288194444445</c:v>
                </c:pt>
                <c:pt idx="6703">
                  <c:v>40315.288888888892</c:v>
                </c:pt>
                <c:pt idx="6704">
                  <c:v>40315.289583333331</c:v>
                </c:pt>
                <c:pt idx="6705">
                  <c:v>40315.290277777778</c:v>
                </c:pt>
                <c:pt idx="6706">
                  <c:v>40315.290972222225</c:v>
                </c:pt>
                <c:pt idx="6707">
                  <c:v>40315.291666666664</c:v>
                </c:pt>
                <c:pt idx="6708">
                  <c:v>40315.292361111111</c:v>
                </c:pt>
                <c:pt idx="6709">
                  <c:v>40315.293055555558</c:v>
                </c:pt>
                <c:pt idx="6710">
                  <c:v>40315.293749999997</c:v>
                </c:pt>
                <c:pt idx="6711">
                  <c:v>40315.294444444444</c:v>
                </c:pt>
                <c:pt idx="6712">
                  <c:v>40315.295138888891</c:v>
                </c:pt>
                <c:pt idx="6713">
                  <c:v>40315.29583333333</c:v>
                </c:pt>
                <c:pt idx="6714">
                  <c:v>40315.296527777777</c:v>
                </c:pt>
                <c:pt idx="6715">
                  <c:v>40315.297222222223</c:v>
                </c:pt>
                <c:pt idx="6716">
                  <c:v>40315.29791666667</c:v>
                </c:pt>
                <c:pt idx="6717">
                  <c:v>40315.298611111109</c:v>
                </c:pt>
                <c:pt idx="6718">
                  <c:v>40315.299305555556</c:v>
                </c:pt>
                <c:pt idx="6719">
                  <c:v>40315.300000000003</c:v>
                </c:pt>
                <c:pt idx="6720">
                  <c:v>40315.300694444442</c:v>
                </c:pt>
                <c:pt idx="6721">
                  <c:v>40315.301388888889</c:v>
                </c:pt>
                <c:pt idx="6722">
                  <c:v>40315.302083333336</c:v>
                </c:pt>
                <c:pt idx="6723">
                  <c:v>40315.302777777775</c:v>
                </c:pt>
                <c:pt idx="6724">
                  <c:v>40315.303472222222</c:v>
                </c:pt>
                <c:pt idx="6725">
                  <c:v>40315.304166666669</c:v>
                </c:pt>
                <c:pt idx="6726">
                  <c:v>40315.304861111108</c:v>
                </c:pt>
                <c:pt idx="6727">
                  <c:v>40315.305555555555</c:v>
                </c:pt>
                <c:pt idx="6728">
                  <c:v>40315.306250000001</c:v>
                </c:pt>
                <c:pt idx="6729">
                  <c:v>40315.306944444441</c:v>
                </c:pt>
                <c:pt idx="6730">
                  <c:v>40315.307638888888</c:v>
                </c:pt>
                <c:pt idx="6731">
                  <c:v>40315.308333333334</c:v>
                </c:pt>
                <c:pt idx="6732">
                  <c:v>40315.309027777781</c:v>
                </c:pt>
                <c:pt idx="6733">
                  <c:v>40315.30972222222</c:v>
                </c:pt>
                <c:pt idx="6734">
                  <c:v>40315.310416666667</c:v>
                </c:pt>
                <c:pt idx="6735">
                  <c:v>40315.311111111114</c:v>
                </c:pt>
                <c:pt idx="6736">
                  <c:v>40315.311805555553</c:v>
                </c:pt>
                <c:pt idx="6737">
                  <c:v>40315.3125</c:v>
                </c:pt>
                <c:pt idx="6738">
                  <c:v>40315.313194444447</c:v>
                </c:pt>
                <c:pt idx="6739">
                  <c:v>40315.313888888886</c:v>
                </c:pt>
                <c:pt idx="6740">
                  <c:v>40315.314583333333</c:v>
                </c:pt>
                <c:pt idx="6741">
                  <c:v>40315.31527777778</c:v>
                </c:pt>
                <c:pt idx="6742">
                  <c:v>40315.315972222219</c:v>
                </c:pt>
                <c:pt idx="6743">
                  <c:v>40315.316666666666</c:v>
                </c:pt>
                <c:pt idx="6744">
                  <c:v>40315.317361111112</c:v>
                </c:pt>
                <c:pt idx="6745">
                  <c:v>40315.318055555559</c:v>
                </c:pt>
                <c:pt idx="6746">
                  <c:v>40315.318749999999</c:v>
                </c:pt>
                <c:pt idx="6747">
                  <c:v>40315.319444444445</c:v>
                </c:pt>
                <c:pt idx="6748">
                  <c:v>40315.320138888892</c:v>
                </c:pt>
                <c:pt idx="6749">
                  <c:v>40315.320833333331</c:v>
                </c:pt>
                <c:pt idx="6750">
                  <c:v>40315.321527777778</c:v>
                </c:pt>
                <c:pt idx="6751">
                  <c:v>40315.322222222225</c:v>
                </c:pt>
                <c:pt idx="6752">
                  <c:v>40315.322916666664</c:v>
                </c:pt>
                <c:pt idx="6753">
                  <c:v>40315.323611111111</c:v>
                </c:pt>
                <c:pt idx="6754">
                  <c:v>40315.324305555558</c:v>
                </c:pt>
                <c:pt idx="6755">
                  <c:v>40315.324999999997</c:v>
                </c:pt>
                <c:pt idx="6756">
                  <c:v>40315.325694444444</c:v>
                </c:pt>
                <c:pt idx="6757">
                  <c:v>40315.326388888891</c:v>
                </c:pt>
                <c:pt idx="6758">
                  <c:v>40315.32708333333</c:v>
                </c:pt>
                <c:pt idx="6759">
                  <c:v>40315.327777777777</c:v>
                </c:pt>
                <c:pt idx="6760">
                  <c:v>40315.328472222223</c:v>
                </c:pt>
                <c:pt idx="6761">
                  <c:v>40315.32916666667</c:v>
                </c:pt>
                <c:pt idx="6762">
                  <c:v>40315.329861111109</c:v>
                </c:pt>
                <c:pt idx="6763">
                  <c:v>40315.330555555556</c:v>
                </c:pt>
                <c:pt idx="6764">
                  <c:v>40315.331250000003</c:v>
                </c:pt>
                <c:pt idx="6765">
                  <c:v>40315.331944444442</c:v>
                </c:pt>
                <c:pt idx="6766">
                  <c:v>40315.332638888889</c:v>
                </c:pt>
                <c:pt idx="6767">
                  <c:v>40315.333333333336</c:v>
                </c:pt>
                <c:pt idx="6768">
                  <c:v>40315.334027777775</c:v>
                </c:pt>
                <c:pt idx="6769">
                  <c:v>40315.334722222222</c:v>
                </c:pt>
                <c:pt idx="6770">
                  <c:v>40315.335416666669</c:v>
                </c:pt>
                <c:pt idx="6771">
                  <c:v>40315.336111111108</c:v>
                </c:pt>
                <c:pt idx="6772">
                  <c:v>40315.336805555555</c:v>
                </c:pt>
                <c:pt idx="6773">
                  <c:v>40315.337500000001</c:v>
                </c:pt>
                <c:pt idx="6774">
                  <c:v>40315.338194444441</c:v>
                </c:pt>
                <c:pt idx="6775">
                  <c:v>40315.338888888888</c:v>
                </c:pt>
                <c:pt idx="6776">
                  <c:v>40315.339583333334</c:v>
                </c:pt>
                <c:pt idx="6777">
                  <c:v>40315.340277777781</c:v>
                </c:pt>
                <c:pt idx="6778">
                  <c:v>40315.34097222222</c:v>
                </c:pt>
                <c:pt idx="6779">
                  <c:v>40315.341666666667</c:v>
                </c:pt>
                <c:pt idx="6780">
                  <c:v>40315.342361111114</c:v>
                </c:pt>
                <c:pt idx="6781">
                  <c:v>40315.343055555553</c:v>
                </c:pt>
                <c:pt idx="6782">
                  <c:v>40315.34375</c:v>
                </c:pt>
                <c:pt idx="6783">
                  <c:v>40315.344444444447</c:v>
                </c:pt>
                <c:pt idx="6784">
                  <c:v>40315.345138888886</c:v>
                </c:pt>
                <c:pt idx="6785">
                  <c:v>40315.345833333333</c:v>
                </c:pt>
                <c:pt idx="6786">
                  <c:v>40315.34652777778</c:v>
                </c:pt>
                <c:pt idx="6787">
                  <c:v>40315.347222222219</c:v>
                </c:pt>
                <c:pt idx="6788">
                  <c:v>40315.347916666666</c:v>
                </c:pt>
                <c:pt idx="6789">
                  <c:v>40315.348611111112</c:v>
                </c:pt>
                <c:pt idx="6790">
                  <c:v>40315.349305555559</c:v>
                </c:pt>
                <c:pt idx="6791">
                  <c:v>40315.35</c:v>
                </c:pt>
                <c:pt idx="6792">
                  <c:v>40315.350694444445</c:v>
                </c:pt>
                <c:pt idx="6793">
                  <c:v>40315.351388888892</c:v>
                </c:pt>
                <c:pt idx="6794">
                  <c:v>40315.352083333331</c:v>
                </c:pt>
                <c:pt idx="6795">
                  <c:v>40315.352777777778</c:v>
                </c:pt>
                <c:pt idx="6796">
                  <c:v>40315.353472222225</c:v>
                </c:pt>
                <c:pt idx="6797">
                  <c:v>40315.354166666664</c:v>
                </c:pt>
                <c:pt idx="6798">
                  <c:v>40315.354861111111</c:v>
                </c:pt>
                <c:pt idx="6799">
                  <c:v>40315.355555555558</c:v>
                </c:pt>
                <c:pt idx="6800">
                  <c:v>40315.356249999997</c:v>
                </c:pt>
                <c:pt idx="6801">
                  <c:v>40315.356944444444</c:v>
                </c:pt>
                <c:pt idx="6802">
                  <c:v>40315.357638888891</c:v>
                </c:pt>
                <c:pt idx="6803">
                  <c:v>40315.35833333333</c:v>
                </c:pt>
                <c:pt idx="6804">
                  <c:v>40315.359027777777</c:v>
                </c:pt>
                <c:pt idx="6805">
                  <c:v>40315.359722222223</c:v>
                </c:pt>
                <c:pt idx="6806">
                  <c:v>40315.36041666667</c:v>
                </c:pt>
                <c:pt idx="6807">
                  <c:v>40315.361111111109</c:v>
                </c:pt>
                <c:pt idx="6808">
                  <c:v>40315.361805555556</c:v>
                </c:pt>
                <c:pt idx="6809">
                  <c:v>40315.362500000003</c:v>
                </c:pt>
                <c:pt idx="6810">
                  <c:v>40315.363194444442</c:v>
                </c:pt>
                <c:pt idx="6811">
                  <c:v>40315.363888888889</c:v>
                </c:pt>
                <c:pt idx="6812">
                  <c:v>40315.364583333336</c:v>
                </c:pt>
                <c:pt idx="6813">
                  <c:v>40315.365277777775</c:v>
                </c:pt>
                <c:pt idx="6814">
                  <c:v>40315.365972222222</c:v>
                </c:pt>
                <c:pt idx="6815">
                  <c:v>40315.366666666669</c:v>
                </c:pt>
                <c:pt idx="6816">
                  <c:v>40315.367361111108</c:v>
                </c:pt>
                <c:pt idx="6817">
                  <c:v>40315.368055555555</c:v>
                </c:pt>
                <c:pt idx="6818">
                  <c:v>40315.368750000001</c:v>
                </c:pt>
                <c:pt idx="6819">
                  <c:v>40315.369444444441</c:v>
                </c:pt>
                <c:pt idx="6820">
                  <c:v>40315.370138888888</c:v>
                </c:pt>
                <c:pt idx="6821">
                  <c:v>40315.370833333334</c:v>
                </c:pt>
                <c:pt idx="6822">
                  <c:v>40315.371527777781</c:v>
                </c:pt>
                <c:pt idx="6823">
                  <c:v>40315.37222222222</c:v>
                </c:pt>
                <c:pt idx="6824">
                  <c:v>40315.372916666667</c:v>
                </c:pt>
                <c:pt idx="6825">
                  <c:v>40315.373611111114</c:v>
                </c:pt>
                <c:pt idx="6826">
                  <c:v>40315.374305555553</c:v>
                </c:pt>
                <c:pt idx="6827">
                  <c:v>40315.375</c:v>
                </c:pt>
                <c:pt idx="6828">
                  <c:v>40315.375694444447</c:v>
                </c:pt>
                <c:pt idx="6829">
                  <c:v>40315.376388888886</c:v>
                </c:pt>
                <c:pt idx="6830">
                  <c:v>40315.377083333333</c:v>
                </c:pt>
                <c:pt idx="6831">
                  <c:v>40315.37777777778</c:v>
                </c:pt>
                <c:pt idx="6832">
                  <c:v>40315.378472222219</c:v>
                </c:pt>
                <c:pt idx="6833">
                  <c:v>40315.379166666666</c:v>
                </c:pt>
                <c:pt idx="6834">
                  <c:v>40315.379861111112</c:v>
                </c:pt>
                <c:pt idx="6835">
                  <c:v>40315.380555555559</c:v>
                </c:pt>
                <c:pt idx="6836">
                  <c:v>40315.381249999999</c:v>
                </c:pt>
                <c:pt idx="6837">
                  <c:v>40315.381944444445</c:v>
                </c:pt>
                <c:pt idx="6838">
                  <c:v>40315.382638888892</c:v>
                </c:pt>
                <c:pt idx="6839">
                  <c:v>40315.383333333331</c:v>
                </c:pt>
                <c:pt idx="6840">
                  <c:v>40315.384027777778</c:v>
                </c:pt>
                <c:pt idx="6841">
                  <c:v>40315.384722222225</c:v>
                </c:pt>
                <c:pt idx="6842">
                  <c:v>40315.385416666664</c:v>
                </c:pt>
                <c:pt idx="6843">
                  <c:v>40315.386111111111</c:v>
                </c:pt>
                <c:pt idx="6844">
                  <c:v>40315.386805555558</c:v>
                </c:pt>
                <c:pt idx="6845">
                  <c:v>40315.387499999997</c:v>
                </c:pt>
                <c:pt idx="6846">
                  <c:v>40315.388194444444</c:v>
                </c:pt>
                <c:pt idx="6847">
                  <c:v>40315.388888888891</c:v>
                </c:pt>
                <c:pt idx="6848">
                  <c:v>40315.38958333333</c:v>
                </c:pt>
                <c:pt idx="6849">
                  <c:v>40315.390277777777</c:v>
                </c:pt>
                <c:pt idx="6850">
                  <c:v>40315.390972222223</c:v>
                </c:pt>
                <c:pt idx="6851">
                  <c:v>40315.39166666667</c:v>
                </c:pt>
                <c:pt idx="6852">
                  <c:v>40315.392361111109</c:v>
                </c:pt>
                <c:pt idx="6853">
                  <c:v>40315.393055555556</c:v>
                </c:pt>
                <c:pt idx="6854">
                  <c:v>40315.393750000003</c:v>
                </c:pt>
                <c:pt idx="6855">
                  <c:v>40315.394444444442</c:v>
                </c:pt>
                <c:pt idx="6856">
                  <c:v>40315.395138888889</c:v>
                </c:pt>
                <c:pt idx="6857">
                  <c:v>40315.395833333336</c:v>
                </c:pt>
                <c:pt idx="6858">
                  <c:v>40315.396527777775</c:v>
                </c:pt>
                <c:pt idx="6859">
                  <c:v>40315.397222222222</c:v>
                </c:pt>
                <c:pt idx="6860">
                  <c:v>40315.397916666669</c:v>
                </c:pt>
                <c:pt idx="6861">
                  <c:v>40315.398611111108</c:v>
                </c:pt>
                <c:pt idx="6862">
                  <c:v>40315.399305555555</c:v>
                </c:pt>
                <c:pt idx="6863">
                  <c:v>40315.4</c:v>
                </c:pt>
                <c:pt idx="6864">
                  <c:v>40315.400694444441</c:v>
                </c:pt>
                <c:pt idx="6865">
                  <c:v>40315.401388888888</c:v>
                </c:pt>
                <c:pt idx="6866">
                  <c:v>40315.402083333334</c:v>
                </c:pt>
                <c:pt idx="6867">
                  <c:v>40315.402777777781</c:v>
                </c:pt>
                <c:pt idx="6868">
                  <c:v>40315.40347222222</c:v>
                </c:pt>
                <c:pt idx="6869">
                  <c:v>40315.404166666667</c:v>
                </c:pt>
                <c:pt idx="6870">
                  <c:v>40315.404861111114</c:v>
                </c:pt>
                <c:pt idx="6871">
                  <c:v>40315.405555555553</c:v>
                </c:pt>
                <c:pt idx="6872">
                  <c:v>40315.40625</c:v>
                </c:pt>
                <c:pt idx="6873">
                  <c:v>40315.406944444447</c:v>
                </c:pt>
                <c:pt idx="6874">
                  <c:v>40315.407638888886</c:v>
                </c:pt>
                <c:pt idx="6875">
                  <c:v>40315.408333333333</c:v>
                </c:pt>
                <c:pt idx="6876">
                  <c:v>40315.40902777778</c:v>
                </c:pt>
                <c:pt idx="6877">
                  <c:v>40315.409722222219</c:v>
                </c:pt>
                <c:pt idx="6878">
                  <c:v>40315.410416666666</c:v>
                </c:pt>
                <c:pt idx="6879">
                  <c:v>40315.411111111112</c:v>
                </c:pt>
                <c:pt idx="6880">
                  <c:v>40315.411805555559</c:v>
                </c:pt>
                <c:pt idx="6881">
                  <c:v>40315.412499999999</c:v>
                </c:pt>
                <c:pt idx="6882">
                  <c:v>40315.413194444445</c:v>
                </c:pt>
                <c:pt idx="6883">
                  <c:v>40315.413888888892</c:v>
                </c:pt>
                <c:pt idx="6884">
                  <c:v>40315.414583333331</c:v>
                </c:pt>
                <c:pt idx="6885">
                  <c:v>40315.415277777778</c:v>
                </c:pt>
                <c:pt idx="6886">
                  <c:v>40315.415972222225</c:v>
                </c:pt>
                <c:pt idx="6887">
                  <c:v>40315.416666666664</c:v>
                </c:pt>
                <c:pt idx="6888">
                  <c:v>40315.417361111111</c:v>
                </c:pt>
                <c:pt idx="6889">
                  <c:v>40315.418055555558</c:v>
                </c:pt>
                <c:pt idx="6890">
                  <c:v>40315.418749999997</c:v>
                </c:pt>
                <c:pt idx="6891">
                  <c:v>40315.419444444444</c:v>
                </c:pt>
                <c:pt idx="6892">
                  <c:v>40315.420138888891</c:v>
                </c:pt>
                <c:pt idx="6893">
                  <c:v>40315.42083333333</c:v>
                </c:pt>
                <c:pt idx="6894">
                  <c:v>40315.421527777777</c:v>
                </c:pt>
                <c:pt idx="6895">
                  <c:v>40315.422222222223</c:v>
                </c:pt>
                <c:pt idx="6896">
                  <c:v>40315.42291666667</c:v>
                </c:pt>
                <c:pt idx="6897">
                  <c:v>40315.423611111109</c:v>
                </c:pt>
                <c:pt idx="6898">
                  <c:v>40315.424305555556</c:v>
                </c:pt>
                <c:pt idx="6899">
                  <c:v>40315.425000000003</c:v>
                </c:pt>
                <c:pt idx="6900">
                  <c:v>40315.425694444442</c:v>
                </c:pt>
                <c:pt idx="6901">
                  <c:v>40315.426388888889</c:v>
                </c:pt>
                <c:pt idx="6902">
                  <c:v>40315.427083333336</c:v>
                </c:pt>
                <c:pt idx="6903">
                  <c:v>40315.427777777775</c:v>
                </c:pt>
                <c:pt idx="6904">
                  <c:v>40315.428472222222</c:v>
                </c:pt>
                <c:pt idx="6905">
                  <c:v>40315.429166666669</c:v>
                </c:pt>
                <c:pt idx="6906">
                  <c:v>40315.429861111108</c:v>
                </c:pt>
                <c:pt idx="6907">
                  <c:v>40315.430555555555</c:v>
                </c:pt>
                <c:pt idx="6908">
                  <c:v>40315.431250000001</c:v>
                </c:pt>
                <c:pt idx="6909">
                  <c:v>40315.431944444441</c:v>
                </c:pt>
                <c:pt idx="6910">
                  <c:v>40315.432638888888</c:v>
                </c:pt>
                <c:pt idx="6911">
                  <c:v>40315.433333333334</c:v>
                </c:pt>
                <c:pt idx="6912">
                  <c:v>40315.434027777781</c:v>
                </c:pt>
                <c:pt idx="6913">
                  <c:v>40315.43472222222</c:v>
                </c:pt>
                <c:pt idx="6914">
                  <c:v>40315.435416666667</c:v>
                </c:pt>
                <c:pt idx="6915">
                  <c:v>40315.436111111114</c:v>
                </c:pt>
                <c:pt idx="6916">
                  <c:v>40315.436805555553</c:v>
                </c:pt>
                <c:pt idx="6917">
                  <c:v>40315.4375</c:v>
                </c:pt>
                <c:pt idx="6918">
                  <c:v>40315.438194444447</c:v>
                </c:pt>
                <c:pt idx="6919">
                  <c:v>40315.438888888886</c:v>
                </c:pt>
                <c:pt idx="6920">
                  <c:v>40315.439583333333</c:v>
                </c:pt>
                <c:pt idx="6921">
                  <c:v>40315.44027777778</c:v>
                </c:pt>
                <c:pt idx="6922">
                  <c:v>40315.440972222219</c:v>
                </c:pt>
                <c:pt idx="6923">
                  <c:v>40315.441666666666</c:v>
                </c:pt>
                <c:pt idx="6924">
                  <c:v>40315.442361111112</c:v>
                </c:pt>
                <c:pt idx="6925">
                  <c:v>40315.443055555559</c:v>
                </c:pt>
                <c:pt idx="6926">
                  <c:v>40315.443749999999</c:v>
                </c:pt>
                <c:pt idx="6927">
                  <c:v>40315.444444444445</c:v>
                </c:pt>
                <c:pt idx="6928">
                  <c:v>40315.445138888892</c:v>
                </c:pt>
                <c:pt idx="6929">
                  <c:v>40315.445833333331</c:v>
                </c:pt>
                <c:pt idx="6930">
                  <c:v>40315.446527777778</c:v>
                </c:pt>
                <c:pt idx="6931">
                  <c:v>40315.447222222225</c:v>
                </c:pt>
                <c:pt idx="6932">
                  <c:v>40315.447916666664</c:v>
                </c:pt>
                <c:pt idx="6933">
                  <c:v>40315.448611111111</c:v>
                </c:pt>
                <c:pt idx="6934">
                  <c:v>40315.449305555558</c:v>
                </c:pt>
                <c:pt idx="6935">
                  <c:v>40315.449999999997</c:v>
                </c:pt>
                <c:pt idx="6936">
                  <c:v>40315.450694444444</c:v>
                </c:pt>
                <c:pt idx="6937">
                  <c:v>40315.451388888891</c:v>
                </c:pt>
                <c:pt idx="6938">
                  <c:v>40315.45208333333</c:v>
                </c:pt>
                <c:pt idx="6939">
                  <c:v>40315.452777777777</c:v>
                </c:pt>
                <c:pt idx="6940">
                  <c:v>40315.453472222223</c:v>
                </c:pt>
                <c:pt idx="6941">
                  <c:v>40315.45416666667</c:v>
                </c:pt>
                <c:pt idx="6942">
                  <c:v>40315.454861111109</c:v>
                </c:pt>
                <c:pt idx="6943">
                  <c:v>40315.455555555556</c:v>
                </c:pt>
                <c:pt idx="6944">
                  <c:v>40315.456250000003</c:v>
                </c:pt>
                <c:pt idx="6945">
                  <c:v>40315.456944444442</c:v>
                </c:pt>
                <c:pt idx="6946">
                  <c:v>40315.457638888889</c:v>
                </c:pt>
                <c:pt idx="6947">
                  <c:v>40315.458333333336</c:v>
                </c:pt>
                <c:pt idx="6948">
                  <c:v>40315.459027777775</c:v>
                </c:pt>
                <c:pt idx="6949">
                  <c:v>40315.459722222222</c:v>
                </c:pt>
                <c:pt idx="6950">
                  <c:v>40315.460416666669</c:v>
                </c:pt>
                <c:pt idx="6951">
                  <c:v>40315.461111111108</c:v>
                </c:pt>
                <c:pt idx="6952">
                  <c:v>40315.461805555555</c:v>
                </c:pt>
                <c:pt idx="6953">
                  <c:v>40315.462500000001</c:v>
                </c:pt>
                <c:pt idx="6954">
                  <c:v>40315.463194444441</c:v>
                </c:pt>
                <c:pt idx="6955">
                  <c:v>40315.463888888888</c:v>
                </c:pt>
                <c:pt idx="6956">
                  <c:v>40315.464583333334</c:v>
                </c:pt>
                <c:pt idx="6957">
                  <c:v>40315.465277777781</c:v>
                </c:pt>
                <c:pt idx="6958">
                  <c:v>40315.46597222222</c:v>
                </c:pt>
                <c:pt idx="6959">
                  <c:v>40315.466666666667</c:v>
                </c:pt>
                <c:pt idx="6960">
                  <c:v>40315.467361111114</c:v>
                </c:pt>
                <c:pt idx="6961">
                  <c:v>40315.468055555553</c:v>
                </c:pt>
                <c:pt idx="6962">
                  <c:v>40315.46875</c:v>
                </c:pt>
                <c:pt idx="6963">
                  <c:v>40315.469444444447</c:v>
                </c:pt>
                <c:pt idx="6964">
                  <c:v>40315.470138888886</c:v>
                </c:pt>
                <c:pt idx="6965">
                  <c:v>40315.470833333333</c:v>
                </c:pt>
                <c:pt idx="6966">
                  <c:v>40315.47152777778</c:v>
                </c:pt>
                <c:pt idx="6967">
                  <c:v>40315.472222222219</c:v>
                </c:pt>
                <c:pt idx="6968">
                  <c:v>40315.472916666666</c:v>
                </c:pt>
                <c:pt idx="6969">
                  <c:v>40315.473611111112</c:v>
                </c:pt>
                <c:pt idx="6970">
                  <c:v>40315.474305555559</c:v>
                </c:pt>
                <c:pt idx="6971">
                  <c:v>40315.474999999999</c:v>
                </c:pt>
                <c:pt idx="6972">
                  <c:v>40315.475694444445</c:v>
                </c:pt>
                <c:pt idx="6973">
                  <c:v>40315.476388888892</c:v>
                </c:pt>
                <c:pt idx="6974">
                  <c:v>40315.477083333331</c:v>
                </c:pt>
                <c:pt idx="6975">
                  <c:v>40315.477777777778</c:v>
                </c:pt>
                <c:pt idx="6976">
                  <c:v>40315.478472222225</c:v>
                </c:pt>
                <c:pt idx="6977">
                  <c:v>40315.479166666664</c:v>
                </c:pt>
                <c:pt idx="6978">
                  <c:v>40315.479861111111</c:v>
                </c:pt>
                <c:pt idx="6979">
                  <c:v>40315.480555555558</c:v>
                </c:pt>
                <c:pt idx="6980">
                  <c:v>40315.481249999997</c:v>
                </c:pt>
                <c:pt idx="6981">
                  <c:v>40315.481944444444</c:v>
                </c:pt>
                <c:pt idx="6982">
                  <c:v>40315.482638888891</c:v>
                </c:pt>
                <c:pt idx="6983">
                  <c:v>40315.48333333333</c:v>
                </c:pt>
                <c:pt idx="6984">
                  <c:v>40315.484027777777</c:v>
                </c:pt>
                <c:pt idx="6985">
                  <c:v>40315.484722222223</c:v>
                </c:pt>
                <c:pt idx="6986">
                  <c:v>40315.48541666667</c:v>
                </c:pt>
                <c:pt idx="6987">
                  <c:v>40315.486111111109</c:v>
                </c:pt>
                <c:pt idx="6988">
                  <c:v>40315.486805555556</c:v>
                </c:pt>
                <c:pt idx="6989">
                  <c:v>40315.487500000003</c:v>
                </c:pt>
                <c:pt idx="6990">
                  <c:v>40315.488194444442</c:v>
                </c:pt>
                <c:pt idx="6991">
                  <c:v>40315.488888888889</c:v>
                </c:pt>
                <c:pt idx="6992">
                  <c:v>40315.489583333336</c:v>
                </c:pt>
                <c:pt idx="6993">
                  <c:v>40315.490277777775</c:v>
                </c:pt>
                <c:pt idx="6994">
                  <c:v>40315.490972222222</c:v>
                </c:pt>
                <c:pt idx="6995">
                  <c:v>40315.491666666669</c:v>
                </c:pt>
                <c:pt idx="6996">
                  <c:v>40315.492361111108</c:v>
                </c:pt>
                <c:pt idx="6997">
                  <c:v>40315.493055555555</c:v>
                </c:pt>
                <c:pt idx="6998">
                  <c:v>40315.493750000001</c:v>
                </c:pt>
                <c:pt idx="6999">
                  <c:v>40315.494444444441</c:v>
                </c:pt>
              </c:numCache>
            </c:numRef>
          </c:xVal>
          <c:yVal>
            <c:numRef>
              <c:f>'Dati-CSV'!$E$3:$E$7003</c:f>
              <c:numCache>
                <c:formatCode>#,##0.0</c:formatCode>
                <c:ptCount val="7001"/>
                <c:pt idx="0">
                  <c:v>153.4974</c:v>
                </c:pt>
                <c:pt idx="1">
                  <c:v>153.32043999999999</c:v>
                </c:pt>
                <c:pt idx="2">
                  <c:v>154.967928</c:v>
                </c:pt>
                <c:pt idx="3">
                  <c:v>155.28486799999999</c:v>
                </c:pt>
                <c:pt idx="4">
                  <c:v>154.77417600000001</c:v>
                </c:pt>
                <c:pt idx="5">
                  <c:v>154.06504000000001</c:v>
                </c:pt>
                <c:pt idx="6">
                  <c:v>154.06872000000001</c:v>
                </c:pt>
                <c:pt idx="7">
                  <c:v>154.829376</c:v>
                </c:pt>
                <c:pt idx="8">
                  <c:v>154.26928000000001</c:v>
                </c:pt>
                <c:pt idx="9">
                  <c:v>155.22239999999999</c:v>
                </c:pt>
                <c:pt idx="10">
                  <c:v>154.349559</c:v>
                </c:pt>
                <c:pt idx="11">
                  <c:v>154.079835</c:v>
                </c:pt>
                <c:pt idx="12">
                  <c:v>153.96926999999999</c:v>
                </c:pt>
                <c:pt idx="13">
                  <c:v>153.89337599999999</c:v>
                </c:pt>
                <c:pt idx="14">
                  <c:v>153.67388399999999</c:v>
                </c:pt>
                <c:pt idx="15">
                  <c:v>153.642944</c:v>
                </c:pt>
                <c:pt idx="16">
                  <c:v>153.34956</c:v>
                </c:pt>
                <c:pt idx="17">
                  <c:v>154.282128</c:v>
                </c:pt>
                <c:pt idx="18">
                  <c:v>155.295816</c:v>
                </c:pt>
                <c:pt idx="19">
                  <c:v>155.02312800000001</c:v>
                </c:pt>
                <c:pt idx="20">
                  <c:v>154.55558400000001</c:v>
                </c:pt>
                <c:pt idx="21">
                  <c:v>154.61796000000001</c:v>
                </c:pt>
                <c:pt idx="22">
                  <c:v>154.69846000000001</c:v>
                </c:pt>
                <c:pt idx="23">
                  <c:v>154.48548</c:v>
                </c:pt>
                <c:pt idx="24">
                  <c:v>153.71948800000001</c:v>
                </c:pt>
                <c:pt idx="25">
                  <c:v>154.12217200000001</c:v>
                </c:pt>
                <c:pt idx="26">
                  <c:v>154.34012000000001</c:v>
                </c:pt>
                <c:pt idx="27">
                  <c:v>154.61796000000001</c:v>
                </c:pt>
                <c:pt idx="28">
                  <c:v>153.84359599999999</c:v>
                </c:pt>
                <c:pt idx="29">
                  <c:v>153.691428</c:v>
                </c:pt>
                <c:pt idx="30">
                  <c:v>153.39629199999999</c:v>
                </c:pt>
                <c:pt idx="31">
                  <c:v>153.78885600000001</c:v>
                </c:pt>
                <c:pt idx="32">
                  <c:v>153.93697599999999</c:v>
                </c:pt>
                <c:pt idx="33">
                  <c:v>153.94139200000001</c:v>
                </c:pt>
                <c:pt idx="34">
                  <c:v>154.28353999999999</c:v>
                </c:pt>
                <c:pt idx="35">
                  <c:v>155.12028000000001</c:v>
                </c:pt>
                <c:pt idx="36">
                  <c:v>156.39624000000001</c:v>
                </c:pt>
                <c:pt idx="37">
                  <c:v>155.35257999999999</c:v>
                </c:pt>
                <c:pt idx="38">
                  <c:v>155.93475599999999</c:v>
                </c:pt>
                <c:pt idx="39">
                  <c:v>157.322484</c:v>
                </c:pt>
                <c:pt idx="40">
                  <c:v>153.016682</c:v>
                </c:pt>
                <c:pt idx="41">
                  <c:v>153.28349399999999</c:v>
                </c:pt>
                <c:pt idx="42">
                  <c:v>153.55030600000001</c:v>
                </c:pt>
                <c:pt idx="43">
                  <c:v>153.827856</c:v>
                </c:pt>
                <c:pt idx="44">
                  <c:v>153.48424</c:v>
                </c:pt>
                <c:pt idx="45">
                  <c:v>153.49261200000001</c:v>
                </c:pt>
                <c:pt idx="46">
                  <c:v>153.58616000000001</c:v>
                </c:pt>
                <c:pt idx="47">
                  <c:v>155.57485199999999</c:v>
                </c:pt>
                <c:pt idx="48">
                  <c:v>153.67388399999999</c:v>
                </c:pt>
                <c:pt idx="49">
                  <c:v>153.45330000000001</c:v>
                </c:pt>
                <c:pt idx="50">
                  <c:v>153.730031</c:v>
                </c:pt>
                <c:pt idx="51">
                  <c:v>153.78545</c:v>
                </c:pt>
                <c:pt idx="52">
                  <c:v>153.18758</c:v>
                </c:pt>
                <c:pt idx="53">
                  <c:v>155.46675200000001</c:v>
                </c:pt>
                <c:pt idx="54">
                  <c:v>154.90049200000001</c:v>
                </c:pt>
                <c:pt idx="55">
                  <c:v>154.28403900000001</c:v>
                </c:pt>
                <c:pt idx="56">
                  <c:v>154.14016799999999</c:v>
                </c:pt>
                <c:pt idx="57">
                  <c:v>156.44784000000001</c:v>
                </c:pt>
                <c:pt idx="58">
                  <c:v>153.89337599999999</c:v>
                </c:pt>
                <c:pt idx="59">
                  <c:v>153.442016</c:v>
                </c:pt>
                <c:pt idx="60">
                  <c:v>153.642944</c:v>
                </c:pt>
                <c:pt idx="61">
                  <c:v>155.15947199999999</c:v>
                </c:pt>
                <c:pt idx="62">
                  <c:v>155.73060799999999</c:v>
                </c:pt>
                <c:pt idx="63">
                  <c:v>155.45644799999999</c:v>
                </c:pt>
                <c:pt idx="64">
                  <c:v>154.61796000000001</c:v>
                </c:pt>
                <c:pt idx="65">
                  <c:v>154.68622400000001</c:v>
                </c:pt>
                <c:pt idx="66">
                  <c:v>155.99704</c:v>
                </c:pt>
                <c:pt idx="67">
                  <c:v>154.03615500000001</c:v>
                </c:pt>
                <c:pt idx="68">
                  <c:v>153.28576899999999</c:v>
                </c:pt>
                <c:pt idx="69">
                  <c:v>153.90647999999999</c:v>
                </c:pt>
                <c:pt idx="70">
                  <c:v>153.70746299999999</c:v>
                </c:pt>
                <c:pt idx="71">
                  <c:v>153.45330000000001</c:v>
                </c:pt>
                <c:pt idx="72">
                  <c:v>155.38192799999999</c:v>
                </c:pt>
                <c:pt idx="73">
                  <c:v>155.988392</c:v>
                </c:pt>
                <c:pt idx="74">
                  <c:v>158.231168</c:v>
                </c:pt>
                <c:pt idx="75">
                  <c:v>158.8587</c:v>
                </c:pt>
                <c:pt idx="76">
                  <c:v>154.67959999999999</c:v>
                </c:pt>
                <c:pt idx="77">
                  <c:v>154.97676000000001</c:v>
                </c:pt>
                <c:pt idx="78">
                  <c:v>157.92223200000001</c:v>
                </c:pt>
                <c:pt idx="79">
                  <c:v>160.24422000000001</c:v>
                </c:pt>
                <c:pt idx="80">
                  <c:v>161.731584</c:v>
                </c:pt>
                <c:pt idx="81">
                  <c:v>159.55698000000001</c:v>
                </c:pt>
                <c:pt idx="82">
                  <c:v>163.76588799999999</c:v>
                </c:pt>
                <c:pt idx="83">
                  <c:v>155.06048000000001</c:v>
                </c:pt>
                <c:pt idx="84">
                  <c:v>155.37385499999999</c:v>
                </c:pt>
                <c:pt idx="85">
                  <c:v>154.59480400000001</c:v>
                </c:pt>
                <c:pt idx="86">
                  <c:v>154.19567799999999</c:v>
                </c:pt>
                <c:pt idx="87">
                  <c:v>156.83065199999999</c:v>
                </c:pt>
                <c:pt idx="88">
                  <c:v>154.64758399999999</c:v>
                </c:pt>
                <c:pt idx="89">
                  <c:v>156.87701999999999</c:v>
                </c:pt>
                <c:pt idx="90">
                  <c:v>155.1028</c:v>
                </c:pt>
                <c:pt idx="91">
                  <c:v>165.58794800000001</c:v>
                </c:pt>
                <c:pt idx="92">
                  <c:v>174.37797599999999</c:v>
                </c:pt>
                <c:pt idx="93">
                  <c:v>175.64110199999999</c:v>
                </c:pt>
                <c:pt idx="94">
                  <c:v>157.00720000000001</c:v>
                </c:pt>
                <c:pt idx="95">
                  <c:v>156.17552000000001</c:v>
                </c:pt>
                <c:pt idx="96">
                  <c:v>156.250224</c:v>
                </c:pt>
                <c:pt idx="97">
                  <c:v>155.82131999999999</c:v>
                </c:pt>
                <c:pt idx="98">
                  <c:v>155.36398800000001</c:v>
                </c:pt>
                <c:pt idx="99">
                  <c:v>154.64694</c:v>
                </c:pt>
                <c:pt idx="100">
                  <c:v>154.938672</c:v>
                </c:pt>
                <c:pt idx="101">
                  <c:v>154.531296</c:v>
                </c:pt>
                <c:pt idx="102">
                  <c:v>154.54592400000001</c:v>
                </c:pt>
                <c:pt idx="103">
                  <c:v>155.01264</c:v>
                </c:pt>
                <c:pt idx="104">
                  <c:v>154.54592400000001</c:v>
                </c:pt>
                <c:pt idx="105">
                  <c:v>154.87077600000001</c:v>
                </c:pt>
                <c:pt idx="106">
                  <c:v>155.02754400000001</c:v>
                </c:pt>
                <c:pt idx="107">
                  <c:v>156.11387999999999</c:v>
                </c:pt>
                <c:pt idx="108">
                  <c:v>154.03615500000001</c:v>
                </c:pt>
                <c:pt idx="109">
                  <c:v>153.75978799999999</c:v>
                </c:pt>
                <c:pt idx="110">
                  <c:v>153.76861500000001</c:v>
                </c:pt>
                <c:pt idx="111">
                  <c:v>153.11396099999999</c:v>
                </c:pt>
                <c:pt idx="112">
                  <c:v>154.69247999999999</c:v>
                </c:pt>
                <c:pt idx="113">
                  <c:v>154.89469600000001</c:v>
                </c:pt>
                <c:pt idx="114">
                  <c:v>154.418688</c:v>
                </c:pt>
                <c:pt idx="115">
                  <c:v>154.89782400000001</c:v>
                </c:pt>
                <c:pt idx="116">
                  <c:v>154.55558400000001</c:v>
                </c:pt>
                <c:pt idx="117">
                  <c:v>156.007712</c:v>
                </c:pt>
                <c:pt idx="118">
                  <c:v>154.83379199999999</c:v>
                </c:pt>
                <c:pt idx="119">
                  <c:v>155.11126400000001</c:v>
                </c:pt>
                <c:pt idx="120">
                  <c:v>154.689628</c:v>
                </c:pt>
                <c:pt idx="121">
                  <c:v>154.62789599999999</c:v>
                </c:pt>
                <c:pt idx="122">
                  <c:v>157.043172</c:v>
                </c:pt>
                <c:pt idx="123">
                  <c:v>159.804</c:v>
                </c:pt>
                <c:pt idx="124">
                  <c:v>155.576784</c:v>
                </c:pt>
                <c:pt idx="125">
                  <c:v>154.97041200000001</c:v>
                </c:pt>
                <c:pt idx="126">
                  <c:v>154.75688</c:v>
                </c:pt>
                <c:pt idx="127">
                  <c:v>155.22239999999999</c:v>
                </c:pt>
                <c:pt idx="128">
                  <c:v>154.693308</c:v>
                </c:pt>
                <c:pt idx="129">
                  <c:v>155.45644799999999</c:v>
                </c:pt>
                <c:pt idx="130">
                  <c:v>154.61409599999999</c:v>
                </c:pt>
                <c:pt idx="131">
                  <c:v>154.54969600000001</c:v>
                </c:pt>
                <c:pt idx="132">
                  <c:v>154.96894</c:v>
                </c:pt>
                <c:pt idx="133">
                  <c:v>155.384964</c:v>
                </c:pt>
                <c:pt idx="134">
                  <c:v>155.09976399999999</c:v>
                </c:pt>
                <c:pt idx="135">
                  <c:v>155.44540799999999</c:v>
                </c:pt>
                <c:pt idx="136">
                  <c:v>154.67776000000001</c:v>
                </c:pt>
                <c:pt idx="137">
                  <c:v>155.24751599999999</c:v>
                </c:pt>
                <c:pt idx="138">
                  <c:v>154.28501199999999</c:v>
                </c:pt>
                <c:pt idx="139">
                  <c:v>154.902976</c:v>
                </c:pt>
                <c:pt idx="140">
                  <c:v>154.49155200000001</c:v>
                </c:pt>
                <c:pt idx="141">
                  <c:v>155.386528</c:v>
                </c:pt>
                <c:pt idx="142">
                  <c:v>155.31421599999999</c:v>
                </c:pt>
                <c:pt idx="143">
                  <c:v>154.97409200000001</c:v>
                </c:pt>
                <c:pt idx="144">
                  <c:v>154.560644</c:v>
                </c:pt>
                <c:pt idx="145">
                  <c:v>155.99575200000001</c:v>
                </c:pt>
                <c:pt idx="146">
                  <c:v>155.375764</c:v>
                </c:pt>
                <c:pt idx="147">
                  <c:v>157.16884400000001</c:v>
                </c:pt>
                <c:pt idx="148">
                  <c:v>155.227644</c:v>
                </c:pt>
                <c:pt idx="149">
                  <c:v>155.14236</c:v>
                </c:pt>
                <c:pt idx="150">
                  <c:v>155.3006</c:v>
                </c:pt>
                <c:pt idx="151">
                  <c:v>159.34639200000001</c:v>
                </c:pt>
                <c:pt idx="152">
                  <c:v>158.57718</c:v>
                </c:pt>
                <c:pt idx="153">
                  <c:v>157.80870400000001</c:v>
                </c:pt>
                <c:pt idx="154">
                  <c:v>153.73052799999999</c:v>
                </c:pt>
                <c:pt idx="155">
                  <c:v>156.70065600000001</c:v>
                </c:pt>
                <c:pt idx="156">
                  <c:v>153.66668000000001</c:v>
                </c:pt>
                <c:pt idx="157">
                  <c:v>156.07882799999999</c:v>
                </c:pt>
                <c:pt idx="158">
                  <c:v>160.235388</c:v>
                </c:pt>
                <c:pt idx="159">
                  <c:v>156.90047999999999</c:v>
                </c:pt>
                <c:pt idx="160">
                  <c:v>153.79272</c:v>
                </c:pt>
                <c:pt idx="161">
                  <c:v>153.39251999999999</c:v>
                </c:pt>
                <c:pt idx="162">
                  <c:v>153.87156400000001</c:v>
                </c:pt>
                <c:pt idx="163">
                  <c:v>154.00937999999999</c:v>
                </c:pt>
                <c:pt idx="164">
                  <c:v>153.38092800000001</c:v>
                </c:pt>
                <c:pt idx="165">
                  <c:v>153.24127200000001</c:v>
                </c:pt>
                <c:pt idx="166">
                  <c:v>153.17337599999999</c:v>
                </c:pt>
                <c:pt idx="167">
                  <c:v>153.932376</c:v>
                </c:pt>
                <c:pt idx="168">
                  <c:v>153.38424000000001</c:v>
                </c:pt>
                <c:pt idx="169">
                  <c:v>153.455172</c:v>
                </c:pt>
                <c:pt idx="170">
                  <c:v>152.97576000000001</c:v>
                </c:pt>
                <c:pt idx="171">
                  <c:v>152.38843199999999</c:v>
                </c:pt>
                <c:pt idx="172">
                  <c:v>152.38107199999999</c:v>
                </c:pt>
                <c:pt idx="173">
                  <c:v>151.76375200000001</c:v>
                </c:pt>
                <c:pt idx="174">
                  <c:v>151.825208</c:v>
                </c:pt>
                <c:pt idx="175">
                  <c:v>155.34522000000001</c:v>
                </c:pt>
                <c:pt idx="176">
                  <c:v>179.560304</c:v>
                </c:pt>
                <c:pt idx="177">
                  <c:v>179.08193800000001</c:v>
                </c:pt>
                <c:pt idx="178">
                  <c:v>178.583832</c:v>
                </c:pt>
                <c:pt idx="179">
                  <c:v>178.298542</c:v>
                </c:pt>
                <c:pt idx="180">
                  <c:v>178.36312000000001</c:v>
                </c:pt>
                <c:pt idx="181">
                  <c:v>178.00347600000001</c:v>
                </c:pt>
                <c:pt idx="182">
                  <c:v>178.914806</c:v>
                </c:pt>
                <c:pt idx="183">
                  <c:v>179.11606</c:v>
                </c:pt>
                <c:pt idx="184">
                  <c:v>179.14388400000001</c:v>
                </c:pt>
                <c:pt idx="185">
                  <c:v>179.63399999999999</c:v>
                </c:pt>
                <c:pt idx="186">
                  <c:v>179.59188800000001</c:v>
                </c:pt>
                <c:pt idx="187">
                  <c:v>178.96396799999999</c:v>
                </c:pt>
                <c:pt idx="188">
                  <c:v>178.36312000000001</c:v>
                </c:pt>
                <c:pt idx="189">
                  <c:v>178.05903000000001</c:v>
                </c:pt>
                <c:pt idx="190">
                  <c:v>175.28697</c:v>
                </c:pt>
                <c:pt idx="191">
                  <c:v>170.62974</c:v>
                </c:pt>
                <c:pt idx="192">
                  <c:v>148.27824000000001</c:v>
                </c:pt>
                <c:pt idx="193">
                  <c:v>148.62876</c:v>
                </c:pt>
                <c:pt idx="194">
                  <c:v>148.26416399999999</c:v>
                </c:pt>
                <c:pt idx="195">
                  <c:v>149.123268</c:v>
                </c:pt>
                <c:pt idx="196">
                  <c:v>149.71046999999999</c:v>
                </c:pt>
                <c:pt idx="197">
                  <c:v>149.05296000000001</c:v>
                </c:pt>
                <c:pt idx="198">
                  <c:v>156.409167</c:v>
                </c:pt>
                <c:pt idx="199">
                  <c:v>153.36951999999999</c:v>
                </c:pt>
                <c:pt idx="200">
                  <c:v>152.89940000000001</c:v>
                </c:pt>
                <c:pt idx="201">
                  <c:v>153.63558399999999</c:v>
                </c:pt>
                <c:pt idx="202">
                  <c:v>152.34767600000001</c:v>
                </c:pt>
                <c:pt idx="203">
                  <c:v>153.269792</c:v>
                </c:pt>
                <c:pt idx="204">
                  <c:v>152.77262400000001</c:v>
                </c:pt>
                <c:pt idx="205">
                  <c:v>153.25626800000001</c:v>
                </c:pt>
                <c:pt idx="206">
                  <c:v>153.464832</c:v>
                </c:pt>
                <c:pt idx="207">
                  <c:v>153.25626800000001</c:v>
                </c:pt>
                <c:pt idx="208">
                  <c:v>153.22783999999999</c:v>
                </c:pt>
                <c:pt idx="209">
                  <c:v>152.957176</c:v>
                </c:pt>
                <c:pt idx="210">
                  <c:v>152.77106000000001</c:v>
                </c:pt>
                <c:pt idx="211">
                  <c:v>152.982752</c:v>
                </c:pt>
                <c:pt idx="212">
                  <c:v>150.71946</c:v>
                </c:pt>
                <c:pt idx="213">
                  <c:v>149.573048</c:v>
                </c:pt>
                <c:pt idx="214">
                  <c:v>150.117504</c:v>
                </c:pt>
                <c:pt idx="215">
                  <c:v>148.90199999999999</c:v>
                </c:pt>
                <c:pt idx="216">
                  <c:v>149.368256</c:v>
                </c:pt>
                <c:pt idx="217">
                  <c:v>148.69499999999999</c:v>
                </c:pt>
                <c:pt idx="218">
                  <c:v>148.50492800000001</c:v>
                </c:pt>
                <c:pt idx="219">
                  <c:v>149.73708400000001</c:v>
                </c:pt>
                <c:pt idx="220">
                  <c:v>149.03319200000001</c:v>
                </c:pt>
                <c:pt idx="221">
                  <c:v>149.16327999999999</c:v>
                </c:pt>
                <c:pt idx="222">
                  <c:v>185.67256</c:v>
                </c:pt>
                <c:pt idx="223">
                  <c:v>189.36958000000001</c:v>
                </c:pt>
                <c:pt idx="224">
                  <c:v>189.72212500000001</c:v>
                </c:pt>
                <c:pt idx="225">
                  <c:v>188.90170499999999</c:v>
                </c:pt>
                <c:pt idx="226">
                  <c:v>190.32490000000001</c:v>
                </c:pt>
                <c:pt idx="227">
                  <c:v>194.49616</c:v>
                </c:pt>
                <c:pt idx="228">
                  <c:v>196.72542999999999</c:v>
                </c:pt>
                <c:pt idx="229">
                  <c:v>197.97116500000001</c:v>
                </c:pt>
                <c:pt idx="230">
                  <c:v>206.99055999999999</c:v>
                </c:pt>
                <c:pt idx="231">
                  <c:v>215.54977500000001</c:v>
                </c:pt>
                <c:pt idx="232">
                  <c:v>212.04</c:v>
                </c:pt>
                <c:pt idx="233">
                  <c:v>196.79820000000001</c:v>
                </c:pt>
                <c:pt idx="234">
                  <c:v>196.65</c:v>
                </c:pt>
                <c:pt idx="235">
                  <c:v>196.79012499999999</c:v>
                </c:pt>
                <c:pt idx="236">
                  <c:v>197.035605</c:v>
                </c:pt>
                <c:pt idx="237">
                  <c:v>197.85146499999999</c:v>
                </c:pt>
                <c:pt idx="238">
                  <c:v>200.17601999999999</c:v>
                </c:pt>
                <c:pt idx="239">
                  <c:v>198.028355</c:v>
                </c:pt>
                <c:pt idx="240">
                  <c:v>197.09003999999999</c:v>
                </c:pt>
                <c:pt idx="241">
                  <c:v>198.14739</c:v>
                </c:pt>
                <c:pt idx="242">
                  <c:v>200.250595</c:v>
                </c:pt>
                <c:pt idx="243">
                  <c:v>198.701145</c:v>
                </c:pt>
                <c:pt idx="244">
                  <c:v>199.05112500000001</c:v>
                </c:pt>
                <c:pt idx="245">
                  <c:v>198.18368000000001</c:v>
                </c:pt>
                <c:pt idx="246">
                  <c:v>198.41813999999999</c:v>
                </c:pt>
                <c:pt idx="247">
                  <c:v>197.44173000000001</c:v>
                </c:pt>
                <c:pt idx="248">
                  <c:v>196.10261</c:v>
                </c:pt>
                <c:pt idx="249">
                  <c:v>195.44017500000001</c:v>
                </c:pt>
                <c:pt idx="250">
                  <c:v>195.82711</c:v>
                </c:pt>
                <c:pt idx="251">
                  <c:v>197.98285000000001</c:v>
                </c:pt>
                <c:pt idx="252">
                  <c:v>196.04865000000001</c:v>
                </c:pt>
                <c:pt idx="253">
                  <c:v>195.57175000000001</c:v>
                </c:pt>
                <c:pt idx="254">
                  <c:v>196.37031999999999</c:v>
                </c:pt>
                <c:pt idx="255">
                  <c:v>194.34890999999999</c:v>
                </c:pt>
                <c:pt idx="256">
                  <c:v>193.48564500000001</c:v>
                </c:pt>
                <c:pt idx="257">
                  <c:v>192.83403999999999</c:v>
                </c:pt>
                <c:pt idx="258">
                  <c:v>196.80694</c:v>
                </c:pt>
                <c:pt idx="259">
                  <c:v>194.57862</c:v>
                </c:pt>
                <c:pt idx="260">
                  <c:v>193.87144000000001</c:v>
                </c:pt>
                <c:pt idx="261">
                  <c:v>194.78381999999999</c:v>
                </c:pt>
                <c:pt idx="262">
                  <c:v>195.29339999999999</c:v>
                </c:pt>
                <c:pt idx="263">
                  <c:v>194.359455</c:v>
                </c:pt>
                <c:pt idx="264">
                  <c:v>194.923755</c:v>
                </c:pt>
                <c:pt idx="265">
                  <c:v>195.21397999999999</c:v>
                </c:pt>
                <c:pt idx="266">
                  <c:v>195.96904000000001</c:v>
                </c:pt>
                <c:pt idx="267">
                  <c:v>195.46344999999999</c:v>
                </c:pt>
                <c:pt idx="268">
                  <c:v>194.06182000000001</c:v>
                </c:pt>
                <c:pt idx="269">
                  <c:v>194.83607000000001</c:v>
                </c:pt>
                <c:pt idx="270">
                  <c:v>194.359455</c:v>
                </c:pt>
                <c:pt idx="271">
                  <c:v>194.183325</c:v>
                </c:pt>
                <c:pt idx="272">
                  <c:v>195.17037500000001</c:v>
                </c:pt>
                <c:pt idx="273">
                  <c:v>195.29472999999999</c:v>
                </c:pt>
                <c:pt idx="274">
                  <c:v>196.43634499999999</c:v>
                </c:pt>
                <c:pt idx="275">
                  <c:v>197.28953999999999</c:v>
                </c:pt>
                <c:pt idx="276">
                  <c:v>194.40210999999999</c:v>
                </c:pt>
                <c:pt idx="277">
                  <c:v>196.01103000000001</c:v>
                </c:pt>
                <c:pt idx="278">
                  <c:v>196.63413499999999</c:v>
                </c:pt>
                <c:pt idx="279">
                  <c:v>193.75611000000001</c:v>
                </c:pt>
                <c:pt idx="280">
                  <c:v>194.61291499999999</c:v>
                </c:pt>
                <c:pt idx="281">
                  <c:v>193.99247</c:v>
                </c:pt>
                <c:pt idx="282">
                  <c:v>196.38399999999999</c:v>
                </c:pt>
                <c:pt idx="283">
                  <c:v>194.14124000000001</c:v>
                </c:pt>
                <c:pt idx="284">
                  <c:v>193.465125</c:v>
                </c:pt>
                <c:pt idx="285">
                  <c:v>193.60239999999999</c:v>
                </c:pt>
                <c:pt idx="286">
                  <c:v>193.19437500000001</c:v>
                </c:pt>
                <c:pt idx="287">
                  <c:v>195.97198499999999</c:v>
                </c:pt>
                <c:pt idx="288">
                  <c:v>194.94152</c:v>
                </c:pt>
                <c:pt idx="289">
                  <c:v>193.95988500000001</c:v>
                </c:pt>
                <c:pt idx="290">
                  <c:v>194.26027500000001</c:v>
                </c:pt>
                <c:pt idx="291">
                  <c:v>195.44986499999999</c:v>
                </c:pt>
                <c:pt idx="292">
                  <c:v>198.94852499999999</c:v>
                </c:pt>
                <c:pt idx="293">
                  <c:v>197.28555</c:v>
                </c:pt>
                <c:pt idx="294">
                  <c:v>197.51298</c:v>
                </c:pt>
                <c:pt idx="295">
                  <c:v>196.56108</c:v>
                </c:pt>
                <c:pt idx="296">
                  <c:v>196.38495</c:v>
                </c:pt>
                <c:pt idx="297">
                  <c:v>197.280325</c:v>
                </c:pt>
                <c:pt idx="298">
                  <c:v>195.96029999999999</c:v>
                </c:pt>
                <c:pt idx="299">
                  <c:v>194.83607000000001</c:v>
                </c:pt>
                <c:pt idx="300">
                  <c:v>196.77312000000001</c:v>
                </c:pt>
                <c:pt idx="301">
                  <c:v>198.57774000000001</c:v>
                </c:pt>
                <c:pt idx="302">
                  <c:v>198.24106</c:v>
                </c:pt>
                <c:pt idx="303">
                  <c:v>198.10844</c:v>
                </c:pt>
                <c:pt idx="304">
                  <c:v>196.967015</c:v>
                </c:pt>
                <c:pt idx="305">
                  <c:v>197.07749999999999</c:v>
                </c:pt>
                <c:pt idx="306">
                  <c:v>197.32944000000001</c:v>
                </c:pt>
                <c:pt idx="307">
                  <c:v>197.49768499999999</c:v>
                </c:pt>
                <c:pt idx="308">
                  <c:v>197.15806000000001</c:v>
                </c:pt>
                <c:pt idx="309">
                  <c:v>197.29124999999999</c:v>
                </c:pt>
                <c:pt idx="310">
                  <c:v>197.60294500000001</c:v>
                </c:pt>
                <c:pt idx="311">
                  <c:v>196.73588000000001</c:v>
                </c:pt>
                <c:pt idx="312">
                  <c:v>196.340205</c:v>
                </c:pt>
                <c:pt idx="313">
                  <c:v>195.44017500000001</c:v>
                </c:pt>
                <c:pt idx="314">
                  <c:v>197.61786000000001</c:v>
                </c:pt>
                <c:pt idx="315">
                  <c:v>196.36804000000001</c:v>
                </c:pt>
                <c:pt idx="316">
                  <c:v>197.905045</c:v>
                </c:pt>
                <c:pt idx="317">
                  <c:v>197.630875</c:v>
                </c:pt>
                <c:pt idx="318">
                  <c:v>199.53192000000001</c:v>
                </c:pt>
                <c:pt idx="319">
                  <c:v>198.80080000000001</c:v>
                </c:pt>
                <c:pt idx="320">
                  <c:v>205.195155</c:v>
                </c:pt>
                <c:pt idx="321">
                  <c:v>202.31693999999999</c:v>
                </c:pt>
                <c:pt idx="322">
                  <c:v>209.11219500000001</c:v>
                </c:pt>
                <c:pt idx="323">
                  <c:v>198.12858</c:v>
                </c:pt>
                <c:pt idx="324">
                  <c:v>197.83313000000001</c:v>
                </c:pt>
                <c:pt idx="325">
                  <c:v>196.54398</c:v>
                </c:pt>
                <c:pt idx="326">
                  <c:v>203.17877999999999</c:v>
                </c:pt>
                <c:pt idx="327">
                  <c:v>201.96011999999999</c:v>
                </c:pt>
                <c:pt idx="328">
                  <c:v>194.75076000000001</c:v>
                </c:pt>
                <c:pt idx="329">
                  <c:v>196.48849999999999</c:v>
                </c:pt>
                <c:pt idx="330">
                  <c:v>58.546599999999998</c:v>
                </c:pt>
                <c:pt idx="331">
                  <c:v>19.377279999999999</c:v>
                </c:pt>
                <c:pt idx="332">
                  <c:v>18.987696</c:v>
                </c:pt>
                <c:pt idx="333">
                  <c:v>19.017880000000002</c:v>
                </c:pt>
                <c:pt idx="334">
                  <c:v>18.97448</c:v>
                </c:pt>
                <c:pt idx="335">
                  <c:v>18.90756</c:v>
                </c:pt>
                <c:pt idx="336">
                  <c:v>18.90756</c:v>
                </c:pt>
                <c:pt idx="337">
                  <c:v>19.065062000000001</c:v>
                </c:pt>
                <c:pt idx="338">
                  <c:v>19.326129000000002</c:v>
                </c:pt>
                <c:pt idx="339">
                  <c:v>18.916170000000001</c:v>
                </c:pt>
                <c:pt idx="340">
                  <c:v>19.04392</c:v>
                </c:pt>
                <c:pt idx="341">
                  <c:v>18.97448</c:v>
                </c:pt>
                <c:pt idx="342">
                  <c:v>18.931080000000001</c:v>
                </c:pt>
                <c:pt idx="343">
                  <c:v>18.844280000000001</c:v>
                </c:pt>
                <c:pt idx="344">
                  <c:v>18.896360000000001</c:v>
                </c:pt>
                <c:pt idx="345">
                  <c:v>18.716249999999999</c:v>
                </c:pt>
                <c:pt idx="346">
                  <c:v>18.949124999999999</c:v>
                </c:pt>
                <c:pt idx="347">
                  <c:v>19.02675</c:v>
                </c:pt>
                <c:pt idx="348">
                  <c:v>19.018125000000001</c:v>
                </c:pt>
                <c:pt idx="349">
                  <c:v>18.987696</c:v>
                </c:pt>
                <c:pt idx="350">
                  <c:v>18.515447999999999</c:v>
                </c:pt>
                <c:pt idx="351">
                  <c:v>18.2835</c:v>
                </c:pt>
                <c:pt idx="352">
                  <c:v>18.190000000000001</c:v>
                </c:pt>
                <c:pt idx="353">
                  <c:v>18.335519999999999</c:v>
                </c:pt>
                <c:pt idx="354">
                  <c:v>18.787734</c:v>
                </c:pt>
                <c:pt idx="355">
                  <c:v>18.215499999999999</c:v>
                </c:pt>
                <c:pt idx="356">
                  <c:v>18.088000000000001</c:v>
                </c:pt>
                <c:pt idx="357">
                  <c:v>15.972479999999999</c:v>
                </c:pt>
                <c:pt idx="358">
                  <c:v>14.518000000000001</c:v>
                </c:pt>
                <c:pt idx="359">
                  <c:v>14.880992000000001</c:v>
                </c:pt>
                <c:pt idx="360">
                  <c:v>15.325632000000001</c:v>
                </c:pt>
                <c:pt idx="361">
                  <c:v>15.300684</c:v>
                </c:pt>
                <c:pt idx="362">
                  <c:v>15.202781999999999</c:v>
                </c:pt>
                <c:pt idx="363">
                  <c:v>15.459695999999999</c:v>
                </c:pt>
                <c:pt idx="364">
                  <c:v>15.636096</c:v>
                </c:pt>
                <c:pt idx="365">
                  <c:v>15.636096</c:v>
                </c:pt>
                <c:pt idx="366">
                  <c:v>15.891648</c:v>
                </c:pt>
                <c:pt idx="367">
                  <c:v>15.863232</c:v>
                </c:pt>
                <c:pt idx="368">
                  <c:v>15.863232</c:v>
                </c:pt>
                <c:pt idx="369">
                  <c:v>15.941376</c:v>
                </c:pt>
                <c:pt idx="370">
                  <c:v>15.636348</c:v>
                </c:pt>
                <c:pt idx="371">
                  <c:v>15.799296</c:v>
                </c:pt>
                <c:pt idx="372">
                  <c:v>15.720768</c:v>
                </c:pt>
                <c:pt idx="373">
                  <c:v>15.820608</c:v>
                </c:pt>
                <c:pt idx="374">
                  <c:v>15.742464</c:v>
                </c:pt>
                <c:pt idx="375">
                  <c:v>15.466752</c:v>
                </c:pt>
                <c:pt idx="376">
                  <c:v>15.158752</c:v>
                </c:pt>
                <c:pt idx="377">
                  <c:v>15.252062</c:v>
                </c:pt>
                <c:pt idx="378">
                  <c:v>15.3468</c:v>
                </c:pt>
                <c:pt idx="379">
                  <c:v>15.487920000000001</c:v>
                </c:pt>
                <c:pt idx="380">
                  <c:v>14.892647999999999</c:v>
                </c:pt>
                <c:pt idx="381">
                  <c:v>14.429183999999999</c:v>
                </c:pt>
                <c:pt idx="382">
                  <c:v>14.449680000000001</c:v>
                </c:pt>
                <c:pt idx="383">
                  <c:v>14.654517999999999</c:v>
                </c:pt>
                <c:pt idx="384">
                  <c:v>14.702769</c:v>
                </c:pt>
                <c:pt idx="385">
                  <c:v>14.978828</c:v>
                </c:pt>
                <c:pt idx="386">
                  <c:v>14.999846</c:v>
                </c:pt>
                <c:pt idx="387">
                  <c:v>14.778592</c:v>
                </c:pt>
                <c:pt idx="388">
                  <c:v>15.02787</c:v>
                </c:pt>
                <c:pt idx="389">
                  <c:v>15.048888</c:v>
                </c:pt>
                <c:pt idx="390">
                  <c:v>15.297408000000001</c:v>
                </c:pt>
                <c:pt idx="391">
                  <c:v>15.111872999999999</c:v>
                </c:pt>
                <c:pt idx="392">
                  <c:v>15.083900999999999</c:v>
                </c:pt>
                <c:pt idx="393">
                  <c:v>15.4176</c:v>
                </c:pt>
                <c:pt idx="394">
                  <c:v>15.45984</c:v>
                </c:pt>
                <c:pt idx="395">
                  <c:v>15.24474</c:v>
                </c:pt>
                <c:pt idx="396">
                  <c:v>15.600384</c:v>
                </c:pt>
                <c:pt idx="397">
                  <c:v>15.6288</c:v>
                </c:pt>
                <c:pt idx="398">
                  <c:v>15.363621</c:v>
                </c:pt>
                <c:pt idx="399">
                  <c:v>15.419565</c:v>
                </c:pt>
                <c:pt idx="400">
                  <c:v>15.742464</c:v>
                </c:pt>
                <c:pt idx="401">
                  <c:v>15.349634999999999</c:v>
                </c:pt>
                <c:pt idx="402">
                  <c:v>15.398586</c:v>
                </c:pt>
                <c:pt idx="403">
                  <c:v>15.389136000000001</c:v>
                </c:pt>
                <c:pt idx="404">
                  <c:v>15.096256</c:v>
                </c:pt>
                <c:pt idx="405">
                  <c:v>15.146972</c:v>
                </c:pt>
                <c:pt idx="406">
                  <c:v>14.999040000000001</c:v>
                </c:pt>
                <c:pt idx="407">
                  <c:v>15.27624</c:v>
                </c:pt>
                <c:pt idx="408">
                  <c:v>14.839328</c:v>
                </c:pt>
                <c:pt idx="409">
                  <c:v>14.518000000000001</c:v>
                </c:pt>
                <c:pt idx="410">
                  <c:v>14.769888</c:v>
                </c:pt>
                <c:pt idx="411">
                  <c:v>15.132852</c:v>
                </c:pt>
                <c:pt idx="412">
                  <c:v>15.41056</c:v>
                </c:pt>
                <c:pt idx="413">
                  <c:v>15.45984</c:v>
                </c:pt>
                <c:pt idx="414">
                  <c:v>15.43872</c:v>
                </c:pt>
                <c:pt idx="415">
                  <c:v>15.209775</c:v>
                </c:pt>
                <c:pt idx="416">
                  <c:v>15.45984</c:v>
                </c:pt>
                <c:pt idx="417">
                  <c:v>16.008849999999999</c:v>
                </c:pt>
                <c:pt idx="418">
                  <c:v>15.82789</c:v>
                </c:pt>
                <c:pt idx="419">
                  <c:v>15.84206</c:v>
                </c:pt>
                <c:pt idx="420">
                  <c:v>15.75704</c:v>
                </c:pt>
                <c:pt idx="421">
                  <c:v>15.516159999999999</c:v>
                </c:pt>
                <c:pt idx="422">
                  <c:v>15.85623</c:v>
                </c:pt>
                <c:pt idx="423">
                  <c:v>15.8704</c:v>
                </c:pt>
                <c:pt idx="424">
                  <c:v>15.988104</c:v>
                </c:pt>
                <c:pt idx="425">
                  <c:v>15.877485</c:v>
                </c:pt>
                <c:pt idx="426">
                  <c:v>15.905825</c:v>
                </c:pt>
                <c:pt idx="427">
                  <c:v>15.88457</c:v>
                </c:pt>
                <c:pt idx="428">
                  <c:v>15.976675</c:v>
                </c:pt>
                <c:pt idx="429">
                  <c:v>15.990845</c:v>
                </c:pt>
                <c:pt idx="430">
                  <c:v>16.06878</c:v>
                </c:pt>
                <c:pt idx="431">
                  <c:v>15.9003</c:v>
                </c:pt>
                <c:pt idx="432">
                  <c:v>15.9003</c:v>
                </c:pt>
                <c:pt idx="433">
                  <c:v>15.914339999999999</c:v>
                </c:pt>
                <c:pt idx="434">
                  <c:v>15.94242</c:v>
                </c:pt>
                <c:pt idx="435">
                  <c:v>15.976675</c:v>
                </c:pt>
                <c:pt idx="436">
                  <c:v>15.893280000000001</c:v>
                </c:pt>
                <c:pt idx="437">
                  <c:v>15.928380000000001</c:v>
                </c:pt>
                <c:pt idx="438">
                  <c:v>16.019185</c:v>
                </c:pt>
                <c:pt idx="439">
                  <c:v>16.04044</c:v>
                </c:pt>
                <c:pt idx="440">
                  <c:v>16.02627</c:v>
                </c:pt>
                <c:pt idx="441">
                  <c:v>16.104205</c:v>
                </c:pt>
                <c:pt idx="442">
                  <c:v>15.95646</c:v>
                </c:pt>
                <c:pt idx="443">
                  <c:v>15.949439999999999</c:v>
                </c:pt>
                <c:pt idx="444">
                  <c:v>15.9354</c:v>
                </c:pt>
                <c:pt idx="445">
                  <c:v>15.9354</c:v>
                </c:pt>
                <c:pt idx="446">
                  <c:v>15.963480000000001</c:v>
                </c:pt>
                <c:pt idx="447">
                  <c:v>16.033355</c:v>
                </c:pt>
                <c:pt idx="448">
                  <c:v>16.047525</c:v>
                </c:pt>
                <c:pt idx="449">
                  <c:v>15.737856000000001</c:v>
                </c:pt>
                <c:pt idx="450">
                  <c:v>16.101800000000001</c:v>
                </c:pt>
                <c:pt idx="451">
                  <c:v>16.044599999999999</c:v>
                </c:pt>
                <c:pt idx="452">
                  <c:v>15.98376</c:v>
                </c:pt>
                <c:pt idx="453">
                  <c:v>15.99793</c:v>
                </c:pt>
                <c:pt idx="454">
                  <c:v>16.0121</c:v>
                </c:pt>
                <c:pt idx="455">
                  <c:v>15.83296</c:v>
                </c:pt>
                <c:pt idx="456">
                  <c:v>15.78368</c:v>
                </c:pt>
                <c:pt idx="457">
                  <c:v>15.755520000000001</c:v>
                </c:pt>
                <c:pt idx="458">
                  <c:v>15.749568</c:v>
                </c:pt>
                <c:pt idx="459">
                  <c:v>15.849024</c:v>
                </c:pt>
                <c:pt idx="460">
                  <c:v>15.94848</c:v>
                </c:pt>
                <c:pt idx="461">
                  <c:v>16.005015</c:v>
                </c:pt>
                <c:pt idx="462">
                  <c:v>16.005015</c:v>
                </c:pt>
                <c:pt idx="463">
                  <c:v>16.019185</c:v>
                </c:pt>
                <c:pt idx="464">
                  <c:v>15.948335</c:v>
                </c:pt>
                <c:pt idx="465">
                  <c:v>15.891655</c:v>
                </c:pt>
                <c:pt idx="466">
                  <c:v>15.91291</c:v>
                </c:pt>
                <c:pt idx="467">
                  <c:v>15.962505</c:v>
                </c:pt>
                <c:pt idx="468">
                  <c:v>15.89874</c:v>
                </c:pt>
                <c:pt idx="469">
                  <c:v>15.919995</c:v>
                </c:pt>
                <c:pt idx="470">
                  <c:v>15.962505</c:v>
                </c:pt>
                <c:pt idx="471">
                  <c:v>15.891655</c:v>
                </c:pt>
                <c:pt idx="472">
                  <c:v>15.849145</c:v>
                </c:pt>
                <c:pt idx="473">
                  <c:v>15.692159999999999</c:v>
                </c:pt>
                <c:pt idx="474">
                  <c:v>15.59136</c:v>
                </c:pt>
                <c:pt idx="475">
                  <c:v>14.898618000000001</c:v>
                </c:pt>
                <c:pt idx="476">
                  <c:v>14.845193999999999</c:v>
                </c:pt>
                <c:pt idx="477">
                  <c:v>14.905296</c:v>
                </c:pt>
                <c:pt idx="478">
                  <c:v>14.938686000000001</c:v>
                </c:pt>
                <c:pt idx="479">
                  <c:v>14.863905000000001</c:v>
                </c:pt>
                <c:pt idx="480">
                  <c:v>14.943284999999999</c:v>
                </c:pt>
                <c:pt idx="481">
                  <c:v>14.903594999999999</c:v>
                </c:pt>
                <c:pt idx="482">
                  <c:v>14.930054999999999</c:v>
                </c:pt>
                <c:pt idx="483">
                  <c:v>14.870520000000001</c:v>
                </c:pt>
                <c:pt idx="484">
                  <c:v>14.863905000000001</c:v>
                </c:pt>
                <c:pt idx="485">
                  <c:v>14.77791</c:v>
                </c:pt>
                <c:pt idx="486">
                  <c:v>14.76468</c:v>
                </c:pt>
                <c:pt idx="487">
                  <c:v>14.916096</c:v>
                </c:pt>
                <c:pt idx="488">
                  <c:v>14.77791</c:v>
                </c:pt>
                <c:pt idx="489">
                  <c:v>14.863905000000001</c:v>
                </c:pt>
                <c:pt idx="490">
                  <c:v>14.817600000000001</c:v>
                </c:pt>
                <c:pt idx="491">
                  <c:v>14.890364999999999</c:v>
                </c:pt>
                <c:pt idx="492">
                  <c:v>15.029248000000001</c:v>
                </c:pt>
                <c:pt idx="493">
                  <c:v>14.80437</c:v>
                </c:pt>
                <c:pt idx="494">
                  <c:v>15.032640000000001</c:v>
                </c:pt>
                <c:pt idx="495">
                  <c:v>14.916096</c:v>
                </c:pt>
                <c:pt idx="496">
                  <c:v>14.889472</c:v>
                </c:pt>
                <c:pt idx="497">
                  <c:v>14.956032</c:v>
                </c:pt>
                <c:pt idx="498">
                  <c:v>15.07296</c:v>
                </c:pt>
                <c:pt idx="499">
                  <c:v>14.995968</c:v>
                </c:pt>
                <c:pt idx="500">
                  <c:v>15.022592</c:v>
                </c:pt>
                <c:pt idx="501">
                  <c:v>14.917695999999999</c:v>
                </c:pt>
                <c:pt idx="502">
                  <c:v>14.897919999999999</c:v>
                </c:pt>
                <c:pt idx="503">
                  <c:v>15.164175</c:v>
                </c:pt>
                <c:pt idx="504">
                  <c:v>15.190955000000001</c:v>
                </c:pt>
                <c:pt idx="505">
                  <c:v>15.124005</c:v>
                </c:pt>
                <c:pt idx="506">
                  <c:v>15.07714</c:v>
                </c:pt>
                <c:pt idx="507">
                  <c:v>15.057055</c:v>
                </c:pt>
                <c:pt idx="508">
                  <c:v>15.097225</c:v>
                </c:pt>
                <c:pt idx="509">
                  <c:v>15.01695</c:v>
                </c:pt>
                <c:pt idx="510">
                  <c:v>15.03684</c:v>
                </c:pt>
                <c:pt idx="511">
                  <c:v>14.896127999999999</c:v>
                </c:pt>
                <c:pt idx="512">
                  <c:v>14.785856000000001</c:v>
                </c:pt>
                <c:pt idx="513">
                  <c:v>14.759487999999999</c:v>
                </c:pt>
                <c:pt idx="514">
                  <c:v>15.01019</c:v>
                </c:pt>
                <c:pt idx="515">
                  <c:v>14.896127999999999</c:v>
                </c:pt>
                <c:pt idx="516">
                  <c:v>14.842879999999999</c:v>
                </c:pt>
                <c:pt idx="517">
                  <c:v>14.869503999999999</c:v>
                </c:pt>
                <c:pt idx="518">
                  <c:v>14.87616</c:v>
                </c:pt>
                <c:pt idx="519">
                  <c:v>14.849536000000001</c:v>
                </c:pt>
                <c:pt idx="520">
                  <c:v>14.929408</c:v>
                </c:pt>
                <c:pt idx="521">
                  <c:v>15.059519999999999</c:v>
                </c:pt>
                <c:pt idx="522">
                  <c:v>15.07714</c:v>
                </c:pt>
                <c:pt idx="523">
                  <c:v>15.05673</c:v>
                </c:pt>
                <c:pt idx="524">
                  <c:v>15.23574</c:v>
                </c:pt>
                <c:pt idx="525">
                  <c:v>15.22911</c:v>
                </c:pt>
                <c:pt idx="526">
                  <c:v>15.20922</c:v>
                </c:pt>
                <c:pt idx="527">
                  <c:v>15.18933</c:v>
                </c:pt>
                <c:pt idx="528">
                  <c:v>15.14292</c:v>
                </c:pt>
                <c:pt idx="529">
                  <c:v>15.29138</c:v>
                </c:pt>
                <c:pt idx="530">
                  <c:v>15.25121</c:v>
                </c:pt>
                <c:pt idx="531">
                  <c:v>15.2646</c:v>
                </c:pt>
                <c:pt idx="532">
                  <c:v>15.197649999999999</c:v>
                </c:pt>
                <c:pt idx="533">
                  <c:v>15.042944</c:v>
                </c:pt>
                <c:pt idx="534">
                  <c:v>15.324854999999999</c:v>
                </c:pt>
                <c:pt idx="535">
                  <c:v>15.33155</c:v>
                </c:pt>
                <c:pt idx="536">
                  <c:v>15.09568</c:v>
                </c:pt>
                <c:pt idx="537">
                  <c:v>15.202590000000001</c:v>
                </c:pt>
                <c:pt idx="538">
                  <c:v>15.298075000000001</c:v>
                </c:pt>
                <c:pt idx="539">
                  <c:v>15.298075000000001</c:v>
                </c:pt>
                <c:pt idx="540">
                  <c:v>15.399279999999999</c:v>
                </c:pt>
                <c:pt idx="541">
                  <c:v>15.1424</c:v>
                </c:pt>
                <c:pt idx="542">
                  <c:v>15.155711999999999</c:v>
                </c:pt>
                <c:pt idx="543">
                  <c:v>15.162368000000001</c:v>
                </c:pt>
                <c:pt idx="544">
                  <c:v>15.135744000000001</c:v>
                </c:pt>
                <c:pt idx="545">
                  <c:v>15.399279999999999</c:v>
                </c:pt>
                <c:pt idx="546">
                  <c:v>15.399279999999999</c:v>
                </c:pt>
                <c:pt idx="547">
                  <c:v>15.385759999999999</c:v>
                </c:pt>
                <c:pt idx="548">
                  <c:v>15.37224</c:v>
                </c:pt>
                <c:pt idx="549">
                  <c:v>15.36548</c:v>
                </c:pt>
                <c:pt idx="550">
                  <c:v>15.25121</c:v>
                </c:pt>
                <c:pt idx="551">
                  <c:v>15.412800000000001</c:v>
                </c:pt>
                <c:pt idx="552">
                  <c:v>15.188992000000001</c:v>
                </c:pt>
                <c:pt idx="553">
                  <c:v>15.056127999999999</c:v>
                </c:pt>
                <c:pt idx="554">
                  <c:v>15.115456</c:v>
                </c:pt>
                <c:pt idx="555">
                  <c:v>15.43867</c:v>
                </c:pt>
                <c:pt idx="556">
                  <c:v>15.465450000000001</c:v>
                </c:pt>
                <c:pt idx="557">
                  <c:v>15.23574</c:v>
                </c:pt>
                <c:pt idx="558">
                  <c:v>15.20922</c:v>
                </c:pt>
                <c:pt idx="559">
                  <c:v>15.324854999999999</c:v>
                </c:pt>
                <c:pt idx="560">
                  <c:v>15.29138</c:v>
                </c:pt>
                <c:pt idx="561">
                  <c:v>15.29138</c:v>
                </c:pt>
                <c:pt idx="562">
                  <c:v>15.09651</c:v>
                </c:pt>
                <c:pt idx="563">
                  <c:v>15.30477</c:v>
                </c:pt>
                <c:pt idx="564">
                  <c:v>15.07662</c:v>
                </c:pt>
                <c:pt idx="565">
                  <c:v>15.08325</c:v>
                </c:pt>
                <c:pt idx="566">
                  <c:v>15.129659999999999</c:v>
                </c:pt>
                <c:pt idx="567">
                  <c:v>15.217734999999999</c:v>
                </c:pt>
                <c:pt idx="568">
                  <c:v>14.94272</c:v>
                </c:pt>
                <c:pt idx="569">
                  <c:v>14.956032</c:v>
                </c:pt>
                <c:pt idx="570">
                  <c:v>14.851775999999999</c:v>
                </c:pt>
                <c:pt idx="571">
                  <c:v>14.792448</c:v>
                </c:pt>
                <c:pt idx="572">
                  <c:v>14.896127999999999</c:v>
                </c:pt>
                <c:pt idx="573">
                  <c:v>14.838592</c:v>
                </c:pt>
                <c:pt idx="574">
                  <c:v>14.805631999999999</c:v>
                </c:pt>
                <c:pt idx="575">
                  <c:v>14.989312</c:v>
                </c:pt>
                <c:pt idx="576">
                  <c:v>14.902784</c:v>
                </c:pt>
                <c:pt idx="577">
                  <c:v>14.756352</c:v>
                </c:pt>
                <c:pt idx="578">
                  <c:v>14.709759999999999</c:v>
                </c:pt>
                <c:pt idx="579">
                  <c:v>14.782976</c:v>
                </c:pt>
                <c:pt idx="580">
                  <c:v>14.706752</c:v>
                </c:pt>
                <c:pt idx="581">
                  <c:v>14.691915</c:v>
                </c:pt>
                <c:pt idx="582">
                  <c:v>14.678685</c:v>
                </c:pt>
                <c:pt idx="583">
                  <c:v>14.6853</c:v>
                </c:pt>
                <c:pt idx="584">
                  <c:v>14.69853</c:v>
                </c:pt>
                <c:pt idx="585">
                  <c:v>14.785856000000001</c:v>
                </c:pt>
                <c:pt idx="586">
                  <c:v>14.766080000000001</c:v>
                </c:pt>
                <c:pt idx="587">
                  <c:v>15.11731</c:v>
                </c:pt>
                <c:pt idx="588">
                  <c:v>15.164175</c:v>
                </c:pt>
                <c:pt idx="589">
                  <c:v>15.089880000000001</c:v>
                </c:pt>
                <c:pt idx="590">
                  <c:v>15.12303</c:v>
                </c:pt>
                <c:pt idx="591">
                  <c:v>15.156180000000001</c:v>
                </c:pt>
                <c:pt idx="592">
                  <c:v>15.136290000000001</c:v>
                </c:pt>
                <c:pt idx="593">
                  <c:v>15.14292</c:v>
                </c:pt>
                <c:pt idx="594">
                  <c:v>15.16944</c:v>
                </c:pt>
                <c:pt idx="595">
                  <c:v>15.182700000000001</c:v>
                </c:pt>
                <c:pt idx="596">
                  <c:v>15.16944</c:v>
                </c:pt>
                <c:pt idx="597">
                  <c:v>15.182700000000001</c:v>
                </c:pt>
                <c:pt idx="598">
                  <c:v>15.202590000000001</c:v>
                </c:pt>
                <c:pt idx="599">
                  <c:v>15.129659999999999</c:v>
                </c:pt>
                <c:pt idx="600">
                  <c:v>15.14292</c:v>
                </c:pt>
                <c:pt idx="601">
                  <c:v>15.116400000000001</c:v>
                </c:pt>
                <c:pt idx="602">
                  <c:v>15.116400000000001</c:v>
                </c:pt>
                <c:pt idx="603">
                  <c:v>15.116400000000001</c:v>
                </c:pt>
                <c:pt idx="604">
                  <c:v>15.129659999999999</c:v>
                </c:pt>
                <c:pt idx="605">
                  <c:v>15.109769999999999</c:v>
                </c:pt>
                <c:pt idx="606">
                  <c:v>15.10314</c:v>
                </c:pt>
                <c:pt idx="607">
                  <c:v>15.14292</c:v>
                </c:pt>
                <c:pt idx="608">
                  <c:v>15.211812</c:v>
                </c:pt>
                <c:pt idx="609">
                  <c:v>15.211812</c:v>
                </c:pt>
                <c:pt idx="610">
                  <c:v>15.20922</c:v>
                </c:pt>
                <c:pt idx="611">
                  <c:v>15.132325</c:v>
                </c:pt>
                <c:pt idx="612">
                  <c:v>15.092935000000001</c:v>
                </c:pt>
                <c:pt idx="613">
                  <c:v>15.020720000000001</c:v>
                </c:pt>
                <c:pt idx="614">
                  <c:v>15.231809999999999</c:v>
                </c:pt>
                <c:pt idx="615">
                  <c:v>15.211812</c:v>
                </c:pt>
                <c:pt idx="616">
                  <c:v>15.225144</c:v>
                </c:pt>
                <c:pt idx="617">
                  <c:v>15.218477999999999</c:v>
                </c:pt>
                <c:pt idx="618">
                  <c:v>15.12303</c:v>
                </c:pt>
                <c:pt idx="619">
                  <c:v>15.136290000000001</c:v>
                </c:pt>
                <c:pt idx="620">
                  <c:v>14.99446</c:v>
                </c:pt>
                <c:pt idx="621">
                  <c:v>15.211812</c:v>
                </c:pt>
                <c:pt idx="622">
                  <c:v>15.211812</c:v>
                </c:pt>
                <c:pt idx="623">
                  <c:v>15.023580000000001</c:v>
                </c:pt>
                <c:pt idx="624">
                  <c:v>15.023580000000001</c:v>
                </c:pt>
                <c:pt idx="625">
                  <c:v>14.997059999999999</c:v>
                </c:pt>
                <c:pt idx="626">
                  <c:v>15.03684</c:v>
                </c:pt>
                <c:pt idx="627">
                  <c:v>15.089880000000001</c:v>
                </c:pt>
                <c:pt idx="628">
                  <c:v>15.069990000000001</c:v>
                </c:pt>
                <c:pt idx="629">
                  <c:v>14.987895</c:v>
                </c:pt>
                <c:pt idx="630">
                  <c:v>15.027284999999999</c:v>
                </c:pt>
                <c:pt idx="631">
                  <c:v>15.04698</c:v>
                </c:pt>
                <c:pt idx="632">
                  <c:v>15.156180000000001</c:v>
                </c:pt>
                <c:pt idx="633">
                  <c:v>15.14955</c:v>
                </c:pt>
                <c:pt idx="634">
                  <c:v>14.98133</c:v>
                </c:pt>
                <c:pt idx="635">
                  <c:v>15.014155000000001</c:v>
                </c:pt>
                <c:pt idx="636">
                  <c:v>15.291804000000001</c:v>
                </c:pt>
                <c:pt idx="637">
                  <c:v>15.285138</c:v>
                </c:pt>
                <c:pt idx="638">
                  <c:v>15.04698</c:v>
                </c:pt>
                <c:pt idx="639">
                  <c:v>15.16944</c:v>
                </c:pt>
                <c:pt idx="640">
                  <c:v>15.271806</c:v>
                </c:pt>
                <c:pt idx="641">
                  <c:v>15.21585</c:v>
                </c:pt>
                <c:pt idx="642">
                  <c:v>15.268890000000001</c:v>
                </c:pt>
                <c:pt idx="643">
                  <c:v>15.268890000000001</c:v>
                </c:pt>
                <c:pt idx="644">
                  <c:v>15.184844999999999</c:v>
                </c:pt>
                <c:pt idx="645">
                  <c:v>15.158585</c:v>
                </c:pt>
                <c:pt idx="646">
                  <c:v>15.132325</c:v>
                </c:pt>
                <c:pt idx="647">
                  <c:v>15.318467999999999</c:v>
                </c:pt>
                <c:pt idx="648">
                  <c:v>15.311802</c:v>
                </c:pt>
                <c:pt idx="649">
                  <c:v>15.305135999999999</c:v>
                </c:pt>
                <c:pt idx="650">
                  <c:v>15.311802</c:v>
                </c:pt>
                <c:pt idx="651">
                  <c:v>15.066675</c:v>
                </c:pt>
                <c:pt idx="652">
                  <c:v>15.07324</c:v>
                </c:pt>
                <c:pt idx="653">
                  <c:v>15.331799999999999</c:v>
                </c:pt>
                <c:pt idx="654">
                  <c:v>15.318467999999999</c:v>
                </c:pt>
                <c:pt idx="655">
                  <c:v>15.365130000000001</c:v>
                </c:pt>
                <c:pt idx="656">
                  <c:v>15.405125999999999</c:v>
                </c:pt>
                <c:pt idx="657">
                  <c:v>15.411792</c:v>
                </c:pt>
                <c:pt idx="658">
                  <c:v>15.171715000000001</c:v>
                </c:pt>
                <c:pt idx="659">
                  <c:v>15.2196</c:v>
                </c:pt>
                <c:pt idx="660">
                  <c:v>15.2394</c:v>
                </c:pt>
                <c:pt idx="661">
                  <c:v>15.2658</c:v>
                </c:pt>
                <c:pt idx="662">
                  <c:v>15.2592</c:v>
                </c:pt>
                <c:pt idx="663">
                  <c:v>15.365130000000001</c:v>
                </c:pt>
                <c:pt idx="664">
                  <c:v>15.279</c:v>
                </c:pt>
                <c:pt idx="665">
                  <c:v>15.279</c:v>
                </c:pt>
                <c:pt idx="666">
                  <c:v>15.411792</c:v>
                </c:pt>
                <c:pt idx="667">
                  <c:v>15.418457999999999</c:v>
                </c:pt>
                <c:pt idx="668">
                  <c:v>15.445122</c:v>
                </c:pt>
                <c:pt idx="669">
                  <c:v>15.411792</c:v>
                </c:pt>
                <c:pt idx="670">
                  <c:v>15.39846</c:v>
                </c:pt>
                <c:pt idx="671">
                  <c:v>15.39846</c:v>
                </c:pt>
                <c:pt idx="672">
                  <c:v>15.345132</c:v>
                </c:pt>
                <c:pt idx="673">
                  <c:v>15.331799999999999</c:v>
                </c:pt>
                <c:pt idx="674">
                  <c:v>15.1866</c:v>
                </c:pt>
                <c:pt idx="675">
                  <c:v>15.1866</c:v>
                </c:pt>
                <c:pt idx="676">
                  <c:v>15.4636</c:v>
                </c:pt>
                <c:pt idx="677">
                  <c:v>15.311999999999999</c:v>
                </c:pt>
                <c:pt idx="678">
                  <c:v>15.3186</c:v>
                </c:pt>
                <c:pt idx="679">
                  <c:v>15.232799999999999</c:v>
                </c:pt>
                <c:pt idx="680">
                  <c:v>15.114000000000001</c:v>
                </c:pt>
                <c:pt idx="681">
                  <c:v>15.1272</c:v>
                </c:pt>
                <c:pt idx="682">
                  <c:v>15.225144</c:v>
                </c:pt>
                <c:pt idx="683">
                  <c:v>15.061199999999999</c:v>
                </c:pt>
                <c:pt idx="684">
                  <c:v>15.061199999999999</c:v>
                </c:pt>
                <c:pt idx="685">
                  <c:v>15.061199999999999</c:v>
                </c:pt>
                <c:pt idx="686">
                  <c:v>15.19848</c:v>
                </c:pt>
                <c:pt idx="687">
                  <c:v>15.0282</c:v>
                </c:pt>
                <c:pt idx="688">
                  <c:v>15.041399999999999</c:v>
                </c:pt>
                <c:pt idx="689">
                  <c:v>15.191814000000001</c:v>
                </c:pt>
                <c:pt idx="690">
                  <c:v>15.185148</c:v>
                </c:pt>
                <c:pt idx="691">
                  <c:v>15.151818</c:v>
                </c:pt>
                <c:pt idx="692">
                  <c:v>15.145152</c:v>
                </c:pt>
                <c:pt idx="693">
                  <c:v>15.125154</c:v>
                </c:pt>
                <c:pt idx="694">
                  <c:v>15.145152</c:v>
                </c:pt>
                <c:pt idx="695">
                  <c:v>15.105155999999999</c:v>
                </c:pt>
                <c:pt idx="696">
                  <c:v>15.125154</c:v>
                </c:pt>
                <c:pt idx="697">
                  <c:v>15.085158</c:v>
                </c:pt>
                <c:pt idx="698">
                  <c:v>15.051828</c:v>
                </c:pt>
                <c:pt idx="699">
                  <c:v>15.09849</c:v>
                </c:pt>
                <c:pt idx="700">
                  <c:v>15.145152</c:v>
                </c:pt>
                <c:pt idx="701">
                  <c:v>15.158484</c:v>
                </c:pt>
                <c:pt idx="702">
                  <c:v>15.041399999999999</c:v>
                </c:pt>
                <c:pt idx="703">
                  <c:v>15.0876</c:v>
                </c:pt>
                <c:pt idx="704">
                  <c:v>15.1008</c:v>
                </c:pt>
                <c:pt idx="705">
                  <c:v>15.1074</c:v>
                </c:pt>
                <c:pt idx="706">
                  <c:v>15.0876</c:v>
                </c:pt>
                <c:pt idx="707">
                  <c:v>15.094200000000001</c:v>
                </c:pt>
                <c:pt idx="708">
                  <c:v>15.061199999999999</c:v>
                </c:pt>
                <c:pt idx="709">
                  <c:v>15.021599999999999</c:v>
                </c:pt>
                <c:pt idx="710">
                  <c:v>15.034800000000001</c:v>
                </c:pt>
                <c:pt idx="711">
                  <c:v>14.995200000000001</c:v>
                </c:pt>
                <c:pt idx="712">
                  <c:v>15.031829999999999</c:v>
                </c:pt>
                <c:pt idx="713">
                  <c:v>14.764685</c:v>
                </c:pt>
                <c:pt idx="714">
                  <c:v>14.87772</c:v>
                </c:pt>
                <c:pt idx="715">
                  <c:v>14.864459999999999</c:v>
                </c:pt>
                <c:pt idx="716">
                  <c:v>14.89761</c:v>
                </c:pt>
                <c:pt idx="717">
                  <c:v>14.92413</c:v>
                </c:pt>
                <c:pt idx="718">
                  <c:v>15.01695</c:v>
                </c:pt>
                <c:pt idx="719">
                  <c:v>15.171816</c:v>
                </c:pt>
                <c:pt idx="720">
                  <c:v>15.118487999999999</c:v>
                </c:pt>
                <c:pt idx="721">
                  <c:v>15.131819999999999</c:v>
                </c:pt>
                <c:pt idx="722">
                  <c:v>15.151818</c:v>
                </c:pt>
                <c:pt idx="723">
                  <c:v>15.218477999999999</c:v>
                </c:pt>
                <c:pt idx="724">
                  <c:v>15.245142</c:v>
                </c:pt>
                <c:pt idx="725">
                  <c:v>15.231809999999999</c:v>
                </c:pt>
                <c:pt idx="726">
                  <c:v>15.225144</c:v>
                </c:pt>
                <c:pt idx="727">
                  <c:v>15.116400000000001</c:v>
                </c:pt>
                <c:pt idx="728">
                  <c:v>14.922245</c:v>
                </c:pt>
                <c:pt idx="729">
                  <c:v>15.171816</c:v>
                </c:pt>
                <c:pt idx="730">
                  <c:v>15.191814000000001</c:v>
                </c:pt>
                <c:pt idx="731">
                  <c:v>15.09651</c:v>
                </c:pt>
                <c:pt idx="732">
                  <c:v>15.211812</c:v>
                </c:pt>
                <c:pt idx="733">
                  <c:v>15.251808</c:v>
                </c:pt>
                <c:pt idx="734">
                  <c:v>15.265140000000001</c:v>
                </c:pt>
                <c:pt idx="735">
                  <c:v>15.251808</c:v>
                </c:pt>
                <c:pt idx="736">
                  <c:v>15.211812</c:v>
                </c:pt>
                <c:pt idx="737">
                  <c:v>15.178482000000001</c:v>
                </c:pt>
                <c:pt idx="738">
                  <c:v>15.1206</c:v>
                </c:pt>
                <c:pt idx="739">
                  <c:v>15.133800000000001</c:v>
                </c:pt>
                <c:pt idx="740">
                  <c:v>15.271806</c:v>
                </c:pt>
                <c:pt idx="741">
                  <c:v>15.291804000000001</c:v>
                </c:pt>
                <c:pt idx="742">
                  <c:v>15.285138</c:v>
                </c:pt>
                <c:pt idx="743">
                  <c:v>15.1602</c:v>
                </c:pt>
                <c:pt idx="744">
                  <c:v>15.305135999999999</c:v>
                </c:pt>
                <c:pt idx="745">
                  <c:v>15.147</c:v>
                </c:pt>
                <c:pt idx="746">
                  <c:v>15.1602</c:v>
                </c:pt>
                <c:pt idx="747">
                  <c:v>15.133800000000001</c:v>
                </c:pt>
                <c:pt idx="748">
                  <c:v>15.271806</c:v>
                </c:pt>
                <c:pt idx="749">
                  <c:v>15.258474</c:v>
                </c:pt>
                <c:pt idx="750">
                  <c:v>15.251808</c:v>
                </c:pt>
                <c:pt idx="751">
                  <c:v>15.231809999999999</c:v>
                </c:pt>
                <c:pt idx="752">
                  <c:v>15.191814000000001</c:v>
                </c:pt>
                <c:pt idx="753">
                  <c:v>15.165150000000001</c:v>
                </c:pt>
                <c:pt idx="754">
                  <c:v>15.03684</c:v>
                </c:pt>
                <c:pt idx="755">
                  <c:v>15.0501</c:v>
                </c:pt>
                <c:pt idx="756">
                  <c:v>15.131819999999999</c:v>
                </c:pt>
                <c:pt idx="757">
                  <c:v>15.131819999999999</c:v>
                </c:pt>
                <c:pt idx="758">
                  <c:v>14.997059999999999</c:v>
                </c:pt>
                <c:pt idx="759">
                  <c:v>15.221052</c:v>
                </c:pt>
                <c:pt idx="760">
                  <c:v>15.105155999999999</c:v>
                </c:pt>
                <c:pt idx="761">
                  <c:v>15.125154</c:v>
                </c:pt>
                <c:pt idx="762">
                  <c:v>15.165150000000001</c:v>
                </c:pt>
                <c:pt idx="763">
                  <c:v>15.165150000000001</c:v>
                </c:pt>
                <c:pt idx="764">
                  <c:v>15.131819999999999</c:v>
                </c:pt>
                <c:pt idx="765">
                  <c:v>15.165150000000001</c:v>
                </c:pt>
                <c:pt idx="766">
                  <c:v>15.158484</c:v>
                </c:pt>
                <c:pt idx="767">
                  <c:v>15.151818</c:v>
                </c:pt>
                <c:pt idx="768">
                  <c:v>15.178482000000001</c:v>
                </c:pt>
                <c:pt idx="769">
                  <c:v>15.185148</c:v>
                </c:pt>
                <c:pt idx="770">
                  <c:v>15.081</c:v>
                </c:pt>
                <c:pt idx="771">
                  <c:v>15.3832</c:v>
                </c:pt>
                <c:pt idx="772">
                  <c:v>15.3832</c:v>
                </c:pt>
                <c:pt idx="773">
                  <c:v>15.1206</c:v>
                </c:pt>
                <c:pt idx="774">
                  <c:v>15.329599999999999</c:v>
                </c:pt>
                <c:pt idx="775">
                  <c:v>15.329599999999999</c:v>
                </c:pt>
                <c:pt idx="776">
                  <c:v>15.251808</c:v>
                </c:pt>
                <c:pt idx="777">
                  <c:v>15.245142</c:v>
                </c:pt>
                <c:pt idx="778">
                  <c:v>15.061199999999999</c:v>
                </c:pt>
                <c:pt idx="779">
                  <c:v>15.021599999999999</c:v>
                </c:pt>
                <c:pt idx="780">
                  <c:v>15.178482000000001</c:v>
                </c:pt>
                <c:pt idx="781">
                  <c:v>15.225144</c:v>
                </c:pt>
                <c:pt idx="782">
                  <c:v>15.19848</c:v>
                </c:pt>
                <c:pt idx="783">
                  <c:v>15.211812</c:v>
                </c:pt>
                <c:pt idx="784">
                  <c:v>15.19848</c:v>
                </c:pt>
                <c:pt idx="785">
                  <c:v>15.178482000000001</c:v>
                </c:pt>
                <c:pt idx="786">
                  <c:v>15.225144</c:v>
                </c:pt>
                <c:pt idx="787">
                  <c:v>15.258474</c:v>
                </c:pt>
                <c:pt idx="788">
                  <c:v>15.225144</c:v>
                </c:pt>
                <c:pt idx="789">
                  <c:v>15.205145999999999</c:v>
                </c:pt>
                <c:pt idx="790">
                  <c:v>15.205145999999999</c:v>
                </c:pt>
                <c:pt idx="791">
                  <c:v>15.19848</c:v>
                </c:pt>
                <c:pt idx="792">
                  <c:v>15.218477999999999</c:v>
                </c:pt>
                <c:pt idx="793">
                  <c:v>15.245142</c:v>
                </c:pt>
                <c:pt idx="794">
                  <c:v>15.218477999999999</c:v>
                </c:pt>
                <c:pt idx="795">
                  <c:v>15.191814000000001</c:v>
                </c:pt>
                <c:pt idx="796">
                  <c:v>15.158484</c:v>
                </c:pt>
                <c:pt idx="797">
                  <c:v>15.05673</c:v>
                </c:pt>
                <c:pt idx="798">
                  <c:v>15.023580000000001</c:v>
                </c:pt>
                <c:pt idx="799">
                  <c:v>15.03021</c:v>
                </c:pt>
                <c:pt idx="800">
                  <c:v>15.07662</c:v>
                </c:pt>
                <c:pt idx="801">
                  <c:v>15.191814000000001</c:v>
                </c:pt>
                <c:pt idx="802">
                  <c:v>15.07662</c:v>
                </c:pt>
                <c:pt idx="803">
                  <c:v>15.08325</c:v>
                </c:pt>
                <c:pt idx="804">
                  <c:v>15.301836</c:v>
                </c:pt>
                <c:pt idx="805">
                  <c:v>15.218477999999999</c:v>
                </c:pt>
                <c:pt idx="806">
                  <c:v>15.218477999999999</c:v>
                </c:pt>
                <c:pt idx="807">
                  <c:v>15.238476</c:v>
                </c:pt>
                <c:pt idx="808">
                  <c:v>15.19848</c:v>
                </c:pt>
                <c:pt idx="809">
                  <c:v>15.231809999999999</c:v>
                </c:pt>
                <c:pt idx="810">
                  <c:v>15.114000000000001</c:v>
                </c:pt>
                <c:pt idx="811">
                  <c:v>15.1074</c:v>
                </c:pt>
                <c:pt idx="812">
                  <c:v>15.0876</c:v>
                </c:pt>
                <c:pt idx="813">
                  <c:v>15.081</c:v>
                </c:pt>
                <c:pt idx="814">
                  <c:v>15.094200000000001</c:v>
                </c:pt>
                <c:pt idx="815">
                  <c:v>15.265140000000001</c:v>
                </c:pt>
                <c:pt idx="816">
                  <c:v>15.185148</c:v>
                </c:pt>
                <c:pt idx="817">
                  <c:v>15.138486</c:v>
                </c:pt>
                <c:pt idx="818">
                  <c:v>15.131819999999999</c:v>
                </c:pt>
                <c:pt idx="819">
                  <c:v>14.997059999999999</c:v>
                </c:pt>
                <c:pt idx="820">
                  <c:v>15.071826</c:v>
                </c:pt>
                <c:pt idx="821">
                  <c:v>14.830335</c:v>
                </c:pt>
                <c:pt idx="822">
                  <c:v>14.937390000000001</c:v>
                </c:pt>
                <c:pt idx="823">
                  <c:v>14.90424</c:v>
                </c:pt>
                <c:pt idx="824">
                  <c:v>14.88435</c:v>
                </c:pt>
                <c:pt idx="825">
                  <c:v>14.89761</c:v>
                </c:pt>
                <c:pt idx="826">
                  <c:v>14.87772</c:v>
                </c:pt>
                <c:pt idx="827">
                  <c:v>15.016885</c:v>
                </c:pt>
                <c:pt idx="828">
                  <c:v>14.871090000000001</c:v>
                </c:pt>
                <c:pt idx="829">
                  <c:v>14.88435</c:v>
                </c:pt>
                <c:pt idx="830">
                  <c:v>14.90424</c:v>
                </c:pt>
                <c:pt idx="831">
                  <c:v>14.930759999999999</c:v>
                </c:pt>
                <c:pt idx="832">
                  <c:v>15.003690000000001</c:v>
                </c:pt>
                <c:pt idx="833">
                  <c:v>15.271806</c:v>
                </c:pt>
                <c:pt idx="834">
                  <c:v>15.1404</c:v>
                </c:pt>
                <c:pt idx="835">
                  <c:v>15.1272</c:v>
                </c:pt>
                <c:pt idx="836">
                  <c:v>15.1668</c:v>
                </c:pt>
                <c:pt idx="837">
                  <c:v>15.318467999999999</c:v>
                </c:pt>
                <c:pt idx="838">
                  <c:v>15.331799999999999</c:v>
                </c:pt>
                <c:pt idx="839">
                  <c:v>15.311802</c:v>
                </c:pt>
                <c:pt idx="840">
                  <c:v>15.291804000000001</c:v>
                </c:pt>
                <c:pt idx="841">
                  <c:v>15.07324</c:v>
                </c:pt>
                <c:pt idx="842">
                  <c:v>15.086370000000001</c:v>
                </c:pt>
                <c:pt idx="843">
                  <c:v>15.291804000000001</c:v>
                </c:pt>
                <c:pt idx="844">
                  <c:v>15.29847</c:v>
                </c:pt>
                <c:pt idx="845">
                  <c:v>15.291804000000001</c:v>
                </c:pt>
                <c:pt idx="846">
                  <c:v>15.238476</c:v>
                </c:pt>
                <c:pt idx="847">
                  <c:v>15.231809999999999</c:v>
                </c:pt>
                <c:pt idx="848">
                  <c:v>15.218477999999999</c:v>
                </c:pt>
                <c:pt idx="849">
                  <c:v>15.218477999999999</c:v>
                </c:pt>
                <c:pt idx="850">
                  <c:v>15.053545</c:v>
                </c:pt>
                <c:pt idx="851">
                  <c:v>15.305135999999999</c:v>
                </c:pt>
                <c:pt idx="852">
                  <c:v>15.305135999999999</c:v>
                </c:pt>
                <c:pt idx="853">
                  <c:v>15.29847</c:v>
                </c:pt>
                <c:pt idx="854">
                  <c:v>15.285138</c:v>
                </c:pt>
                <c:pt idx="855">
                  <c:v>15.29847</c:v>
                </c:pt>
                <c:pt idx="856">
                  <c:v>15.338466</c:v>
                </c:pt>
                <c:pt idx="857">
                  <c:v>15.39846</c:v>
                </c:pt>
                <c:pt idx="858">
                  <c:v>15.418457999999999</c:v>
                </c:pt>
                <c:pt idx="859">
                  <c:v>15.405125999999999</c:v>
                </c:pt>
                <c:pt idx="860">
                  <c:v>15.378462000000001</c:v>
                </c:pt>
                <c:pt idx="861">
                  <c:v>15.371796</c:v>
                </c:pt>
                <c:pt idx="862">
                  <c:v>15.272399999999999</c:v>
                </c:pt>
                <c:pt idx="863">
                  <c:v>15.311999999999999</c:v>
                </c:pt>
                <c:pt idx="864">
                  <c:v>15.2308</c:v>
                </c:pt>
                <c:pt idx="865">
                  <c:v>15.331799999999999</c:v>
                </c:pt>
                <c:pt idx="866">
                  <c:v>15.329275000000001</c:v>
                </c:pt>
                <c:pt idx="867">
                  <c:v>15.322710000000001</c:v>
                </c:pt>
                <c:pt idx="868">
                  <c:v>15.303015</c:v>
                </c:pt>
                <c:pt idx="869">
                  <c:v>15.28332</c:v>
                </c:pt>
                <c:pt idx="870">
                  <c:v>15.263624999999999</c:v>
                </c:pt>
                <c:pt idx="871">
                  <c:v>15.257059999999999</c:v>
                </c:pt>
                <c:pt idx="872">
                  <c:v>15.224235</c:v>
                </c:pt>
                <c:pt idx="873">
                  <c:v>15.270189999999999</c:v>
                </c:pt>
                <c:pt idx="874">
                  <c:v>15.2308</c:v>
                </c:pt>
                <c:pt idx="875">
                  <c:v>15.276755</c:v>
                </c:pt>
                <c:pt idx="876">
                  <c:v>15.257059999999999</c:v>
                </c:pt>
                <c:pt idx="877">
                  <c:v>15.250495000000001</c:v>
                </c:pt>
                <c:pt idx="878">
                  <c:v>15.243930000000001</c:v>
                </c:pt>
                <c:pt idx="879">
                  <c:v>15.39486</c:v>
                </c:pt>
                <c:pt idx="880">
                  <c:v>15.243930000000001</c:v>
                </c:pt>
                <c:pt idx="881">
                  <c:v>15.224235</c:v>
                </c:pt>
                <c:pt idx="882">
                  <c:v>15.224235</c:v>
                </c:pt>
                <c:pt idx="883">
                  <c:v>15.30958</c:v>
                </c:pt>
                <c:pt idx="884">
                  <c:v>15.237365</c:v>
                </c:pt>
                <c:pt idx="885">
                  <c:v>15.2308</c:v>
                </c:pt>
                <c:pt idx="886">
                  <c:v>15.237365</c:v>
                </c:pt>
                <c:pt idx="887">
                  <c:v>15.184844999999999</c:v>
                </c:pt>
                <c:pt idx="888">
                  <c:v>15.30204</c:v>
                </c:pt>
                <c:pt idx="889">
                  <c:v>15.268890000000001</c:v>
                </c:pt>
                <c:pt idx="890">
                  <c:v>14.962175999999999</c:v>
                </c:pt>
                <c:pt idx="891">
                  <c:v>14.942591999999999</c:v>
                </c:pt>
                <c:pt idx="892">
                  <c:v>14.936064</c:v>
                </c:pt>
                <c:pt idx="893">
                  <c:v>15.108864000000001</c:v>
                </c:pt>
                <c:pt idx="894">
                  <c:v>15.102271999999999</c:v>
                </c:pt>
                <c:pt idx="895">
                  <c:v>15.042944</c:v>
                </c:pt>
                <c:pt idx="896">
                  <c:v>15.089088</c:v>
                </c:pt>
                <c:pt idx="897">
                  <c:v>15.128640000000001</c:v>
                </c:pt>
                <c:pt idx="898">
                  <c:v>15.135232</c:v>
                </c:pt>
                <c:pt idx="899">
                  <c:v>15.135232</c:v>
                </c:pt>
                <c:pt idx="900">
                  <c:v>15.253888</c:v>
                </c:pt>
                <c:pt idx="901">
                  <c:v>15.105791999999999</c:v>
                </c:pt>
                <c:pt idx="902">
                  <c:v>15.092736</c:v>
                </c:pt>
                <c:pt idx="903">
                  <c:v>15.07968</c:v>
                </c:pt>
                <c:pt idx="904">
                  <c:v>15.384600000000001</c:v>
                </c:pt>
                <c:pt idx="905">
                  <c:v>15.345000000000001</c:v>
                </c:pt>
                <c:pt idx="906">
                  <c:v>15.237287999999999</c:v>
                </c:pt>
                <c:pt idx="907">
                  <c:v>15.3582</c:v>
                </c:pt>
                <c:pt idx="908">
                  <c:v>15.252599999999999</c:v>
                </c:pt>
                <c:pt idx="909">
                  <c:v>15.2592</c:v>
                </c:pt>
                <c:pt idx="910">
                  <c:v>14.9955</c:v>
                </c:pt>
                <c:pt idx="911">
                  <c:v>14.911</c:v>
                </c:pt>
                <c:pt idx="912">
                  <c:v>14.9305</c:v>
                </c:pt>
                <c:pt idx="913">
                  <c:v>15.04698</c:v>
                </c:pt>
                <c:pt idx="914">
                  <c:v>15.04698</c:v>
                </c:pt>
                <c:pt idx="915">
                  <c:v>15.053545</c:v>
                </c:pt>
                <c:pt idx="916">
                  <c:v>15.06011</c:v>
                </c:pt>
                <c:pt idx="917">
                  <c:v>15.079805</c:v>
                </c:pt>
                <c:pt idx="918">
                  <c:v>15.15202</c:v>
                </c:pt>
                <c:pt idx="919">
                  <c:v>15.0345</c:v>
                </c:pt>
                <c:pt idx="920">
                  <c:v>15.0345</c:v>
                </c:pt>
                <c:pt idx="921">
                  <c:v>15.041</c:v>
                </c:pt>
                <c:pt idx="922">
                  <c:v>15.0215</c:v>
                </c:pt>
                <c:pt idx="923">
                  <c:v>15.0345</c:v>
                </c:pt>
                <c:pt idx="924">
                  <c:v>14.9955</c:v>
                </c:pt>
                <c:pt idx="925">
                  <c:v>14.9565</c:v>
                </c:pt>
                <c:pt idx="926">
                  <c:v>14.904500000000001</c:v>
                </c:pt>
                <c:pt idx="927">
                  <c:v>14.936999999999999</c:v>
                </c:pt>
                <c:pt idx="928">
                  <c:v>15.020720000000001</c:v>
                </c:pt>
                <c:pt idx="929">
                  <c:v>14.744384</c:v>
                </c:pt>
                <c:pt idx="930">
                  <c:v>14.831616</c:v>
                </c:pt>
                <c:pt idx="931">
                  <c:v>14.783168</c:v>
                </c:pt>
                <c:pt idx="932">
                  <c:v>15.0144</c:v>
                </c:pt>
                <c:pt idx="933">
                  <c:v>15.007872000000001</c:v>
                </c:pt>
                <c:pt idx="934">
                  <c:v>14.785920000000001</c:v>
                </c:pt>
                <c:pt idx="935">
                  <c:v>14.759808</c:v>
                </c:pt>
                <c:pt idx="936">
                  <c:v>14.681471999999999</c:v>
                </c:pt>
                <c:pt idx="937">
                  <c:v>14.759808</c:v>
                </c:pt>
                <c:pt idx="938">
                  <c:v>14.731456</c:v>
                </c:pt>
                <c:pt idx="939">
                  <c:v>14.99446</c:v>
                </c:pt>
                <c:pt idx="940">
                  <c:v>15.001025</c:v>
                </c:pt>
                <c:pt idx="941">
                  <c:v>15.020720000000001</c:v>
                </c:pt>
                <c:pt idx="942">
                  <c:v>14.730029999999999</c:v>
                </c:pt>
                <c:pt idx="943">
                  <c:v>14.553136</c:v>
                </c:pt>
                <c:pt idx="944">
                  <c:v>14.740996000000001</c:v>
                </c:pt>
                <c:pt idx="945">
                  <c:v>14.751659999999999</c:v>
                </c:pt>
                <c:pt idx="946">
                  <c:v>15.260479999999999</c:v>
                </c:pt>
                <c:pt idx="947">
                  <c:v>15.517568000000001</c:v>
                </c:pt>
                <c:pt idx="948">
                  <c:v>15.418688</c:v>
                </c:pt>
                <c:pt idx="949">
                  <c:v>15.52083</c:v>
                </c:pt>
                <c:pt idx="950">
                  <c:v>15.56724</c:v>
                </c:pt>
                <c:pt idx="951">
                  <c:v>15.510975999999999</c:v>
                </c:pt>
                <c:pt idx="952">
                  <c:v>15.61365</c:v>
                </c:pt>
                <c:pt idx="953">
                  <c:v>15.640169999999999</c:v>
                </c:pt>
                <c:pt idx="954">
                  <c:v>15.557119999999999</c:v>
                </c:pt>
                <c:pt idx="955">
                  <c:v>15.431872</c:v>
                </c:pt>
                <c:pt idx="956">
                  <c:v>15.203711999999999</c:v>
                </c:pt>
                <c:pt idx="957">
                  <c:v>15.197184</c:v>
                </c:pt>
                <c:pt idx="958">
                  <c:v>15.216768</c:v>
                </c:pt>
                <c:pt idx="959">
                  <c:v>15.197184</c:v>
                </c:pt>
                <c:pt idx="960">
                  <c:v>15.487679999999999</c:v>
                </c:pt>
                <c:pt idx="961">
                  <c:v>15.52083</c:v>
                </c:pt>
                <c:pt idx="962">
                  <c:v>15.56724</c:v>
                </c:pt>
                <c:pt idx="963">
                  <c:v>15.301632</c:v>
                </c:pt>
                <c:pt idx="964">
                  <c:v>15.398911999999999</c:v>
                </c:pt>
                <c:pt idx="965">
                  <c:v>15.352767999999999</c:v>
                </c:pt>
                <c:pt idx="966">
                  <c:v>15.346176</c:v>
                </c:pt>
                <c:pt idx="967">
                  <c:v>15.359360000000001</c:v>
                </c:pt>
                <c:pt idx="968">
                  <c:v>15.431872</c:v>
                </c:pt>
                <c:pt idx="969">
                  <c:v>15.517568000000001</c:v>
                </c:pt>
                <c:pt idx="970">
                  <c:v>15.609856000000001</c:v>
                </c:pt>
                <c:pt idx="971">
                  <c:v>15.603263999999999</c:v>
                </c:pt>
                <c:pt idx="972">
                  <c:v>15.67488</c:v>
                </c:pt>
                <c:pt idx="973">
                  <c:v>15.491199999999999</c:v>
                </c:pt>
                <c:pt idx="974">
                  <c:v>15.379968</c:v>
                </c:pt>
                <c:pt idx="975">
                  <c:v>15.27552</c:v>
                </c:pt>
                <c:pt idx="976">
                  <c:v>15.425280000000001</c:v>
                </c:pt>
                <c:pt idx="977">
                  <c:v>15.69984</c:v>
                </c:pt>
                <c:pt idx="978">
                  <c:v>15.092736</c:v>
                </c:pt>
                <c:pt idx="979">
                  <c:v>15.171072000000001</c:v>
                </c:pt>
                <c:pt idx="980">
                  <c:v>15.379968</c:v>
                </c:pt>
                <c:pt idx="981">
                  <c:v>15.282048</c:v>
                </c:pt>
                <c:pt idx="982">
                  <c:v>15.60702</c:v>
                </c:pt>
                <c:pt idx="983">
                  <c:v>15.52083</c:v>
                </c:pt>
                <c:pt idx="984">
                  <c:v>15.359360000000001</c:v>
                </c:pt>
                <c:pt idx="985">
                  <c:v>15.313216000000001</c:v>
                </c:pt>
                <c:pt idx="986">
                  <c:v>15.056495999999999</c:v>
                </c:pt>
                <c:pt idx="987">
                  <c:v>14.7126</c:v>
                </c:pt>
                <c:pt idx="988">
                  <c:v>14.647500000000001</c:v>
                </c:pt>
                <c:pt idx="989">
                  <c:v>14.87304</c:v>
                </c:pt>
                <c:pt idx="990">
                  <c:v>14.58891</c:v>
                </c:pt>
                <c:pt idx="991">
                  <c:v>14.701563999999999</c:v>
                </c:pt>
                <c:pt idx="992">
                  <c:v>14.938560000000001</c:v>
                </c:pt>
                <c:pt idx="993">
                  <c:v>15.118848</c:v>
                </c:pt>
                <c:pt idx="994">
                  <c:v>15.118848</c:v>
                </c:pt>
                <c:pt idx="995">
                  <c:v>15.174784000000001</c:v>
                </c:pt>
                <c:pt idx="996">
                  <c:v>35.401344000000002</c:v>
                </c:pt>
                <c:pt idx="997">
                  <c:v>175.04416800000001</c:v>
                </c:pt>
                <c:pt idx="998">
                  <c:v>160.5676</c:v>
                </c:pt>
                <c:pt idx="999">
                  <c:v>162.74229600000001</c:v>
                </c:pt>
                <c:pt idx="1000">
                  <c:v>161.38824</c:v>
                </c:pt>
                <c:pt idx="1001">
                  <c:v>164.465732</c:v>
                </c:pt>
                <c:pt idx="1002">
                  <c:v>164.97900000000001</c:v>
                </c:pt>
                <c:pt idx="1003">
                  <c:v>153.561408</c:v>
                </c:pt>
                <c:pt idx="1004">
                  <c:v>153.493886</c:v>
                </c:pt>
                <c:pt idx="1005">
                  <c:v>153.62801999999999</c:v>
                </c:pt>
                <c:pt idx="1006">
                  <c:v>153.730031</c:v>
                </c:pt>
                <c:pt idx="1007">
                  <c:v>153.37504000000001</c:v>
                </c:pt>
                <c:pt idx="1008">
                  <c:v>154.484148</c:v>
                </c:pt>
                <c:pt idx="1009">
                  <c:v>153.51973000000001</c:v>
                </c:pt>
                <c:pt idx="1010">
                  <c:v>154.321167</c:v>
                </c:pt>
                <c:pt idx="1011">
                  <c:v>152.44329099999999</c:v>
                </c:pt>
                <c:pt idx="1012">
                  <c:v>152.13352699999999</c:v>
                </c:pt>
                <c:pt idx="1013">
                  <c:v>152.08993799999999</c:v>
                </c:pt>
                <c:pt idx="1014">
                  <c:v>158.224176</c:v>
                </c:pt>
                <c:pt idx="1015">
                  <c:v>171.94993199999999</c:v>
                </c:pt>
                <c:pt idx="1016">
                  <c:v>173.71488600000001</c:v>
                </c:pt>
                <c:pt idx="1017">
                  <c:v>159.253748</c:v>
                </c:pt>
                <c:pt idx="1018">
                  <c:v>159.20923199999999</c:v>
                </c:pt>
                <c:pt idx="1019">
                  <c:v>153.523188</c:v>
                </c:pt>
                <c:pt idx="1020">
                  <c:v>152.464676</c:v>
                </c:pt>
                <c:pt idx="1021">
                  <c:v>152.19686300000001</c:v>
                </c:pt>
                <c:pt idx="1022">
                  <c:v>152.67525000000001</c:v>
                </c:pt>
                <c:pt idx="1023">
                  <c:v>151.76934499999999</c:v>
                </c:pt>
                <c:pt idx="1024">
                  <c:v>151.92777599999999</c:v>
                </c:pt>
                <c:pt idx="1025">
                  <c:v>152.65522999999999</c:v>
                </c:pt>
                <c:pt idx="1026">
                  <c:v>153.02505400000001</c:v>
                </c:pt>
                <c:pt idx="1027">
                  <c:v>152.89911000000001</c:v>
                </c:pt>
                <c:pt idx="1028">
                  <c:v>153.60254</c:v>
                </c:pt>
                <c:pt idx="1029">
                  <c:v>154.71456000000001</c:v>
                </c:pt>
                <c:pt idx="1030">
                  <c:v>154.41699</c:v>
                </c:pt>
                <c:pt idx="1031">
                  <c:v>155.25055</c:v>
                </c:pt>
                <c:pt idx="1032">
                  <c:v>156.65103999999999</c:v>
                </c:pt>
                <c:pt idx="1033">
                  <c:v>158.271568</c:v>
                </c:pt>
                <c:pt idx="1034">
                  <c:v>155.87208000000001</c:v>
                </c:pt>
                <c:pt idx="1035">
                  <c:v>154.23817500000001</c:v>
                </c:pt>
                <c:pt idx="1036">
                  <c:v>152.624199</c:v>
                </c:pt>
                <c:pt idx="1037">
                  <c:v>152.5797</c:v>
                </c:pt>
                <c:pt idx="1038">
                  <c:v>153.19786300000001</c:v>
                </c:pt>
                <c:pt idx="1039">
                  <c:v>152.966632</c:v>
                </c:pt>
                <c:pt idx="1040">
                  <c:v>152.45685</c:v>
                </c:pt>
                <c:pt idx="1041">
                  <c:v>152.5342</c:v>
                </c:pt>
                <c:pt idx="1042">
                  <c:v>152.67852600000001</c:v>
                </c:pt>
                <c:pt idx="1043">
                  <c:v>152.67679699999999</c:v>
                </c:pt>
                <c:pt idx="1044">
                  <c:v>157.27639199999999</c:v>
                </c:pt>
                <c:pt idx="1045">
                  <c:v>152.66159999999999</c:v>
                </c:pt>
                <c:pt idx="1046">
                  <c:v>153.30014700000001</c:v>
                </c:pt>
                <c:pt idx="1047">
                  <c:v>152.77953600000001</c:v>
                </c:pt>
                <c:pt idx="1048">
                  <c:v>153.62183200000001</c:v>
                </c:pt>
                <c:pt idx="1049">
                  <c:v>152.92904899999999</c:v>
                </c:pt>
                <c:pt idx="1050">
                  <c:v>153.66077999999999</c:v>
                </c:pt>
                <c:pt idx="1051">
                  <c:v>153.13798499999999</c:v>
                </c:pt>
                <c:pt idx="1052">
                  <c:v>154.72457</c:v>
                </c:pt>
                <c:pt idx="1053">
                  <c:v>152.95316399999999</c:v>
                </c:pt>
                <c:pt idx="1054">
                  <c:v>155.122422</c:v>
                </c:pt>
                <c:pt idx="1055">
                  <c:v>151.55631399999999</c:v>
                </c:pt>
                <c:pt idx="1056">
                  <c:v>149.265207</c:v>
                </c:pt>
                <c:pt idx="1057">
                  <c:v>153.90238500000001</c:v>
                </c:pt>
                <c:pt idx="1058">
                  <c:v>59.257199999999997</c:v>
                </c:pt>
                <c:pt idx="1059">
                  <c:v>19.940999999999999</c:v>
                </c:pt>
                <c:pt idx="1060">
                  <c:v>19.300609999999999</c:v>
                </c:pt>
                <c:pt idx="1061">
                  <c:v>15.441269999999999</c:v>
                </c:pt>
                <c:pt idx="1062">
                  <c:v>15.131904</c:v>
                </c:pt>
                <c:pt idx="1063">
                  <c:v>15.253888</c:v>
                </c:pt>
                <c:pt idx="1064">
                  <c:v>15.415296</c:v>
                </c:pt>
                <c:pt idx="1065">
                  <c:v>15.102359999999999</c:v>
                </c:pt>
                <c:pt idx="1066">
                  <c:v>15.148415999999999</c:v>
                </c:pt>
                <c:pt idx="1067">
                  <c:v>15.34182</c:v>
                </c:pt>
                <c:pt idx="1068">
                  <c:v>15.40812</c:v>
                </c:pt>
                <c:pt idx="1069">
                  <c:v>15.099500000000001</c:v>
                </c:pt>
                <c:pt idx="1070">
                  <c:v>14.896896</c:v>
                </c:pt>
                <c:pt idx="1071">
                  <c:v>15.401490000000001</c:v>
                </c:pt>
                <c:pt idx="1072">
                  <c:v>15.346176</c:v>
                </c:pt>
                <c:pt idx="1073">
                  <c:v>15.29344</c:v>
                </c:pt>
                <c:pt idx="1074">
                  <c:v>15.247296</c:v>
                </c:pt>
                <c:pt idx="1075">
                  <c:v>15.07968</c:v>
                </c:pt>
                <c:pt idx="1076">
                  <c:v>15.260479999999999</c:v>
                </c:pt>
                <c:pt idx="1077">
                  <c:v>15.180984</c:v>
                </c:pt>
                <c:pt idx="1078">
                  <c:v>15.352767999999999</c:v>
                </c:pt>
                <c:pt idx="1079">
                  <c:v>15.273664</c:v>
                </c:pt>
                <c:pt idx="1080">
                  <c:v>15.099264</c:v>
                </c:pt>
                <c:pt idx="1081">
                  <c:v>15.063048</c:v>
                </c:pt>
                <c:pt idx="1082">
                  <c:v>14.833728000000001</c:v>
                </c:pt>
                <c:pt idx="1083">
                  <c:v>15.00282</c:v>
                </c:pt>
                <c:pt idx="1084">
                  <c:v>14.823270000000001</c:v>
                </c:pt>
                <c:pt idx="1085">
                  <c:v>14.933134000000001</c:v>
                </c:pt>
                <c:pt idx="1086">
                  <c:v>14.823270000000001</c:v>
                </c:pt>
                <c:pt idx="1087">
                  <c:v>15.148224000000001</c:v>
                </c:pt>
                <c:pt idx="1088">
                  <c:v>14.97132</c:v>
                </c:pt>
                <c:pt idx="1089">
                  <c:v>14.901389999999999</c:v>
                </c:pt>
                <c:pt idx="1090">
                  <c:v>15.214499999999999</c:v>
                </c:pt>
                <c:pt idx="1091">
                  <c:v>14.8428</c:v>
                </c:pt>
                <c:pt idx="1092">
                  <c:v>14.997304</c:v>
                </c:pt>
                <c:pt idx="1093">
                  <c:v>15.168195000000001</c:v>
                </c:pt>
                <c:pt idx="1094">
                  <c:v>15.254189999999999</c:v>
                </c:pt>
                <c:pt idx="1095">
                  <c:v>15.063048</c:v>
                </c:pt>
                <c:pt idx="1096">
                  <c:v>14.91844</c:v>
                </c:pt>
                <c:pt idx="1097">
                  <c:v>14.86233</c:v>
                </c:pt>
                <c:pt idx="1098">
                  <c:v>15.135120000000001</c:v>
                </c:pt>
                <c:pt idx="1099">
                  <c:v>15.259608</c:v>
                </c:pt>
                <c:pt idx="1100">
                  <c:v>15.095808</c:v>
                </c:pt>
                <c:pt idx="1101">
                  <c:v>15.010631999999999</c:v>
                </c:pt>
                <c:pt idx="1102">
                  <c:v>14.945112</c:v>
                </c:pt>
                <c:pt idx="1103">
                  <c:v>14.918903999999999</c:v>
                </c:pt>
                <c:pt idx="1104">
                  <c:v>14.68005</c:v>
                </c:pt>
                <c:pt idx="1105">
                  <c:v>15.02928</c:v>
                </c:pt>
                <c:pt idx="1106">
                  <c:v>14.82978</c:v>
                </c:pt>
                <c:pt idx="1107">
                  <c:v>15.088815</c:v>
                </c:pt>
                <c:pt idx="1108">
                  <c:v>14.886144</c:v>
                </c:pt>
                <c:pt idx="1109">
                  <c:v>14.75817</c:v>
                </c:pt>
                <c:pt idx="1110">
                  <c:v>14.72748</c:v>
                </c:pt>
                <c:pt idx="1111">
                  <c:v>14.800454</c:v>
                </c:pt>
                <c:pt idx="1112">
                  <c:v>14.800454</c:v>
                </c:pt>
                <c:pt idx="1113">
                  <c:v>14.648987999999999</c:v>
                </c:pt>
                <c:pt idx="1114">
                  <c:v>14.510975999999999</c:v>
                </c:pt>
                <c:pt idx="1115">
                  <c:v>14.52412</c:v>
                </c:pt>
                <c:pt idx="1116">
                  <c:v>14.58891</c:v>
                </c:pt>
                <c:pt idx="1117">
                  <c:v>14.725619999999999</c:v>
                </c:pt>
                <c:pt idx="1118">
                  <c:v>14.9513</c:v>
                </c:pt>
                <c:pt idx="1119">
                  <c:v>14.800144</c:v>
                </c:pt>
                <c:pt idx="1120">
                  <c:v>14.619626</c:v>
                </c:pt>
                <c:pt idx="1121">
                  <c:v>14.807088</c:v>
                </c:pt>
                <c:pt idx="1122">
                  <c:v>14.640060999999999</c:v>
                </c:pt>
                <c:pt idx="1123">
                  <c:v>14.773918</c:v>
                </c:pt>
                <c:pt idx="1124">
                  <c:v>14.502993999999999</c:v>
                </c:pt>
                <c:pt idx="1125">
                  <c:v>14.780552</c:v>
                </c:pt>
                <c:pt idx="1126">
                  <c:v>14.747567999999999</c:v>
                </c:pt>
                <c:pt idx="1127">
                  <c:v>14.516170000000001</c:v>
                </c:pt>
                <c:pt idx="1128">
                  <c:v>14.375016</c:v>
                </c:pt>
                <c:pt idx="1129">
                  <c:v>14.574897999999999</c:v>
                </c:pt>
                <c:pt idx="1130">
                  <c:v>14.462120000000001</c:v>
                </c:pt>
                <c:pt idx="1131">
                  <c:v>14.601433999999999</c:v>
                </c:pt>
                <c:pt idx="1132">
                  <c:v>14.548361999999999</c:v>
                </c:pt>
                <c:pt idx="1133">
                  <c:v>14.528460000000001</c:v>
                </c:pt>
                <c:pt idx="1134">
                  <c:v>14.554995999999999</c:v>
                </c:pt>
                <c:pt idx="1135">
                  <c:v>14.289372</c:v>
                </c:pt>
                <c:pt idx="1136">
                  <c:v>14.328900000000001</c:v>
                </c:pt>
                <c:pt idx="1137">
                  <c:v>14.754016</c:v>
                </c:pt>
                <c:pt idx="1138">
                  <c:v>14.81986</c:v>
                </c:pt>
                <c:pt idx="1139">
                  <c:v>14.868840000000001</c:v>
                </c:pt>
                <c:pt idx="1140">
                  <c:v>14.823270000000001</c:v>
                </c:pt>
                <c:pt idx="1141">
                  <c:v>14.88837</c:v>
                </c:pt>
                <c:pt idx="1142">
                  <c:v>14.745150000000001</c:v>
                </c:pt>
                <c:pt idx="1143">
                  <c:v>14.918903999999999</c:v>
                </c:pt>
                <c:pt idx="1144">
                  <c:v>14.627969999999999</c:v>
                </c:pt>
                <c:pt idx="1145">
                  <c:v>14.681848</c:v>
                </c:pt>
                <c:pt idx="1146">
                  <c:v>14.701563999999999</c:v>
                </c:pt>
                <c:pt idx="1147">
                  <c:v>14.806716</c:v>
                </c:pt>
                <c:pt idx="1148">
                  <c:v>14.773856</c:v>
                </c:pt>
                <c:pt idx="1149">
                  <c:v>14.535568</c:v>
                </c:pt>
                <c:pt idx="1150">
                  <c:v>14.866488</c:v>
                </c:pt>
                <c:pt idx="1151">
                  <c:v>14.938560000000001</c:v>
                </c:pt>
                <c:pt idx="1152">
                  <c:v>14.958216</c:v>
                </c:pt>
                <c:pt idx="1153">
                  <c:v>14.68656</c:v>
                </c:pt>
                <c:pt idx="1154">
                  <c:v>14.575889999999999</c:v>
                </c:pt>
                <c:pt idx="1155">
                  <c:v>14.543836000000001</c:v>
                </c:pt>
                <c:pt idx="1156">
                  <c:v>14.576696</c:v>
                </c:pt>
                <c:pt idx="1157">
                  <c:v>14.444251</c:v>
                </c:pt>
                <c:pt idx="1158">
                  <c:v>14.550407999999999</c:v>
                </c:pt>
                <c:pt idx="1159">
                  <c:v>14.504403999999999</c:v>
                </c:pt>
                <c:pt idx="1160">
                  <c:v>14.583268</c:v>
                </c:pt>
                <c:pt idx="1161">
                  <c:v>14.602983999999999</c:v>
                </c:pt>
                <c:pt idx="1162">
                  <c:v>14.602983999999999</c:v>
                </c:pt>
                <c:pt idx="1163">
                  <c:v>14.574897999999999</c:v>
                </c:pt>
                <c:pt idx="1164">
                  <c:v>14.487012</c:v>
                </c:pt>
                <c:pt idx="1165">
                  <c:v>14.552892</c:v>
                </c:pt>
                <c:pt idx="1166">
                  <c:v>14.572656</c:v>
                </c:pt>
                <c:pt idx="1167">
                  <c:v>14.519952</c:v>
                </c:pt>
                <c:pt idx="1168">
                  <c:v>14.496467000000001</c:v>
                </c:pt>
                <c:pt idx="1169">
                  <c:v>14.489940000000001</c:v>
                </c:pt>
                <c:pt idx="1170">
                  <c:v>14.502993999999999</c:v>
                </c:pt>
                <c:pt idx="1171">
                  <c:v>14.405089</c:v>
                </c:pt>
                <c:pt idx="1172">
                  <c:v>14.69431</c:v>
                </c:pt>
                <c:pt idx="1173">
                  <c:v>14.563552</c:v>
                </c:pt>
                <c:pt idx="1174">
                  <c:v>14.52412</c:v>
                </c:pt>
                <c:pt idx="1175">
                  <c:v>14.543340000000001</c:v>
                </c:pt>
                <c:pt idx="1176">
                  <c:v>14.601929999999999</c:v>
                </c:pt>
                <c:pt idx="1177">
                  <c:v>14.7126</c:v>
                </c:pt>
                <c:pt idx="1178">
                  <c:v>14.859292</c:v>
                </c:pt>
                <c:pt idx="1179">
                  <c:v>14.554966</c:v>
                </c:pt>
                <c:pt idx="1180">
                  <c:v>14.693070000000001</c:v>
                </c:pt>
                <c:pt idx="1181">
                  <c:v>14.542033999999999</c:v>
                </c:pt>
                <c:pt idx="1182">
                  <c:v>14.73213</c:v>
                </c:pt>
                <c:pt idx="1183">
                  <c:v>14.630512</c:v>
                </c:pt>
                <c:pt idx="1184">
                  <c:v>14.958216</c:v>
                </c:pt>
                <c:pt idx="1185">
                  <c:v>14.75817</c:v>
                </c:pt>
                <c:pt idx="1186">
                  <c:v>14.79072</c:v>
                </c:pt>
                <c:pt idx="1187">
                  <c:v>14.82978</c:v>
                </c:pt>
                <c:pt idx="1188">
                  <c:v>14.823270000000001</c:v>
                </c:pt>
                <c:pt idx="1189">
                  <c:v>14.716616</c:v>
                </c:pt>
                <c:pt idx="1190">
                  <c:v>14.639023999999999</c:v>
                </c:pt>
                <c:pt idx="1191">
                  <c:v>14.911868</c:v>
                </c:pt>
                <c:pt idx="1192">
                  <c:v>14.777699999999999</c:v>
                </c:pt>
                <c:pt idx="1193">
                  <c:v>14.522636</c:v>
                </c:pt>
                <c:pt idx="1194">
                  <c:v>14.719110000000001</c:v>
                </c:pt>
                <c:pt idx="1195">
                  <c:v>14.699579999999999</c:v>
                </c:pt>
                <c:pt idx="1196">
                  <c:v>14.619626</c:v>
                </c:pt>
                <c:pt idx="1197">
                  <c:v>14.83629</c:v>
                </c:pt>
                <c:pt idx="1198">
                  <c:v>14.79072</c:v>
                </c:pt>
                <c:pt idx="1199">
                  <c:v>14.88837</c:v>
                </c:pt>
                <c:pt idx="1200">
                  <c:v>14.649856</c:v>
                </c:pt>
                <c:pt idx="1201">
                  <c:v>15.063048</c:v>
                </c:pt>
                <c:pt idx="1202">
                  <c:v>14.751659999999999</c:v>
                </c:pt>
                <c:pt idx="1203">
                  <c:v>14.572480000000001</c:v>
                </c:pt>
                <c:pt idx="1204">
                  <c:v>14.63696</c:v>
                </c:pt>
                <c:pt idx="1205">
                  <c:v>14.823270000000001</c:v>
                </c:pt>
                <c:pt idx="1206">
                  <c:v>14.772368</c:v>
                </c:pt>
                <c:pt idx="1207">
                  <c:v>14.688544</c:v>
                </c:pt>
                <c:pt idx="1208">
                  <c:v>14.925456000000001</c:v>
                </c:pt>
                <c:pt idx="1209">
                  <c:v>14.97132</c:v>
                </c:pt>
                <c:pt idx="1210">
                  <c:v>14.675648000000001</c:v>
                </c:pt>
                <c:pt idx="1211">
                  <c:v>14.997528000000001</c:v>
                </c:pt>
                <c:pt idx="1212">
                  <c:v>14.958216</c:v>
                </c:pt>
                <c:pt idx="1213">
                  <c:v>14.777699999999999</c:v>
                </c:pt>
                <c:pt idx="1214">
                  <c:v>14.81025</c:v>
                </c:pt>
                <c:pt idx="1215">
                  <c:v>14.83629</c:v>
                </c:pt>
                <c:pt idx="1216">
                  <c:v>14.63696</c:v>
                </c:pt>
                <c:pt idx="1217">
                  <c:v>14.97132</c:v>
                </c:pt>
                <c:pt idx="1218">
                  <c:v>14.656304</c:v>
                </c:pt>
                <c:pt idx="1219">
                  <c:v>14.656304</c:v>
                </c:pt>
                <c:pt idx="1220">
                  <c:v>14.662751999999999</c:v>
                </c:pt>
                <c:pt idx="1221">
                  <c:v>15.017184</c:v>
                </c:pt>
                <c:pt idx="1222">
                  <c:v>15.023736</c:v>
                </c:pt>
                <c:pt idx="1223">
                  <c:v>15.03684</c:v>
                </c:pt>
                <c:pt idx="1224">
                  <c:v>15.010631999999999</c:v>
                </c:pt>
                <c:pt idx="1225">
                  <c:v>15.043392000000001</c:v>
                </c:pt>
                <c:pt idx="1226">
                  <c:v>14.990976</c:v>
                </c:pt>
                <c:pt idx="1227">
                  <c:v>14.725619999999999</c:v>
                </c:pt>
                <c:pt idx="1228">
                  <c:v>14.76468</c:v>
                </c:pt>
                <c:pt idx="1229">
                  <c:v>14.73213</c:v>
                </c:pt>
                <c:pt idx="1230">
                  <c:v>14.79072</c:v>
                </c:pt>
                <c:pt idx="1231">
                  <c:v>14.63696</c:v>
                </c:pt>
                <c:pt idx="1232">
                  <c:v>14.79072</c:v>
                </c:pt>
                <c:pt idx="1233">
                  <c:v>14.627969999999999</c:v>
                </c:pt>
                <c:pt idx="1234">
                  <c:v>14.627969999999999</c:v>
                </c:pt>
                <c:pt idx="1235">
                  <c:v>14.575889999999999</c:v>
                </c:pt>
                <c:pt idx="1236">
                  <c:v>14.621460000000001</c:v>
                </c:pt>
                <c:pt idx="1237">
                  <c:v>14.701563999999999</c:v>
                </c:pt>
                <c:pt idx="1238">
                  <c:v>14.78421</c:v>
                </c:pt>
                <c:pt idx="1239">
                  <c:v>14.865864</c:v>
                </c:pt>
                <c:pt idx="1240">
                  <c:v>15.023736</c:v>
                </c:pt>
                <c:pt idx="1241">
                  <c:v>14.964767999999999</c:v>
                </c:pt>
                <c:pt idx="1242">
                  <c:v>14.918903999999999</c:v>
                </c:pt>
                <c:pt idx="1243">
                  <c:v>14.945112</c:v>
                </c:pt>
                <c:pt idx="1244">
                  <c:v>14.997528000000001</c:v>
                </c:pt>
                <c:pt idx="1245">
                  <c:v>14.990976</c:v>
                </c:pt>
                <c:pt idx="1246">
                  <c:v>14.958216</c:v>
                </c:pt>
                <c:pt idx="1247">
                  <c:v>14.849309999999999</c:v>
                </c:pt>
                <c:pt idx="1248">
                  <c:v>14.944728</c:v>
                </c:pt>
                <c:pt idx="1249">
                  <c:v>14.659642</c:v>
                </c:pt>
                <c:pt idx="1250">
                  <c:v>14.646587999999999</c:v>
                </c:pt>
                <c:pt idx="1251">
                  <c:v>14.645490000000001</c:v>
                </c:pt>
                <c:pt idx="1252">
                  <c:v>14.813288</c:v>
                </c:pt>
                <c:pt idx="1253">
                  <c:v>14.793571999999999</c:v>
                </c:pt>
                <c:pt idx="1254">
                  <c:v>14.727852</c:v>
                </c:pt>
                <c:pt idx="1255">
                  <c:v>14.773856</c:v>
                </c:pt>
                <c:pt idx="1256">
                  <c:v>14.767284</c:v>
                </c:pt>
                <c:pt idx="1257">
                  <c:v>14.872436</c:v>
                </c:pt>
                <c:pt idx="1258">
                  <c:v>14.944728</c:v>
                </c:pt>
                <c:pt idx="1259">
                  <c:v>14.73864</c:v>
                </c:pt>
                <c:pt idx="1260">
                  <c:v>14.938560000000001</c:v>
                </c:pt>
                <c:pt idx="1261">
                  <c:v>14.7126</c:v>
                </c:pt>
                <c:pt idx="1262">
                  <c:v>14.68005</c:v>
                </c:pt>
                <c:pt idx="1263">
                  <c:v>14.7126</c:v>
                </c:pt>
                <c:pt idx="1264">
                  <c:v>14.84028</c:v>
                </c:pt>
                <c:pt idx="1265">
                  <c:v>14.61495</c:v>
                </c:pt>
                <c:pt idx="1266">
                  <c:v>14.60844</c:v>
                </c:pt>
                <c:pt idx="1267">
                  <c:v>14.51079</c:v>
                </c:pt>
                <c:pt idx="1268">
                  <c:v>14.52412</c:v>
                </c:pt>
                <c:pt idx="1269">
                  <c:v>14.48475</c:v>
                </c:pt>
                <c:pt idx="1270">
                  <c:v>14.575889999999999</c:v>
                </c:pt>
                <c:pt idx="1271">
                  <c:v>14.418968</c:v>
                </c:pt>
                <c:pt idx="1272">
                  <c:v>14.216661999999999</c:v>
                </c:pt>
                <c:pt idx="1273">
                  <c:v>14.342708</c:v>
                </c:pt>
                <c:pt idx="1274">
                  <c:v>14.111496000000001</c:v>
                </c:pt>
                <c:pt idx="1275">
                  <c:v>14.289636</c:v>
                </c:pt>
                <c:pt idx="1276">
                  <c:v>14.300672</c:v>
                </c:pt>
                <c:pt idx="1277">
                  <c:v>14.548361999999999</c:v>
                </c:pt>
                <c:pt idx="1278">
                  <c:v>14.375016</c:v>
                </c:pt>
                <c:pt idx="1279">
                  <c:v>14.481522</c:v>
                </c:pt>
                <c:pt idx="1280">
                  <c:v>14.559480000000001</c:v>
                </c:pt>
                <c:pt idx="1281">
                  <c:v>14.47302</c:v>
                </c:pt>
                <c:pt idx="1282">
                  <c:v>14.477373999999999</c:v>
                </c:pt>
                <c:pt idx="1283">
                  <c:v>14.685750000000001</c:v>
                </c:pt>
                <c:pt idx="1284">
                  <c:v>14.91844</c:v>
                </c:pt>
                <c:pt idx="1285">
                  <c:v>15.043308</c:v>
                </c:pt>
                <c:pt idx="1286">
                  <c:v>14.990732</c:v>
                </c:pt>
                <c:pt idx="1287">
                  <c:v>43.3125</c:v>
                </c:pt>
                <c:pt idx="1288">
                  <c:v>172.422</c:v>
                </c:pt>
                <c:pt idx="1289">
                  <c:v>161.51216400000001</c:v>
                </c:pt>
                <c:pt idx="1290">
                  <c:v>165.44985600000001</c:v>
                </c:pt>
                <c:pt idx="1291">
                  <c:v>172.72677999999999</c:v>
                </c:pt>
                <c:pt idx="1292">
                  <c:v>156.61245600000001</c:v>
                </c:pt>
                <c:pt idx="1293">
                  <c:v>158.99394000000001</c:v>
                </c:pt>
                <c:pt idx="1294">
                  <c:v>162.20262399999999</c:v>
                </c:pt>
                <c:pt idx="1295">
                  <c:v>159.902624</c:v>
                </c:pt>
                <c:pt idx="1296">
                  <c:v>159.196248</c:v>
                </c:pt>
                <c:pt idx="1297">
                  <c:v>155.27311800000001</c:v>
                </c:pt>
                <c:pt idx="1298">
                  <c:v>159.55145999999999</c:v>
                </c:pt>
                <c:pt idx="1299">
                  <c:v>155.86823999999999</c:v>
                </c:pt>
                <c:pt idx="1300">
                  <c:v>155.386528</c:v>
                </c:pt>
                <c:pt idx="1301">
                  <c:v>153.523188</c:v>
                </c:pt>
                <c:pt idx="1302">
                  <c:v>153.61255</c:v>
                </c:pt>
                <c:pt idx="1303">
                  <c:v>152.45348300000001</c:v>
                </c:pt>
                <c:pt idx="1304">
                  <c:v>152.683167</c:v>
                </c:pt>
                <c:pt idx="1305">
                  <c:v>166.575108</c:v>
                </c:pt>
                <c:pt idx="1306">
                  <c:v>176.262156</c:v>
                </c:pt>
                <c:pt idx="1307">
                  <c:v>164.73382000000001</c:v>
                </c:pt>
                <c:pt idx="1308">
                  <c:v>152.75787800000001</c:v>
                </c:pt>
                <c:pt idx="1309">
                  <c:v>152.851608</c:v>
                </c:pt>
                <c:pt idx="1310">
                  <c:v>152.50289599999999</c:v>
                </c:pt>
                <c:pt idx="1311">
                  <c:v>152.39961099999999</c:v>
                </c:pt>
                <c:pt idx="1312">
                  <c:v>152.04088899999999</c:v>
                </c:pt>
                <c:pt idx="1313">
                  <c:v>151.906755</c:v>
                </c:pt>
                <c:pt idx="1314">
                  <c:v>161.77969999999999</c:v>
                </c:pt>
                <c:pt idx="1315">
                  <c:v>178.569579</c:v>
                </c:pt>
                <c:pt idx="1316">
                  <c:v>177.238935</c:v>
                </c:pt>
                <c:pt idx="1317">
                  <c:v>176.5977</c:v>
                </c:pt>
                <c:pt idx="1318">
                  <c:v>177.190482</c:v>
                </c:pt>
                <c:pt idx="1319">
                  <c:v>177.77628899999999</c:v>
                </c:pt>
                <c:pt idx="1320">
                  <c:v>178.25979599999999</c:v>
                </c:pt>
                <c:pt idx="1321">
                  <c:v>178.03548000000001</c:v>
                </c:pt>
                <c:pt idx="1322">
                  <c:v>178.41575700000001</c:v>
                </c:pt>
                <c:pt idx="1323">
                  <c:v>179.37709799999999</c:v>
                </c:pt>
                <c:pt idx="1324">
                  <c:v>179.055712</c:v>
                </c:pt>
                <c:pt idx="1325">
                  <c:v>178.48061999999999</c:v>
                </c:pt>
                <c:pt idx="1326">
                  <c:v>179.55175</c:v>
                </c:pt>
                <c:pt idx="1327">
                  <c:v>177.68245200000001</c:v>
                </c:pt>
                <c:pt idx="1328">
                  <c:v>176.60569799999999</c:v>
                </c:pt>
                <c:pt idx="1329">
                  <c:v>177.38206199999999</c:v>
                </c:pt>
                <c:pt idx="1330">
                  <c:v>177.556995</c:v>
                </c:pt>
                <c:pt idx="1331">
                  <c:v>177.190482</c:v>
                </c:pt>
                <c:pt idx="1332">
                  <c:v>175.88718</c:v>
                </c:pt>
                <c:pt idx="1333">
                  <c:v>176.34474</c:v>
                </c:pt>
                <c:pt idx="1334">
                  <c:v>171.604251</c:v>
                </c:pt>
                <c:pt idx="1335">
                  <c:v>158.997252</c:v>
                </c:pt>
                <c:pt idx="1336">
                  <c:v>154.92540700000001</c:v>
                </c:pt>
                <c:pt idx="1337">
                  <c:v>152.25173599999999</c:v>
                </c:pt>
                <c:pt idx="1338">
                  <c:v>151.72357199999999</c:v>
                </c:pt>
                <c:pt idx="1339">
                  <c:v>152.26720599999999</c:v>
                </c:pt>
                <c:pt idx="1340">
                  <c:v>151.58962</c:v>
                </c:pt>
                <c:pt idx="1341">
                  <c:v>151.928595</c:v>
                </c:pt>
                <c:pt idx="1342">
                  <c:v>152.22352599999999</c:v>
                </c:pt>
                <c:pt idx="1343">
                  <c:v>152.14954299999999</c:v>
                </c:pt>
                <c:pt idx="1344">
                  <c:v>151.949434</c:v>
                </c:pt>
                <c:pt idx="1345">
                  <c:v>156.62420399999999</c:v>
                </c:pt>
                <c:pt idx="1346">
                  <c:v>151.51199700000001</c:v>
                </c:pt>
                <c:pt idx="1347">
                  <c:v>151.641672</c:v>
                </c:pt>
                <c:pt idx="1348">
                  <c:v>154.938672</c:v>
                </c:pt>
                <c:pt idx="1349">
                  <c:v>154.15869599999999</c:v>
                </c:pt>
                <c:pt idx="1350">
                  <c:v>155.02754400000001</c:v>
                </c:pt>
                <c:pt idx="1351">
                  <c:v>155.924544</c:v>
                </c:pt>
                <c:pt idx="1352">
                  <c:v>155.86410000000001</c:v>
                </c:pt>
                <c:pt idx="1353">
                  <c:v>153.27421200000001</c:v>
                </c:pt>
                <c:pt idx="1354">
                  <c:v>153.75407999999999</c:v>
                </c:pt>
                <c:pt idx="1355">
                  <c:v>153.76787999999999</c:v>
                </c:pt>
                <c:pt idx="1356">
                  <c:v>153.551772</c:v>
                </c:pt>
                <c:pt idx="1357">
                  <c:v>153.31800000000001</c:v>
                </c:pt>
                <c:pt idx="1358">
                  <c:v>153.5204</c:v>
                </c:pt>
                <c:pt idx="1359">
                  <c:v>154.42282800000001</c:v>
                </c:pt>
                <c:pt idx="1360">
                  <c:v>153.59814</c:v>
                </c:pt>
                <c:pt idx="1361">
                  <c:v>153.52702400000001</c:v>
                </c:pt>
                <c:pt idx="1362">
                  <c:v>152.99314799999999</c:v>
                </c:pt>
                <c:pt idx="1363">
                  <c:v>150.99628799999999</c:v>
                </c:pt>
                <c:pt idx="1364">
                  <c:v>148.81257600000001</c:v>
                </c:pt>
                <c:pt idx="1365">
                  <c:v>149.22726</c:v>
                </c:pt>
                <c:pt idx="1366">
                  <c:v>148.241184</c:v>
                </c:pt>
                <c:pt idx="1367">
                  <c:v>148.86143999999999</c:v>
                </c:pt>
                <c:pt idx="1368">
                  <c:v>150.211344</c:v>
                </c:pt>
                <c:pt idx="1369">
                  <c:v>152.460284</c:v>
                </c:pt>
                <c:pt idx="1370">
                  <c:v>151.96044800000001</c:v>
                </c:pt>
                <c:pt idx="1371">
                  <c:v>152.352552</c:v>
                </c:pt>
                <c:pt idx="1372">
                  <c:v>151.96044800000001</c:v>
                </c:pt>
                <c:pt idx="1373">
                  <c:v>155.80172400000001</c:v>
                </c:pt>
                <c:pt idx="1374">
                  <c:v>152.94879599999999</c:v>
                </c:pt>
                <c:pt idx="1375">
                  <c:v>152.67525000000001</c:v>
                </c:pt>
                <c:pt idx="1376">
                  <c:v>153.967905</c:v>
                </c:pt>
                <c:pt idx="1377">
                  <c:v>156.892752</c:v>
                </c:pt>
                <c:pt idx="1378">
                  <c:v>155.59242399999999</c:v>
                </c:pt>
                <c:pt idx="1379">
                  <c:v>156.612336</c:v>
                </c:pt>
                <c:pt idx="1380">
                  <c:v>154.147932</c:v>
                </c:pt>
                <c:pt idx="1381">
                  <c:v>152.326629</c:v>
                </c:pt>
                <c:pt idx="1382">
                  <c:v>153.39196799999999</c:v>
                </c:pt>
                <c:pt idx="1383">
                  <c:v>153.02580800000001</c:v>
                </c:pt>
                <c:pt idx="1384">
                  <c:v>153.26464000000001</c:v>
                </c:pt>
                <c:pt idx="1385">
                  <c:v>153.93982800000001</c:v>
                </c:pt>
                <c:pt idx="1386">
                  <c:v>153.73807199999999</c:v>
                </c:pt>
                <c:pt idx="1387">
                  <c:v>153.37826000000001</c:v>
                </c:pt>
                <c:pt idx="1388">
                  <c:v>153.54432</c:v>
                </c:pt>
                <c:pt idx="1389">
                  <c:v>153.87827999999999</c:v>
                </c:pt>
                <c:pt idx="1390">
                  <c:v>150.744576</c:v>
                </c:pt>
                <c:pt idx="1391">
                  <c:v>148.74265600000001</c:v>
                </c:pt>
                <c:pt idx="1392">
                  <c:v>151.36097599999999</c:v>
                </c:pt>
                <c:pt idx="1393">
                  <c:v>152.75661600000001</c:v>
                </c:pt>
                <c:pt idx="1394">
                  <c:v>152.89682400000001</c:v>
                </c:pt>
                <c:pt idx="1395">
                  <c:v>160.39445599999999</c:v>
                </c:pt>
                <c:pt idx="1396">
                  <c:v>152.11022399999999</c:v>
                </c:pt>
                <c:pt idx="1397">
                  <c:v>152.540232</c:v>
                </c:pt>
                <c:pt idx="1398">
                  <c:v>150.165288</c:v>
                </c:pt>
                <c:pt idx="1399">
                  <c:v>153.14890500000001</c:v>
                </c:pt>
                <c:pt idx="1400">
                  <c:v>152.67634200000001</c:v>
                </c:pt>
                <c:pt idx="1401">
                  <c:v>152.53984199999999</c:v>
                </c:pt>
                <c:pt idx="1402">
                  <c:v>153.42590899999999</c:v>
                </c:pt>
                <c:pt idx="1403">
                  <c:v>153.552672</c:v>
                </c:pt>
                <c:pt idx="1404">
                  <c:v>153.442016</c:v>
                </c:pt>
                <c:pt idx="1405">
                  <c:v>152.08284</c:v>
                </c:pt>
                <c:pt idx="1406">
                  <c:v>162.27879999999999</c:v>
                </c:pt>
                <c:pt idx="1407">
                  <c:v>152.236448</c:v>
                </c:pt>
                <c:pt idx="1408">
                  <c:v>152.282949</c:v>
                </c:pt>
                <c:pt idx="1409">
                  <c:v>153.20323200000001</c:v>
                </c:pt>
                <c:pt idx="1410">
                  <c:v>157.361952</c:v>
                </c:pt>
                <c:pt idx="1411">
                  <c:v>160.39721599999999</c:v>
                </c:pt>
                <c:pt idx="1412">
                  <c:v>155.03471999999999</c:v>
                </c:pt>
                <c:pt idx="1413">
                  <c:v>154.118492</c:v>
                </c:pt>
                <c:pt idx="1414">
                  <c:v>154.76516000000001</c:v>
                </c:pt>
                <c:pt idx="1415">
                  <c:v>151.928595</c:v>
                </c:pt>
                <c:pt idx="1416">
                  <c:v>152.19859199999999</c:v>
                </c:pt>
                <c:pt idx="1417">
                  <c:v>151.588346</c:v>
                </c:pt>
                <c:pt idx="1418">
                  <c:v>151.45384799999999</c:v>
                </c:pt>
                <c:pt idx="1419">
                  <c:v>151.386144</c:v>
                </c:pt>
                <c:pt idx="1420">
                  <c:v>151.72466399999999</c:v>
                </c:pt>
                <c:pt idx="1421">
                  <c:v>151.860072</c:v>
                </c:pt>
                <c:pt idx="1422">
                  <c:v>152.88027299999999</c:v>
                </c:pt>
                <c:pt idx="1423">
                  <c:v>151.79309599999999</c:v>
                </c:pt>
                <c:pt idx="1424">
                  <c:v>157.68984</c:v>
                </c:pt>
                <c:pt idx="1425">
                  <c:v>151.11096000000001</c:v>
                </c:pt>
                <c:pt idx="1426">
                  <c:v>152.335365</c:v>
                </c:pt>
                <c:pt idx="1427">
                  <c:v>151.181758</c:v>
                </c:pt>
                <c:pt idx="1428">
                  <c:v>151.444748</c:v>
                </c:pt>
                <c:pt idx="1429">
                  <c:v>151.24928</c:v>
                </c:pt>
                <c:pt idx="1430">
                  <c:v>151.79118500000001</c:v>
                </c:pt>
                <c:pt idx="1431">
                  <c:v>151.37021899999999</c:v>
                </c:pt>
                <c:pt idx="1432">
                  <c:v>151.38032000000001</c:v>
                </c:pt>
                <c:pt idx="1433">
                  <c:v>151.17830000000001</c:v>
                </c:pt>
                <c:pt idx="1434">
                  <c:v>151.31516400000001</c:v>
                </c:pt>
                <c:pt idx="1435">
                  <c:v>176.58049500000001</c:v>
                </c:pt>
                <c:pt idx="1436">
                  <c:v>177.549834</c:v>
                </c:pt>
                <c:pt idx="1437">
                  <c:v>177.26153400000001</c:v>
                </c:pt>
                <c:pt idx="1438">
                  <c:v>177.51774900000001</c:v>
                </c:pt>
                <c:pt idx="1439">
                  <c:v>177.37964400000001</c:v>
                </c:pt>
                <c:pt idx="1440">
                  <c:v>177.171696</c:v>
                </c:pt>
                <c:pt idx="1441">
                  <c:v>176.12572499999999</c:v>
                </c:pt>
                <c:pt idx="1442">
                  <c:v>178.185675</c:v>
                </c:pt>
                <c:pt idx="1443">
                  <c:v>178.67829599999999</c:v>
                </c:pt>
                <c:pt idx="1444">
                  <c:v>179.68381199999999</c:v>
                </c:pt>
                <c:pt idx="1445">
                  <c:v>179.78341499999999</c:v>
                </c:pt>
                <c:pt idx="1446">
                  <c:v>179.81289599999999</c:v>
                </c:pt>
                <c:pt idx="1447">
                  <c:v>179.30716200000001</c:v>
                </c:pt>
                <c:pt idx="1448">
                  <c:v>180.57363599999999</c:v>
                </c:pt>
                <c:pt idx="1449">
                  <c:v>180.67203000000001</c:v>
                </c:pt>
                <c:pt idx="1450">
                  <c:v>177.69454200000001</c:v>
                </c:pt>
                <c:pt idx="1451">
                  <c:v>171.30915200000001</c:v>
                </c:pt>
                <c:pt idx="1452">
                  <c:v>57.868000000000002</c:v>
                </c:pt>
                <c:pt idx="1453">
                  <c:v>20.050419999999999</c:v>
                </c:pt>
                <c:pt idx="1454">
                  <c:v>19.287383999999999</c:v>
                </c:pt>
                <c:pt idx="1455">
                  <c:v>17.417400000000001</c:v>
                </c:pt>
                <c:pt idx="1456">
                  <c:v>15.312647</c:v>
                </c:pt>
                <c:pt idx="1457">
                  <c:v>21.142520000000001</c:v>
                </c:pt>
                <c:pt idx="1458">
                  <c:v>18.348528000000002</c:v>
                </c:pt>
                <c:pt idx="1459">
                  <c:v>15.756494</c:v>
                </c:pt>
                <c:pt idx="1460">
                  <c:v>15.721463999999999</c:v>
                </c:pt>
                <c:pt idx="1461">
                  <c:v>15.568448</c:v>
                </c:pt>
                <c:pt idx="1462">
                  <c:v>15.596223999999999</c:v>
                </c:pt>
                <c:pt idx="1463">
                  <c:v>15.55456</c:v>
                </c:pt>
                <c:pt idx="1464">
                  <c:v>15.658720000000001</c:v>
                </c:pt>
                <c:pt idx="1465">
                  <c:v>15.679551999999999</c:v>
                </c:pt>
                <c:pt idx="1466">
                  <c:v>15.707328</c:v>
                </c:pt>
                <c:pt idx="1467">
                  <c:v>15.665664</c:v>
                </c:pt>
                <c:pt idx="1468">
                  <c:v>15.58928</c:v>
                </c:pt>
                <c:pt idx="1469">
                  <c:v>15.582336</c:v>
                </c:pt>
                <c:pt idx="1470">
                  <c:v>15.624000000000001</c:v>
                </c:pt>
                <c:pt idx="1471">
                  <c:v>15.783201</c:v>
                </c:pt>
                <c:pt idx="1472">
                  <c:v>15.776208</c:v>
                </c:pt>
                <c:pt idx="1473">
                  <c:v>15.657327</c:v>
                </c:pt>
                <c:pt idx="1474">
                  <c:v>15.264276000000001</c:v>
                </c:pt>
                <c:pt idx="1475">
                  <c:v>15.457344000000001</c:v>
                </c:pt>
                <c:pt idx="1476">
                  <c:v>15.678305999999999</c:v>
                </c:pt>
                <c:pt idx="1477">
                  <c:v>15.629355</c:v>
                </c:pt>
                <c:pt idx="1478">
                  <c:v>15.499008</c:v>
                </c:pt>
                <c:pt idx="1479">
                  <c:v>15.58928</c:v>
                </c:pt>
                <c:pt idx="1480">
                  <c:v>15.610112000000001</c:v>
                </c:pt>
                <c:pt idx="1481">
                  <c:v>15.939503999999999</c:v>
                </c:pt>
                <c:pt idx="1482">
                  <c:v>110.193552</c:v>
                </c:pt>
                <c:pt idx="1483">
                  <c:v>169.26651000000001</c:v>
                </c:pt>
                <c:pt idx="1484">
                  <c:v>162.86502400000001</c:v>
                </c:pt>
                <c:pt idx="1485">
                  <c:v>166.23024599999999</c:v>
                </c:pt>
                <c:pt idx="1486">
                  <c:v>174.51952199999999</c:v>
                </c:pt>
                <c:pt idx="1487">
                  <c:v>155.73244800000001</c:v>
                </c:pt>
                <c:pt idx="1488">
                  <c:v>158.28857600000001</c:v>
                </c:pt>
                <c:pt idx="1489">
                  <c:v>155.59481600000001</c:v>
                </c:pt>
                <c:pt idx="1490">
                  <c:v>159.65541999999999</c:v>
                </c:pt>
                <c:pt idx="1491">
                  <c:v>157.65598399999999</c:v>
                </c:pt>
                <c:pt idx="1492">
                  <c:v>161.55614</c:v>
                </c:pt>
                <c:pt idx="1493">
                  <c:v>157.113</c:v>
                </c:pt>
                <c:pt idx="1494">
                  <c:v>155.65986000000001</c:v>
                </c:pt>
                <c:pt idx="1495">
                  <c:v>155.65433999999999</c:v>
                </c:pt>
                <c:pt idx="1496">
                  <c:v>154.75688</c:v>
                </c:pt>
                <c:pt idx="1497">
                  <c:v>154.69064</c:v>
                </c:pt>
                <c:pt idx="1498">
                  <c:v>154.19678400000001</c:v>
                </c:pt>
                <c:pt idx="1499">
                  <c:v>154.97216</c:v>
                </c:pt>
                <c:pt idx="1500">
                  <c:v>154.90481600000001</c:v>
                </c:pt>
                <c:pt idx="1501">
                  <c:v>154.767</c:v>
                </c:pt>
                <c:pt idx="1502">
                  <c:v>155.59481600000001</c:v>
                </c:pt>
                <c:pt idx="1503">
                  <c:v>154.49191999999999</c:v>
                </c:pt>
                <c:pt idx="1504">
                  <c:v>155.73115999999999</c:v>
                </c:pt>
                <c:pt idx="1505">
                  <c:v>155.646612</c:v>
                </c:pt>
                <c:pt idx="1506">
                  <c:v>154.83600000000001</c:v>
                </c:pt>
                <c:pt idx="1507">
                  <c:v>154.767368</c:v>
                </c:pt>
                <c:pt idx="1508">
                  <c:v>157.87706</c:v>
                </c:pt>
                <c:pt idx="1509">
                  <c:v>157.11024</c:v>
                </c:pt>
                <c:pt idx="1510">
                  <c:v>157.74283199999999</c:v>
                </c:pt>
                <c:pt idx="1511">
                  <c:v>156.49338</c:v>
                </c:pt>
                <c:pt idx="1512">
                  <c:v>158.43503999999999</c:v>
                </c:pt>
                <c:pt idx="1513">
                  <c:v>158.43715599999999</c:v>
                </c:pt>
                <c:pt idx="1514">
                  <c:v>155.248896</c:v>
                </c:pt>
                <c:pt idx="1515">
                  <c:v>156.909312</c:v>
                </c:pt>
                <c:pt idx="1516">
                  <c:v>156.63</c:v>
                </c:pt>
                <c:pt idx="1517">
                  <c:v>157.46214000000001</c:v>
                </c:pt>
                <c:pt idx="1518">
                  <c:v>158.569728</c:v>
                </c:pt>
                <c:pt idx="1519">
                  <c:v>160.92410000000001</c:v>
                </c:pt>
                <c:pt idx="1520">
                  <c:v>163.42511999999999</c:v>
                </c:pt>
                <c:pt idx="1521">
                  <c:v>158.57524799999999</c:v>
                </c:pt>
                <c:pt idx="1522">
                  <c:v>159.11225200000001</c:v>
                </c:pt>
                <c:pt idx="1523">
                  <c:v>159.41069999999999</c:v>
                </c:pt>
                <c:pt idx="1524">
                  <c:v>156.977024</c:v>
                </c:pt>
                <c:pt idx="1525">
                  <c:v>157.325796</c:v>
                </c:pt>
                <c:pt idx="1526">
                  <c:v>156.834608</c:v>
                </c:pt>
                <c:pt idx="1527">
                  <c:v>158.23098400000001</c:v>
                </c:pt>
                <c:pt idx="1528">
                  <c:v>158.71867599999999</c:v>
                </c:pt>
                <c:pt idx="1529">
                  <c:v>160.59428</c:v>
                </c:pt>
                <c:pt idx="1530">
                  <c:v>155.72600800000001</c:v>
                </c:pt>
                <c:pt idx="1531">
                  <c:v>154.80287999999999</c:v>
                </c:pt>
                <c:pt idx="1532">
                  <c:v>154.66092399999999</c:v>
                </c:pt>
                <c:pt idx="1533">
                  <c:v>154.68226799999999</c:v>
                </c:pt>
                <c:pt idx="1534">
                  <c:v>155.317712</c:v>
                </c:pt>
                <c:pt idx="1535">
                  <c:v>155.24972399999999</c:v>
                </c:pt>
                <c:pt idx="1536">
                  <c:v>154.97262000000001</c:v>
                </c:pt>
                <c:pt idx="1537">
                  <c:v>155.18100000000001</c:v>
                </c:pt>
                <c:pt idx="1538">
                  <c:v>154.90039999999999</c:v>
                </c:pt>
                <c:pt idx="1539">
                  <c:v>155.304832</c:v>
                </c:pt>
                <c:pt idx="1540">
                  <c:v>178.49080799999999</c:v>
                </c:pt>
                <c:pt idx="1541">
                  <c:v>181.47884400000001</c:v>
                </c:pt>
                <c:pt idx="1542">
                  <c:v>178.624728</c:v>
                </c:pt>
                <c:pt idx="1543">
                  <c:v>154.95008000000001</c:v>
                </c:pt>
                <c:pt idx="1544">
                  <c:v>155.35856000000001</c:v>
                </c:pt>
                <c:pt idx="1545">
                  <c:v>160.74755200000001</c:v>
                </c:pt>
                <c:pt idx="1546">
                  <c:v>161.22963200000001</c:v>
                </c:pt>
                <c:pt idx="1547">
                  <c:v>159.82387199999999</c:v>
                </c:pt>
                <c:pt idx="1548">
                  <c:v>158.13392400000001</c:v>
                </c:pt>
                <c:pt idx="1549">
                  <c:v>155.1396</c:v>
                </c:pt>
                <c:pt idx="1550">
                  <c:v>154.37968000000001</c:v>
                </c:pt>
                <c:pt idx="1551">
                  <c:v>154.19936000000001</c:v>
                </c:pt>
                <c:pt idx="1552">
                  <c:v>156.152612</c:v>
                </c:pt>
                <c:pt idx="1553">
                  <c:v>155.36260799999999</c:v>
                </c:pt>
                <c:pt idx="1554">
                  <c:v>157.70419200000001</c:v>
                </c:pt>
                <c:pt idx="1555">
                  <c:v>156.08480800000001</c:v>
                </c:pt>
                <c:pt idx="1556">
                  <c:v>156.16079999999999</c:v>
                </c:pt>
                <c:pt idx="1557">
                  <c:v>154.635808</c:v>
                </c:pt>
                <c:pt idx="1558">
                  <c:v>156.04690400000001</c:v>
                </c:pt>
                <c:pt idx="1559">
                  <c:v>159.804</c:v>
                </c:pt>
                <c:pt idx="1560">
                  <c:v>174.22712999999999</c:v>
                </c:pt>
                <c:pt idx="1561">
                  <c:v>175.163175</c:v>
                </c:pt>
                <c:pt idx="1562">
                  <c:v>154.89469600000001</c:v>
                </c:pt>
                <c:pt idx="1563">
                  <c:v>155.31421599999999</c:v>
                </c:pt>
                <c:pt idx="1564">
                  <c:v>160.80680000000001</c:v>
                </c:pt>
                <c:pt idx="1565">
                  <c:v>156.49338</c:v>
                </c:pt>
                <c:pt idx="1566">
                  <c:v>155.73318399999999</c:v>
                </c:pt>
                <c:pt idx="1567">
                  <c:v>155.80246</c:v>
                </c:pt>
                <c:pt idx="1568">
                  <c:v>156.5564</c:v>
                </c:pt>
                <c:pt idx="1569">
                  <c:v>157.03001599999999</c:v>
                </c:pt>
                <c:pt idx="1570">
                  <c:v>156.82411999999999</c:v>
                </c:pt>
                <c:pt idx="1571">
                  <c:v>156.60359600000001</c:v>
                </c:pt>
                <c:pt idx="1572">
                  <c:v>153.397426</c:v>
                </c:pt>
                <c:pt idx="1573">
                  <c:v>164.205648</c:v>
                </c:pt>
                <c:pt idx="1574">
                  <c:v>158.18332799999999</c:v>
                </c:pt>
                <c:pt idx="1575">
                  <c:v>156.394848</c:v>
                </c:pt>
                <c:pt idx="1576">
                  <c:v>153.15345500000001</c:v>
                </c:pt>
                <c:pt idx="1577">
                  <c:v>155.39904000000001</c:v>
                </c:pt>
                <c:pt idx="1578">
                  <c:v>155.39076</c:v>
                </c:pt>
                <c:pt idx="1579">
                  <c:v>156.18803199999999</c:v>
                </c:pt>
                <c:pt idx="1580">
                  <c:v>155.232336</c:v>
                </c:pt>
                <c:pt idx="1581">
                  <c:v>155.368864</c:v>
                </c:pt>
                <c:pt idx="1582">
                  <c:v>154.40544</c:v>
                </c:pt>
                <c:pt idx="1583">
                  <c:v>155.87100000000001</c:v>
                </c:pt>
                <c:pt idx="1584">
                  <c:v>155.58874399999999</c:v>
                </c:pt>
                <c:pt idx="1585">
                  <c:v>155.03471999999999</c:v>
                </c:pt>
                <c:pt idx="1586">
                  <c:v>154.48713599999999</c:v>
                </c:pt>
                <c:pt idx="1587">
                  <c:v>154.624032</c:v>
                </c:pt>
                <c:pt idx="1588">
                  <c:v>154.86433600000001</c:v>
                </c:pt>
                <c:pt idx="1589">
                  <c:v>154.68226799999999</c:v>
                </c:pt>
                <c:pt idx="1590">
                  <c:v>154.95008000000001</c:v>
                </c:pt>
                <c:pt idx="1591">
                  <c:v>154.72192000000001</c:v>
                </c:pt>
                <c:pt idx="1592">
                  <c:v>157.29929999999999</c:v>
                </c:pt>
                <c:pt idx="1593">
                  <c:v>154.60231999999999</c:v>
                </c:pt>
                <c:pt idx="1594">
                  <c:v>153.28764000000001</c:v>
                </c:pt>
                <c:pt idx="1595">
                  <c:v>153.61009999999999</c:v>
                </c:pt>
                <c:pt idx="1596">
                  <c:v>153.55858000000001</c:v>
                </c:pt>
                <c:pt idx="1597">
                  <c:v>153.54339999999999</c:v>
                </c:pt>
                <c:pt idx="1598">
                  <c:v>153.398224</c:v>
                </c:pt>
                <c:pt idx="1599">
                  <c:v>153.91048000000001</c:v>
                </c:pt>
                <c:pt idx="1600">
                  <c:v>152.29905600000001</c:v>
                </c:pt>
                <c:pt idx="1601">
                  <c:v>153.9436</c:v>
                </c:pt>
                <c:pt idx="1602">
                  <c:v>153.505864</c:v>
                </c:pt>
                <c:pt idx="1603">
                  <c:v>153.77689599999999</c:v>
                </c:pt>
                <c:pt idx="1604">
                  <c:v>154.28952000000001</c:v>
                </c:pt>
                <c:pt idx="1605">
                  <c:v>154.155936</c:v>
                </c:pt>
                <c:pt idx="1606">
                  <c:v>153.67081999999999</c:v>
                </c:pt>
                <c:pt idx="1607">
                  <c:v>157.10306399999999</c:v>
                </c:pt>
                <c:pt idx="1608">
                  <c:v>155.21025599999999</c:v>
                </c:pt>
                <c:pt idx="1609">
                  <c:v>153.29812799999999</c:v>
                </c:pt>
                <c:pt idx="1610">
                  <c:v>154.21776</c:v>
                </c:pt>
                <c:pt idx="1611">
                  <c:v>153.64386400000001</c:v>
                </c:pt>
                <c:pt idx="1612">
                  <c:v>153.584892</c:v>
                </c:pt>
                <c:pt idx="1613">
                  <c:v>153.389208</c:v>
                </c:pt>
                <c:pt idx="1614">
                  <c:v>154.076448</c:v>
                </c:pt>
                <c:pt idx="1615">
                  <c:v>152.775936</c:v>
                </c:pt>
                <c:pt idx="1616">
                  <c:v>152.91274000000001</c:v>
                </c:pt>
                <c:pt idx="1617">
                  <c:v>152.775936</c:v>
                </c:pt>
                <c:pt idx="1618">
                  <c:v>153.04614000000001</c:v>
                </c:pt>
                <c:pt idx="1619">
                  <c:v>152.70730399999999</c:v>
                </c:pt>
                <c:pt idx="1620">
                  <c:v>152.70472799999999</c:v>
                </c:pt>
                <c:pt idx="1621">
                  <c:v>152.57004000000001</c:v>
                </c:pt>
                <c:pt idx="1622">
                  <c:v>152.91274000000001</c:v>
                </c:pt>
                <c:pt idx="1623">
                  <c:v>152.91209599999999</c:v>
                </c:pt>
                <c:pt idx="1624">
                  <c:v>155.70098400000001</c:v>
                </c:pt>
                <c:pt idx="1625">
                  <c:v>156.74224000000001</c:v>
                </c:pt>
                <c:pt idx="1626">
                  <c:v>153.11707200000001</c:v>
                </c:pt>
                <c:pt idx="1627">
                  <c:v>152.9109</c:v>
                </c:pt>
                <c:pt idx="1628">
                  <c:v>153.25452000000001</c:v>
                </c:pt>
                <c:pt idx="1629">
                  <c:v>153.320944</c:v>
                </c:pt>
                <c:pt idx="1630">
                  <c:v>153.048348</c:v>
                </c:pt>
                <c:pt idx="1631">
                  <c:v>153.18690000000001</c:v>
                </c:pt>
                <c:pt idx="1632">
                  <c:v>153.18662399999999</c:v>
                </c:pt>
                <c:pt idx="1633">
                  <c:v>153.320944</c:v>
                </c:pt>
                <c:pt idx="1634">
                  <c:v>154.41316800000001</c:v>
                </c:pt>
                <c:pt idx="1635">
                  <c:v>153.52702400000001</c:v>
                </c:pt>
                <c:pt idx="1636">
                  <c:v>153.322048</c:v>
                </c:pt>
                <c:pt idx="1637">
                  <c:v>153.52959999999999</c:v>
                </c:pt>
                <c:pt idx="1638">
                  <c:v>153.311744</c:v>
                </c:pt>
                <c:pt idx="1639">
                  <c:v>153.412116</c:v>
                </c:pt>
                <c:pt idx="1640">
                  <c:v>152.82745600000001</c:v>
                </c:pt>
                <c:pt idx="1641">
                  <c:v>152.24932799999999</c:v>
                </c:pt>
                <c:pt idx="1642">
                  <c:v>153.13565600000001</c:v>
                </c:pt>
                <c:pt idx="1643">
                  <c:v>152.34611200000001</c:v>
                </c:pt>
                <c:pt idx="1644">
                  <c:v>153.617828</c:v>
                </c:pt>
                <c:pt idx="1645">
                  <c:v>152.805744</c:v>
                </c:pt>
                <c:pt idx="1646">
                  <c:v>152.798936</c:v>
                </c:pt>
                <c:pt idx="1647">
                  <c:v>153.254152</c:v>
                </c:pt>
                <c:pt idx="1648">
                  <c:v>153.29996800000001</c:v>
                </c:pt>
                <c:pt idx="1649">
                  <c:v>154.32190399999999</c:v>
                </c:pt>
                <c:pt idx="1650">
                  <c:v>154.38970800000001</c:v>
                </c:pt>
                <c:pt idx="1651">
                  <c:v>154.66092399999999</c:v>
                </c:pt>
                <c:pt idx="1652">
                  <c:v>154.63074800000001</c:v>
                </c:pt>
                <c:pt idx="1653">
                  <c:v>154.59919199999999</c:v>
                </c:pt>
                <c:pt idx="1654">
                  <c:v>154.39550399999999</c:v>
                </c:pt>
                <c:pt idx="1655">
                  <c:v>153.84166400000001</c:v>
                </c:pt>
                <c:pt idx="1656">
                  <c:v>153.82878400000001</c:v>
                </c:pt>
                <c:pt idx="1657">
                  <c:v>154.2012</c:v>
                </c:pt>
                <c:pt idx="1658">
                  <c:v>153.42977999999999</c:v>
                </c:pt>
                <c:pt idx="1659">
                  <c:v>154.39550399999999</c:v>
                </c:pt>
                <c:pt idx="1660">
                  <c:v>154.72192000000001</c:v>
                </c:pt>
                <c:pt idx="1661">
                  <c:v>153.80532400000001</c:v>
                </c:pt>
                <c:pt idx="1662">
                  <c:v>154.10073600000001</c:v>
                </c:pt>
                <c:pt idx="1663">
                  <c:v>153.71985599999999</c:v>
                </c:pt>
                <c:pt idx="1664">
                  <c:v>153.956388</c:v>
                </c:pt>
                <c:pt idx="1665">
                  <c:v>153.29454000000001</c:v>
                </c:pt>
                <c:pt idx="1666">
                  <c:v>156.20266000000001</c:v>
                </c:pt>
                <c:pt idx="1667">
                  <c:v>154.42843999999999</c:v>
                </c:pt>
                <c:pt idx="1668">
                  <c:v>154.12392</c:v>
                </c:pt>
                <c:pt idx="1669">
                  <c:v>154.835172</c:v>
                </c:pt>
                <c:pt idx="1670">
                  <c:v>154.767368</c:v>
                </c:pt>
                <c:pt idx="1671">
                  <c:v>154.90481600000001</c:v>
                </c:pt>
                <c:pt idx="1672">
                  <c:v>154.76607999999999</c:v>
                </c:pt>
                <c:pt idx="1673">
                  <c:v>156.07468800000001</c:v>
                </c:pt>
                <c:pt idx="1674">
                  <c:v>155.38800000000001</c:v>
                </c:pt>
                <c:pt idx="1675">
                  <c:v>155.10896399999999</c:v>
                </c:pt>
                <c:pt idx="1676">
                  <c:v>156.07882799999999</c:v>
                </c:pt>
                <c:pt idx="1677">
                  <c:v>155.93291600000001</c:v>
                </c:pt>
                <c:pt idx="1678">
                  <c:v>155.03747999999999</c:v>
                </c:pt>
                <c:pt idx="1679">
                  <c:v>154.48548</c:v>
                </c:pt>
                <c:pt idx="1680">
                  <c:v>155.44540799999999</c:v>
                </c:pt>
                <c:pt idx="1681">
                  <c:v>155.52094</c:v>
                </c:pt>
                <c:pt idx="1682">
                  <c:v>154.760008</c:v>
                </c:pt>
                <c:pt idx="1683">
                  <c:v>156.250224</c:v>
                </c:pt>
                <c:pt idx="1684">
                  <c:v>155.73115999999999</c:v>
                </c:pt>
                <c:pt idx="1685">
                  <c:v>154.902424</c:v>
                </c:pt>
                <c:pt idx="1686">
                  <c:v>155.17971199999999</c:v>
                </c:pt>
                <c:pt idx="1687">
                  <c:v>156.56376</c:v>
                </c:pt>
                <c:pt idx="1688">
                  <c:v>155.148616</c:v>
                </c:pt>
                <c:pt idx="1689">
                  <c:v>155.65204</c:v>
                </c:pt>
                <c:pt idx="1690">
                  <c:v>157.22726399999999</c:v>
                </c:pt>
                <c:pt idx="1691">
                  <c:v>155.78709599999999</c:v>
                </c:pt>
                <c:pt idx="1692">
                  <c:v>155.42995199999999</c:v>
                </c:pt>
                <c:pt idx="1693">
                  <c:v>155.75894400000001</c:v>
                </c:pt>
                <c:pt idx="1694">
                  <c:v>158.04220000000001</c:v>
                </c:pt>
                <c:pt idx="1695">
                  <c:v>156.36209600000001</c:v>
                </c:pt>
                <c:pt idx="1696">
                  <c:v>157.62451999999999</c:v>
                </c:pt>
                <c:pt idx="1697">
                  <c:v>156.02611200000001</c:v>
                </c:pt>
                <c:pt idx="1698">
                  <c:v>156.41149999999999</c:v>
                </c:pt>
                <c:pt idx="1699">
                  <c:v>169.16179199999999</c:v>
                </c:pt>
                <c:pt idx="1700">
                  <c:v>178.031488</c:v>
                </c:pt>
                <c:pt idx="1701">
                  <c:v>169.38108600000001</c:v>
                </c:pt>
                <c:pt idx="1702">
                  <c:v>156.02611200000001</c:v>
                </c:pt>
                <c:pt idx="1703">
                  <c:v>156.33743999999999</c:v>
                </c:pt>
                <c:pt idx="1704">
                  <c:v>156.71234000000001</c:v>
                </c:pt>
                <c:pt idx="1705">
                  <c:v>156.27929599999999</c:v>
                </c:pt>
                <c:pt idx="1706">
                  <c:v>156.73414399999999</c:v>
                </c:pt>
                <c:pt idx="1707">
                  <c:v>157.16221999999999</c:v>
                </c:pt>
                <c:pt idx="1708">
                  <c:v>157.03811200000001</c:v>
                </c:pt>
                <c:pt idx="1709">
                  <c:v>155.7192</c:v>
                </c:pt>
                <c:pt idx="1710">
                  <c:v>156.35519600000001</c:v>
                </c:pt>
                <c:pt idx="1711">
                  <c:v>155.59481600000001</c:v>
                </c:pt>
                <c:pt idx="1712">
                  <c:v>155.87155200000001</c:v>
                </c:pt>
                <c:pt idx="1713">
                  <c:v>156.21737999999999</c:v>
                </c:pt>
                <c:pt idx="1714">
                  <c:v>157.533624</c:v>
                </c:pt>
                <c:pt idx="1715">
                  <c:v>155.373188</c:v>
                </c:pt>
                <c:pt idx="1716">
                  <c:v>155.23647600000001</c:v>
                </c:pt>
                <c:pt idx="1717">
                  <c:v>155.44872000000001</c:v>
                </c:pt>
                <c:pt idx="1718">
                  <c:v>155.52011200000001</c:v>
                </c:pt>
                <c:pt idx="1719">
                  <c:v>156.49199999999999</c:v>
                </c:pt>
                <c:pt idx="1720">
                  <c:v>154.186296</c:v>
                </c:pt>
                <c:pt idx="1721">
                  <c:v>155.29048</c:v>
                </c:pt>
                <c:pt idx="1722">
                  <c:v>157.16728000000001</c:v>
                </c:pt>
                <c:pt idx="1723">
                  <c:v>155.22239999999999</c:v>
                </c:pt>
                <c:pt idx="1724">
                  <c:v>155.704848</c:v>
                </c:pt>
                <c:pt idx="1725">
                  <c:v>156.72015999999999</c:v>
                </c:pt>
                <c:pt idx="1726">
                  <c:v>155.79648</c:v>
                </c:pt>
                <c:pt idx="1727">
                  <c:v>155.05266</c:v>
                </c:pt>
                <c:pt idx="1728">
                  <c:v>154.78963200000001</c:v>
                </c:pt>
                <c:pt idx="1729">
                  <c:v>154.89469600000001</c:v>
                </c:pt>
                <c:pt idx="1730">
                  <c:v>156.841048</c:v>
                </c:pt>
                <c:pt idx="1731">
                  <c:v>154.621272</c:v>
                </c:pt>
                <c:pt idx="1732">
                  <c:v>158.75471999999999</c:v>
                </c:pt>
                <c:pt idx="1733">
                  <c:v>160.30224000000001</c:v>
                </c:pt>
                <c:pt idx="1734">
                  <c:v>202.78433999999999</c:v>
                </c:pt>
                <c:pt idx="1735">
                  <c:v>199.95581000000001</c:v>
                </c:pt>
                <c:pt idx="1736">
                  <c:v>158.10372000000001</c:v>
                </c:pt>
                <c:pt idx="1737">
                  <c:v>154.98504</c:v>
                </c:pt>
                <c:pt idx="1738">
                  <c:v>154.74068800000001</c:v>
                </c:pt>
                <c:pt idx="1739">
                  <c:v>154.26928000000001</c:v>
                </c:pt>
                <c:pt idx="1740">
                  <c:v>154.273236</c:v>
                </c:pt>
                <c:pt idx="1741">
                  <c:v>154.07442399999999</c:v>
                </c:pt>
                <c:pt idx="1742">
                  <c:v>155.595</c:v>
                </c:pt>
                <c:pt idx="1743">
                  <c:v>154.215</c:v>
                </c:pt>
                <c:pt idx="1744">
                  <c:v>155.18081599999999</c:v>
                </c:pt>
                <c:pt idx="1745">
                  <c:v>162.12504000000001</c:v>
                </c:pt>
                <c:pt idx="1746">
                  <c:v>180.41419999999999</c:v>
                </c:pt>
                <c:pt idx="1747">
                  <c:v>179.85706200000001</c:v>
                </c:pt>
                <c:pt idx="1748">
                  <c:v>179.40388799999999</c:v>
                </c:pt>
                <c:pt idx="1749">
                  <c:v>179.37935400000001</c:v>
                </c:pt>
                <c:pt idx="1750">
                  <c:v>179.58653000000001</c:v>
                </c:pt>
                <c:pt idx="1751">
                  <c:v>179.192576</c:v>
                </c:pt>
                <c:pt idx="1752">
                  <c:v>179.37935400000001</c:v>
                </c:pt>
                <c:pt idx="1753">
                  <c:v>179.82952</c:v>
                </c:pt>
                <c:pt idx="1754">
                  <c:v>179.40388799999999</c:v>
                </c:pt>
                <c:pt idx="1755">
                  <c:v>180.12186</c:v>
                </c:pt>
                <c:pt idx="1756">
                  <c:v>180.81370000000001</c:v>
                </c:pt>
                <c:pt idx="1757">
                  <c:v>181.04400000000001</c:v>
                </c:pt>
                <c:pt idx="1758">
                  <c:v>180.59138999999999</c:v>
                </c:pt>
                <c:pt idx="1759">
                  <c:v>179.59564800000001</c:v>
                </c:pt>
                <c:pt idx="1760">
                  <c:v>180.03067999999999</c:v>
                </c:pt>
                <c:pt idx="1761">
                  <c:v>179.84822600000001</c:v>
                </c:pt>
                <c:pt idx="1762">
                  <c:v>180.28090800000001</c:v>
                </c:pt>
                <c:pt idx="1763">
                  <c:v>180.278088</c:v>
                </c:pt>
                <c:pt idx="1764">
                  <c:v>158.602293</c:v>
                </c:pt>
                <c:pt idx="1765">
                  <c:v>156.51816299999999</c:v>
                </c:pt>
                <c:pt idx="1766">
                  <c:v>154.84946400000001</c:v>
                </c:pt>
                <c:pt idx="1767">
                  <c:v>155.11423500000001</c:v>
                </c:pt>
                <c:pt idx="1768">
                  <c:v>155.40913800000001</c:v>
                </c:pt>
                <c:pt idx="1769">
                  <c:v>155.125674</c:v>
                </c:pt>
                <c:pt idx="1770">
                  <c:v>153.56718000000001</c:v>
                </c:pt>
                <c:pt idx="1771">
                  <c:v>153.93397200000001</c:v>
                </c:pt>
                <c:pt idx="1772">
                  <c:v>162.52866</c:v>
                </c:pt>
                <c:pt idx="1773">
                  <c:v>172.272108</c:v>
                </c:pt>
                <c:pt idx="1774">
                  <c:v>162.075378</c:v>
                </c:pt>
                <c:pt idx="1775">
                  <c:v>153.43943999999999</c:v>
                </c:pt>
                <c:pt idx="1776">
                  <c:v>171.02030400000001</c:v>
                </c:pt>
                <c:pt idx="1777">
                  <c:v>199.20569</c:v>
                </c:pt>
                <c:pt idx="1778">
                  <c:v>195.86377999999999</c:v>
                </c:pt>
                <c:pt idx="1779">
                  <c:v>198.82075</c:v>
                </c:pt>
                <c:pt idx="1780">
                  <c:v>202.43626</c:v>
                </c:pt>
                <c:pt idx="1781">
                  <c:v>202.37251499999999</c:v>
                </c:pt>
                <c:pt idx="1782">
                  <c:v>201.16174000000001</c:v>
                </c:pt>
                <c:pt idx="1783">
                  <c:v>198.132475</c:v>
                </c:pt>
                <c:pt idx="1784">
                  <c:v>200.05195000000001</c:v>
                </c:pt>
                <c:pt idx="1785">
                  <c:v>198.86084</c:v>
                </c:pt>
                <c:pt idx="1786">
                  <c:v>198.94254000000001</c:v>
                </c:pt>
                <c:pt idx="1787">
                  <c:v>198.10292999999999</c:v>
                </c:pt>
                <c:pt idx="1788">
                  <c:v>197.67828</c:v>
                </c:pt>
                <c:pt idx="1789">
                  <c:v>198.60994500000001</c:v>
                </c:pt>
                <c:pt idx="1790">
                  <c:v>196.96464</c:v>
                </c:pt>
                <c:pt idx="1791">
                  <c:v>197.62413000000001</c:v>
                </c:pt>
                <c:pt idx="1792">
                  <c:v>197.11663999999999</c:v>
                </c:pt>
                <c:pt idx="1793">
                  <c:v>197.86181999999999</c:v>
                </c:pt>
                <c:pt idx="1794">
                  <c:v>197.23567499999999</c:v>
                </c:pt>
                <c:pt idx="1795">
                  <c:v>199.69152</c:v>
                </c:pt>
                <c:pt idx="1796">
                  <c:v>197.85668999999999</c:v>
                </c:pt>
                <c:pt idx="1797">
                  <c:v>197.744685</c:v>
                </c:pt>
                <c:pt idx="1798">
                  <c:v>197.10884999999999</c:v>
                </c:pt>
                <c:pt idx="1799">
                  <c:v>197.77945500000001</c:v>
                </c:pt>
                <c:pt idx="1800">
                  <c:v>197.15387999999999</c:v>
                </c:pt>
                <c:pt idx="1801">
                  <c:v>199.62540000000001</c:v>
                </c:pt>
                <c:pt idx="1802">
                  <c:v>205.96133</c:v>
                </c:pt>
                <c:pt idx="1803">
                  <c:v>197.77916999999999</c:v>
                </c:pt>
                <c:pt idx="1804">
                  <c:v>196.33536000000001</c:v>
                </c:pt>
                <c:pt idx="1805">
                  <c:v>196.16208</c:v>
                </c:pt>
                <c:pt idx="1806">
                  <c:v>199.82756000000001</c:v>
                </c:pt>
                <c:pt idx="1807">
                  <c:v>198.26006000000001</c:v>
                </c:pt>
                <c:pt idx="1808">
                  <c:v>197.63790499999999</c:v>
                </c:pt>
                <c:pt idx="1809">
                  <c:v>199.89472499999999</c:v>
                </c:pt>
                <c:pt idx="1810">
                  <c:v>200.30123</c:v>
                </c:pt>
                <c:pt idx="1811">
                  <c:v>197.08510000000001</c:v>
                </c:pt>
                <c:pt idx="1812">
                  <c:v>196.01197999999999</c:v>
                </c:pt>
                <c:pt idx="1813">
                  <c:v>198.47970000000001</c:v>
                </c:pt>
                <c:pt idx="1814">
                  <c:v>196.93338499999999</c:v>
                </c:pt>
                <c:pt idx="1815">
                  <c:v>196.988675</c:v>
                </c:pt>
                <c:pt idx="1816">
                  <c:v>196.00647000000001</c:v>
                </c:pt>
                <c:pt idx="1817">
                  <c:v>195.04411999999999</c:v>
                </c:pt>
                <c:pt idx="1818">
                  <c:v>195.25008</c:v>
                </c:pt>
                <c:pt idx="1819">
                  <c:v>195.77144000000001</c:v>
                </c:pt>
                <c:pt idx="1820">
                  <c:v>196.10156499999999</c:v>
                </c:pt>
                <c:pt idx="1821">
                  <c:v>195.685655</c:v>
                </c:pt>
                <c:pt idx="1822">
                  <c:v>195.564055</c:v>
                </c:pt>
                <c:pt idx="1823">
                  <c:v>196.78622999999999</c:v>
                </c:pt>
                <c:pt idx="1824">
                  <c:v>197.71019999999999</c:v>
                </c:pt>
                <c:pt idx="1825">
                  <c:v>196.96749</c:v>
                </c:pt>
                <c:pt idx="1826">
                  <c:v>195.41272000000001</c:v>
                </c:pt>
                <c:pt idx="1827">
                  <c:v>197.28953999999999</c:v>
                </c:pt>
                <c:pt idx="1828">
                  <c:v>195.95384000000001</c:v>
                </c:pt>
                <c:pt idx="1829">
                  <c:v>196.24073999999999</c:v>
                </c:pt>
                <c:pt idx="1830">
                  <c:v>196.49020999999999</c:v>
                </c:pt>
                <c:pt idx="1831">
                  <c:v>197.34929500000001</c:v>
                </c:pt>
                <c:pt idx="1832">
                  <c:v>197.08699999999999</c:v>
                </c:pt>
                <c:pt idx="1833">
                  <c:v>196.75792000000001</c:v>
                </c:pt>
                <c:pt idx="1834">
                  <c:v>196.988675</c:v>
                </c:pt>
                <c:pt idx="1835">
                  <c:v>197.50157999999999</c:v>
                </c:pt>
                <c:pt idx="1836">
                  <c:v>194.45835</c:v>
                </c:pt>
                <c:pt idx="1837">
                  <c:v>194.359455</c:v>
                </c:pt>
                <c:pt idx="1838">
                  <c:v>196.75488000000001</c:v>
                </c:pt>
                <c:pt idx="1839">
                  <c:v>194.95529500000001</c:v>
                </c:pt>
                <c:pt idx="1840">
                  <c:v>195.99412000000001</c:v>
                </c:pt>
                <c:pt idx="1841">
                  <c:v>205.13901000000001</c:v>
                </c:pt>
                <c:pt idx="1842">
                  <c:v>218.18803199999999</c:v>
                </c:pt>
                <c:pt idx="1843">
                  <c:v>205.59387000000001</c:v>
                </c:pt>
                <c:pt idx="1844">
                  <c:v>195.240105</c:v>
                </c:pt>
                <c:pt idx="1845">
                  <c:v>195.51855</c:v>
                </c:pt>
                <c:pt idx="1846">
                  <c:v>197.01384999999999</c:v>
                </c:pt>
                <c:pt idx="1847">
                  <c:v>195.57383999999999</c:v>
                </c:pt>
                <c:pt idx="1848">
                  <c:v>195.02122499999999</c:v>
                </c:pt>
                <c:pt idx="1849">
                  <c:v>195.07679999999999</c:v>
                </c:pt>
                <c:pt idx="1850">
                  <c:v>195.64528000000001</c:v>
                </c:pt>
                <c:pt idx="1851">
                  <c:v>195.52187499999999</c:v>
                </c:pt>
                <c:pt idx="1852">
                  <c:v>195.87337500000001</c:v>
                </c:pt>
                <c:pt idx="1853">
                  <c:v>196.67745500000001</c:v>
                </c:pt>
                <c:pt idx="1854">
                  <c:v>197.01575</c:v>
                </c:pt>
                <c:pt idx="1855">
                  <c:v>196.48849999999999</c:v>
                </c:pt>
                <c:pt idx="1856">
                  <c:v>196.77312000000001</c:v>
                </c:pt>
                <c:pt idx="1857">
                  <c:v>196.03269</c:v>
                </c:pt>
                <c:pt idx="1858">
                  <c:v>196.33232000000001</c:v>
                </c:pt>
                <c:pt idx="1859">
                  <c:v>141.74495999999999</c:v>
                </c:pt>
                <c:pt idx="1860">
                  <c:v>16.167615999999999</c:v>
                </c:pt>
                <c:pt idx="1861">
                  <c:v>16.141860000000001</c:v>
                </c:pt>
                <c:pt idx="1862">
                  <c:v>15.528575999999999</c:v>
                </c:pt>
                <c:pt idx="1863">
                  <c:v>15.296256</c:v>
                </c:pt>
                <c:pt idx="1864">
                  <c:v>15.28758</c:v>
                </c:pt>
                <c:pt idx="1865">
                  <c:v>15.41925</c:v>
                </c:pt>
                <c:pt idx="1866">
                  <c:v>15.720319999999999</c:v>
                </c:pt>
                <c:pt idx="1867">
                  <c:v>15.755520000000001</c:v>
                </c:pt>
                <c:pt idx="1868">
                  <c:v>15.566418000000001</c:v>
                </c:pt>
                <c:pt idx="1869">
                  <c:v>15.66432</c:v>
                </c:pt>
                <c:pt idx="1870">
                  <c:v>15.682048</c:v>
                </c:pt>
                <c:pt idx="1871">
                  <c:v>15.678305999999999</c:v>
                </c:pt>
                <c:pt idx="1872">
                  <c:v>15.706277999999999</c:v>
                </c:pt>
                <c:pt idx="1873">
                  <c:v>15.636348</c:v>
                </c:pt>
                <c:pt idx="1874">
                  <c:v>15.657327</c:v>
                </c:pt>
                <c:pt idx="1875">
                  <c:v>15.650334000000001</c:v>
                </c:pt>
                <c:pt idx="1876">
                  <c:v>15.643340999999999</c:v>
                </c:pt>
                <c:pt idx="1877">
                  <c:v>15.443455999999999</c:v>
                </c:pt>
                <c:pt idx="1878">
                  <c:v>15.48512</c:v>
                </c:pt>
                <c:pt idx="1879">
                  <c:v>15.46776</c:v>
                </c:pt>
                <c:pt idx="1880">
                  <c:v>15.580404</c:v>
                </c:pt>
                <c:pt idx="1881">
                  <c:v>15.608376</c:v>
                </c:pt>
                <c:pt idx="1882">
                  <c:v>15.629355</c:v>
                </c:pt>
                <c:pt idx="1883">
                  <c:v>15.48326</c:v>
                </c:pt>
                <c:pt idx="1884">
                  <c:v>15.4504</c:v>
                </c:pt>
                <c:pt idx="1885">
                  <c:v>15.685299000000001</c:v>
                </c:pt>
                <c:pt idx="1886">
                  <c:v>15.784272</c:v>
                </c:pt>
                <c:pt idx="1887">
                  <c:v>15.812495999999999</c:v>
                </c:pt>
                <c:pt idx="1888">
                  <c:v>15.748236</c:v>
                </c:pt>
                <c:pt idx="1889">
                  <c:v>15.910399999999999</c:v>
                </c:pt>
                <c:pt idx="1890">
                  <c:v>15.924480000000001</c:v>
                </c:pt>
                <c:pt idx="1891">
                  <c:v>16.058240000000001</c:v>
                </c:pt>
                <c:pt idx="1892">
                  <c:v>16.121600000000001</c:v>
                </c:pt>
                <c:pt idx="1893">
                  <c:v>16.072320000000001</c:v>
                </c:pt>
                <c:pt idx="1894">
                  <c:v>16.107520000000001</c:v>
                </c:pt>
                <c:pt idx="1895">
                  <c:v>15.909075</c:v>
                </c:pt>
                <c:pt idx="1896">
                  <c:v>15.825158999999999</c:v>
                </c:pt>
                <c:pt idx="1897">
                  <c:v>15.988896</c:v>
                </c:pt>
                <c:pt idx="1898">
                  <c:v>16.017119999999998</c:v>
                </c:pt>
                <c:pt idx="1899">
                  <c:v>16.066511999999999</c:v>
                </c:pt>
                <c:pt idx="1900">
                  <c:v>15.819547999999999</c:v>
                </c:pt>
                <c:pt idx="1901">
                  <c:v>15.665664</c:v>
                </c:pt>
                <c:pt idx="1902">
                  <c:v>15.742482000000001</c:v>
                </c:pt>
                <c:pt idx="1903">
                  <c:v>15.791524000000001</c:v>
                </c:pt>
                <c:pt idx="1904">
                  <c:v>16.066511999999999</c:v>
                </c:pt>
                <c:pt idx="1905">
                  <c:v>15.979005000000001</c:v>
                </c:pt>
                <c:pt idx="1906">
                  <c:v>15.937047</c:v>
                </c:pt>
                <c:pt idx="1907">
                  <c:v>15.992991</c:v>
                </c:pt>
                <c:pt idx="1908">
                  <c:v>15.797186999999999</c:v>
                </c:pt>
                <c:pt idx="1909">
                  <c:v>15.839145</c:v>
                </c:pt>
                <c:pt idx="1910">
                  <c:v>16.015999999999998</c:v>
                </c:pt>
                <c:pt idx="1911">
                  <c:v>16.001919999999998</c:v>
                </c:pt>
                <c:pt idx="1912">
                  <c:v>15.96672</c:v>
                </c:pt>
                <c:pt idx="1913">
                  <c:v>15.877376</c:v>
                </c:pt>
                <c:pt idx="1914">
                  <c:v>15.912255999999999</c:v>
                </c:pt>
                <c:pt idx="1915">
                  <c:v>15.90732</c:v>
                </c:pt>
                <c:pt idx="1916">
                  <c:v>15.92136</c:v>
                </c:pt>
                <c:pt idx="1917">
                  <c:v>15.772736</c:v>
                </c:pt>
                <c:pt idx="1918">
                  <c:v>15.879239999999999</c:v>
                </c:pt>
                <c:pt idx="1919">
                  <c:v>15.97752</c:v>
                </c:pt>
                <c:pt idx="1920">
                  <c:v>15.87222</c:v>
                </c:pt>
                <c:pt idx="1921">
                  <c:v>15.821567999999999</c:v>
                </c:pt>
                <c:pt idx="1922">
                  <c:v>15.879239999999999</c:v>
                </c:pt>
                <c:pt idx="1923">
                  <c:v>15.914339999999999</c:v>
                </c:pt>
                <c:pt idx="1924">
                  <c:v>15.949439999999999</c:v>
                </c:pt>
                <c:pt idx="1925">
                  <c:v>15.814591999999999</c:v>
                </c:pt>
                <c:pt idx="1926">
                  <c:v>15.793664</c:v>
                </c:pt>
                <c:pt idx="1927">
                  <c:v>16.015999999999998</c:v>
                </c:pt>
                <c:pt idx="1928">
                  <c:v>15.592499999999999</c:v>
                </c:pt>
                <c:pt idx="1929">
                  <c:v>15.896319999999999</c:v>
                </c:pt>
                <c:pt idx="1930">
                  <c:v>15.86112</c:v>
                </c:pt>
                <c:pt idx="1931">
                  <c:v>15.709951999999999</c:v>
                </c:pt>
                <c:pt idx="1932">
                  <c:v>15.744832000000001</c:v>
                </c:pt>
                <c:pt idx="1933">
                  <c:v>15.723903999999999</c:v>
                </c:pt>
                <c:pt idx="1934">
                  <c:v>15.928380000000001</c:v>
                </c:pt>
                <c:pt idx="1935">
                  <c:v>15.844139999999999</c:v>
                </c:pt>
                <c:pt idx="1936">
                  <c:v>15.88626</c:v>
                </c:pt>
                <c:pt idx="1937">
                  <c:v>15.914339999999999</c:v>
                </c:pt>
                <c:pt idx="1938">
                  <c:v>15.9003</c:v>
                </c:pt>
                <c:pt idx="1939">
                  <c:v>15.794805</c:v>
                </c:pt>
                <c:pt idx="1940">
                  <c:v>15.88626</c:v>
                </c:pt>
                <c:pt idx="1941">
                  <c:v>15.858180000000001</c:v>
                </c:pt>
                <c:pt idx="1942">
                  <c:v>15.844139999999999</c:v>
                </c:pt>
                <c:pt idx="1943">
                  <c:v>15.822625</c:v>
                </c:pt>
                <c:pt idx="1944">
                  <c:v>16.040700000000001</c:v>
                </c:pt>
                <c:pt idx="1945">
                  <c:v>15.822625</c:v>
                </c:pt>
                <c:pt idx="1946">
                  <c:v>15.970499999999999</c:v>
                </c:pt>
                <c:pt idx="1947">
                  <c:v>15.914339999999999</c:v>
                </c:pt>
                <c:pt idx="1948">
                  <c:v>15.893280000000001</c:v>
                </c:pt>
                <c:pt idx="1949">
                  <c:v>15.914339999999999</c:v>
                </c:pt>
                <c:pt idx="1950">
                  <c:v>15.914339999999999</c:v>
                </c:pt>
                <c:pt idx="1951">
                  <c:v>15.837120000000001</c:v>
                </c:pt>
                <c:pt idx="1952">
                  <c:v>15.67657</c:v>
                </c:pt>
                <c:pt idx="1953">
                  <c:v>16.009554000000001</c:v>
                </c:pt>
                <c:pt idx="1954">
                  <c:v>16.037801999999999</c:v>
                </c:pt>
                <c:pt idx="1955">
                  <c:v>16.002492</c:v>
                </c:pt>
                <c:pt idx="1956">
                  <c:v>16.073111999999998</c:v>
                </c:pt>
                <c:pt idx="1957">
                  <c:v>15.92136</c:v>
                </c:pt>
                <c:pt idx="1958">
                  <c:v>15.949439999999999</c:v>
                </c:pt>
                <c:pt idx="1959">
                  <c:v>15.914339999999999</c:v>
                </c:pt>
                <c:pt idx="1960">
                  <c:v>15.87222</c:v>
                </c:pt>
                <c:pt idx="1961">
                  <c:v>15.9003</c:v>
                </c:pt>
                <c:pt idx="1962">
                  <c:v>15.85116</c:v>
                </c:pt>
                <c:pt idx="1963">
                  <c:v>15.73221</c:v>
                </c:pt>
                <c:pt idx="1964">
                  <c:v>16.080174</c:v>
                </c:pt>
                <c:pt idx="1965">
                  <c:v>16.023678</c:v>
                </c:pt>
                <c:pt idx="1966">
                  <c:v>15.73221</c:v>
                </c:pt>
                <c:pt idx="1967">
                  <c:v>16.016615999999999</c:v>
                </c:pt>
                <c:pt idx="1968">
                  <c:v>15.690480000000001</c:v>
                </c:pt>
                <c:pt idx="1969">
                  <c:v>15.73884</c:v>
                </c:pt>
                <c:pt idx="1970">
                  <c:v>15.669615</c:v>
                </c:pt>
                <c:pt idx="1971">
                  <c:v>15.66864</c:v>
                </c:pt>
                <c:pt idx="1972">
                  <c:v>15.78096</c:v>
                </c:pt>
                <c:pt idx="1973">
                  <c:v>15.766920000000001</c:v>
                </c:pt>
                <c:pt idx="1974">
                  <c:v>15.62093</c:v>
                </c:pt>
                <c:pt idx="1975">
                  <c:v>15.717779999999999</c:v>
                </c:pt>
                <c:pt idx="1976">
                  <c:v>15.6897</c:v>
                </c:pt>
                <c:pt idx="1977">
                  <c:v>15.5792</c:v>
                </c:pt>
                <c:pt idx="1978">
                  <c:v>15.66864</c:v>
                </c:pt>
                <c:pt idx="1979">
                  <c:v>15.613975</c:v>
                </c:pt>
                <c:pt idx="1980">
                  <c:v>15.861252</c:v>
                </c:pt>
                <c:pt idx="1981">
                  <c:v>15.593109999999999</c:v>
                </c:pt>
                <c:pt idx="1982">
                  <c:v>15.917748</c:v>
                </c:pt>
                <c:pt idx="1983">
                  <c:v>15.613975</c:v>
                </c:pt>
                <c:pt idx="1984">
                  <c:v>15.593109999999999</c:v>
                </c:pt>
                <c:pt idx="1985">
                  <c:v>15.62093</c:v>
                </c:pt>
                <c:pt idx="1986">
                  <c:v>15.710760000000001</c:v>
                </c:pt>
                <c:pt idx="1987">
                  <c:v>15.731820000000001</c:v>
                </c:pt>
                <c:pt idx="1988">
                  <c:v>15.7599</c:v>
                </c:pt>
                <c:pt idx="1989">
                  <c:v>15.627884999999999</c:v>
                </c:pt>
                <c:pt idx="1990">
                  <c:v>15.7599</c:v>
                </c:pt>
                <c:pt idx="1991">
                  <c:v>15.7599</c:v>
                </c:pt>
                <c:pt idx="1992">
                  <c:v>15.600065000000001</c:v>
                </c:pt>
                <c:pt idx="1993">
                  <c:v>15.917748</c:v>
                </c:pt>
                <c:pt idx="1994">
                  <c:v>15.896561999999999</c:v>
                </c:pt>
                <c:pt idx="1995">
                  <c:v>15.727008</c:v>
                </c:pt>
                <c:pt idx="1996">
                  <c:v>15.67104</c:v>
                </c:pt>
                <c:pt idx="1997">
                  <c:v>15.706020000000001</c:v>
                </c:pt>
                <c:pt idx="1998">
                  <c:v>15.727008</c:v>
                </c:pt>
                <c:pt idx="1999">
                  <c:v>15.768984</c:v>
                </c:pt>
                <c:pt idx="2000">
                  <c:v>15.768984</c:v>
                </c:pt>
                <c:pt idx="2001">
                  <c:v>15.720012000000001</c:v>
                </c:pt>
                <c:pt idx="2002">
                  <c:v>15.692028000000001</c:v>
                </c:pt>
                <c:pt idx="2003">
                  <c:v>15.825942</c:v>
                </c:pt>
                <c:pt idx="2004">
                  <c:v>15.706020000000001</c:v>
                </c:pt>
                <c:pt idx="2005">
                  <c:v>15.741</c:v>
                </c:pt>
                <c:pt idx="2006">
                  <c:v>15.768984</c:v>
                </c:pt>
                <c:pt idx="2007">
                  <c:v>15.789972000000001</c:v>
                </c:pt>
                <c:pt idx="2008">
                  <c:v>15.789972000000001</c:v>
                </c:pt>
                <c:pt idx="2009">
                  <c:v>15.789972000000001</c:v>
                </c:pt>
                <c:pt idx="2010">
                  <c:v>15.81096</c:v>
                </c:pt>
                <c:pt idx="2011">
                  <c:v>16.078928000000001</c:v>
                </c:pt>
                <c:pt idx="2012">
                  <c:v>15.976485</c:v>
                </c:pt>
                <c:pt idx="2013">
                  <c:v>15.990555000000001</c:v>
                </c:pt>
                <c:pt idx="2014">
                  <c:v>15.990555000000001</c:v>
                </c:pt>
                <c:pt idx="2015">
                  <c:v>15.894912</c:v>
                </c:pt>
                <c:pt idx="2016">
                  <c:v>15.997590000000001</c:v>
                </c:pt>
                <c:pt idx="2017">
                  <c:v>16.0398</c:v>
                </c:pt>
                <c:pt idx="2018">
                  <c:v>16.074974999999998</c:v>
                </c:pt>
                <c:pt idx="2019">
                  <c:v>16.0398</c:v>
                </c:pt>
                <c:pt idx="2020">
                  <c:v>15.96945</c:v>
                </c:pt>
                <c:pt idx="2021">
                  <c:v>15.962415</c:v>
                </c:pt>
                <c:pt idx="2022">
                  <c:v>15.920204999999999</c:v>
                </c:pt>
                <c:pt idx="2023">
                  <c:v>15.927239999999999</c:v>
                </c:pt>
                <c:pt idx="2024">
                  <c:v>15.831948000000001</c:v>
                </c:pt>
                <c:pt idx="2025">
                  <c:v>15.906135000000001</c:v>
                </c:pt>
                <c:pt idx="2026">
                  <c:v>15.59943</c:v>
                </c:pt>
                <c:pt idx="2027">
                  <c:v>15.741</c:v>
                </c:pt>
                <c:pt idx="2028">
                  <c:v>15.88503</c:v>
                </c:pt>
                <c:pt idx="2029">
                  <c:v>16.100234</c:v>
                </c:pt>
                <c:pt idx="2030">
                  <c:v>15.96945</c:v>
                </c:pt>
                <c:pt idx="2031">
                  <c:v>15.95538</c:v>
                </c:pt>
                <c:pt idx="2032">
                  <c:v>15.96945</c:v>
                </c:pt>
                <c:pt idx="2033">
                  <c:v>16.032765000000001</c:v>
                </c:pt>
                <c:pt idx="2034">
                  <c:v>16.004625000000001</c:v>
                </c:pt>
                <c:pt idx="2035">
                  <c:v>15.96945</c:v>
                </c:pt>
                <c:pt idx="2036">
                  <c:v>15.96945</c:v>
                </c:pt>
                <c:pt idx="2037">
                  <c:v>16.071826000000001</c:v>
                </c:pt>
                <c:pt idx="2038">
                  <c:v>15.997590000000001</c:v>
                </c:pt>
                <c:pt idx="2039">
                  <c:v>15.997590000000001</c:v>
                </c:pt>
                <c:pt idx="2040">
                  <c:v>16.004625000000001</c:v>
                </c:pt>
                <c:pt idx="2041">
                  <c:v>15.990555000000001</c:v>
                </c:pt>
                <c:pt idx="2042">
                  <c:v>16.018695000000001</c:v>
                </c:pt>
                <c:pt idx="2043">
                  <c:v>15.990555000000001</c:v>
                </c:pt>
                <c:pt idx="2044">
                  <c:v>15.866928</c:v>
                </c:pt>
                <c:pt idx="2045">
                  <c:v>16.12154</c:v>
                </c:pt>
                <c:pt idx="2046">
                  <c:v>15.866928</c:v>
                </c:pt>
                <c:pt idx="2047">
                  <c:v>16.12154</c:v>
                </c:pt>
                <c:pt idx="2048">
                  <c:v>15.859932000000001</c:v>
                </c:pt>
                <c:pt idx="2049">
                  <c:v>15.866928</c:v>
                </c:pt>
                <c:pt idx="2050">
                  <c:v>15.81096</c:v>
                </c:pt>
                <c:pt idx="2051">
                  <c:v>15.831948000000001</c:v>
                </c:pt>
                <c:pt idx="2052">
                  <c:v>15.852936</c:v>
                </c:pt>
                <c:pt idx="2053">
                  <c:v>15.887916000000001</c:v>
                </c:pt>
                <c:pt idx="2054">
                  <c:v>16.087236000000001</c:v>
                </c:pt>
                <c:pt idx="2055">
                  <c:v>16.058987999999999</c:v>
                </c:pt>
                <c:pt idx="2056">
                  <c:v>16.058987999999999</c:v>
                </c:pt>
                <c:pt idx="2057">
                  <c:v>16.094297999999998</c:v>
                </c:pt>
                <c:pt idx="2058">
                  <c:v>16.136669999999999</c:v>
                </c:pt>
                <c:pt idx="2059">
                  <c:v>16.069811999999999</c:v>
                </c:pt>
                <c:pt idx="2060">
                  <c:v>16.320395999999999</c:v>
                </c:pt>
                <c:pt idx="2061">
                  <c:v>16.313293999999999</c:v>
                </c:pt>
                <c:pt idx="2062">
                  <c:v>16.277784</c:v>
                </c:pt>
                <c:pt idx="2063">
                  <c:v>16.284886</c:v>
                </c:pt>
                <c:pt idx="2064">
                  <c:v>16.29909</c:v>
                </c:pt>
                <c:pt idx="2065">
                  <c:v>16.02084</c:v>
                </c:pt>
                <c:pt idx="2066">
                  <c:v>16.270682000000001</c:v>
                </c:pt>
                <c:pt idx="2067">
                  <c:v>16.284886</c:v>
                </c:pt>
                <c:pt idx="2068">
                  <c:v>16.284886</c:v>
                </c:pt>
                <c:pt idx="2069">
                  <c:v>16.263580000000001</c:v>
                </c:pt>
                <c:pt idx="2070">
                  <c:v>16.277784</c:v>
                </c:pt>
                <c:pt idx="2071">
                  <c:v>16.29909</c:v>
                </c:pt>
                <c:pt idx="2072">
                  <c:v>16.320395999999999</c:v>
                </c:pt>
                <c:pt idx="2073">
                  <c:v>15.999852000000001</c:v>
                </c:pt>
                <c:pt idx="2074">
                  <c:v>16.213865999999999</c:v>
                </c:pt>
                <c:pt idx="2075">
                  <c:v>15.922896</c:v>
                </c:pt>
                <c:pt idx="2076">
                  <c:v>15.901908000000001</c:v>
                </c:pt>
                <c:pt idx="2077">
                  <c:v>15.866928</c:v>
                </c:pt>
                <c:pt idx="2078">
                  <c:v>15.887916000000001</c:v>
                </c:pt>
                <c:pt idx="2079">
                  <c:v>15.88092</c:v>
                </c:pt>
                <c:pt idx="2080">
                  <c:v>15.915900000000001</c:v>
                </c:pt>
                <c:pt idx="2081">
                  <c:v>15.964872</c:v>
                </c:pt>
                <c:pt idx="2082">
                  <c:v>16.115483999999999</c:v>
                </c:pt>
                <c:pt idx="2083">
                  <c:v>15.992856</c:v>
                </c:pt>
                <c:pt idx="2084">
                  <c:v>15.922896</c:v>
                </c:pt>
                <c:pt idx="2085">
                  <c:v>15.945995999999999</c:v>
                </c:pt>
                <c:pt idx="2086">
                  <c:v>15.953058</c:v>
                </c:pt>
                <c:pt idx="2087">
                  <c:v>15.766985</c:v>
                </c:pt>
                <c:pt idx="2088">
                  <c:v>15.981306</c:v>
                </c:pt>
                <c:pt idx="2089">
                  <c:v>15.974244000000001</c:v>
                </c:pt>
                <c:pt idx="2090">
                  <c:v>16.030740000000002</c:v>
                </c:pt>
                <c:pt idx="2091">
                  <c:v>16.016615999999999</c:v>
                </c:pt>
                <c:pt idx="2092">
                  <c:v>15.88092</c:v>
                </c:pt>
                <c:pt idx="2093">
                  <c:v>16.002492</c:v>
                </c:pt>
                <c:pt idx="2094">
                  <c:v>16.023678</c:v>
                </c:pt>
                <c:pt idx="2095">
                  <c:v>15.887916000000001</c:v>
                </c:pt>
                <c:pt idx="2096">
                  <c:v>16.016615999999999</c:v>
                </c:pt>
                <c:pt idx="2097">
                  <c:v>16.023678</c:v>
                </c:pt>
                <c:pt idx="2098">
                  <c:v>15.845940000000001</c:v>
                </c:pt>
                <c:pt idx="2099">
                  <c:v>15.88092</c:v>
                </c:pt>
                <c:pt idx="2100">
                  <c:v>15.88092</c:v>
                </c:pt>
                <c:pt idx="2101">
                  <c:v>15.901908000000001</c:v>
                </c:pt>
                <c:pt idx="2102">
                  <c:v>15.943884000000001</c:v>
                </c:pt>
                <c:pt idx="2103">
                  <c:v>16.256478000000001</c:v>
                </c:pt>
                <c:pt idx="2104">
                  <c:v>16.159395</c:v>
                </c:pt>
                <c:pt idx="2105">
                  <c:v>16.180499999999999</c:v>
                </c:pt>
                <c:pt idx="2106">
                  <c:v>16.145325</c:v>
                </c:pt>
                <c:pt idx="2107">
                  <c:v>16.117184999999999</c:v>
                </c:pt>
                <c:pt idx="2108">
                  <c:v>16.138290000000001</c:v>
                </c:pt>
                <c:pt idx="2109">
                  <c:v>16.159395</c:v>
                </c:pt>
                <c:pt idx="2110">
                  <c:v>16.110150000000001</c:v>
                </c:pt>
                <c:pt idx="2111">
                  <c:v>16.131254999999999</c:v>
                </c:pt>
                <c:pt idx="2112">
                  <c:v>16.166429999999998</c:v>
                </c:pt>
                <c:pt idx="2113">
                  <c:v>16.187535</c:v>
                </c:pt>
                <c:pt idx="2114">
                  <c:v>16.180499999999999</c:v>
                </c:pt>
                <c:pt idx="2115">
                  <c:v>16.194569999999999</c:v>
                </c:pt>
                <c:pt idx="2116">
                  <c:v>16.180499999999999</c:v>
                </c:pt>
                <c:pt idx="2117">
                  <c:v>16.145325</c:v>
                </c:pt>
                <c:pt idx="2118">
                  <c:v>16.249376000000002</c:v>
                </c:pt>
                <c:pt idx="2119">
                  <c:v>16.270682000000001</c:v>
                </c:pt>
                <c:pt idx="2120">
                  <c:v>16.355906000000001</c:v>
                </c:pt>
                <c:pt idx="2121">
                  <c:v>16.187535</c:v>
                </c:pt>
                <c:pt idx="2122">
                  <c:v>16.222709999999999</c:v>
                </c:pt>
                <c:pt idx="2123">
                  <c:v>16.26492</c:v>
                </c:pt>
                <c:pt idx="2124">
                  <c:v>16.257885000000002</c:v>
                </c:pt>
                <c:pt idx="2125">
                  <c:v>16.271954999999998</c:v>
                </c:pt>
                <c:pt idx="2126">
                  <c:v>15.82152</c:v>
                </c:pt>
                <c:pt idx="2127">
                  <c:v>14.923999999999999</c:v>
                </c:pt>
                <c:pt idx="2128">
                  <c:v>14.9175</c:v>
                </c:pt>
                <c:pt idx="2129">
                  <c:v>14.9305</c:v>
                </c:pt>
                <c:pt idx="2130">
                  <c:v>14.904500000000001</c:v>
                </c:pt>
                <c:pt idx="2131">
                  <c:v>14.904500000000001</c:v>
                </c:pt>
                <c:pt idx="2132">
                  <c:v>14.923999999999999</c:v>
                </c:pt>
                <c:pt idx="2133">
                  <c:v>14.9175</c:v>
                </c:pt>
                <c:pt idx="2134">
                  <c:v>14.898</c:v>
                </c:pt>
                <c:pt idx="2135">
                  <c:v>15.173400000000001</c:v>
                </c:pt>
                <c:pt idx="2136">
                  <c:v>14.9435</c:v>
                </c:pt>
                <c:pt idx="2137">
                  <c:v>14.9305</c:v>
                </c:pt>
                <c:pt idx="2138">
                  <c:v>15.1404</c:v>
                </c:pt>
                <c:pt idx="2139">
                  <c:v>15.1074</c:v>
                </c:pt>
                <c:pt idx="2140">
                  <c:v>14.826499999999999</c:v>
                </c:pt>
                <c:pt idx="2141">
                  <c:v>14.813499999999999</c:v>
                </c:pt>
                <c:pt idx="2142">
                  <c:v>14.839499999999999</c:v>
                </c:pt>
                <c:pt idx="2143">
                  <c:v>14.852499999999999</c:v>
                </c:pt>
                <c:pt idx="2144">
                  <c:v>14.807</c:v>
                </c:pt>
                <c:pt idx="2145">
                  <c:v>14.90255</c:v>
                </c:pt>
                <c:pt idx="2146">
                  <c:v>14.889419999999999</c:v>
                </c:pt>
                <c:pt idx="2147">
                  <c:v>14.781000000000001</c:v>
                </c:pt>
                <c:pt idx="2148">
                  <c:v>14.807</c:v>
                </c:pt>
                <c:pt idx="2149">
                  <c:v>14.833</c:v>
                </c:pt>
                <c:pt idx="2150">
                  <c:v>14.794</c:v>
                </c:pt>
                <c:pt idx="2151">
                  <c:v>14.794</c:v>
                </c:pt>
                <c:pt idx="2152">
                  <c:v>15.054600000000001</c:v>
                </c:pt>
                <c:pt idx="2153">
                  <c:v>14.99553</c:v>
                </c:pt>
                <c:pt idx="2154">
                  <c:v>15.041268000000001</c:v>
                </c:pt>
                <c:pt idx="2155">
                  <c:v>15.047802000000001</c:v>
                </c:pt>
                <c:pt idx="2156">
                  <c:v>15.0282</c:v>
                </c:pt>
                <c:pt idx="2157">
                  <c:v>14.99553</c:v>
                </c:pt>
                <c:pt idx="2158">
                  <c:v>14.982462</c:v>
                </c:pt>
                <c:pt idx="2159">
                  <c:v>14.962859999999999</c:v>
                </c:pt>
                <c:pt idx="2160">
                  <c:v>14.93019</c:v>
                </c:pt>
                <c:pt idx="2161">
                  <c:v>14.943258</c:v>
                </c:pt>
                <c:pt idx="2162">
                  <c:v>14.956326000000001</c:v>
                </c:pt>
                <c:pt idx="2163">
                  <c:v>14.969393999999999</c:v>
                </c:pt>
                <c:pt idx="2164">
                  <c:v>14.988996</c:v>
                </c:pt>
                <c:pt idx="2165">
                  <c:v>15.021666</c:v>
                </c:pt>
                <c:pt idx="2166">
                  <c:v>15.034734</c:v>
                </c:pt>
                <c:pt idx="2167">
                  <c:v>14.99553</c:v>
                </c:pt>
                <c:pt idx="2168">
                  <c:v>15.008597999999999</c:v>
                </c:pt>
                <c:pt idx="2169">
                  <c:v>15.088668</c:v>
                </c:pt>
                <c:pt idx="2170">
                  <c:v>14.869932</c:v>
                </c:pt>
                <c:pt idx="2171">
                  <c:v>14.99553</c:v>
                </c:pt>
                <c:pt idx="2172">
                  <c:v>14.988996</c:v>
                </c:pt>
                <c:pt idx="2173">
                  <c:v>14.975928</c:v>
                </c:pt>
                <c:pt idx="2174">
                  <c:v>14.982462</c:v>
                </c:pt>
                <c:pt idx="2175">
                  <c:v>14.969393999999999</c:v>
                </c:pt>
                <c:pt idx="2176">
                  <c:v>14.93019</c:v>
                </c:pt>
                <c:pt idx="2177">
                  <c:v>14.975928</c:v>
                </c:pt>
                <c:pt idx="2178">
                  <c:v>15.002064000000001</c:v>
                </c:pt>
                <c:pt idx="2179">
                  <c:v>15.002064000000001</c:v>
                </c:pt>
                <c:pt idx="2180">
                  <c:v>15.0282</c:v>
                </c:pt>
                <c:pt idx="2181">
                  <c:v>15.054335999999999</c:v>
                </c:pt>
                <c:pt idx="2182">
                  <c:v>14.813370000000001</c:v>
                </c:pt>
                <c:pt idx="2183">
                  <c:v>15.041268000000001</c:v>
                </c:pt>
                <c:pt idx="2184">
                  <c:v>15.041268000000001</c:v>
                </c:pt>
                <c:pt idx="2185">
                  <c:v>15.067404</c:v>
                </c:pt>
                <c:pt idx="2186">
                  <c:v>14.794065</c:v>
                </c:pt>
                <c:pt idx="2187">
                  <c:v>14.761889999999999</c:v>
                </c:pt>
                <c:pt idx="2188">
                  <c:v>14.839499999999999</c:v>
                </c:pt>
                <c:pt idx="2189">
                  <c:v>14.962859999999999</c:v>
                </c:pt>
                <c:pt idx="2190">
                  <c:v>14.936724</c:v>
                </c:pt>
                <c:pt idx="2191">
                  <c:v>14.878500000000001</c:v>
                </c:pt>
                <c:pt idx="2192">
                  <c:v>14.69754</c:v>
                </c:pt>
                <c:pt idx="2193">
                  <c:v>14.8005</c:v>
                </c:pt>
                <c:pt idx="2194">
                  <c:v>14.671799999999999</c:v>
                </c:pt>
                <c:pt idx="2195">
                  <c:v>14.826499999999999</c:v>
                </c:pt>
                <c:pt idx="2196">
                  <c:v>14.678235000000001</c:v>
                </c:pt>
                <c:pt idx="2197">
                  <c:v>14.82</c:v>
                </c:pt>
                <c:pt idx="2198">
                  <c:v>14.846</c:v>
                </c:pt>
                <c:pt idx="2199">
                  <c:v>14.69754</c:v>
                </c:pt>
                <c:pt idx="2200">
                  <c:v>14.917122000000001</c:v>
                </c:pt>
                <c:pt idx="2201">
                  <c:v>14.684670000000001</c:v>
                </c:pt>
                <c:pt idx="2202">
                  <c:v>14.74902</c:v>
                </c:pt>
                <c:pt idx="2203">
                  <c:v>14.729715000000001</c:v>
                </c:pt>
                <c:pt idx="2204">
                  <c:v>14.74902</c:v>
                </c:pt>
                <c:pt idx="2205">
                  <c:v>14.943258</c:v>
                </c:pt>
                <c:pt idx="2206">
                  <c:v>14.671799999999999</c:v>
                </c:pt>
                <c:pt idx="2207">
                  <c:v>14.7875</c:v>
                </c:pt>
                <c:pt idx="2208">
                  <c:v>14.768000000000001</c:v>
                </c:pt>
                <c:pt idx="2209">
                  <c:v>14.794</c:v>
                </c:pt>
                <c:pt idx="2210">
                  <c:v>14.8005</c:v>
                </c:pt>
                <c:pt idx="2211">
                  <c:v>14.826499999999999</c:v>
                </c:pt>
                <c:pt idx="2212">
                  <c:v>14.742585</c:v>
                </c:pt>
                <c:pt idx="2213">
                  <c:v>14.975928</c:v>
                </c:pt>
                <c:pt idx="2214">
                  <c:v>14.723280000000001</c:v>
                </c:pt>
                <c:pt idx="2215">
                  <c:v>14.859</c:v>
                </c:pt>
                <c:pt idx="2216">
                  <c:v>14.859</c:v>
                </c:pt>
                <c:pt idx="2217">
                  <c:v>14.878500000000001</c:v>
                </c:pt>
                <c:pt idx="2218">
                  <c:v>14.885</c:v>
                </c:pt>
                <c:pt idx="2219">
                  <c:v>14.865500000000001</c:v>
                </c:pt>
                <c:pt idx="2220">
                  <c:v>14.852499999999999</c:v>
                </c:pt>
                <c:pt idx="2221">
                  <c:v>14.839499999999999</c:v>
                </c:pt>
                <c:pt idx="2222">
                  <c:v>14.852499999999999</c:v>
                </c:pt>
                <c:pt idx="2223">
                  <c:v>14.826499999999999</c:v>
                </c:pt>
                <c:pt idx="2224">
                  <c:v>14.794</c:v>
                </c:pt>
                <c:pt idx="2225">
                  <c:v>14.7745</c:v>
                </c:pt>
                <c:pt idx="2226">
                  <c:v>14.794</c:v>
                </c:pt>
                <c:pt idx="2227">
                  <c:v>14.846</c:v>
                </c:pt>
                <c:pt idx="2228">
                  <c:v>14.93019</c:v>
                </c:pt>
                <c:pt idx="2229">
                  <c:v>14.865500000000001</c:v>
                </c:pt>
                <c:pt idx="2230">
                  <c:v>14.872</c:v>
                </c:pt>
                <c:pt idx="2231">
                  <c:v>14.898</c:v>
                </c:pt>
                <c:pt idx="2232">
                  <c:v>14.885</c:v>
                </c:pt>
                <c:pt idx="2233">
                  <c:v>14.891500000000001</c:v>
                </c:pt>
                <c:pt idx="2234">
                  <c:v>14.911</c:v>
                </c:pt>
                <c:pt idx="2235">
                  <c:v>14.911</c:v>
                </c:pt>
                <c:pt idx="2236">
                  <c:v>14.898</c:v>
                </c:pt>
                <c:pt idx="2237">
                  <c:v>14.82624</c:v>
                </c:pt>
                <c:pt idx="2238">
                  <c:v>14.819805000000001</c:v>
                </c:pt>
                <c:pt idx="2239">
                  <c:v>14.8005</c:v>
                </c:pt>
                <c:pt idx="2240">
                  <c:v>14.755455</c:v>
                </c:pt>
                <c:pt idx="2241">
                  <c:v>14.982462</c:v>
                </c:pt>
                <c:pt idx="2242">
                  <c:v>14.956326000000001</c:v>
                </c:pt>
                <c:pt idx="2243">
                  <c:v>14.962859999999999</c:v>
                </c:pt>
                <c:pt idx="2244">
                  <c:v>14.723280000000001</c:v>
                </c:pt>
                <c:pt idx="2245">
                  <c:v>14.65893</c:v>
                </c:pt>
                <c:pt idx="2246">
                  <c:v>14.768000000000001</c:v>
                </c:pt>
                <c:pt idx="2247">
                  <c:v>14.768000000000001</c:v>
                </c:pt>
                <c:pt idx="2248">
                  <c:v>14.6835</c:v>
                </c:pt>
                <c:pt idx="2249">
                  <c:v>14.856595</c:v>
                </c:pt>
                <c:pt idx="2250">
                  <c:v>14.7355</c:v>
                </c:pt>
                <c:pt idx="2251">
                  <c:v>14.7095</c:v>
                </c:pt>
                <c:pt idx="2252">
                  <c:v>14.742000000000001</c:v>
                </c:pt>
                <c:pt idx="2253">
                  <c:v>14.728999999999999</c:v>
                </c:pt>
                <c:pt idx="2254">
                  <c:v>14.742000000000001</c:v>
                </c:pt>
                <c:pt idx="2255">
                  <c:v>14.7095</c:v>
                </c:pt>
                <c:pt idx="2256">
                  <c:v>14.7355</c:v>
                </c:pt>
                <c:pt idx="2257">
                  <c:v>14.7615</c:v>
                </c:pt>
                <c:pt idx="2258">
                  <c:v>14.807</c:v>
                </c:pt>
                <c:pt idx="2259">
                  <c:v>14.8005</c:v>
                </c:pt>
                <c:pt idx="2260">
                  <c:v>14.813499999999999</c:v>
                </c:pt>
                <c:pt idx="2261">
                  <c:v>14.846</c:v>
                </c:pt>
                <c:pt idx="2262">
                  <c:v>14.852499999999999</c:v>
                </c:pt>
                <c:pt idx="2263">
                  <c:v>14.833</c:v>
                </c:pt>
                <c:pt idx="2264">
                  <c:v>14.826499999999999</c:v>
                </c:pt>
                <c:pt idx="2265">
                  <c:v>14.82</c:v>
                </c:pt>
                <c:pt idx="2266">
                  <c:v>14.826499999999999</c:v>
                </c:pt>
                <c:pt idx="2267">
                  <c:v>14.826499999999999</c:v>
                </c:pt>
                <c:pt idx="2268">
                  <c:v>14.833</c:v>
                </c:pt>
                <c:pt idx="2269">
                  <c:v>14.807</c:v>
                </c:pt>
                <c:pt idx="2270">
                  <c:v>14.833</c:v>
                </c:pt>
                <c:pt idx="2271">
                  <c:v>14.91568</c:v>
                </c:pt>
                <c:pt idx="2272">
                  <c:v>14.895985</c:v>
                </c:pt>
                <c:pt idx="2273">
                  <c:v>14.7875</c:v>
                </c:pt>
                <c:pt idx="2274">
                  <c:v>14.807</c:v>
                </c:pt>
                <c:pt idx="2275">
                  <c:v>14.909115</c:v>
                </c:pt>
                <c:pt idx="2276">
                  <c:v>14.856595</c:v>
                </c:pt>
                <c:pt idx="2277">
                  <c:v>14.922245</c:v>
                </c:pt>
                <c:pt idx="2278">
                  <c:v>14.82</c:v>
                </c:pt>
                <c:pt idx="2279">
                  <c:v>14.92881</c:v>
                </c:pt>
                <c:pt idx="2280">
                  <c:v>14.941940000000001</c:v>
                </c:pt>
                <c:pt idx="2281">
                  <c:v>14.721966</c:v>
                </c:pt>
                <c:pt idx="2282">
                  <c:v>14.747669999999999</c:v>
                </c:pt>
                <c:pt idx="2283">
                  <c:v>14.721966</c:v>
                </c:pt>
                <c:pt idx="2284">
                  <c:v>14.577633000000001</c:v>
                </c:pt>
                <c:pt idx="2285">
                  <c:v>14.609448</c:v>
                </c:pt>
                <c:pt idx="2286">
                  <c:v>14.609448</c:v>
                </c:pt>
                <c:pt idx="2287">
                  <c:v>14.754096000000001</c:v>
                </c:pt>
                <c:pt idx="2288">
                  <c:v>14.615811000000001</c:v>
                </c:pt>
                <c:pt idx="2289">
                  <c:v>14.609448</c:v>
                </c:pt>
                <c:pt idx="2290">
                  <c:v>14.709114</c:v>
                </c:pt>
                <c:pt idx="2291">
                  <c:v>14.721966</c:v>
                </c:pt>
                <c:pt idx="2292">
                  <c:v>14.741244</c:v>
                </c:pt>
                <c:pt idx="2293">
                  <c:v>14.734818000000001</c:v>
                </c:pt>
                <c:pt idx="2294">
                  <c:v>14.564907</c:v>
                </c:pt>
                <c:pt idx="2295">
                  <c:v>14.754096000000001</c:v>
                </c:pt>
                <c:pt idx="2296">
                  <c:v>14.760522</c:v>
                </c:pt>
                <c:pt idx="2297">
                  <c:v>14.564907</c:v>
                </c:pt>
                <c:pt idx="2298">
                  <c:v>14.815488</c:v>
                </c:pt>
                <c:pt idx="2299">
                  <c:v>14.809024000000001</c:v>
                </c:pt>
                <c:pt idx="2300">
                  <c:v>14.776704000000001</c:v>
                </c:pt>
                <c:pt idx="2301">
                  <c:v>14.783168</c:v>
                </c:pt>
                <c:pt idx="2302">
                  <c:v>14.696262000000001</c:v>
                </c:pt>
                <c:pt idx="2303">
                  <c:v>14.760522</c:v>
                </c:pt>
                <c:pt idx="2304">
                  <c:v>14.715540000000001</c:v>
                </c:pt>
                <c:pt idx="2305">
                  <c:v>14.632002</c:v>
                </c:pt>
                <c:pt idx="2306">
                  <c:v>14.801409</c:v>
                </c:pt>
                <c:pt idx="2307">
                  <c:v>14.85981</c:v>
                </c:pt>
                <c:pt idx="2308">
                  <c:v>14.876189999999999</c:v>
                </c:pt>
                <c:pt idx="2309">
                  <c:v>14.876189999999999</c:v>
                </c:pt>
                <c:pt idx="2310">
                  <c:v>14.844060000000001</c:v>
                </c:pt>
                <c:pt idx="2311">
                  <c:v>14.996079</c:v>
                </c:pt>
                <c:pt idx="2312">
                  <c:v>14.970122999999999</c:v>
                </c:pt>
                <c:pt idx="2313">
                  <c:v>14.879277</c:v>
                </c:pt>
                <c:pt idx="2314">
                  <c:v>14.85981</c:v>
                </c:pt>
                <c:pt idx="2315">
                  <c:v>14.788430999999999</c:v>
                </c:pt>
                <c:pt idx="2316">
                  <c:v>14.755986</c:v>
                </c:pt>
                <c:pt idx="2317">
                  <c:v>14.755986</c:v>
                </c:pt>
                <c:pt idx="2318">
                  <c:v>14.768964</c:v>
                </c:pt>
                <c:pt idx="2319">
                  <c:v>14.566466</c:v>
                </c:pt>
                <c:pt idx="2320">
                  <c:v>14.710563</c:v>
                </c:pt>
                <c:pt idx="2321">
                  <c:v>14.684607</c:v>
                </c:pt>
                <c:pt idx="2322">
                  <c:v>14.567742000000001</c:v>
                </c:pt>
                <c:pt idx="2323">
                  <c:v>14.704074</c:v>
                </c:pt>
                <c:pt idx="2324">
                  <c:v>14.788430999999999</c:v>
                </c:pt>
                <c:pt idx="2325">
                  <c:v>14.65128</c:v>
                </c:pt>
                <c:pt idx="2326">
                  <c:v>14.696262000000001</c:v>
                </c:pt>
                <c:pt idx="2327">
                  <c:v>14.644854</c:v>
                </c:pt>
                <c:pt idx="2328">
                  <c:v>14.702688</c:v>
                </c:pt>
                <c:pt idx="2329">
                  <c:v>14.854272</c:v>
                </c:pt>
                <c:pt idx="2330">
                  <c:v>14.847808000000001</c:v>
                </c:pt>
                <c:pt idx="2331">
                  <c:v>14.880127999999999</c:v>
                </c:pt>
                <c:pt idx="2332">
                  <c:v>14.764799999999999</c:v>
                </c:pt>
                <c:pt idx="2333">
                  <c:v>14.847808000000001</c:v>
                </c:pt>
                <c:pt idx="2334">
                  <c:v>14.80256</c:v>
                </c:pt>
                <c:pt idx="2335">
                  <c:v>14.796096</c:v>
                </c:pt>
                <c:pt idx="2336">
                  <c:v>14.783168</c:v>
                </c:pt>
                <c:pt idx="2337">
                  <c:v>14.873664</c:v>
                </c:pt>
                <c:pt idx="2338">
                  <c:v>14.912447999999999</c:v>
                </c:pt>
                <c:pt idx="2339">
                  <c:v>14.893056</c:v>
                </c:pt>
                <c:pt idx="2340">
                  <c:v>14.689836</c:v>
                </c:pt>
                <c:pt idx="2341">
                  <c:v>14.721966</c:v>
                </c:pt>
                <c:pt idx="2342">
                  <c:v>14.796096</c:v>
                </c:pt>
                <c:pt idx="2343">
                  <c:v>14.796096</c:v>
                </c:pt>
                <c:pt idx="2344">
                  <c:v>14.763776</c:v>
                </c:pt>
                <c:pt idx="2345">
                  <c:v>14.890368</c:v>
                </c:pt>
                <c:pt idx="2346">
                  <c:v>14.580594</c:v>
                </c:pt>
                <c:pt idx="2347">
                  <c:v>14.639184</c:v>
                </c:pt>
                <c:pt idx="2348">
                  <c:v>14.730029999999999</c:v>
                </c:pt>
                <c:pt idx="2349">
                  <c:v>14.762475</c:v>
                </c:pt>
                <c:pt idx="2350">
                  <c:v>14.762475</c:v>
                </c:pt>
                <c:pt idx="2351">
                  <c:v>14.762475</c:v>
                </c:pt>
                <c:pt idx="2352">
                  <c:v>14.775453000000001</c:v>
                </c:pt>
                <c:pt idx="2353">
                  <c:v>14.885766</c:v>
                </c:pt>
                <c:pt idx="2354">
                  <c:v>14.675648000000001</c:v>
                </c:pt>
                <c:pt idx="2355">
                  <c:v>14.83629</c:v>
                </c:pt>
                <c:pt idx="2356">
                  <c:v>14.811056000000001</c:v>
                </c:pt>
                <c:pt idx="2357">
                  <c:v>14.87304</c:v>
                </c:pt>
                <c:pt idx="2358">
                  <c:v>14.85981</c:v>
                </c:pt>
                <c:pt idx="2359">
                  <c:v>14.944167</c:v>
                </c:pt>
                <c:pt idx="2360">
                  <c:v>14.831208</c:v>
                </c:pt>
                <c:pt idx="2361">
                  <c:v>14.918210999999999</c:v>
                </c:pt>
                <c:pt idx="2362">
                  <c:v>14.79072</c:v>
                </c:pt>
                <c:pt idx="2363">
                  <c:v>14.668642</c:v>
                </c:pt>
                <c:pt idx="2364">
                  <c:v>14.937678</c:v>
                </c:pt>
                <c:pt idx="2365">
                  <c:v>14.720784</c:v>
                </c:pt>
                <c:pt idx="2366">
                  <c:v>14.898744000000001</c:v>
                </c:pt>
                <c:pt idx="2367">
                  <c:v>14.781942000000001</c:v>
                </c:pt>
                <c:pt idx="2368">
                  <c:v>14.743008</c:v>
                </c:pt>
                <c:pt idx="2369">
                  <c:v>14.7798</c:v>
                </c:pt>
                <c:pt idx="2370">
                  <c:v>14.898744000000001</c:v>
                </c:pt>
                <c:pt idx="2371">
                  <c:v>14.944167</c:v>
                </c:pt>
                <c:pt idx="2372">
                  <c:v>14.892255</c:v>
                </c:pt>
                <c:pt idx="2373">
                  <c:v>14.560079999999999</c:v>
                </c:pt>
                <c:pt idx="2374">
                  <c:v>14.827365</c:v>
                </c:pt>
                <c:pt idx="2375">
                  <c:v>14.483447999999999</c:v>
                </c:pt>
                <c:pt idx="2376">
                  <c:v>14.457903999999999</c:v>
                </c:pt>
                <c:pt idx="2377">
                  <c:v>14.807898</c:v>
                </c:pt>
                <c:pt idx="2378">
                  <c:v>14.728391999999999</c:v>
                </c:pt>
                <c:pt idx="2379">
                  <c:v>15.060096</c:v>
                </c:pt>
                <c:pt idx="2380">
                  <c:v>15.061120000000001</c:v>
                </c:pt>
                <c:pt idx="2381">
                  <c:v>15.035264</c:v>
                </c:pt>
                <c:pt idx="2382">
                  <c:v>15.054656</c:v>
                </c:pt>
                <c:pt idx="2383">
                  <c:v>15.15808</c:v>
                </c:pt>
                <c:pt idx="2384">
                  <c:v>15.282048</c:v>
                </c:pt>
                <c:pt idx="2385">
                  <c:v>15.112831999999999</c:v>
                </c:pt>
                <c:pt idx="2386">
                  <c:v>14.539455</c:v>
                </c:pt>
                <c:pt idx="2387">
                  <c:v>14.574168</c:v>
                </c:pt>
                <c:pt idx="2388">
                  <c:v>15.092736</c:v>
                </c:pt>
                <c:pt idx="2389">
                  <c:v>15.132224000000001</c:v>
                </c:pt>
                <c:pt idx="2390">
                  <c:v>15.37344</c:v>
                </c:pt>
                <c:pt idx="2391">
                  <c:v>15.074047999999999</c:v>
                </c:pt>
                <c:pt idx="2392">
                  <c:v>14.664132</c:v>
                </c:pt>
                <c:pt idx="2393">
                  <c:v>15.821718000000001</c:v>
                </c:pt>
                <c:pt idx="2394">
                  <c:v>169.79078999999999</c:v>
                </c:pt>
                <c:pt idx="2395">
                  <c:v>165.83536799999999</c:v>
                </c:pt>
                <c:pt idx="2396">
                  <c:v>162.646432</c:v>
                </c:pt>
                <c:pt idx="2397">
                  <c:v>163.00339199999999</c:v>
                </c:pt>
                <c:pt idx="2398">
                  <c:v>174.75555600000001</c:v>
                </c:pt>
                <c:pt idx="2399">
                  <c:v>163.74454399999999</c:v>
                </c:pt>
                <c:pt idx="2400">
                  <c:v>156.62521599999999</c:v>
                </c:pt>
                <c:pt idx="2401">
                  <c:v>154.23699199999999</c:v>
                </c:pt>
                <c:pt idx="2402">
                  <c:v>155.37696</c:v>
                </c:pt>
                <c:pt idx="2403">
                  <c:v>155.406768</c:v>
                </c:pt>
                <c:pt idx="2404">
                  <c:v>155.52600000000001</c:v>
                </c:pt>
                <c:pt idx="2405">
                  <c:v>155.73759999999999</c:v>
                </c:pt>
                <c:pt idx="2406">
                  <c:v>155.72886</c:v>
                </c:pt>
                <c:pt idx="2407">
                  <c:v>153.70746299999999</c:v>
                </c:pt>
                <c:pt idx="2408">
                  <c:v>159.81504000000001</c:v>
                </c:pt>
                <c:pt idx="2409">
                  <c:v>179.96839199999999</c:v>
                </c:pt>
                <c:pt idx="2410">
                  <c:v>178.936464</c:v>
                </c:pt>
                <c:pt idx="2411">
                  <c:v>178.29588000000001</c:v>
                </c:pt>
                <c:pt idx="2412">
                  <c:v>179.59788</c:v>
                </c:pt>
                <c:pt idx="2413">
                  <c:v>180.00410400000001</c:v>
                </c:pt>
                <c:pt idx="2414">
                  <c:v>180.984882</c:v>
                </c:pt>
                <c:pt idx="2415">
                  <c:v>181.08104399999999</c:v>
                </c:pt>
                <c:pt idx="2416">
                  <c:v>179.09633099999999</c:v>
                </c:pt>
                <c:pt idx="2417">
                  <c:v>170.69220000000001</c:v>
                </c:pt>
                <c:pt idx="2418">
                  <c:v>156.49834200000001</c:v>
                </c:pt>
                <c:pt idx="2419">
                  <c:v>153.69244800000001</c:v>
                </c:pt>
                <c:pt idx="2420">
                  <c:v>154.18703300000001</c:v>
                </c:pt>
                <c:pt idx="2421">
                  <c:v>154.085204</c:v>
                </c:pt>
                <c:pt idx="2422">
                  <c:v>155.3006</c:v>
                </c:pt>
                <c:pt idx="2423">
                  <c:v>153.84166400000001</c:v>
                </c:pt>
                <c:pt idx="2424">
                  <c:v>152.95826</c:v>
                </c:pt>
                <c:pt idx="2425">
                  <c:v>152.83222499999999</c:v>
                </c:pt>
                <c:pt idx="2426">
                  <c:v>153.865712</c:v>
                </c:pt>
                <c:pt idx="2427">
                  <c:v>156.71437599999999</c:v>
                </c:pt>
                <c:pt idx="2428">
                  <c:v>155.522412</c:v>
                </c:pt>
                <c:pt idx="2429">
                  <c:v>156.76385999999999</c:v>
                </c:pt>
                <c:pt idx="2430">
                  <c:v>160.42500000000001</c:v>
                </c:pt>
                <c:pt idx="2431">
                  <c:v>159.45513600000001</c:v>
                </c:pt>
                <c:pt idx="2432">
                  <c:v>155.828496</c:v>
                </c:pt>
                <c:pt idx="2433">
                  <c:v>155.41394399999999</c:v>
                </c:pt>
                <c:pt idx="2434">
                  <c:v>152.40406999999999</c:v>
                </c:pt>
                <c:pt idx="2435">
                  <c:v>152.72712000000001</c:v>
                </c:pt>
                <c:pt idx="2436">
                  <c:v>153.01504399999999</c:v>
                </c:pt>
                <c:pt idx="2437">
                  <c:v>153.67524900000001</c:v>
                </c:pt>
                <c:pt idx="2438">
                  <c:v>153.4169</c:v>
                </c:pt>
                <c:pt idx="2439">
                  <c:v>153.1985</c:v>
                </c:pt>
                <c:pt idx="2440">
                  <c:v>153.13134199999999</c:v>
                </c:pt>
                <c:pt idx="2441">
                  <c:v>152.437376</c:v>
                </c:pt>
                <c:pt idx="2442">
                  <c:v>152.84569300000001</c:v>
                </c:pt>
                <c:pt idx="2443">
                  <c:v>152.23025999999999</c:v>
                </c:pt>
                <c:pt idx="2444">
                  <c:v>152.47486799999999</c:v>
                </c:pt>
                <c:pt idx="2445">
                  <c:v>152.44329099999999</c:v>
                </c:pt>
                <c:pt idx="2446">
                  <c:v>153.27066300000001</c:v>
                </c:pt>
                <c:pt idx="2447">
                  <c:v>162.6353</c:v>
                </c:pt>
                <c:pt idx="2448">
                  <c:v>155.14344299999999</c:v>
                </c:pt>
                <c:pt idx="2449">
                  <c:v>154.23817500000001</c:v>
                </c:pt>
                <c:pt idx="2450">
                  <c:v>153.46394699999999</c:v>
                </c:pt>
                <c:pt idx="2451">
                  <c:v>152.49780000000001</c:v>
                </c:pt>
                <c:pt idx="2452">
                  <c:v>152.83222499999999</c:v>
                </c:pt>
                <c:pt idx="2453">
                  <c:v>152.61646400000001</c:v>
                </c:pt>
                <c:pt idx="2454">
                  <c:v>152.834136</c:v>
                </c:pt>
                <c:pt idx="2455">
                  <c:v>153.54066</c:v>
                </c:pt>
                <c:pt idx="2456">
                  <c:v>152.608092</c:v>
                </c:pt>
                <c:pt idx="2457">
                  <c:v>153.36730499999999</c:v>
                </c:pt>
                <c:pt idx="2458">
                  <c:v>153.523188</c:v>
                </c:pt>
                <c:pt idx="2459">
                  <c:v>153.67524900000001</c:v>
                </c:pt>
                <c:pt idx="2460">
                  <c:v>153.75578400000001</c:v>
                </c:pt>
                <c:pt idx="2461">
                  <c:v>153.11396099999999</c:v>
                </c:pt>
                <c:pt idx="2462">
                  <c:v>152.89911000000001</c:v>
                </c:pt>
                <c:pt idx="2463">
                  <c:v>153.79879199999999</c:v>
                </c:pt>
                <c:pt idx="2464">
                  <c:v>153.93955199999999</c:v>
                </c:pt>
                <c:pt idx="2465">
                  <c:v>154.62789599999999</c:v>
                </c:pt>
                <c:pt idx="2466">
                  <c:v>153.80376000000001</c:v>
                </c:pt>
                <c:pt idx="2467">
                  <c:v>153.66226399999999</c:v>
                </c:pt>
                <c:pt idx="2468">
                  <c:v>154.35391999999999</c:v>
                </c:pt>
                <c:pt idx="2469">
                  <c:v>153.93697599999999</c:v>
                </c:pt>
                <c:pt idx="2470">
                  <c:v>153.11099999999999</c:v>
                </c:pt>
                <c:pt idx="2471">
                  <c:v>153.98288400000001</c:v>
                </c:pt>
                <c:pt idx="2472">
                  <c:v>155.89878400000001</c:v>
                </c:pt>
                <c:pt idx="2473">
                  <c:v>153.16454400000001</c:v>
                </c:pt>
                <c:pt idx="2474">
                  <c:v>153.048348</c:v>
                </c:pt>
                <c:pt idx="2475">
                  <c:v>153.50659999999999</c:v>
                </c:pt>
                <c:pt idx="2476">
                  <c:v>154.35300000000001</c:v>
                </c:pt>
                <c:pt idx="2477">
                  <c:v>153.87303600000001</c:v>
                </c:pt>
                <c:pt idx="2478">
                  <c:v>153.322048</c:v>
                </c:pt>
                <c:pt idx="2479">
                  <c:v>153.184416</c:v>
                </c:pt>
                <c:pt idx="2480">
                  <c:v>153.39196799999999</c:v>
                </c:pt>
                <c:pt idx="2481">
                  <c:v>153.3203</c:v>
                </c:pt>
                <c:pt idx="2482">
                  <c:v>154.01020800000001</c:v>
                </c:pt>
                <c:pt idx="2483">
                  <c:v>153.73052799999999</c:v>
                </c:pt>
                <c:pt idx="2484">
                  <c:v>153.664288</c:v>
                </c:pt>
                <c:pt idx="2485">
                  <c:v>154.35208</c:v>
                </c:pt>
                <c:pt idx="2486">
                  <c:v>154.006068</c:v>
                </c:pt>
                <c:pt idx="2487">
                  <c:v>152.32308</c:v>
                </c:pt>
                <c:pt idx="2488">
                  <c:v>154.00800000000001</c:v>
                </c:pt>
                <c:pt idx="2489">
                  <c:v>153.86080000000001</c:v>
                </c:pt>
                <c:pt idx="2490">
                  <c:v>153.72463999999999</c:v>
                </c:pt>
                <c:pt idx="2491">
                  <c:v>152.57132799999999</c:v>
                </c:pt>
                <c:pt idx="2492">
                  <c:v>153.73522</c:v>
                </c:pt>
                <c:pt idx="2493">
                  <c:v>154.07920799999999</c:v>
                </c:pt>
                <c:pt idx="2494">
                  <c:v>153.94084000000001</c:v>
                </c:pt>
                <c:pt idx="2495">
                  <c:v>154.55880400000001</c:v>
                </c:pt>
                <c:pt idx="2496">
                  <c:v>154.48455999999999</c:v>
                </c:pt>
                <c:pt idx="2497">
                  <c:v>154.216104</c:v>
                </c:pt>
                <c:pt idx="2498">
                  <c:v>154.55770000000001</c:v>
                </c:pt>
                <c:pt idx="2499">
                  <c:v>154.079024</c:v>
                </c:pt>
                <c:pt idx="2500">
                  <c:v>153.22305600000001</c:v>
                </c:pt>
                <c:pt idx="2501">
                  <c:v>153.519296</c:v>
                </c:pt>
                <c:pt idx="2502">
                  <c:v>153.18</c:v>
                </c:pt>
                <c:pt idx="2503">
                  <c:v>153.06297599999999</c:v>
                </c:pt>
                <c:pt idx="2504">
                  <c:v>152.73619199999999</c:v>
                </c:pt>
                <c:pt idx="2505">
                  <c:v>153.779472</c:v>
                </c:pt>
                <c:pt idx="2506">
                  <c:v>153.18</c:v>
                </c:pt>
                <c:pt idx="2507">
                  <c:v>153.87</c:v>
                </c:pt>
                <c:pt idx="2508">
                  <c:v>153.595932</c:v>
                </c:pt>
                <c:pt idx="2509">
                  <c:v>153.52849599999999</c:v>
                </c:pt>
                <c:pt idx="2510">
                  <c:v>153.253232</c:v>
                </c:pt>
                <c:pt idx="2511">
                  <c:v>152.84512000000001</c:v>
                </c:pt>
                <c:pt idx="2512">
                  <c:v>153.59814</c:v>
                </c:pt>
                <c:pt idx="2513">
                  <c:v>153.45811599999999</c:v>
                </c:pt>
                <c:pt idx="2514">
                  <c:v>153.871104</c:v>
                </c:pt>
                <c:pt idx="2515">
                  <c:v>152.877725</c:v>
                </c:pt>
                <c:pt idx="2516">
                  <c:v>154.17675</c:v>
                </c:pt>
                <c:pt idx="2517">
                  <c:v>152.45348300000001</c:v>
                </c:pt>
                <c:pt idx="2518">
                  <c:v>153.52573599999999</c:v>
                </c:pt>
                <c:pt idx="2519">
                  <c:v>153.39251999999999</c:v>
                </c:pt>
                <c:pt idx="2520">
                  <c:v>153.732</c:v>
                </c:pt>
                <c:pt idx="2521">
                  <c:v>153.723444</c:v>
                </c:pt>
                <c:pt idx="2522">
                  <c:v>153.25626800000001</c:v>
                </c:pt>
                <c:pt idx="2523">
                  <c:v>153.746352</c:v>
                </c:pt>
                <c:pt idx="2524">
                  <c:v>153.907352</c:v>
                </c:pt>
                <c:pt idx="2525">
                  <c:v>154.491736</c:v>
                </c:pt>
                <c:pt idx="2526">
                  <c:v>152.11286999999999</c:v>
                </c:pt>
                <c:pt idx="2527">
                  <c:v>152.74131600000001</c:v>
                </c:pt>
                <c:pt idx="2528">
                  <c:v>152.45685</c:v>
                </c:pt>
                <c:pt idx="2529">
                  <c:v>152.599174</c:v>
                </c:pt>
                <c:pt idx="2530">
                  <c:v>152.53265300000001</c:v>
                </c:pt>
                <c:pt idx="2531">
                  <c:v>152.93177900000001</c:v>
                </c:pt>
                <c:pt idx="2532">
                  <c:v>152.029605</c:v>
                </c:pt>
                <c:pt idx="2533">
                  <c:v>152.23025999999999</c:v>
                </c:pt>
                <c:pt idx="2534">
                  <c:v>152.646039</c:v>
                </c:pt>
                <c:pt idx="2535">
                  <c:v>153.616736</c:v>
                </c:pt>
                <c:pt idx="2536">
                  <c:v>152.386234</c:v>
                </c:pt>
                <c:pt idx="2537">
                  <c:v>153.20323200000001</c:v>
                </c:pt>
                <c:pt idx="2538">
                  <c:v>152.57742500000001</c:v>
                </c:pt>
                <c:pt idx="2539">
                  <c:v>152.12706600000001</c:v>
                </c:pt>
                <c:pt idx="2540">
                  <c:v>154.28501199999999</c:v>
                </c:pt>
                <c:pt idx="2541">
                  <c:v>153.44633999999999</c:v>
                </c:pt>
                <c:pt idx="2542">
                  <c:v>153.31800000000001</c:v>
                </c:pt>
                <c:pt idx="2543">
                  <c:v>153.87156400000001</c:v>
                </c:pt>
                <c:pt idx="2544">
                  <c:v>153.3203</c:v>
                </c:pt>
                <c:pt idx="2545">
                  <c:v>154.00054800000001</c:v>
                </c:pt>
                <c:pt idx="2546">
                  <c:v>172.67840100000001</c:v>
                </c:pt>
                <c:pt idx="2547">
                  <c:v>175.363497</c:v>
                </c:pt>
                <c:pt idx="2548">
                  <c:v>174.05135999999999</c:v>
                </c:pt>
                <c:pt idx="2549">
                  <c:v>154.35391999999999</c:v>
                </c:pt>
                <c:pt idx="2550">
                  <c:v>158.28857600000001</c:v>
                </c:pt>
                <c:pt idx="2551">
                  <c:v>172.72890000000001</c:v>
                </c:pt>
                <c:pt idx="2552">
                  <c:v>174.39592500000001</c:v>
                </c:pt>
                <c:pt idx="2553">
                  <c:v>170.5795</c:v>
                </c:pt>
                <c:pt idx="2554">
                  <c:v>175.943724</c:v>
                </c:pt>
                <c:pt idx="2555">
                  <c:v>175.953024</c:v>
                </c:pt>
                <c:pt idx="2556">
                  <c:v>175.79380800000001</c:v>
                </c:pt>
                <c:pt idx="2557">
                  <c:v>162.861896</c:v>
                </c:pt>
                <c:pt idx="2558">
                  <c:v>152.54976099999999</c:v>
                </c:pt>
                <c:pt idx="2559">
                  <c:v>152.508174</c:v>
                </c:pt>
                <c:pt idx="2560">
                  <c:v>152.57396700000001</c:v>
                </c:pt>
                <c:pt idx="2561">
                  <c:v>154.08307199999999</c:v>
                </c:pt>
                <c:pt idx="2562">
                  <c:v>153.37504000000001</c:v>
                </c:pt>
                <c:pt idx="2563">
                  <c:v>156.890916</c:v>
                </c:pt>
                <c:pt idx="2564">
                  <c:v>153.14098799999999</c:v>
                </c:pt>
                <c:pt idx="2565">
                  <c:v>152.31434400000001</c:v>
                </c:pt>
                <c:pt idx="2566">
                  <c:v>152.98829000000001</c:v>
                </c:pt>
                <c:pt idx="2567">
                  <c:v>153.225436</c:v>
                </c:pt>
                <c:pt idx="2568">
                  <c:v>153.181028</c:v>
                </c:pt>
                <c:pt idx="2569">
                  <c:v>152.31434400000001</c:v>
                </c:pt>
                <c:pt idx="2570">
                  <c:v>153.52946700000001</c:v>
                </c:pt>
                <c:pt idx="2571">
                  <c:v>165.27431999999999</c:v>
                </c:pt>
                <c:pt idx="2572">
                  <c:v>175.596462</c:v>
                </c:pt>
                <c:pt idx="2573">
                  <c:v>175.780044</c:v>
                </c:pt>
                <c:pt idx="2574">
                  <c:v>176.09336099999999</c:v>
                </c:pt>
                <c:pt idx="2575">
                  <c:v>164.98820000000001</c:v>
                </c:pt>
                <c:pt idx="2576">
                  <c:v>154.838775</c:v>
                </c:pt>
                <c:pt idx="2577">
                  <c:v>153.14098799999999</c:v>
                </c:pt>
                <c:pt idx="2578">
                  <c:v>153.07046299999999</c:v>
                </c:pt>
                <c:pt idx="2579">
                  <c:v>152.75715</c:v>
                </c:pt>
                <c:pt idx="2580">
                  <c:v>152.78499600000001</c:v>
                </c:pt>
                <c:pt idx="2581">
                  <c:v>153.19395</c:v>
                </c:pt>
                <c:pt idx="2582">
                  <c:v>153.06200000000001</c:v>
                </c:pt>
                <c:pt idx="2583">
                  <c:v>152.62574599999999</c:v>
                </c:pt>
                <c:pt idx="2584">
                  <c:v>152.23790399999999</c:v>
                </c:pt>
                <c:pt idx="2585">
                  <c:v>152.513361</c:v>
                </c:pt>
                <c:pt idx="2586">
                  <c:v>153.14098799999999</c:v>
                </c:pt>
                <c:pt idx="2587">
                  <c:v>152.04571200000001</c:v>
                </c:pt>
                <c:pt idx="2588">
                  <c:v>153.864204</c:v>
                </c:pt>
                <c:pt idx="2589">
                  <c:v>153.711668</c:v>
                </c:pt>
                <c:pt idx="2590">
                  <c:v>153.528864</c:v>
                </c:pt>
                <c:pt idx="2591">
                  <c:v>153.871104</c:v>
                </c:pt>
                <c:pt idx="2592">
                  <c:v>153.932376</c:v>
                </c:pt>
                <c:pt idx="2593">
                  <c:v>153.69372799999999</c:v>
                </c:pt>
                <c:pt idx="2594">
                  <c:v>151.79255000000001</c:v>
                </c:pt>
                <c:pt idx="2595">
                  <c:v>151.81602799999999</c:v>
                </c:pt>
                <c:pt idx="2596">
                  <c:v>153.457472</c:v>
                </c:pt>
                <c:pt idx="2597">
                  <c:v>156.00716</c:v>
                </c:pt>
                <c:pt idx="2598">
                  <c:v>153.666864</c:v>
                </c:pt>
                <c:pt idx="2599">
                  <c:v>153.02580800000001</c:v>
                </c:pt>
                <c:pt idx="2600">
                  <c:v>153.66668000000001</c:v>
                </c:pt>
                <c:pt idx="2601">
                  <c:v>152.461491</c:v>
                </c:pt>
                <c:pt idx="2602">
                  <c:v>152.81657300000001</c:v>
                </c:pt>
                <c:pt idx="2603">
                  <c:v>152.334</c:v>
                </c:pt>
                <c:pt idx="2604">
                  <c:v>153.471318</c:v>
                </c:pt>
                <c:pt idx="2605">
                  <c:v>152.46613199999999</c:v>
                </c:pt>
                <c:pt idx="2606">
                  <c:v>154.75044</c:v>
                </c:pt>
                <c:pt idx="2607">
                  <c:v>152.60017500000001</c:v>
                </c:pt>
                <c:pt idx="2608">
                  <c:v>152.513361</c:v>
                </c:pt>
                <c:pt idx="2609">
                  <c:v>152.44329099999999</c:v>
                </c:pt>
                <c:pt idx="2610">
                  <c:v>152.54148000000001</c:v>
                </c:pt>
                <c:pt idx="2611">
                  <c:v>152.954984</c:v>
                </c:pt>
                <c:pt idx="2612">
                  <c:v>152.94115199999999</c:v>
                </c:pt>
                <c:pt idx="2613">
                  <c:v>152.78899999999999</c:v>
                </c:pt>
                <c:pt idx="2614">
                  <c:v>152.966632</c:v>
                </c:pt>
                <c:pt idx="2615">
                  <c:v>152.47486799999999</c:v>
                </c:pt>
                <c:pt idx="2616">
                  <c:v>153.442016</c:v>
                </c:pt>
                <c:pt idx="2617">
                  <c:v>152.54148000000001</c:v>
                </c:pt>
                <c:pt idx="2618">
                  <c:v>152.20841999999999</c:v>
                </c:pt>
                <c:pt idx="2619">
                  <c:v>152.39961099999999</c:v>
                </c:pt>
                <c:pt idx="2620">
                  <c:v>152.70164</c:v>
                </c:pt>
                <c:pt idx="2621">
                  <c:v>153.110412</c:v>
                </c:pt>
                <c:pt idx="2622">
                  <c:v>153.42581799999999</c:v>
                </c:pt>
                <c:pt idx="2623">
                  <c:v>152.973184</c:v>
                </c:pt>
                <c:pt idx="2624">
                  <c:v>152.665695</c:v>
                </c:pt>
                <c:pt idx="2625">
                  <c:v>152.845056</c:v>
                </c:pt>
                <c:pt idx="2626">
                  <c:v>153.20760000000001</c:v>
                </c:pt>
                <c:pt idx="2627">
                  <c:v>153.10386</c:v>
                </c:pt>
                <c:pt idx="2628">
                  <c:v>152.79810000000001</c:v>
                </c:pt>
                <c:pt idx="2629">
                  <c:v>152.53265300000001</c:v>
                </c:pt>
                <c:pt idx="2630">
                  <c:v>152.163375</c:v>
                </c:pt>
                <c:pt idx="2631">
                  <c:v>152.41635500000001</c:v>
                </c:pt>
                <c:pt idx="2632">
                  <c:v>152.35957099999999</c:v>
                </c:pt>
                <c:pt idx="2633">
                  <c:v>154.04480000000001</c:v>
                </c:pt>
                <c:pt idx="2634">
                  <c:v>153.528864</c:v>
                </c:pt>
                <c:pt idx="2635">
                  <c:v>152.965824</c:v>
                </c:pt>
                <c:pt idx="2636">
                  <c:v>154.55926400000001</c:v>
                </c:pt>
                <c:pt idx="2637">
                  <c:v>153.80265600000001</c:v>
                </c:pt>
                <c:pt idx="2638">
                  <c:v>153.22875999999999</c:v>
                </c:pt>
                <c:pt idx="2639">
                  <c:v>153.10787199999999</c:v>
                </c:pt>
                <c:pt idx="2640">
                  <c:v>153.048348</c:v>
                </c:pt>
                <c:pt idx="2641">
                  <c:v>153.31514799999999</c:v>
                </c:pt>
                <c:pt idx="2642">
                  <c:v>153.048348</c:v>
                </c:pt>
                <c:pt idx="2643">
                  <c:v>153.80376000000001</c:v>
                </c:pt>
                <c:pt idx="2644">
                  <c:v>155.45699999999999</c:v>
                </c:pt>
                <c:pt idx="2645">
                  <c:v>153.372648</c:v>
                </c:pt>
                <c:pt idx="2646">
                  <c:v>154.14277999999999</c:v>
                </c:pt>
                <c:pt idx="2647">
                  <c:v>153.304844</c:v>
                </c:pt>
                <c:pt idx="2648">
                  <c:v>151.61591899999999</c:v>
                </c:pt>
                <c:pt idx="2649">
                  <c:v>153.22692000000001</c:v>
                </c:pt>
                <c:pt idx="2650">
                  <c:v>151.549216</c:v>
                </c:pt>
                <c:pt idx="2651">
                  <c:v>153.45231999999999</c:v>
                </c:pt>
                <c:pt idx="2652">
                  <c:v>153.70025999999999</c:v>
                </c:pt>
                <c:pt idx="2653">
                  <c:v>152.94115199999999</c:v>
                </c:pt>
                <c:pt idx="2654">
                  <c:v>152.23025999999999</c:v>
                </c:pt>
                <c:pt idx="2655">
                  <c:v>163.18803600000001</c:v>
                </c:pt>
                <c:pt idx="2656">
                  <c:v>175.93042500000001</c:v>
                </c:pt>
                <c:pt idx="2657">
                  <c:v>175.87713600000001</c:v>
                </c:pt>
                <c:pt idx="2658">
                  <c:v>175.445244</c:v>
                </c:pt>
                <c:pt idx="2659">
                  <c:v>171.82773</c:v>
                </c:pt>
                <c:pt idx="2660">
                  <c:v>154.25409999999999</c:v>
                </c:pt>
                <c:pt idx="2661">
                  <c:v>153.23225600000001</c:v>
                </c:pt>
                <c:pt idx="2662">
                  <c:v>152.01613699999999</c:v>
                </c:pt>
                <c:pt idx="2663">
                  <c:v>153.56502</c:v>
                </c:pt>
                <c:pt idx="2664">
                  <c:v>151.489338</c:v>
                </c:pt>
                <c:pt idx="2665">
                  <c:v>152.282949</c:v>
                </c:pt>
                <c:pt idx="2666">
                  <c:v>151.692632</c:v>
                </c:pt>
                <c:pt idx="2667">
                  <c:v>152.172202</c:v>
                </c:pt>
                <c:pt idx="2668">
                  <c:v>152.13744</c:v>
                </c:pt>
                <c:pt idx="2669">
                  <c:v>153.74049600000001</c:v>
                </c:pt>
                <c:pt idx="2670">
                  <c:v>163.39751999999999</c:v>
                </c:pt>
                <c:pt idx="2671">
                  <c:v>153.20741799999999</c:v>
                </c:pt>
                <c:pt idx="2672">
                  <c:v>154.66708800000001</c:v>
                </c:pt>
                <c:pt idx="2673">
                  <c:v>153.356088</c:v>
                </c:pt>
                <c:pt idx="2674">
                  <c:v>153.044668</c:v>
                </c:pt>
                <c:pt idx="2675">
                  <c:v>153.790144</c:v>
                </c:pt>
                <c:pt idx="2676">
                  <c:v>153.85822400000001</c:v>
                </c:pt>
                <c:pt idx="2677">
                  <c:v>154.45328000000001</c:v>
                </c:pt>
                <c:pt idx="2678">
                  <c:v>158.29704000000001</c:v>
                </c:pt>
                <c:pt idx="2679">
                  <c:v>153.35802000000001</c:v>
                </c:pt>
                <c:pt idx="2680">
                  <c:v>153.00078400000001</c:v>
                </c:pt>
                <c:pt idx="2681">
                  <c:v>153.16454400000001</c:v>
                </c:pt>
                <c:pt idx="2682">
                  <c:v>152.96140800000001</c:v>
                </c:pt>
                <c:pt idx="2683">
                  <c:v>152.98128</c:v>
                </c:pt>
                <c:pt idx="2684">
                  <c:v>153.11707200000001</c:v>
                </c:pt>
                <c:pt idx="2685">
                  <c:v>153.46041600000001</c:v>
                </c:pt>
                <c:pt idx="2686">
                  <c:v>153.65656000000001</c:v>
                </c:pt>
                <c:pt idx="2687">
                  <c:v>154.48713599999999</c:v>
                </c:pt>
                <c:pt idx="2688">
                  <c:v>159.90520000000001</c:v>
                </c:pt>
                <c:pt idx="2689">
                  <c:v>175.157409</c:v>
                </c:pt>
                <c:pt idx="2690">
                  <c:v>177.12817200000001</c:v>
                </c:pt>
                <c:pt idx="2691">
                  <c:v>179.892504</c:v>
                </c:pt>
                <c:pt idx="2692">
                  <c:v>179.918172</c:v>
                </c:pt>
                <c:pt idx="2693">
                  <c:v>163.946944</c:v>
                </c:pt>
                <c:pt idx="2694">
                  <c:v>162.089832</c:v>
                </c:pt>
                <c:pt idx="2695">
                  <c:v>156.00716</c:v>
                </c:pt>
                <c:pt idx="2696">
                  <c:v>154.49155200000001</c:v>
                </c:pt>
                <c:pt idx="2697">
                  <c:v>154.62899999999999</c:v>
                </c:pt>
                <c:pt idx="2698">
                  <c:v>153.11396099999999</c:v>
                </c:pt>
                <c:pt idx="2699">
                  <c:v>152.282949</c:v>
                </c:pt>
                <c:pt idx="2700">
                  <c:v>153.52776</c:v>
                </c:pt>
                <c:pt idx="2701">
                  <c:v>153.90937600000001</c:v>
                </c:pt>
                <c:pt idx="2702">
                  <c:v>152.70164</c:v>
                </c:pt>
                <c:pt idx="2703">
                  <c:v>154.80287999999999</c:v>
                </c:pt>
                <c:pt idx="2704">
                  <c:v>154.37646000000001</c:v>
                </c:pt>
                <c:pt idx="2705">
                  <c:v>153.720868</c:v>
                </c:pt>
                <c:pt idx="2706">
                  <c:v>154.31564800000001</c:v>
                </c:pt>
                <c:pt idx="2707">
                  <c:v>154.48143200000001</c:v>
                </c:pt>
                <c:pt idx="2708">
                  <c:v>155.72932</c:v>
                </c:pt>
                <c:pt idx="2709">
                  <c:v>154.07184799999999</c:v>
                </c:pt>
                <c:pt idx="2710">
                  <c:v>155.38202000000001</c:v>
                </c:pt>
                <c:pt idx="2711">
                  <c:v>154.42282800000001</c:v>
                </c:pt>
                <c:pt idx="2712">
                  <c:v>151.84423799999999</c:v>
                </c:pt>
                <c:pt idx="2713">
                  <c:v>152.924226</c:v>
                </c:pt>
                <c:pt idx="2714">
                  <c:v>152.76534000000001</c:v>
                </c:pt>
                <c:pt idx="2715">
                  <c:v>153.932376</c:v>
                </c:pt>
                <c:pt idx="2716">
                  <c:v>168.36124799999999</c:v>
                </c:pt>
                <c:pt idx="2717">
                  <c:v>154.62899999999999</c:v>
                </c:pt>
                <c:pt idx="2718">
                  <c:v>154.35410400000001</c:v>
                </c:pt>
                <c:pt idx="2719">
                  <c:v>152.79873699999999</c:v>
                </c:pt>
                <c:pt idx="2720">
                  <c:v>152.65522999999999</c:v>
                </c:pt>
                <c:pt idx="2721">
                  <c:v>153.24809500000001</c:v>
                </c:pt>
                <c:pt idx="2722">
                  <c:v>153.04689400000001</c:v>
                </c:pt>
                <c:pt idx="2723">
                  <c:v>153.32043999999999</c:v>
                </c:pt>
                <c:pt idx="2724">
                  <c:v>152.348196</c:v>
                </c:pt>
                <c:pt idx="2725">
                  <c:v>152.08284</c:v>
                </c:pt>
                <c:pt idx="2726">
                  <c:v>155.437128</c:v>
                </c:pt>
                <c:pt idx="2727">
                  <c:v>151.96854400000001</c:v>
                </c:pt>
                <c:pt idx="2728">
                  <c:v>151.62237999999999</c:v>
                </c:pt>
                <c:pt idx="2729">
                  <c:v>152.04571200000001</c:v>
                </c:pt>
                <c:pt idx="2730">
                  <c:v>151.55558600000001</c:v>
                </c:pt>
                <c:pt idx="2731">
                  <c:v>151.55558600000001</c:v>
                </c:pt>
                <c:pt idx="2732">
                  <c:v>151.82276200000001</c:v>
                </c:pt>
                <c:pt idx="2733">
                  <c:v>158.022144</c:v>
                </c:pt>
                <c:pt idx="2734">
                  <c:v>179.04825</c:v>
                </c:pt>
                <c:pt idx="2735">
                  <c:v>178.302762</c:v>
                </c:pt>
                <c:pt idx="2736">
                  <c:v>177.573735</c:v>
                </c:pt>
                <c:pt idx="2737">
                  <c:v>177.80112</c:v>
                </c:pt>
                <c:pt idx="2738">
                  <c:v>177.91123200000001</c:v>
                </c:pt>
                <c:pt idx="2739">
                  <c:v>177.59800799999999</c:v>
                </c:pt>
                <c:pt idx="2740">
                  <c:v>177.05200500000001</c:v>
                </c:pt>
                <c:pt idx="2741">
                  <c:v>177.46725000000001</c:v>
                </c:pt>
                <c:pt idx="2742">
                  <c:v>178.59794400000001</c:v>
                </c:pt>
                <c:pt idx="2743">
                  <c:v>177.44493</c:v>
                </c:pt>
                <c:pt idx="2744">
                  <c:v>178.07361</c:v>
                </c:pt>
                <c:pt idx="2745">
                  <c:v>178.59069</c:v>
                </c:pt>
                <c:pt idx="2746">
                  <c:v>180.22845599999999</c:v>
                </c:pt>
                <c:pt idx="2747">
                  <c:v>173.844528</c:v>
                </c:pt>
                <c:pt idx="2748">
                  <c:v>155.38800000000001</c:v>
                </c:pt>
                <c:pt idx="2749">
                  <c:v>165.09896800000001</c:v>
                </c:pt>
                <c:pt idx="2750">
                  <c:v>154.48253600000001</c:v>
                </c:pt>
                <c:pt idx="2751">
                  <c:v>153.29812799999999</c:v>
                </c:pt>
                <c:pt idx="2752">
                  <c:v>153.806152</c:v>
                </c:pt>
                <c:pt idx="2753">
                  <c:v>152.91218799999999</c:v>
                </c:pt>
                <c:pt idx="2754">
                  <c:v>152.74493200000001</c:v>
                </c:pt>
                <c:pt idx="2755">
                  <c:v>155.77384799999999</c:v>
                </c:pt>
                <c:pt idx="2756">
                  <c:v>152.33433600000001</c:v>
                </c:pt>
                <c:pt idx="2757">
                  <c:v>153.481944</c:v>
                </c:pt>
                <c:pt idx="2758">
                  <c:v>153.865216</c:v>
                </c:pt>
                <c:pt idx="2759">
                  <c:v>151.45184599999999</c:v>
                </c:pt>
                <c:pt idx="2760">
                  <c:v>151.860072</c:v>
                </c:pt>
                <c:pt idx="2761">
                  <c:v>153.455172</c:v>
                </c:pt>
                <c:pt idx="2762">
                  <c:v>153.044668</c:v>
                </c:pt>
                <c:pt idx="2763">
                  <c:v>152.76241200000001</c:v>
                </c:pt>
                <c:pt idx="2764">
                  <c:v>152.90915200000001</c:v>
                </c:pt>
                <c:pt idx="2765">
                  <c:v>153.59731199999999</c:v>
                </c:pt>
                <c:pt idx="2766">
                  <c:v>153.455172</c:v>
                </c:pt>
                <c:pt idx="2767">
                  <c:v>154.689628</c:v>
                </c:pt>
                <c:pt idx="2768">
                  <c:v>153.46106</c:v>
                </c:pt>
                <c:pt idx="2769">
                  <c:v>153.11192</c:v>
                </c:pt>
                <c:pt idx="2770">
                  <c:v>153.72785999999999</c:v>
                </c:pt>
                <c:pt idx="2771">
                  <c:v>155.17971199999999</c:v>
                </c:pt>
                <c:pt idx="2772">
                  <c:v>156.77158800000001</c:v>
                </c:pt>
                <c:pt idx="2773">
                  <c:v>154.281792</c:v>
                </c:pt>
                <c:pt idx="2774">
                  <c:v>153.72684799999999</c:v>
                </c:pt>
                <c:pt idx="2775">
                  <c:v>153.387</c:v>
                </c:pt>
                <c:pt idx="2776">
                  <c:v>153.044668</c:v>
                </c:pt>
                <c:pt idx="2777">
                  <c:v>154.006068</c:v>
                </c:pt>
                <c:pt idx="2778">
                  <c:v>153.80265600000001</c:v>
                </c:pt>
                <c:pt idx="2779">
                  <c:v>153.79879199999999</c:v>
                </c:pt>
                <c:pt idx="2780">
                  <c:v>157.35772</c:v>
                </c:pt>
                <c:pt idx="2781">
                  <c:v>154.14599999999999</c:v>
                </c:pt>
                <c:pt idx="2782">
                  <c:v>153.80265600000001</c:v>
                </c:pt>
                <c:pt idx="2783">
                  <c:v>153.80376000000001</c:v>
                </c:pt>
                <c:pt idx="2784">
                  <c:v>153.87156400000001</c:v>
                </c:pt>
                <c:pt idx="2785">
                  <c:v>152.39551599999999</c:v>
                </c:pt>
                <c:pt idx="2786">
                  <c:v>153.14688000000001</c:v>
                </c:pt>
                <c:pt idx="2787">
                  <c:v>153.27972800000001</c:v>
                </c:pt>
                <c:pt idx="2788">
                  <c:v>153.31514799999999</c:v>
                </c:pt>
                <c:pt idx="2789">
                  <c:v>153.048348</c:v>
                </c:pt>
                <c:pt idx="2790">
                  <c:v>153.03878</c:v>
                </c:pt>
                <c:pt idx="2791">
                  <c:v>152.88146</c:v>
                </c:pt>
                <c:pt idx="2792">
                  <c:v>152.292384</c:v>
                </c:pt>
                <c:pt idx="2793">
                  <c:v>152.36304000000001</c:v>
                </c:pt>
                <c:pt idx="2794">
                  <c:v>153.309168</c:v>
                </c:pt>
                <c:pt idx="2795">
                  <c:v>153.10897600000001</c:v>
                </c:pt>
                <c:pt idx="2796">
                  <c:v>153.51561599999999</c:v>
                </c:pt>
                <c:pt idx="2797">
                  <c:v>153.10787199999999</c:v>
                </c:pt>
                <c:pt idx="2798">
                  <c:v>153.046784</c:v>
                </c:pt>
                <c:pt idx="2799">
                  <c:v>153.821516</c:v>
                </c:pt>
                <c:pt idx="2800">
                  <c:v>153.77689599999999</c:v>
                </c:pt>
                <c:pt idx="2801">
                  <c:v>153.469064</c:v>
                </c:pt>
                <c:pt idx="2802">
                  <c:v>152.56231199999999</c:v>
                </c:pt>
                <c:pt idx="2803">
                  <c:v>153.38092800000001</c:v>
                </c:pt>
                <c:pt idx="2804">
                  <c:v>153.558672</c:v>
                </c:pt>
                <c:pt idx="2805">
                  <c:v>153.558672</c:v>
                </c:pt>
                <c:pt idx="2806">
                  <c:v>153.716544</c:v>
                </c:pt>
                <c:pt idx="2807">
                  <c:v>154.48143200000001</c:v>
                </c:pt>
                <c:pt idx="2808">
                  <c:v>152.84438399999999</c:v>
                </c:pt>
                <c:pt idx="2809">
                  <c:v>152.50214399999999</c:v>
                </c:pt>
                <c:pt idx="2810">
                  <c:v>153.03362799999999</c:v>
                </c:pt>
                <c:pt idx="2811">
                  <c:v>155.164072</c:v>
                </c:pt>
                <c:pt idx="2812">
                  <c:v>166.936668</c:v>
                </c:pt>
                <c:pt idx="2813">
                  <c:v>174.24247500000001</c:v>
                </c:pt>
                <c:pt idx="2814">
                  <c:v>162.41679999999999</c:v>
                </c:pt>
                <c:pt idx="2815">
                  <c:v>153.73807199999999</c:v>
                </c:pt>
                <c:pt idx="2816">
                  <c:v>153.342288</c:v>
                </c:pt>
                <c:pt idx="2817">
                  <c:v>154.57932</c:v>
                </c:pt>
                <c:pt idx="2818">
                  <c:v>154.44665599999999</c:v>
                </c:pt>
                <c:pt idx="2819">
                  <c:v>154.66947999999999</c:v>
                </c:pt>
                <c:pt idx="2820">
                  <c:v>153.642944</c:v>
                </c:pt>
                <c:pt idx="2821">
                  <c:v>154.24572800000001</c:v>
                </c:pt>
                <c:pt idx="2822">
                  <c:v>153.51690400000001</c:v>
                </c:pt>
                <c:pt idx="2823">
                  <c:v>153.45921999999999</c:v>
                </c:pt>
                <c:pt idx="2824">
                  <c:v>153.34946400000001</c:v>
                </c:pt>
                <c:pt idx="2825">
                  <c:v>154.26928000000001</c:v>
                </c:pt>
                <c:pt idx="2826">
                  <c:v>153.920232</c:v>
                </c:pt>
                <c:pt idx="2827">
                  <c:v>154.49191999999999</c:v>
                </c:pt>
                <c:pt idx="2828">
                  <c:v>153.318828</c:v>
                </c:pt>
                <c:pt idx="2829">
                  <c:v>153.24127200000001</c:v>
                </c:pt>
                <c:pt idx="2830">
                  <c:v>153.26730800000001</c:v>
                </c:pt>
                <c:pt idx="2831">
                  <c:v>153.59492</c:v>
                </c:pt>
                <c:pt idx="2832">
                  <c:v>153.8355</c:v>
                </c:pt>
                <c:pt idx="2833">
                  <c:v>153.28855999999999</c:v>
                </c:pt>
                <c:pt idx="2834">
                  <c:v>154.37646000000001</c:v>
                </c:pt>
                <c:pt idx="2835">
                  <c:v>153.73126400000001</c:v>
                </c:pt>
                <c:pt idx="2836">
                  <c:v>154.22272799999999</c:v>
                </c:pt>
                <c:pt idx="2837">
                  <c:v>154.70269200000001</c:v>
                </c:pt>
                <c:pt idx="2838">
                  <c:v>153.57596799999999</c:v>
                </c:pt>
                <c:pt idx="2839">
                  <c:v>154.10597999999999</c:v>
                </c:pt>
                <c:pt idx="2840">
                  <c:v>153.39344</c:v>
                </c:pt>
                <c:pt idx="2841">
                  <c:v>151.509176</c:v>
                </c:pt>
                <c:pt idx="2842">
                  <c:v>151.65969000000001</c:v>
                </c:pt>
                <c:pt idx="2843">
                  <c:v>152.712378</c:v>
                </c:pt>
                <c:pt idx="2844">
                  <c:v>152.61246</c:v>
                </c:pt>
                <c:pt idx="2845">
                  <c:v>152.07519600000001</c:v>
                </c:pt>
                <c:pt idx="2846">
                  <c:v>152.683167</c:v>
                </c:pt>
                <c:pt idx="2847">
                  <c:v>152.75651300000001</c:v>
                </c:pt>
                <c:pt idx="2848">
                  <c:v>152.20432500000001</c:v>
                </c:pt>
                <c:pt idx="2849">
                  <c:v>151.97291200000001</c:v>
                </c:pt>
                <c:pt idx="2850">
                  <c:v>152.79873699999999</c:v>
                </c:pt>
                <c:pt idx="2851">
                  <c:v>153.39344</c:v>
                </c:pt>
                <c:pt idx="2852">
                  <c:v>153.040896</c:v>
                </c:pt>
                <c:pt idx="2853">
                  <c:v>153.843872</c:v>
                </c:pt>
                <c:pt idx="2854">
                  <c:v>153.87690000000001</c:v>
                </c:pt>
                <c:pt idx="2855">
                  <c:v>151.968726</c:v>
                </c:pt>
                <c:pt idx="2856">
                  <c:v>153.55480800000001</c:v>
                </c:pt>
                <c:pt idx="2857">
                  <c:v>154.13220000000001</c:v>
                </c:pt>
                <c:pt idx="2858">
                  <c:v>153.786924</c:v>
                </c:pt>
                <c:pt idx="2859">
                  <c:v>153.39344</c:v>
                </c:pt>
                <c:pt idx="2860">
                  <c:v>153.52776</c:v>
                </c:pt>
                <c:pt idx="2861">
                  <c:v>153.81020000000001</c:v>
                </c:pt>
                <c:pt idx="2862">
                  <c:v>152.35957099999999</c:v>
                </c:pt>
                <c:pt idx="2863">
                  <c:v>152.36293800000001</c:v>
                </c:pt>
                <c:pt idx="2864">
                  <c:v>152.767888</c:v>
                </c:pt>
                <c:pt idx="2865">
                  <c:v>152.88882699999999</c:v>
                </c:pt>
                <c:pt idx="2866">
                  <c:v>153.13134199999999</c:v>
                </c:pt>
                <c:pt idx="2867">
                  <c:v>155.1028</c:v>
                </c:pt>
                <c:pt idx="2868">
                  <c:v>152.13835</c:v>
                </c:pt>
                <c:pt idx="2869">
                  <c:v>153.26438400000001</c:v>
                </c:pt>
                <c:pt idx="2870">
                  <c:v>152.54639399999999</c:v>
                </c:pt>
                <c:pt idx="2871">
                  <c:v>152.42572799999999</c:v>
                </c:pt>
                <c:pt idx="2872">
                  <c:v>152.624199</c:v>
                </c:pt>
                <c:pt idx="2873">
                  <c:v>154.13220000000001</c:v>
                </c:pt>
                <c:pt idx="2874">
                  <c:v>153.75518400000001</c:v>
                </c:pt>
                <c:pt idx="2875">
                  <c:v>154.92707999999999</c:v>
                </c:pt>
                <c:pt idx="2876">
                  <c:v>154.383636</c:v>
                </c:pt>
                <c:pt idx="2877">
                  <c:v>154.089236</c:v>
                </c:pt>
                <c:pt idx="2878">
                  <c:v>155.396556</c:v>
                </c:pt>
                <c:pt idx="2879">
                  <c:v>154.52467200000001</c:v>
                </c:pt>
                <c:pt idx="2880">
                  <c:v>153.59804800000001</c:v>
                </c:pt>
                <c:pt idx="2881">
                  <c:v>153.66465600000001</c:v>
                </c:pt>
                <c:pt idx="2882">
                  <c:v>154.04480000000001</c:v>
                </c:pt>
                <c:pt idx="2883">
                  <c:v>153.851508</c:v>
                </c:pt>
                <c:pt idx="2884">
                  <c:v>153.90440799999999</c:v>
                </c:pt>
                <c:pt idx="2885">
                  <c:v>153.89024000000001</c:v>
                </c:pt>
                <c:pt idx="2886">
                  <c:v>152.13744</c:v>
                </c:pt>
                <c:pt idx="2887">
                  <c:v>152.72712000000001</c:v>
                </c:pt>
                <c:pt idx="2888">
                  <c:v>153.12024</c:v>
                </c:pt>
                <c:pt idx="2889">
                  <c:v>152.95625799999999</c:v>
                </c:pt>
                <c:pt idx="2890">
                  <c:v>152.56423000000001</c:v>
                </c:pt>
                <c:pt idx="2891">
                  <c:v>152.808019</c:v>
                </c:pt>
                <c:pt idx="2892">
                  <c:v>152.42864</c:v>
                </c:pt>
                <c:pt idx="2893">
                  <c:v>152.16583199999999</c:v>
                </c:pt>
                <c:pt idx="2894">
                  <c:v>152.18785399999999</c:v>
                </c:pt>
                <c:pt idx="2895">
                  <c:v>152.389692</c:v>
                </c:pt>
                <c:pt idx="2896">
                  <c:v>152.27029999999999</c:v>
                </c:pt>
                <c:pt idx="2897">
                  <c:v>152.916764</c:v>
                </c:pt>
                <c:pt idx="2898">
                  <c:v>153.37795199999999</c:v>
                </c:pt>
                <c:pt idx="2899">
                  <c:v>152.44238100000001</c:v>
                </c:pt>
                <c:pt idx="2900">
                  <c:v>152.732125</c:v>
                </c:pt>
                <c:pt idx="2901">
                  <c:v>152.21606399999999</c:v>
                </c:pt>
                <c:pt idx="2902">
                  <c:v>152.83713900000001</c:v>
                </c:pt>
                <c:pt idx="2903">
                  <c:v>152.89091999999999</c:v>
                </c:pt>
                <c:pt idx="2904">
                  <c:v>153.21761000000001</c:v>
                </c:pt>
                <c:pt idx="2905">
                  <c:v>153.44238000000001</c:v>
                </c:pt>
                <c:pt idx="2906">
                  <c:v>164.47391999999999</c:v>
                </c:pt>
                <c:pt idx="2907">
                  <c:v>173.805204</c:v>
                </c:pt>
                <c:pt idx="2908">
                  <c:v>173.92057199999999</c:v>
                </c:pt>
                <c:pt idx="2909">
                  <c:v>175.66955999999999</c:v>
                </c:pt>
                <c:pt idx="2910">
                  <c:v>156.29468399999999</c:v>
                </c:pt>
                <c:pt idx="2911">
                  <c:v>154.26829599999999</c:v>
                </c:pt>
                <c:pt idx="2912">
                  <c:v>167.271456</c:v>
                </c:pt>
                <c:pt idx="2913">
                  <c:v>152.88382200000001</c:v>
                </c:pt>
                <c:pt idx="2914">
                  <c:v>152.986288</c:v>
                </c:pt>
                <c:pt idx="2915">
                  <c:v>153.21761000000001</c:v>
                </c:pt>
                <c:pt idx="2916">
                  <c:v>153.46412900000001</c:v>
                </c:pt>
                <c:pt idx="2917">
                  <c:v>153.54557399999999</c:v>
                </c:pt>
                <c:pt idx="2918">
                  <c:v>157.42990900000001</c:v>
                </c:pt>
                <c:pt idx="2919">
                  <c:v>155.02032</c:v>
                </c:pt>
                <c:pt idx="2920">
                  <c:v>153.52974</c:v>
                </c:pt>
                <c:pt idx="2921">
                  <c:v>153.889827</c:v>
                </c:pt>
                <c:pt idx="2922">
                  <c:v>154.11760000000001</c:v>
                </c:pt>
                <c:pt idx="2923">
                  <c:v>154.092848</c:v>
                </c:pt>
                <c:pt idx="2924">
                  <c:v>153.90647999999999</c:v>
                </c:pt>
                <c:pt idx="2925">
                  <c:v>153.23471799999999</c:v>
                </c:pt>
                <c:pt idx="2926">
                  <c:v>153.38231999999999</c:v>
                </c:pt>
                <c:pt idx="2927">
                  <c:v>152.15063499999999</c:v>
                </c:pt>
                <c:pt idx="2928">
                  <c:v>152.986288</c:v>
                </c:pt>
                <c:pt idx="2929">
                  <c:v>152.79082</c:v>
                </c:pt>
                <c:pt idx="2930">
                  <c:v>152.234082</c:v>
                </c:pt>
                <c:pt idx="2931">
                  <c:v>152.55895200000001</c:v>
                </c:pt>
                <c:pt idx="2932">
                  <c:v>152.73458199999999</c:v>
                </c:pt>
                <c:pt idx="2933">
                  <c:v>152.17165600000001</c:v>
                </c:pt>
                <c:pt idx="2934">
                  <c:v>158.08967200000001</c:v>
                </c:pt>
                <c:pt idx="2935">
                  <c:v>179.30716200000001</c:v>
                </c:pt>
                <c:pt idx="2936">
                  <c:v>178.32563999999999</c:v>
                </c:pt>
                <c:pt idx="2937">
                  <c:v>177.72300000000001</c:v>
                </c:pt>
                <c:pt idx="2938">
                  <c:v>177.64488</c:v>
                </c:pt>
                <c:pt idx="2939">
                  <c:v>178.94241600000001</c:v>
                </c:pt>
                <c:pt idx="2940">
                  <c:v>181.08160000000001</c:v>
                </c:pt>
                <c:pt idx="2941">
                  <c:v>178.756416</c:v>
                </c:pt>
                <c:pt idx="2942">
                  <c:v>178.518708</c:v>
                </c:pt>
                <c:pt idx="2943">
                  <c:v>177.72300000000001</c:v>
                </c:pt>
                <c:pt idx="2944">
                  <c:v>177.68951999999999</c:v>
                </c:pt>
                <c:pt idx="2945">
                  <c:v>179.82059000000001</c:v>
                </c:pt>
                <c:pt idx="2946">
                  <c:v>178.022367</c:v>
                </c:pt>
                <c:pt idx="2947">
                  <c:v>177.38262</c:v>
                </c:pt>
                <c:pt idx="2948">
                  <c:v>177.12603300000001</c:v>
                </c:pt>
                <c:pt idx="2949">
                  <c:v>177.10919999999999</c:v>
                </c:pt>
                <c:pt idx="2950">
                  <c:v>162.007768</c:v>
                </c:pt>
                <c:pt idx="2951">
                  <c:v>152.629932</c:v>
                </c:pt>
                <c:pt idx="2952">
                  <c:v>166.2003</c:v>
                </c:pt>
                <c:pt idx="2953">
                  <c:v>171.47321400000001</c:v>
                </c:pt>
                <c:pt idx="2954">
                  <c:v>174.26600400000001</c:v>
                </c:pt>
                <c:pt idx="2955">
                  <c:v>159.06542400000001</c:v>
                </c:pt>
                <c:pt idx="2956">
                  <c:v>155.710184</c:v>
                </c:pt>
                <c:pt idx="2957">
                  <c:v>154.88678400000001</c:v>
                </c:pt>
                <c:pt idx="2958">
                  <c:v>155.78332399999999</c:v>
                </c:pt>
                <c:pt idx="2959">
                  <c:v>153.84166400000001</c:v>
                </c:pt>
                <c:pt idx="2960">
                  <c:v>155.85996</c:v>
                </c:pt>
                <c:pt idx="2961">
                  <c:v>152.91876600000001</c:v>
                </c:pt>
                <c:pt idx="2962">
                  <c:v>153.76861500000001</c:v>
                </c:pt>
                <c:pt idx="2963">
                  <c:v>152.79873699999999</c:v>
                </c:pt>
                <c:pt idx="2964">
                  <c:v>154.04480000000001</c:v>
                </c:pt>
                <c:pt idx="2965">
                  <c:v>153.68371200000001</c:v>
                </c:pt>
                <c:pt idx="2966">
                  <c:v>153.730031</c:v>
                </c:pt>
                <c:pt idx="2967">
                  <c:v>153.98473999999999</c:v>
                </c:pt>
                <c:pt idx="2968">
                  <c:v>154.38332</c:v>
                </c:pt>
                <c:pt idx="2969">
                  <c:v>154.410438</c:v>
                </c:pt>
                <c:pt idx="2970">
                  <c:v>154.838775</c:v>
                </c:pt>
                <c:pt idx="2971">
                  <c:v>155.34519</c:v>
                </c:pt>
                <c:pt idx="2972">
                  <c:v>154.89546799999999</c:v>
                </c:pt>
                <c:pt idx="2973">
                  <c:v>157.55331200000001</c:v>
                </c:pt>
                <c:pt idx="2974">
                  <c:v>157.697292</c:v>
                </c:pt>
                <c:pt idx="2975">
                  <c:v>154.484148</c:v>
                </c:pt>
                <c:pt idx="2976">
                  <c:v>152.75651300000001</c:v>
                </c:pt>
                <c:pt idx="2977">
                  <c:v>152.996025</c:v>
                </c:pt>
                <c:pt idx="2978">
                  <c:v>163.21453199999999</c:v>
                </c:pt>
                <c:pt idx="2979">
                  <c:v>174.924723</c:v>
                </c:pt>
                <c:pt idx="2980">
                  <c:v>167.30282800000001</c:v>
                </c:pt>
                <c:pt idx="2981">
                  <c:v>162.860792</c:v>
                </c:pt>
                <c:pt idx="2982">
                  <c:v>155.95944</c:v>
                </c:pt>
                <c:pt idx="2983">
                  <c:v>153.14098799999999</c:v>
                </c:pt>
                <c:pt idx="2984">
                  <c:v>158.91875999999999</c:v>
                </c:pt>
                <c:pt idx="2985">
                  <c:v>174.93485999999999</c:v>
                </c:pt>
                <c:pt idx="2986">
                  <c:v>175.31383500000001</c:v>
                </c:pt>
                <c:pt idx="2987">
                  <c:v>175.715316</c:v>
                </c:pt>
                <c:pt idx="2988">
                  <c:v>170.66239200000001</c:v>
                </c:pt>
                <c:pt idx="2989">
                  <c:v>161.37536</c:v>
                </c:pt>
                <c:pt idx="2990">
                  <c:v>167.21515199999999</c:v>
                </c:pt>
                <c:pt idx="2991">
                  <c:v>174.90826200000001</c:v>
                </c:pt>
                <c:pt idx="2992">
                  <c:v>175.274496</c:v>
                </c:pt>
                <c:pt idx="2993">
                  <c:v>171.28090800000001</c:v>
                </c:pt>
                <c:pt idx="2994">
                  <c:v>168.16358</c:v>
                </c:pt>
                <c:pt idx="2995">
                  <c:v>167.39804799999999</c:v>
                </c:pt>
                <c:pt idx="2996">
                  <c:v>174.997728</c:v>
                </c:pt>
                <c:pt idx="2997">
                  <c:v>175.564098</c:v>
                </c:pt>
                <c:pt idx="2998">
                  <c:v>175.650216</c:v>
                </c:pt>
                <c:pt idx="2999">
                  <c:v>168.17609200000001</c:v>
                </c:pt>
                <c:pt idx="3000">
                  <c:v>151.83031500000001</c:v>
                </c:pt>
                <c:pt idx="3001">
                  <c:v>152.490702</c:v>
                </c:pt>
                <c:pt idx="3002">
                  <c:v>152.12925000000001</c:v>
                </c:pt>
                <c:pt idx="3003">
                  <c:v>153.584892</c:v>
                </c:pt>
                <c:pt idx="3004">
                  <c:v>154.00358399999999</c:v>
                </c:pt>
                <c:pt idx="3005">
                  <c:v>152.023144</c:v>
                </c:pt>
                <c:pt idx="3006">
                  <c:v>151.755968</c:v>
                </c:pt>
                <c:pt idx="3007">
                  <c:v>152.87927199999999</c:v>
                </c:pt>
                <c:pt idx="3008">
                  <c:v>152.26211000000001</c:v>
                </c:pt>
                <c:pt idx="3009">
                  <c:v>153.871104</c:v>
                </c:pt>
                <c:pt idx="3010">
                  <c:v>152.65522999999999</c:v>
                </c:pt>
                <c:pt idx="3011">
                  <c:v>152.39042000000001</c:v>
                </c:pt>
                <c:pt idx="3012">
                  <c:v>152.282949</c:v>
                </c:pt>
                <c:pt idx="3013">
                  <c:v>152.712378</c:v>
                </c:pt>
                <c:pt idx="3014">
                  <c:v>152.094943</c:v>
                </c:pt>
                <c:pt idx="3015">
                  <c:v>151.80092200000001</c:v>
                </c:pt>
                <c:pt idx="3016">
                  <c:v>151.608912</c:v>
                </c:pt>
                <c:pt idx="3017">
                  <c:v>152.33309</c:v>
                </c:pt>
                <c:pt idx="3018">
                  <c:v>151.88573400000001</c:v>
                </c:pt>
                <c:pt idx="3019">
                  <c:v>152.31434400000001</c:v>
                </c:pt>
                <c:pt idx="3020">
                  <c:v>152.54639399999999</c:v>
                </c:pt>
                <c:pt idx="3021">
                  <c:v>153.76861500000001</c:v>
                </c:pt>
                <c:pt idx="3022">
                  <c:v>153.15864199999999</c:v>
                </c:pt>
                <c:pt idx="3023">
                  <c:v>153.12115</c:v>
                </c:pt>
                <c:pt idx="3024">
                  <c:v>151.23490200000001</c:v>
                </c:pt>
                <c:pt idx="3025">
                  <c:v>151.698001</c:v>
                </c:pt>
                <c:pt idx="3026">
                  <c:v>151.49952999999999</c:v>
                </c:pt>
                <c:pt idx="3027">
                  <c:v>151.601359</c:v>
                </c:pt>
                <c:pt idx="3028">
                  <c:v>153.04972799999999</c:v>
                </c:pt>
                <c:pt idx="3029">
                  <c:v>152.26629600000001</c:v>
                </c:pt>
                <c:pt idx="3030">
                  <c:v>153.86935600000001</c:v>
                </c:pt>
                <c:pt idx="3031">
                  <c:v>153.25543999999999</c:v>
                </c:pt>
                <c:pt idx="3032">
                  <c:v>154.973356</c:v>
                </c:pt>
                <c:pt idx="3033">
                  <c:v>153.711668</c:v>
                </c:pt>
                <c:pt idx="3034">
                  <c:v>168.02589</c:v>
                </c:pt>
                <c:pt idx="3035">
                  <c:v>174.526218</c:v>
                </c:pt>
                <c:pt idx="3036">
                  <c:v>174.58983000000001</c:v>
                </c:pt>
                <c:pt idx="3037">
                  <c:v>175.077429</c:v>
                </c:pt>
                <c:pt idx="3038">
                  <c:v>169.89426</c:v>
                </c:pt>
                <c:pt idx="3039">
                  <c:v>159.55596800000001</c:v>
                </c:pt>
                <c:pt idx="3040">
                  <c:v>153.97074000000001</c:v>
                </c:pt>
                <c:pt idx="3041">
                  <c:v>156.12988799999999</c:v>
                </c:pt>
                <c:pt idx="3042">
                  <c:v>153.40181200000001</c:v>
                </c:pt>
                <c:pt idx="3043">
                  <c:v>152.8212</c:v>
                </c:pt>
                <c:pt idx="3044">
                  <c:v>152.63306</c:v>
                </c:pt>
                <c:pt idx="3045">
                  <c:v>155.93291600000001</c:v>
                </c:pt>
                <c:pt idx="3046">
                  <c:v>153.86935600000001</c:v>
                </c:pt>
                <c:pt idx="3047">
                  <c:v>153.254152</c:v>
                </c:pt>
                <c:pt idx="3048">
                  <c:v>152.97300000000001</c:v>
                </c:pt>
                <c:pt idx="3049">
                  <c:v>153.79272</c:v>
                </c:pt>
                <c:pt idx="3050">
                  <c:v>156.14699999999999</c:v>
                </c:pt>
                <c:pt idx="3051">
                  <c:v>154.00800000000001</c:v>
                </c:pt>
                <c:pt idx="3052">
                  <c:v>153.937712</c:v>
                </c:pt>
                <c:pt idx="3053">
                  <c:v>153.50825599999999</c:v>
                </c:pt>
                <c:pt idx="3054">
                  <c:v>153.11431200000001</c:v>
                </c:pt>
                <c:pt idx="3055">
                  <c:v>153.79879199999999</c:v>
                </c:pt>
                <c:pt idx="3056">
                  <c:v>153.11192</c:v>
                </c:pt>
                <c:pt idx="3057">
                  <c:v>153.80431200000001</c:v>
                </c:pt>
                <c:pt idx="3058">
                  <c:v>154.48713599999999</c:v>
                </c:pt>
                <c:pt idx="3059">
                  <c:v>154.81392</c:v>
                </c:pt>
                <c:pt idx="3060">
                  <c:v>153.23704000000001</c:v>
                </c:pt>
                <c:pt idx="3061">
                  <c:v>153.320944</c:v>
                </c:pt>
                <c:pt idx="3062">
                  <c:v>153.87257600000001</c:v>
                </c:pt>
                <c:pt idx="3063">
                  <c:v>153.93899999999999</c:v>
                </c:pt>
                <c:pt idx="3064">
                  <c:v>153.52702400000001</c:v>
                </c:pt>
                <c:pt idx="3065">
                  <c:v>154.07516000000001</c:v>
                </c:pt>
                <c:pt idx="3066">
                  <c:v>152.63857999999999</c:v>
                </c:pt>
                <c:pt idx="3067">
                  <c:v>156.88281599999999</c:v>
                </c:pt>
                <c:pt idx="3068">
                  <c:v>153.72684799999999</c:v>
                </c:pt>
                <c:pt idx="3069">
                  <c:v>153.941576</c:v>
                </c:pt>
                <c:pt idx="3070">
                  <c:v>153.45231999999999</c:v>
                </c:pt>
                <c:pt idx="3071">
                  <c:v>153.38092800000001</c:v>
                </c:pt>
                <c:pt idx="3072">
                  <c:v>153.528864</c:v>
                </c:pt>
                <c:pt idx="3073">
                  <c:v>153.116152</c:v>
                </c:pt>
                <c:pt idx="3074">
                  <c:v>153.25507200000001</c:v>
                </c:pt>
                <c:pt idx="3075">
                  <c:v>152.90915200000001</c:v>
                </c:pt>
                <c:pt idx="3076">
                  <c:v>153.02580800000001</c:v>
                </c:pt>
                <c:pt idx="3077">
                  <c:v>152.73619199999999</c:v>
                </c:pt>
                <c:pt idx="3078">
                  <c:v>152.822856</c:v>
                </c:pt>
                <c:pt idx="3079">
                  <c:v>153.23851199999999</c:v>
                </c:pt>
                <c:pt idx="3080">
                  <c:v>152.49625599999999</c:v>
                </c:pt>
                <c:pt idx="3081">
                  <c:v>152.93822399999999</c:v>
                </c:pt>
                <c:pt idx="3082">
                  <c:v>153.072912</c:v>
                </c:pt>
                <c:pt idx="3083">
                  <c:v>153.62620000000001</c:v>
                </c:pt>
                <c:pt idx="3084">
                  <c:v>154.36100400000001</c:v>
                </c:pt>
                <c:pt idx="3085">
                  <c:v>153.92887999999999</c:v>
                </c:pt>
                <c:pt idx="3086">
                  <c:v>153.79879199999999</c:v>
                </c:pt>
                <c:pt idx="3087">
                  <c:v>153.52334400000001</c:v>
                </c:pt>
                <c:pt idx="3088">
                  <c:v>150.5419</c:v>
                </c:pt>
                <c:pt idx="3089">
                  <c:v>151.02407199999999</c:v>
                </c:pt>
                <c:pt idx="3090">
                  <c:v>149.57452000000001</c:v>
                </c:pt>
                <c:pt idx="3091">
                  <c:v>149.63247999999999</c:v>
                </c:pt>
                <c:pt idx="3092">
                  <c:v>151.18727999999999</c:v>
                </c:pt>
                <c:pt idx="3093">
                  <c:v>161.671572</c:v>
                </c:pt>
                <c:pt idx="3094">
                  <c:v>170.589696</c:v>
                </c:pt>
                <c:pt idx="3095">
                  <c:v>172.528164</c:v>
                </c:pt>
                <c:pt idx="3096">
                  <c:v>153.16355999999999</c:v>
                </c:pt>
                <c:pt idx="3097">
                  <c:v>153.32445000000001</c:v>
                </c:pt>
                <c:pt idx="3098">
                  <c:v>152.89144200000001</c:v>
                </c:pt>
                <c:pt idx="3099">
                  <c:v>153.82758000000001</c:v>
                </c:pt>
                <c:pt idx="3100">
                  <c:v>153.81790799999999</c:v>
                </c:pt>
                <c:pt idx="3101">
                  <c:v>153.25842</c:v>
                </c:pt>
                <c:pt idx="3102">
                  <c:v>152.63280900000001</c:v>
                </c:pt>
                <c:pt idx="3103">
                  <c:v>150.05364</c:v>
                </c:pt>
                <c:pt idx="3104">
                  <c:v>150.12432000000001</c:v>
                </c:pt>
                <c:pt idx="3105">
                  <c:v>149.61412200000001</c:v>
                </c:pt>
                <c:pt idx="3106">
                  <c:v>149.68489500000001</c:v>
                </c:pt>
                <c:pt idx="3107">
                  <c:v>149.856201</c:v>
                </c:pt>
                <c:pt idx="3108">
                  <c:v>149.226777</c:v>
                </c:pt>
                <c:pt idx="3109">
                  <c:v>149.75566800000001</c:v>
                </c:pt>
                <c:pt idx="3110">
                  <c:v>149.45323200000001</c:v>
                </c:pt>
                <c:pt idx="3111">
                  <c:v>150.30287999999999</c:v>
                </c:pt>
                <c:pt idx="3112">
                  <c:v>149.26190399999999</c:v>
                </c:pt>
                <c:pt idx="3113">
                  <c:v>150.54916800000001</c:v>
                </c:pt>
                <c:pt idx="3114">
                  <c:v>159.90335999999999</c:v>
                </c:pt>
                <c:pt idx="3115">
                  <c:v>153.519296</c:v>
                </c:pt>
                <c:pt idx="3116">
                  <c:v>154.03008</c:v>
                </c:pt>
                <c:pt idx="3117">
                  <c:v>154.108372</c:v>
                </c:pt>
                <c:pt idx="3118">
                  <c:v>153.31800000000001</c:v>
                </c:pt>
                <c:pt idx="3119">
                  <c:v>153.861996</c:v>
                </c:pt>
                <c:pt idx="3120">
                  <c:v>153.06297599999999</c:v>
                </c:pt>
                <c:pt idx="3121">
                  <c:v>153.1593</c:v>
                </c:pt>
                <c:pt idx="3122">
                  <c:v>152.689088</c:v>
                </c:pt>
                <c:pt idx="3123">
                  <c:v>152.53416000000001</c:v>
                </c:pt>
                <c:pt idx="3124">
                  <c:v>152.23516000000001</c:v>
                </c:pt>
                <c:pt idx="3125">
                  <c:v>152.12236799999999</c:v>
                </c:pt>
                <c:pt idx="3126">
                  <c:v>158.86120500000001</c:v>
                </c:pt>
                <c:pt idx="3127">
                  <c:v>152.32532</c:v>
                </c:pt>
                <c:pt idx="3128">
                  <c:v>152.48613599999999</c:v>
                </c:pt>
                <c:pt idx="3129">
                  <c:v>153.176964</c:v>
                </c:pt>
                <c:pt idx="3130">
                  <c:v>151.82391999999999</c:v>
                </c:pt>
                <c:pt idx="3131">
                  <c:v>152.38107199999999</c:v>
                </c:pt>
                <c:pt idx="3132">
                  <c:v>152.33792399999999</c:v>
                </c:pt>
                <c:pt idx="3133">
                  <c:v>152.69332</c:v>
                </c:pt>
                <c:pt idx="3134">
                  <c:v>152.56231199999999</c:v>
                </c:pt>
                <c:pt idx="3135">
                  <c:v>153.08984000000001</c:v>
                </c:pt>
                <c:pt idx="3136">
                  <c:v>152.59000399999999</c:v>
                </c:pt>
                <c:pt idx="3137">
                  <c:v>152.75827200000001</c:v>
                </c:pt>
                <c:pt idx="3138">
                  <c:v>154.57104000000001</c:v>
                </c:pt>
                <c:pt idx="3139">
                  <c:v>154.17599200000001</c:v>
                </c:pt>
                <c:pt idx="3140">
                  <c:v>153.61055999999999</c:v>
                </c:pt>
                <c:pt idx="3141">
                  <c:v>153.32609600000001</c:v>
                </c:pt>
                <c:pt idx="3142">
                  <c:v>152.046008</c:v>
                </c:pt>
                <c:pt idx="3143">
                  <c:v>152.313728</c:v>
                </c:pt>
                <c:pt idx="3144">
                  <c:v>153.17862</c:v>
                </c:pt>
                <c:pt idx="3145">
                  <c:v>161.15039999999999</c:v>
                </c:pt>
                <c:pt idx="3146">
                  <c:v>154.43911199999999</c:v>
                </c:pt>
                <c:pt idx="3147">
                  <c:v>156.21149199999999</c:v>
                </c:pt>
                <c:pt idx="3148">
                  <c:v>155.45644799999999</c:v>
                </c:pt>
                <c:pt idx="3149">
                  <c:v>162.93562800000001</c:v>
                </c:pt>
                <c:pt idx="3150">
                  <c:v>152.87639999999999</c:v>
                </c:pt>
                <c:pt idx="3151">
                  <c:v>152.769036</c:v>
                </c:pt>
                <c:pt idx="3152">
                  <c:v>152.70012800000001</c:v>
                </c:pt>
                <c:pt idx="3153">
                  <c:v>152.84438399999999</c:v>
                </c:pt>
                <c:pt idx="3154">
                  <c:v>152.63535999999999</c:v>
                </c:pt>
                <c:pt idx="3155">
                  <c:v>152.500304</c:v>
                </c:pt>
                <c:pt idx="3156">
                  <c:v>152.8442</c:v>
                </c:pt>
                <c:pt idx="3157">
                  <c:v>152.500304</c:v>
                </c:pt>
                <c:pt idx="3158">
                  <c:v>160.61499900000001</c:v>
                </c:pt>
                <c:pt idx="3159">
                  <c:v>164.14416299999999</c:v>
                </c:pt>
                <c:pt idx="3160">
                  <c:v>159.09361200000001</c:v>
                </c:pt>
                <c:pt idx="3161">
                  <c:v>154.48410000000001</c:v>
                </c:pt>
                <c:pt idx="3162">
                  <c:v>153.97708800000001</c:v>
                </c:pt>
                <c:pt idx="3163">
                  <c:v>154.22061199999999</c:v>
                </c:pt>
                <c:pt idx="3164">
                  <c:v>154.64942400000001</c:v>
                </c:pt>
                <c:pt idx="3165">
                  <c:v>151.545252</c:v>
                </c:pt>
                <c:pt idx="3166">
                  <c:v>151.46769599999999</c:v>
                </c:pt>
                <c:pt idx="3167">
                  <c:v>151.40697599999999</c:v>
                </c:pt>
                <c:pt idx="3168">
                  <c:v>151.40853999999999</c:v>
                </c:pt>
                <c:pt idx="3169">
                  <c:v>152.63535999999999</c:v>
                </c:pt>
                <c:pt idx="3170">
                  <c:v>151.81315599999999</c:v>
                </c:pt>
                <c:pt idx="3171">
                  <c:v>156.953104</c:v>
                </c:pt>
                <c:pt idx="3172">
                  <c:v>154.07828799999999</c:v>
                </c:pt>
                <c:pt idx="3173">
                  <c:v>161.204712</c:v>
                </c:pt>
                <c:pt idx="3174">
                  <c:v>153.80099999999999</c:v>
                </c:pt>
                <c:pt idx="3175">
                  <c:v>153.73374799999999</c:v>
                </c:pt>
                <c:pt idx="3176">
                  <c:v>155.656611</c:v>
                </c:pt>
                <c:pt idx="3177">
                  <c:v>154.33517399999999</c:v>
                </c:pt>
                <c:pt idx="3178">
                  <c:v>154.67760000000001</c:v>
                </c:pt>
                <c:pt idx="3179">
                  <c:v>154.21669199999999</c:v>
                </c:pt>
                <c:pt idx="3180">
                  <c:v>153.77270999999999</c:v>
                </c:pt>
                <c:pt idx="3181">
                  <c:v>153.625584</c:v>
                </c:pt>
                <c:pt idx="3182">
                  <c:v>153.96949799999999</c:v>
                </c:pt>
                <c:pt idx="3183">
                  <c:v>152.39119199999999</c:v>
                </c:pt>
                <c:pt idx="3184">
                  <c:v>153.61911599999999</c:v>
                </c:pt>
                <c:pt idx="3185">
                  <c:v>159.03418500000001</c:v>
                </c:pt>
                <c:pt idx="3186">
                  <c:v>161.21317500000001</c:v>
                </c:pt>
                <c:pt idx="3187">
                  <c:v>161.65780799999999</c:v>
                </c:pt>
                <c:pt idx="3188">
                  <c:v>159.81510599999999</c:v>
                </c:pt>
                <c:pt idx="3189">
                  <c:v>158.66916000000001</c:v>
                </c:pt>
                <c:pt idx="3190">
                  <c:v>159.12448800000001</c:v>
                </c:pt>
                <c:pt idx="3191">
                  <c:v>160.052256</c:v>
                </c:pt>
                <c:pt idx="3192">
                  <c:v>159.48811799999999</c:v>
                </c:pt>
                <c:pt idx="3193">
                  <c:v>158.034807</c:v>
                </c:pt>
                <c:pt idx="3194">
                  <c:v>158.23819800000001</c:v>
                </c:pt>
                <c:pt idx="3195">
                  <c:v>158.35481999999999</c:v>
                </c:pt>
                <c:pt idx="3196">
                  <c:v>160.39784399999999</c:v>
                </c:pt>
                <c:pt idx="3197">
                  <c:v>167.36577600000001</c:v>
                </c:pt>
                <c:pt idx="3198">
                  <c:v>179.88075000000001</c:v>
                </c:pt>
                <c:pt idx="3199">
                  <c:v>179.50710000000001</c:v>
                </c:pt>
                <c:pt idx="3200">
                  <c:v>179.13260399999999</c:v>
                </c:pt>
                <c:pt idx="3201">
                  <c:v>179.48736</c:v>
                </c:pt>
                <c:pt idx="3202">
                  <c:v>179.6951</c:v>
                </c:pt>
                <c:pt idx="3203">
                  <c:v>178.88613599999999</c:v>
                </c:pt>
                <c:pt idx="3204">
                  <c:v>179.013882</c:v>
                </c:pt>
                <c:pt idx="3205">
                  <c:v>178.99085199999999</c:v>
                </c:pt>
                <c:pt idx="3206">
                  <c:v>176.848028</c:v>
                </c:pt>
                <c:pt idx="3207">
                  <c:v>164.04604800000001</c:v>
                </c:pt>
                <c:pt idx="3208">
                  <c:v>164.59000499999999</c:v>
                </c:pt>
                <c:pt idx="3209">
                  <c:v>160.28512799999999</c:v>
                </c:pt>
                <c:pt idx="3210">
                  <c:v>155.98673600000001</c:v>
                </c:pt>
                <c:pt idx="3211">
                  <c:v>155.66399999999999</c:v>
                </c:pt>
                <c:pt idx="3212">
                  <c:v>156.631564</c:v>
                </c:pt>
                <c:pt idx="3213">
                  <c:v>156.909312</c:v>
                </c:pt>
                <c:pt idx="3214">
                  <c:v>155.65986000000001</c:v>
                </c:pt>
                <c:pt idx="3215">
                  <c:v>155.11199999999999</c:v>
                </c:pt>
                <c:pt idx="3216">
                  <c:v>154.97216</c:v>
                </c:pt>
                <c:pt idx="3217">
                  <c:v>154.835172</c:v>
                </c:pt>
                <c:pt idx="3218">
                  <c:v>158.17765499999999</c:v>
                </c:pt>
                <c:pt idx="3219">
                  <c:v>156.48454799999999</c:v>
                </c:pt>
                <c:pt idx="3220">
                  <c:v>159.809247</c:v>
                </c:pt>
                <c:pt idx="3221">
                  <c:v>156.494576</c:v>
                </c:pt>
                <c:pt idx="3222">
                  <c:v>154.866544</c:v>
                </c:pt>
                <c:pt idx="3223">
                  <c:v>155.77108799999999</c:v>
                </c:pt>
                <c:pt idx="3224">
                  <c:v>158.21215799999999</c:v>
                </c:pt>
                <c:pt idx="3225">
                  <c:v>158.18648999999999</c:v>
                </c:pt>
                <c:pt idx="3226">
                  <c:v>157.56859800000001</c:v>
                </c:pt>
                <c:pt idx="3227">
                  <c:v>157.32717</c:v>
                </c:pt>
                <c:pt idx="3228">
                  <c:v>158.65902299999999</c:v>
                </c:pt>
                <c:pt idx="3229">
                  <c:v>157.25044500000001</c:v>
                </c:pt>
                <c:pt idx="3230">
                  <c:v>157.507497</c:v>
                </c:pt>
                <c:pt idx="3231">
                  <c:v>156.68268</c:v>
                </c:pt>
                <c:pt idx="3232">
                  <c:v>160.43467200000001</c:v>
                </c:pt>
                <c:pt idx="3233">
                  <c:v>166.28623200000001</c:v>
                </c:pt>
                <c:pt idx="3234">
                  <c:v>175.870992</c:v>
                </c:pt>
                <c:pt idx="3235">
                  <c:v>164.606559</c:v>
                </c:pt>
                <c:pt idx="3236">
                  <c:v>154.00800000000001</c:v>
                </c:pt>
                <c:pt idx="3237">
                  <c:v>154.68622400000001</c:v>
                </c:pt>
                <c:pt idx="3238">
                  <c:v>154.689628</c:v>
                </c:pt>
                <c:pt idx="3239">
                  <c:v>154.00054800000001</c:v>
                </c:pt>
                <c:pt idx="3240">
                  <c:v>155.11199999999999</c:v>
                </c:pt>
                <c:pt idx="3241">
                  <c:v>155.11052799999999</c:v>
                </c:pt>
                <c:pt idx="3242">
                  <c:v>154.29890399999999</c:v>
                </c:pt>
                <c:pt idx="3243">
                  <c:v>154.719528</c:v>
                </c:pt>
                <c:pt idx="3244">
                  <c:v>157.05228</c:v>
                </c:pt>
                <c:pt idx="3245">
                  <c:v>156.15813199999999</c:v>
                </c:pt>
                <c:pt idx="3246">
                  <c:v>134.09612200000001</c:v>
                </c:pt>
                <c:pt idx="3247">
                  <c:v>19.055872000000001</c:v>
                </c:pt>
                <c:pt idx="3248">
                  <c:v>18.864453000000001</c:v>
                </c:pt>
                <c:pt idx="3249">
                  <c:v>18.467711999999999</c:v>
                </c:pt>
                <c:pt idx="3250">
                  <c:v>18.425415999999998</c:v>
                </c:pt>
                <c:pt idx="3251">
                  <c:v>18.483488000000001</c:v>
                </c:pt>
                <c:pt idx="3252">
                  <c:v>18.558152</c:v>
                </c:pt>
                <c:pt idx="3253">
                  <c:v>18.422491999999998</c:v>
                </c:pt>
                <c:pt idx="3254">
                  <c:v>18.751854000000002</c:v>
                </c:pt>
                <c:pt idx="3255">
                  <c:v>18.634968000000001</c:v>
                </c:pt>
                <c:pt idx="3256">
                  <c:v>18.458600000000001</c:v>
                </c:pt>
                <c:pt idx="3257">
                  <c:v>18.392232</c:v>
                </c:pt>
                <c:pt idx="3258">
                  <c:v>18.425892000000001</c:v>
                </c:pt>
                <c:pt idx="3259">
                  <c:v>18.483488000000001</c:v>
                </c:pt>
                <c:pt idx="3260">
                  <c:v>18.342455999999999</c:v>
                </c:pt>
                <c:pt idx="3261">
                  <c:v>18.284383999999999</c:v>
                </c:pt>
                <c:pt idx="3262">
                  <c:v>18.276088000000001</c:v>
                </c:pt>
                <c:pt idx="3263">
                  <c:v>18.417120000000001</c:v>
                </c:pt>
                <c:pt idx="3264">
                  <c:v>18.852042000000001</c:v>
                </c:pt>
                <c:pt idx="3265">
                  <c:v>18.679680000000001</c:v>
                </c:pt>
                <c:pt idx="3266">
                  <c:v>18.754200000000001</c:v>
                </c:pt>
                <c:pt idx="3267">
                  <c:v>18.604800000000001</c:v>
                </c:pt>
                <c:pt idx="3268">
                  <c:v>18.776160000000001</c:v>
                </c:pt>
                <c:pt idx="3269">
                  <c:v>18.792752</c:v>
                </c:pt>
                <c:pt idx="3270">
                  <c:v>18.800979999999999</c:v>
                </c:pt>
                <c:pt idx="3271">
                  <c:v>18.644648</c:v>
                </c:pt>
                <c:pt idx="3272">
                  <c:v>18.562367999999999</c:v>
                </c:pt>
                <c:pt idx="3273">
                  <c:v>18.529456</c:v>
                </c:pt>
                <c:pt idx="3274">
                  <c:v>18.521228000000001</c:v>
                </c:pt>
                <c:pt idx="3275">
                  <c:v>18.455404000000001</c:v>
                </c:pt>
                <c:pt idx="3276">
                  <c:v>18.414263999999999</c:v>
                </c:pt>
                <c:pt idx="3277">
                  <c:v>18.323755999999999</c:v>
                </c:pt>
                <c:pt idx="3278">
                  <c:v>18.576525</c:v>
                </c:pt>
                <c:pt idx="3279">
                  <c:v>18.593222999999998</c:v>
                </c:pt>
                <c:pt idx="3280">
                  <c:v>18.618269999999999</c:v>
                </c:pt>
                <c:pt idx="3281">
                  <c:v>18.751854000000002</c:v>
                </c:pt>
                <c:pt idx="3282">
                  <c:v>18.793599</c:v>
                </c:pt>
                <c:pt idx="3283">
                  <c:v>18.63</c:v>
                </c:pt>
                <c:pt idx="3284">
                  <c:v>18.68796</c:v>
                </c:pt>
                <c:pt idx="3285">
                  <c:v>18.704519999999999</c:v>
                </c:pt>
                <c:pt idx="3286">
                  <c:v>18.524016</c:v>
                </c:pt>
                <c:pt idx="3287">
                  <c:v>18.532226999999999</c:v>
                </c:pt>
                <c:pt idx="3288">
                  <c:v>18.597915</c:v>
                </c:pt>
                <c:pt idx="3289">
                  <c:v>18.571902000000001</c:v>
                </c:pt>
                <c:pt idx="3290">
                  <c:v>18.612611999999999</c:v>
                </c:pt>
                <c:pt idx="3291">
                  <c:v>18.622547999999998</c:v>
                </c:pt>
                <c:pt idx="3292">
                  <c:v>18.647181</c:v>
                </c:pt>
                <c:pt idx="3293">
                  <c:v>18.622547999999998</c:v>
                </c:pt>
                <c:pt idx="3294">
                  <c:v>18.580044000000001</c:v>
                </c:pt>
                <c:pt idx="3295">
                  <c:v>18.547476</c:v>
                </c:pt>
                <c:pt idx="3296">
                  <c:v>18.555617999999999</c:v>
                </c:pt>
                <c:pt idx="3297">
                  <c:v>18.498624</c:v>
                </c:pt>
                <c:pt idx="3298">
                  <c:v>15.112314</c:v>
                </c:pt>
                <c:pt idx="3299">
                  <c:v>15.132348</c:v>
                </c:pt>
                <c:pt idx="3300">
                  <c:v>15.005466</c:v>
                </c:pt>
                <c:pt idx="3301">
                  <c:v>14.838516</c:v>
                </c:pt>
                <c:pt idx="3302">
                  <c:v>14.737895999999999</c:v>
                </c:pt>
                <c:pt idx="3303">
                  <c:v>14.550407999999999</c:v>
                </c:pt>
                <c:pt idx="3304">
                  <c:v>14.610671999999999</c:v>
                </c:pt>
                <c:pt idx="3305">
                  <c:v>14.644152</c:v>
                </c:pt>
                <c:pt idx="3306">
                  <c:v>14.577192</c:v>
                </c:pt>
                <c:pt idx="3307">
                  <c:v>14.515192000000001</c:v>
                </c:pt>
                <c:pt idx="3308">
                  <c:v>14.749307999999999</c:v>
                </c:pt>
                <c:pt idx="3309">
                  <c:v>14.823459</c:v>
                </c:pt>
                <c:pt idx="3310">
                  <c:v>14.523624</c:v>
                </c:pt>
                <c:pt idx="3311">
                  <c:v>14.664859999999999</c:v>
                </c:pt>
                <c:pt idx="3312">
                  <c:v>14.536458</c:v>
                </c:pt>
                <c:pt idx="3313">
                  <c:v>14.483447999999999</c:v>
                </c:pt>
                <c:pt idx="3314">
                  <c:v>14.742566999999999</c:v>
                </c:pt>
                <c:pt idx="3315">
                  <c:v>14.704416</c:v>
                </c:pt>
                <c:pt idx="3316">
                  <c:v>14.744592000000001</c:v>
                </c:pt>
                <c:pt idx="3317">
                  <c:v>14.823459</c:v>
                </c:pt>
                <c:pt idx="3318">
                  <c:v>14.745024000000001</c:v>
                </c:pt>
                <c:pt idx="3319">
                  <c:v>14.771736000000001</c:v>
                </c:pt>
                <c:pt idx="3320">
                  <c:v>14.678243999999999</c:v>
                </c:pt>
                <c:pt idx="3321">
                  <c:v>14.708862</c:v>
                </c:pt>
                <c:pt idx="3322">
                  <c:v>14.577192</c:v>
                </c:pt>
                <c:pt idx="3323">
                  <c:v>14.711634</c:v>
                </c:pt>
                <c:pt idx="3324">
                  <c:v>14.999423999999999</c:v>
                </c:pt>
                <c:pt idx="3325">
                  <c:v>14.785092000000001</c:v>
                </c:pt>
                <c:pt idx="3326">
                  <c:v>14.823459</c:v>
                </c:pt>
                <c:pt idx="3327">
                  <c:v>14.711634</c:v>
                </c:pt>
                <c:pt idx="3328">
                  <c:v>14.749307999999999</c:v>
                </c:pt>
                <c:pt idx="3329">
                  <c:v>14.617554</c:v>
                </c:pt>
                <c:pt idx="3330">
                  <c:v>14.470056</c:v>
                </c:pt>
                <c:pt idx="3331">
                  <c:v>14.610796000000001</c:v>
                </c:pt>
                <c:pt idx="3332">
                  <c:v>14.541728000000001</c:v>
                </c:pt>
                <c:pt idx="3333">
                  <c:v>14.603975999999999</c:v>
                </c:pt>
                <c:pt idx="3334">
                  <c:v>14.617368000000001</c:v>
                </c:pt>
                <c:pt idx="3335">
                  <c:v>14.590584</c:v>
                </c:pt>
                <c:pt idx="3336">
                  <c:v>14.650848</c:v>
                </c:pt>
                <c:pt idx="3337">
                  <c:v>14.627969999999999</c:v>
                </c:pt>
                <c:pt idx="3338">
                  <c:v>14.878584</c:v>
                </c:pt>
                <c:pt idx="3339">
                  <c:v>14.945364</c:v>
                </c:pt>
                <c:pt idx="3340">
                  <c:v>14.925330000000001</c:v>
                </c:pt>
                <c:pt idx="3341">
                  <c:v>14.932008</c:v>
                </c:pt>
                <c:pt idx="3342">
                  <c:v>15.14016</c:v>
                </c:pt>
                <c:pt idx="3343">
                  <c:v>15.187200000000001</c:v>
                </c:pt>
                <c:pt idx="3344">
                  <c:v>14.956515</c:v>
                </c:pt>
                <c:pt idx="3345">
                  <c:v>15.180479999999999</c:v>
                </c:pt>
                <c:pt idx="3346">
                  <c:v>15.20736</c:v>
                </c:pt>
                <c:pt idx="3347">
                  <c:v>14.998787999999999</c:v>
                </c:pt>
                <c:pt idx="3348">
                  <c:v>14.985431999999999</c:v>
                </c:pt>
                <c:pt idx="3349">
                  <c:v>15.167249999999999</c:v>
                </c:pt>
                <c:pt idx="3350">
                  <c:v>15.085602</c:v>
                </c:pt>
                <c:pt idx="3351">
                  <c:v>15.065568000000001</c:v>
                </c:pt>
                <c:pt idx="3352">
                  <c:v>15.045534</c:v>
                </c:pt>
                <c:pt idx="3353">
                  <c:v>15.29792</c:v>
                </c:pt>
                <c:pt idx="3354">
                  <c:v>15.214079999999999</c:v>
                </c:pt>
                <c:pt idx="3355">
                  <c:v>15.085602</c:v>
                </c:pt>
                <c:pt idx="3356">
                  <c:v>15.038855999999999</c:v>
                </c:pt>
                <c:pt idx="3357">
                  <c:v>14.938686000000001</c:v>
                </c:pt>
                <c:pt idx="3358">
                  <c:v>14.89194</c:v>
                </c:pt>
                <c:pt idx="3359">
                  <c:v>14.971761000000001</c:v>
                </c:pt>
                <c:pt idx="3360">
                  <c:v>14.958278999999999</c:v>
                </c:pt>
                <c:pt idx="3361">
                  <c:v>14.831837999999999</c:v>
                </c:pt>
                <c:pt idx="3362">
                  <c:v>14.82516</c:v>
                </c:pt>
                <c:pt idx="3363">
                  <c:v>14.865228</c:v>
                </c:pt>
                <c:pt idx="3364">
                  <c:v>15.093120000000001</c:v>
                </c:pt>
                <c:pt idx="3365">
                  <c:v>15.055872000000001</c:v>
                </c:pt>
                <c:pt idx="3366">
                  <c:v>14.990208000000001</c:v>
                </c:pt>
                <c:pt idx="3367">
                  <c:v>15.231125</c:v>
                </c:pt>
                <c:pt idx="3368">
                  <c:v>15.129087999999999</c:v>
                </c:pt>
                <c:pt idx="3369">
                  <c:v>15.055872000000001</c:v>
                </c:pt>
                <c:pt idx="3370">
                  <c:v>15.069184</c:v>
                </c:pt>
                <c:pt idx="3371">
                  <c:v>15.109120000000001</c:v>
                </c:pt>
                <c:pt idx="3372">
                  <c:v>15.115776</c:v>
                </c:pt>
                <c:pt idx="3373">
                  <c:v>15.122432</c:v>
                </c:pt>
                <c:pt idx="3374">
                  <c:v>15.062528</c:v>
                </c:pt>
                <c:pt idx="3375">
                  <c:v>15.122432</c:v>
                </c:pt>
                <c:pt idx="3376">
                  <c:v>15.135744000000001</c:v>
                </c:pt>
                <c:pt idx="3377">
                  <c:v>15.122432</c:v>
                </c:pt>
                <c:pt idx="3378">
                  <c:v>15.015936</c:v>
                </c:pt>
                <c:pt idx="3379">
                  <c:v>15.11328</c:v>
                </c:pt>
                <c:pt idx="3380">
                  <c:v>14.995968</c:v>
                </c:pt>
                <c:pt idx="3381">
                  <c:v>15.049215999999999</c:v>
                </c:pt>
                <c:pt idx="3382">
                  <c:v>15.214079999999999</c:v>
                </c:pt>
                <c:pt idx="3383">
                  <c:v>15.135744000000001</c:v>
                </c:pt>
                <c:pt idx="3384">
                  <c:v>15.089152</c:v>
                </c:pt>
                <c:pt idx="3385">
                  <c:v>15.177565</c:v>
                </c:pt>
                <c:pt idx="3386">
                  <c:v>15.016576000000001</c:v>
                </c:pt>
                <c:pt idx="3387">
                  <c:v>15.17568</c:v>
                </c:pt>
                <c:pt idx="3388">
                  <c:v>15.04256</c:v>
                </c:pt>
                <c:pt idx="3389">
                  <c:v>15.022592</c:v>
                </c:pt>
                <c:pt idx="3390">
                  <c:v>15.04256</c:v>
                </c:pt>
                <c:pt idx="3391">
                  <c:v>15.069184</c:v>
                </c:pt>
                <c:pt idx="3392">
                  <c:v>15.304639999999999</c:v>
                </c:pt>
                <c:pt idx="3393">
                  <c:v>15.164175</c:v>
                </c:pt>
                <c:pt idx="3394">
                  <c:v>15.122047999999999</c:v>
                </c:pt>
                <c:pt idx="3395">
                  <c:v>15.202590000000001</c:v>
                </c:pt>
                <c:pt idx="3396">
                  <c:v>15.195959999999999</c:v>
                </c:pt>
                <c:pt idx="3397">
                  <c:v>15.16944</c:v>
                </c:pt>
                <c:pt idx="3398">
                  <c:v>15.156180000000001</c:v>
                </c:pt>
                <c:pt idx="3399">
                  <c:v>15.109769999999999</c:v>
                </c:pt>
                <c:pt idx="3400">
                  <c:v>15.12303</c:v>
                </c:pt>
                <c:pt idx="3401">
                  <c:v>15.18426</c:v>
                </c:pt>
                <c:pt idx="3402">
                  <c:v>15.05673</c:v>
                </c:pt>
                <c:pt idx="3403">
                  <c:v>15.09651</c:v>
                </c:pt>
                <c:pt idx="3404">
                  <c:v>15.109769999999999</c:v>
                </c:pt>
                <c:pt idx="3405">
                  <c:v>15.12303</c:v>
                </c:pt>
                <c:pt idx="3406">
                  <c:v>15.08325</c:v>
                </c:pt>
                <c:pt idx="3407">
                  <c:v>15.10314</c:v>
                </c:pt>
                <c:pt idx="3408">
                  <c:v>15.136290000000001</c:v>
                </c:pt>
                <c:pt idx="3409">
                  <c:v>15.027284999999999</c:v>
                </c:pt>
                <c:pt idx="3410">
                  <c:v>15.014155000000001</c:v>
                </c:pt>
                <c:pt idx="3411">
                  <c:v>15.020720000000001</c:v>
                </c:pt>
                <c:pt idx="3412">
                  <c:v>15.040414999999999</c:v>
                </c:pt>
                <c:pt idx="3413">
                  <c:v>15.176069999999999</c:v>
                </c:pt>
                <c:pt idx="3414">
                  <c:v>15.04698</c:v>
                </c:pt>
                <c:pt idx="3415">
                  <c:v>15.12303</c:v>
                </c:pt>
                <c:pt idx="3416">
                  <c:v>15.291804000000001</c:v>
                </c:pt>
                <c:pt idx="3417">
                  <c:v>15.07324</c:v>
                </c:pt>
                <c:pt idx="3418">
                  <c:v>15.027284999999999</c:v>
                </c:pt>
                <c:pt idx="3419">
                  <c:v>15.014155000000001</c:v>
                </c:pt>
                <c:pt idx="3420">
                  <c:v>15.129659999999999</c:v>
                </c:pt>
                <c:pt idx="3421">
                  <c:v>15.245142</c:v>
                </c:pt>
                <c:pt idx="3422">
                  <c:v>15.19848</c:v>
                </c:pt>
                <c:pt idx="3423">
                  <c:v>15.191814000000001</c:v>
                </c:pt>
                <c:pt idx="3424">
                  <c:v>15.131819999999999</c:v>
                </c:pt>
                <c:pt idx="3425">
                  <c:v>15.225144</c:v>
                </c:pt>
                <c:pt idx="3426">
                  <c:v>15.18</c:v>
                </c:pt>
                <c:pt idx="3427">
                  <c:v>15.1404</c:v>
                </c:pt>
                <c:pt idx="3428">
                  <c:v>15.153600000000001</c:v>
                </c:pt>
                <c:pt idx="3429">
                  <c:v>15.1074</c:v>
                </c:pt>
                <c:pt idx="3430">
                  <c:v>15.191814000000001</c:v>
                </c:pt>
                <c:pt idx="3431">
                  <c:v>15.041399999999999</c:v>
                </c:pt>
                <c:pt idx="3432">
                  <c:v>15.171816</c:v>
                </c:pt>
                <c:pt idx="3433">
                  <c:v>15.205145999999999</c:v>
                </c:pt>
                <c:pt idx="3434">
                  <c:v>15.19848</c:v>
                </c:pt>
                <c:pt idx="3435">
                  <c:v>15.165150000000001</c:v>
                </c:pt>
                <c:pt idx="3436">
                  <c:v>15.041399999999999</c:v>
                </c:pt>
                <c:pt idx="3437">
                  <c:v>15.0678</c:v>
                </c:pt>
                <c:pt idx="3438">
                  <c:v>15.081</c:v>
                </c:pt>
                <c:pt idx="3439">
                  <c:v>14.99446</c:v>
                </c:pt>
                <c:pt idx="3440">
                  <c:v>14.935375000000001</c:v>
                </c:pt>
                <c:pt idx="3441">
                  <c:v>15.063359999999999</c:v>
                </c:pt>
                <c:pt idx="3442">
                  <c:v>15.08325</c:v>
                </c:pt>
                <c:pt idx="3443">
                  <c:v>15.043469999999999</c:v>
                </c:pt>
                <c:pt idx="3444">
                  <c:v>15.01032</c:v>
                </c:pt>
                <c:pt idx="3445">
                  <c:v>15.003690000000001</c:v>
                </c:pt>
                <c:pt idx="3446">
                  <c:v>14.9838</c:v>
                </c:pt>
                <c:pt idx="3447">
                  <c:v>14.957280000000001</c:v>
                </c:pt>
                <c:pt idx="3448">
                  <c:v>14.9838</c:v>
                </c:pt>
                <c:pt idx="3449">
                  <c:v>14.997059999999999</c:v>
                </c:pt>
                <c:pt idx="3450">
                  <c:v>14.977169999999999</c:v>
                </c:pt>
                <c:pt idx="3451">
                  <c:v>14.997059999999999</c:v>
                </c:pt>
                <c:pt idx="3452">
                  <c:v>14.977169999999999</c:v>
                </c:pt>
                <c:pt idx="3453">
                  <c:v>14.90255</c:v>
                </c:pt>
                <c:pt idx="3454">
                  <c:v>15.281639999999999</c:v>
                </c:pt>
                <c:pt idx="3455">
                  <c:v>15.0501</c:v>
                </c:pt>
                <c:pt idx="3456">
                  <c:v>14.869725000000001</c:v>
                </c:pt>
                <c:pt idx="3457">
                  <c:v>15.158484</c:v>
                </c:pt>
                <c:pt idx="3458">
                  <c:v>14.922245</c:v>
                </c:pt>
                <c:pt idx="3459">
                  <c:v>14.955069999999999</c:v>
                </c:pt>
                <c:pt idx="3460">
                  <c:v>14.955069999999999</c:v>
                </c:pt>
                <c:pt idx="3461">
                  <c:v>15.0876</c:v>
                </c:pt>
                <c:pt idx="3462">
                  <c:v>14.969393999999999</c:v>
                </c:pt>
                <c:pt idx="3463">
                  <c:v>14.943258</c:v>
                </c:pt>
                <c:pt idx="3464">
                  <c:v>15.296099999999999</c:v>
                </c:pt>
                <c:pt idx="3465">
                  <c:v>15.0876</c:v>
                </c:pt>
                <c:pt idx="3466">
                  <c:v>15.081</c:v>
                </c:pt>
                <c:pt idx="3467">
                  <c:v>15.081</c:v>
                </c:pt>
                <c:pt idx="3468">
                  <c:v>15.1074</c:v>
                </c:pt>
                <c:pt idx="3469">
                  <c:v>15.114000000000001</c:v>
                </c:pt>
                <c:pt idx="3470">
                  <c:v>15.133800000000001</c:v>
                </c:pt>
                <c:pt idx="3471">
                  <c:v>15.322900000000001</c:v>
                </c:pt>
                <c:pt idx="3472">
                  <c:v>15.329599999999999</c:v>
                </c:pt>
                <c:pt idx="3473">
                  <c:v>15.3765</c:v>
                </c:pt>
                <c:pt idx="3474">
                  <c:v>15.3363</c:v>
                </c:pt>
                <c:pt idx="3475">
                  <c:v>15.1206</c:v>
                </c:pt>
                <c:pt idx="3476">
                  <c:v>15.1272</c:v>
                </c:pt>
                <c:pt idx="3477">
                  <c:v>15.1602</c:v>
                </c:pt>
                <c:pt idx="3478">
                  <c:v>15.4368</c:v>
                </c:pt>
                <c:pt idx="3479">
                  <c:v>15.315597</c:v>
                </c:pt>
                <c:pt idx="3480">
                  <c:v>15.302331000000001</c:v>
                </c:pt>
                <c:pt idx="3481">
                  <c:v>15.2196</c:v>
                </c:pt>
                <c:pt idx="3482">
                  <c:v>15.371796</c:v>
                </c:pt>
                <c:pt idx="3483">
                  <c:v>15.371796</c:v>
                </c:pt>
                <c:pt idx="3484">
                  <c:v>15.040414999999999</c:v>
                </c:pt>
                <c:pt idx="3485">
                  <c:v>15.182700000000001</c:v>
                </c:pt>
                <c:pt idx="3486">
                  <c:v>15.14955</c:v>
                </c:pt>
                <c:pt idx="3487">
                  <c:v>15.318467999999999</c:v>
                </c:pt>
                <c:pt idx="3488">
                  <c:v>15.325134</c:v>
                </c:pt>
                <c:pt idx="3489">
                  <c:v>15.29847</c:v>
                </c:pt>
                <c:pt idx="3490">
                  <c:v>15.325134</c:v>
                </c:pt>
                <c:pt idx="3491">
                  <c:v>15.331799999999999</c:v>
                </c:pt>
                <c:pt idx="3492">
                  <c:v>15.325134</c:v>
                </c:pt>
                <c:pt idx="3493">
                  <c:v>15.331799999999999</c:v>
                </c:pt>
                <c:pt idx="3494">
                  <c:v>15.079805</c:v>
                </c:pt>
                <c:pt idx="3495">
                  <c:v>15.345132</c:v>
                </c:pt>
                <c:pt idx="3496">
                  <c:v>15.365130000000001</c:v>
                </c:pt>
                <c:pt idx="3497">
                  <c:v>15.086370000000001</c:v>
                </c:pt>
                <c:pt idx="3498">
                  <c:v>15.251808</c:v>
                </c:pt>
                <c:pt idx="3499">
                  <c:v>15.1008</c:v>
                </c:pt>
                <c:pt idx="3500">
                  <c:v>15.1272</c:v>
                </c:pt>
                <c:pt idx="3501">
                  <c:v>15.245142</c:v>
                </c:pt>
                <c:pt idx="3502">
                  <c:v>15.251808</c:v>
                </c:pt>
                <c:pt idx="3503">
                  <c:v>15.238476</c:v>
                </c:pt>
                <c:pt idx="3504">
                  <c:v>15.225144</c:v>
                </c:pt>
                <c:pt idx="3505">
                  <c:v>15.211812</c:v>
                </c:pt>
                <c:pt idx="3506">
                  <c:v>15.185148</c:v>
                </c:pt>
                <c:pt idx="3507">
                  <c:v>15.19848</c:v>
                </c:pt>
                <c:pt idx="3508">
                  <c:v>15.205145999999999</c:v>
                </c:pt>
                <c:pt idx="3509">
                  <c:v>15.211812</c:v>
                </c:pt>
                <c:pt idx="3510">
                  <c:v>15.205145999999999</c:v>
                </c:pt>
                <c:pt idx="3511">
                  <c:v>15.205145999999999</c:v>
                </c:pt>
                <c:pt idx="3512">
                  <c:v>15.158484</c:v>
                </c:pt>
                <c:pt idx="3513">
                  <c:v>15.165150000000001</c:v>
                </c:pt>
                <c:pt idx="3514">
                  <c:v>15.145152</c:v>
                </c:pt>
                <c:pt idx="3515">
                  <c:v>15.185148</c:v>
                </c:pt>
                <c:pt idx="3516">
                  <c:v>15.171816</c:v>
                </c:pt>
                <c:pt idx="3517">
                  <c:v>15.191814000000001</c:v>
                </c:pt>
                <c:pt idx="3518">
                  <c:v>15.205145999999999</c:v>
                </c:pt>
                <c:pt idx="3519">
                  <c:v>15.0876</c:v>
                </c:pt>
                <c:pt idx="3520">
                  <c:v>15.1602</c:v>
                </c:pt>
                <c:pt idx="3521">
                  <c:v>15.153600000000001</c:v>
                </c:pt>
                <c:pt idx="3522">
                  <c:v>15.2064</c:v>
                </c:pt>
                <c:pt idx="3523">
                  <c:v>15.1074</c:v>
                </c:pt>
                <c:pt idx="3524">
                  <c:v>15.1272</c:v>
                </c:pt>
                <c:pt idx="3525">
                  <c:v>15.153600000000001</c:v>
                </c:pt>
                <c:pt idx="3526">
                  <c:v>15.1206</c:v>
                </c:pt>
                <c:pt idx="3527">
                  <c:v>15.147</c:v>
                </c:pt>
                <c:pt idx="3528">
                  <c:v>15.147</c:v>
                </c:pt>
                <c:pt idx="3529">
                  <c:v>15.133800000000001</c:v>
                </c:pt>
                <c:pt idx="3530">
                  <c:v>15.147</c:v>
                </c:pt>
                <c:pt idx="3531">
                  <c:v>15.285138</c:v>
                </c:pt>
                <c:pt idx="3532">
                  <c:v>15.318467999999999</c:v>
                </c:pt>
                <c:pt idx="3533">
                  <c:v>15.345132</c:v>
                </c:pt>
                <c:pt idx="3534">
                  <c:v>15.331799999999999</c:v>
                </c:pt>
                <c:pt idx="3535">
                  <c:v>15.271806</c:v>
                </c:pt>
                <c:pt idx="3536">
                  <c:v>15.245142</c:v>
                </c:pt>
                <c:pt idx="3537">
                  <c:v>15.218477999999999</c:v>
                </c:pt>
                <c:pt idx="3538">
                  <c:v>15.033849999999999</c:v>
                </c:pt>
                <c:pt idx="3539">
                  <c:v>15.251808</c:v>
                </c:pt>
                <c:pt idx="3540">
                  <c:v>15.29847</c:v>
                </c:pt>
                <c:pt idx="3541">
                  <c:v>15.325134</c:v>
                </c:pt>
                <c:pt idx="3542">
                  <c:v>15.338466</c:v>
                </c:pt>
                <c:pt idx="3543">
                  <c:v>15.345132</c:v>
                </c:pt>
                <c:pt idx="3544">
                  <c:v>15.29847</c:v>
                </c:pt>
                <c:pt idx="3545">
                  <c:v>15.278472000000001</c:v>
                </c:pt>
                <c:pt idx="3546">
                  <c:v>15.311802</c:v>
                </c:pt>
                <c:pt idx="3547">
                  <c:v>15.1866</c:v>
                </c:pt>
                <c:pt idx="3548">
                  <c:v>15.232799999999999</c:v>
                </c:pt>
                <c:pt idx="3549">
                  <c:v>15.173400000000001</c:v>
                </c:pt>
                <c:pt idx="3550">
                  <c:v>15.147</c:v>
                </c:pt>
                <c:pt idx="3551">
                  <c:v>15.1602</c:v>
                </c:pt>
                <c:pt idx="3552">
                  <c:v>15.2064</c:v>
                </c:pt>
                <c:pt idx="3553">
                  <c:v>15.2064</c:v>
                </c:pt>
                <c:pt idx="3554">
                  <c:v>15.232799999999999</c:v>
                </c:pt>
                <c:pt idx="3555">
                  <c:v>15.246</c:v>
                </c:pt>
                <c:pt idx="3556">
                  <c:v>15.232799999999999</c:v>
                </c:pt>
                <c:pt idx="3557">
                  <c:v>15.331799999999999</c:v>
                </c:pt>
                <c:pt idx="3558">
                  <c:v>15.351798</c:v>
                </c:pt>
                <c:pt idx="3559">
                  <c:v>15.371796</c:v>
                </c:pt>
                <c:pt idx="3560">
                  <c:v>15.252599999999999</c:v>
                </c:pt>
                <c:pt idx="3561">
                  <c:v>15.318467999999999</c:v>
                </c:pt>
                <c:pt idx="3562">
                  <c:v>15.1668</c:v>
                </c:pt>
                <c:pt idx="3563">
                  <c:v>15.1602</c:v>
                </c:pt>
                <c:pt idx="3564">
                  <c:v>15.18</c:v>
                </c:pt>
                <c:pt idx="3565">
                  <c:v>15.18</c:v>
                </c:pt>
                <c:pt idx="3566">
                  <c:v>15.193199999999999</c:v>
                </c:pt>
                <c:pt idx="3567">
                  <c:v>15.325134</c:v>
                </c:pt>
                <c:pt idx="3568">
                  <c:v>15.2196</c:v>
                </c:pt>
                <c:pt idx="3569">
                  <c:v>15.185148</c:v>
                </c:pt>
                <c:pt idx="3570">
                  <c:v>15.125154</c:v>
                </c:pt>
                <c:pt idx="3571">
                  <c:v>15.145152</c:v>
                </c:pt>
                <c:pt idx="3572">
                  <c:v>15.205145999999999</c:v>
                </c:pt>
                <c:pt idx="3573">
                  <c:v>15.081</c:v>
                </c:pt>
                <c:pt idx="3574">
                  <c:v>15.114000000000001</c:v>
                </c:pt>
                <c:pt idx="3575">
                  <c:v>15.114000000000001</c:v>
                </c:pt>
                <c:pt idx="3576">
                  <c:v>15.114000000000001</c:v>
                </c:pt>
                <c:pt idx="3577">
                  <c:v>15.231809999999999</c:v>
                </c:pt>
                <c:pt idx="3578">
                  <c:v>15.094200000000001</c:v>
                </c:pt>
                <c:pt idx="3579">
                  <c:v>15.265140000000001</c:v>
                </c:pt>
                <c:pt idx="3580">
                  <c:v>15.251808</c:v>
                </c:pt>
                <c:pt idx="3581">
                  <c:v>15.245142</c:v>
                </c:pt>
                <c:pt idx="3582">
                  <c:v>15.245142</c:v>
                </c:pt>
                <c:pt idx="3583">
                  <c:v>15.271806</c:v>
                </c:pt>
                <c:pt idx="3584">
                  <c:v>15.278472000000001</c:v>
                </c:pt>
                <c:pt idx="3585">
                  <c:v>15.258474</c:v>
                </c:pt>
                <c:pt idx="3586">
                  <c:v>15.258474</c:v>
                </c:pt>
                <c:pt idx="3587">
                  <c:v>15.171816</c:v>
                </c:pt>
                <c:pt idx="3588">
                  <c:v>15.138486</c:v>
                </c:pt>
                <c:pt idx="3589">
                  <c:v>15.374624000000001</c:v>
                </c:pt>
                <c:pt idx="3590">
                  <c:v>15.151818</c:v>
                </c:pt>
                <c:pt idx="3591">
                  <c:v>15.178482000000001</c:v>
                </c:pt>
                <c:pt idx="3592">
                  <c:v>15.138486</c:v>
                </c:pt>
                <c:pt idx="3593">
                  <c:v>15.09849</c:v>
                </c:pt>
                <c:pt idx="3594">
                  <c:v>15.071826</c:v>
                </c:pt>
                <c:pt idx="3595">
                  <c:v>15.085158</c:v>
                </c:pt>
                <c:pt idx="3596">
                  <c:v>15.085158</c:v>
                </c:pt>
                <c:pt idx="3597">
                  <c:v>15.078492000000001</c:v>
                </c:pt>
                <c:pt idx="3598">
                  <c:v>15.085158</c:v>
                </c:pt>
                <c:pt idx="3599">
                  <c:v>15.118487999999999</c:v>
                </c:pt>
                <c:pt idx="3600">
                  <c:v>15.125154</c:v>
                </c:pt>
                <c:pt idx="3601">
                  <c:v>15.138486</c:v>
                </c:pt>
                <c:pt idx="3602">
                  <c:v>15.361090000000001</c:v>
                </c:pt>
                <c:pt idx="3603">
                  <c:v>15.091824000000001</c:v>
                </c:pt>
                <c:pt idx="3604">
                  <c:v>15.111822</c:v>
                </c:pt>
                <c:pt idx="3605">
                  <c:v>15.111822</c:v>
                </c:pt>
                <c:pt idx="3606">
                  <c:v>15.138486</c:v>
                </c:pt>
                <c:pt idx="3607">
                  <c:v>15.105155999999999</c:v>
                </c:pt>
                <c:pt idx="3608">
                  <c:v>15.09849</c:v>
                </c:pt>
                <c:pt idx="3609">
                  <c:v>15.085158</c:v>
                </c:pt>
                <c:pt idx="3610">
                  <c:v>15.091824000000001</c:v>
                </c:pt>
                <c:pt idx="3611">
                  <c:v>15.125154</c:v>
                </c:pt>
                <c:pt idx="3612">
                  <c:v>15.165150000000001</c:v>
                </c:pt>
                <c:pt idx="3613">
                  <c:v>15.151818</c:v>
                </c:pt>
                <c:pt idx="3614">
                  <c:v>15.015000000000001</c:v>
                </c:pt>
                <c:pt idx="3615">
                  <c:v>15.2559</c:v>
                </c:pt>
                <c:pt idx="3616">
                  <c:v>15.229100000000001</c:v>
                </c:pt>
                <c:pt idx="3617">
                  <c:v>15.367857000000001</c:v>
                </c:pt>
                <c:pt idx="3618">
                  <c:v>15.374624000000001</c:v>
                </c:pt>
                <c:pt idx="3619">
                  <c:v>15.2559</c:v>
                </c:pt>
                <c:pt idx="3620">
                  <c:v>15.111822</c:v>
                </c:pt>
                <c:pt idx="3621">
                  <c:v>15.065160000000001</c:v>
                </c:pt>
                <c:pt idx="3622">
                  <c:v>15.091824000000001</c:v>
                </c:pt>
                <c:pt idx="3623">
                  <c:v>15.085158</c:v>
                </c:pt>
                <c:pt idx="3624">
                  <c:v>15.085158</c:v>
                </c:pt>
                <c:pt idx="3625">
                  <c:v>15.085158</c:v>
                </c:pt>
                <c:pt idx="3626">
                  <c:v>15.131819999999999</c:v>
                </c:pt>
                <c:pt idx="3627">
                  <c:v>15.171816</c:v>
                </c:pt>
                <c:pt idx="3628">
                  <c:v>15.125154</c:v>
                </c:pt>
                <c:pt idx="3629">
                  <c:v>15.178482000000001</c:v>
                </c:pt>
                <c:pt idx="3630">
                  <c:v>15.225144</c:v>
                </c:pt>
                <c:pt idx="3631">
                  <c:v>15.245142</c:v>
                </c:pt>
                <c:pt idx="3632">
                  <c:v>15.0678</c:v>
                </c:pt>
                <c:pt idx="3633">
                  <c:v>15.296099999999999</c:v>
                </c:pt>
                <c:pt idx="3634">
                  <c:v>15.1074</c:v>
                </c:pt>
                <c:pt idx="3635">
                  <c:v>15.3497</c:v>
                </c:pt>
                <c:pt idx="3636">
                  <c:v>15.0876</c:v>
                </c:pt>
                <c:pt idx="3637">
                  <c:v>15.074400000000001</c:v>
                </c:pt>
                <c:pt idx="3638">
                  <c:v>15.225144</c:v>
                </c:pt>
                <c:pt idx="3639">
                  <c:v>15.19848</c:v>
                </c:pt>
                <c:pt idx="3640">
                  <c:v>15.171816</c:v>
                </c:pt>
                <c:pt idx="3641">
                  <c:v>15.178482000000001</c:v>
                </c:pt>
                <c:pt idx="3642">
                  <c:v>15.165150000000001</c:v>
                </c:pt>
                <c:pt idx="3643">
                  <c:v>15.218477999999999</c:v>
                </c:pt>
                <c:pt idx="3644">
                  <c:v>15.081</c:v>
                </c:pt>
                <c:pt idx="3645">
                  <c:v>15.081</c:v>
                </c:pt>
                <c:pt idx="3646">
                  <c:v>15.19848</c:v>
                </c:pt>
                <c:pt idx="3647">
                  <c:v>15.19848</c:v>
                </c:pt>
                <c:pt idx="3648">
                  <c:v>15.211812</c:v>
                </c:pt>
                <c:pt idx="3649">
                  <c:v>15.205145999999999</c:v>
                </c:pt>
                <c:pt idx="3650">
                  <c:v>15.118487999999999</c:v>
                </c:pt>
                <c:pt idx="3651">
                  <c:v>15.131819999999999</c:v>
                </c:pt>
                <c:pt idx="3652">
                  <c:v>15.111822</c:v>
                </c:pt>
                <c:pt idx="3653">
                  <c:v>15.051828</c:v>
                </c:pt>
                <c:pt idx="3654">
                  <c:v>15.09849</c:v>
                </c:pt>
                <c:pt idx="3655">
                  <c:v>15.138486</c:v>
                </c:pt>
                <c:pt idx="3656">
                  <c:v>15.145152</c:v>
                </c:pt>
                <c:pt idx="3657">
                  <c:v>15.065160000000001</c:v>
                </c:pt>
                <c:pt idx="3658">
                  <c:v>15.105155999999999</c:v>
                </c:pt>
                <c:pt idx="3659">
                  <c:v>15.138486</c:v>
                </c:pt>
                <c:pt idx="3660">
                  <c:v>15.151818</c:v>
                </c:pt>
                <c:pt idx="3661">
                  <c:v>15.158484</c:v>
                </c:pt>
                <c:pt idx="3662">
                  <c:v>15.191814000000001</c:v>
                </c:pt>
                <c:pt idx="3663">
                  <c:v>15.205145999999999</c:v>
                </c:pt>
                <c:pt idx="3664">
                  <c:v>15.258474</c:v>
                </c:pt>
                <c:pt idx="3665">
                  <c:v>15.225144</c:v>
                </c:pt>
                <c:pt idx="3666">
                  <c:v>15.225144</c:v>
                </c:pt>
                <c:pt idx="3667">
                  <c:v>15.265140000000001</c:v>
                </c:pt>
                <c:pt idx="3668">
                  <c:v>15.311802</c:v>
                </c:pt>
                <c:pt idx="3669">
                  <c:v>15.311802</c:v>
                </c:pt>
                <c:pt idx="3670">
                  <c:v>15.258474</c:v>
                </c:pt>
                <c:pt idx="3671">
                  <c:v>15.191814000000001</c:v>
                </c:pt>
                <c:pt idx="3672">
                  <c:v>15.211812</c:v>
                </c:pt>
                <c:pt idx="3673">
                  <c:v>15.225144</c:v>
                </c:pt>
                <c:pt idx="3674">
                  <c:v>15.258474</c:v>
                </c:pt>
                <c:pt idx="3675">
                  <c:v>15.178482000000001</c:v>
                </c:pt>
                <c:pt idx="3676">
                  <c:v>15.185148</c:v>
                </c:pt>
                <c:pt idx="3677">
                  <c:v>15.191814000000001</c:v>
                </c:pt>
                <c:pt idx="3678">
                  <c:v>15.308567999999999</c:v>
                </c:pt>
                <c:pt idx="3679">
                  <c:v>15.295104</c:v>
                </c:pt>
                <c:pt idx="3680">
                  <c:v>15.138486</c:v>
                </c:pt>
                <c:pt idx="3681">
                  <c:v>15.165150000000001</c:v>
                </c:pt>
                <c:pt idx="3682">
                  <c:v>15.185148</c:v>
                </c:pt>
                <c:pt idx="3683">
                  <c:v>15.178482000000001</c:v>
                </c:pt>
                <c:pt idx="3684">
                  <c:v>15.19848</c:v>
                </c:pt>
                <c:pt idx="3685">
                  <c:v>15.238476</c:v>
                </c:pt>
                <c:pt idx="3686">
                  <c:v>15.265140000000001</c:v>
                </c:pt>
                <c:pt idx="3687">
                  <c:v>15.1206</c:v>
                </c:pt>
                <c:pt idx="3688">
                  <c:v>15.205145999999999</c:v>
                </c:pt>
                <c:pt idx="3689">
                  <c:v>15.225144</c:v>
                </c:pt>
                <c:pt idx="3690">
                  <c:v>14.9682</c:v>
                </c:pt>
                <c:pt idx="3691">
                  <c:v>14.961634999999999</c:v>
                </c:pt>
                <c:pt idx="3692">
                  <c:v>15.274908</c:v>
                </c:pt>
                <c:pt idx="3693">
                  <c:v>15.023580000000001</c:v>
                </c:pt>
                <c:pt idx="3694">
                  <c:v>15.125154</c:v>
                </c:pt>
                <c:pt idx="3695">
                  <c:v>15.261443999999999</c:v>
                </c:pt>
                <c:pt idx="3696">
                  <c:v>15.125154</c:v>
                </c:pt>
                <c:pt idx="3697">
                  <c:v>15.268176</c:v>
                </c:pt>
                <c:pt idx="3698">
                  <c:v>15.145152</c:v>
                </c:pt>
                <c:pt idx="3699">
                  <c:v>15.178482000000001</c:v>
                </c:pt>
                <c:pt idx="3700">
                  <c:v>15.34896</c:v>
                </c:pt>
                <c:pt idx="3701">
                  <c:v>15.335495999999999</c:v>
                </c:pt>
                <c:pt idx="3702">
                  <c:v>15.288372000000001</c:v>
                </c:pt>
                <c:pt idx="3703">
                  <c:v>15.227784</c:v>
                </c:pt>
                <c:pt idx="3704">
                  <c:v>15.194124</c:v>
                </c:pt>
                <c:pt idx="3705">
                  <c:v>15.18066</c:v>
                </c:pt>
                <c:pt idx="3706">
                  <c:v>15.165150000000001</c:v>
                </c:pt>
                <c:pt idx="3707">
                  <c:v>15.191814000000001</c:v>
                </c:pt>
                <c:pt idx="3708">
                  <c:v>15.191814000000001</c:v>
                </c:pt>
                <c:pt idx="3709">
                  <c:v>14.948505000000001</c:v>
                </c:pt>
                <c:pt idx="3710">
                  <c:v>15.211812</c:v>
                </c:pt>
                <c:pt idx="3711">
                  <c:v>15.00759</c:v>
                </c:pt>
                <c:pt idx="3712">
                  <c:v>15.238476</c:v>
                </c:pt>
                <c:pt idx="3713">
                  <c:v>15.258474</c:v>
                </c:pt>
                <c:pt idx="3714">
                  <c:v>15.265140000000001</c:v>
                </c:pt>
                <c:pt idx="3715">
                  <c:v>15.311802</c:v>
                </c:pt>
                <c:pt idx="3716">
                  <c:v>15.338466</c:v>
                </c:pt>
                <c:pt idx="3717">
                  <c:v>15.345132</c:v>
                </c:pt>
                <c:pt idx="3718">
                  <c:v>15.39846</c:v>
                </c:pt>
                <c:pt idx="3719">
                  <c:v>15.351798</c:v>
                </c:pt>
                <c:pt idx="3720">
                  <c:v>15.07324</c:v>
                </c:pt>
                <c:pt idx="3721">
                  <c:v>15.086370000000001</c:v>
                </c:pt>
                <c:pt idx="3722">
                  <c:v>15.086370000000001</c:v>
                </c:pt>
                <c:pt idx="3723">
                  <c:v>15.262259999999999</c:v>
                </c:pt>
                <c:pt idx="3724">
                  <c:v>15.25563</c:v>
                </c:pt>
                <c:pt idx="3725">
                  <c:v>15.27552</c:v>
                </c:pt>
                <c:pt idx="3726">
                  <c:v>15.29541</c:v>
                </c:pt>
                <c:pt idx="3727">
                  <c:v>15.27552</c:v>
                </c:pt>
                <c:pt idx="3728">
                  <c:v>15.249000000000001</c:v>
                </c:pt>
                <c:pt idx="3729">
                  <c:v>15.242369999999999</c:v>
                </c:pt>
                <c:pt idx="3730">
                  <c:v>15.29541</c:v>
                </c:pt>
                <c:pt idx="3731">
                  <c:v>15.178280000000001</c:v>
                </c:pt>
                <c:pt idx="3732">
                  <c:v>15.2308</c:v>
                </c:pt>
                <c:pt idx="3733">
                  <c:v>15.250495000000001</c:v>
                </c:pt>
                <c:pt idx="3734">
                  <c:v>15.21767</c:v>
                </c:pt>
                <c:pt idx="3735">
                  <c:v>15.21767</c:v>
                </c:pt>
                <c:pt idx="3736">
                  <c:v>15.197975</c:v>
                </c:pt>
                <c:pt idx="3737">
                  <c:v>15.158585</c:v>
                </c:pt>
                <c:pt idx="3738">
                  <c:v>15.145455</c:v>
                </c:pt>
                <c:pt idx="3739">
                  <c:v>15.145455</c:v>
                </c:pt>
                <c:pt idx="3740">
                  <c:v>15.158585</c:v>
                </c:pt>
                <c:pt idx="3741">
                  <c:v>15.178280000000001</c:v>
                </c:pt>
                <c:pt idx="3742">
                  <c:v>15.158585</c:v>
                </c:pt>
                <c:pt idx="3743">
                  <c:v>15.178280000000001</c:v>
                </c:pt>
                <c:pt idx="3744">
                  <c:v>15.13889</c:v>
                </c:pt>
                <c:pt idx="3745">
                  <c:v>15.001344</c:v>
                </c:pt>
                <c:pt idx="3746">
                  <c:v>14.962175999999999</c:v>
                </c:pt>
                <c:pt idx="3747">
                  <c:v>15.249000000000001</c:v>
                </c:pt>
                <c:pt idx="3748">
                  <c:v>15.13889</c:v>
                </c:pt>
                <c:pt idx="3749">
                  <c:v>15.335190000000001</c:v>
                </c:pt>
                <c:pt idx="3750">
                  <c:v>15.355079999999999</c:v>
                </c:pt>
                <c:pt idx="3751">
                  <c:v>15.053568</c:v>
                </c:pt>
                <c:pt idx="3752">
                  <c:v>15.086207999999999</c:v>
                </c:pt>
                <c:pt idx="3753">
                  <c:v>15.108864000000001</c:v>
                </c:pt>
                <c:pt idx="3754">
                  <c:v>15.066623999999999</c:v>
                </c:pt>
                <c:pt idx="3755">
                  <c:v>15.164543999999999</c:v>
                </c:pt>
                <c:pt idx="3756">
                  <c:v>15.260479999999999</c:v>
                </c:pt>
                <c:pt idx="3757">
                  <c:v>15.335190000000001</c:v>
                </c:pt>
                <c:pt idx="3758">
                  <c:v>15.335190000000001</c:v>
                </c:pt>
                <c:pt idx="3759">
                  <c:v>15.374969999999999</c:v>
                </c:pt>
                <c:pt idx="3760">
                  <c:v>15.39486</c:v>
                </c:pt>
                <c:pt idx="3761">
                  <c:v>15.38823</c:v>
                </c:pt>
                <c:pt idx="3762">
                  <c:v>15.32856</c:v>
                </c:pt>
                <c:pt idx="3763">
                  <c:v>15.28215</c:v>
                </c:pt>
                <c:pt idx="3764">
                  <c:v>15.30204</c:v>
                </c:pt>
                <c:pt idx="3765">
                  <c:v>15.15202</c:v>
                </c:pt>
                <c:pt idx="3766">
                  <c:v>15.184844999999999</c:v>
                </c:pt>
                <c:pt idx="3767">
                  <c:v>15.315300000000001</c:v>
                </c:pt>
                <c:pt idx="3768">
                  <c:v>15.099500000000001</c:v>
                </c:pt>
                <c:pt idx="3769">
                  <c:v>15.15202</c:v>
                </c:pt>
                <c:pt idx="3770">
                  <c:v>15.079805</c:v>
                </c:pt>
                <c:pt idx="3771">
                  <c:v>15.079805</c:v>
                </c:pt>
                <c:pt idx="3772">
                  <c:v>15.106064999999999</c:v>
                </c:pt>
                <c:pt idx="3773">
                  <c:v>15.053545</c:v>
                </c:pt>
                <c:pt idx="3774">
                  <c:v>15.04698</c:v>
                </c:pt>
                <c:pt idx="3775">
                  <c:v>15.099500000000001</c:v>
                </c:pt>
                <c:pt idx="3776">
                  <c:v>15.112629999999999</c:v>
                </c:pt>
                <c:pt idx="3777">
                  <c:v>15.195959999999999</c:v>
                </c:pt>
                <c:pt idx="3778">
                  <c:v>15.07324</c:v>
                </c:pt>
                <c:pt idx="3779">
                  <c:v>15.249000000000001</c:v>
                </c:pt>
                <c:pt idx="3780">
                  <c:v>15.29541</c:v>
                </c:pt>
                <c:pt idx="3781">
                  <c:v>15.222479999999999</c:v>
                </c:pt>
                <c:pt idx="3782">
                  <c:v>14.994816</c:v>
                </c:pt>
                <c:pt idx="3783">
                  <c:v>15.25563</c:v>
                </c:pt>
                <c:pt idx="3784">
                  <c:v>15.23574</c:v>
                </c:pt>
                <c:pt idx="3785">
                  <c:v>15.28215</c:v>
                </c:pt>
                <c:pt idx="3786">
                  <c:v>15.268890000000001</c:v>
                </c:pt>
                <c:pt idx="3787">
                  <c:v>15.25563</c:v>
                </c:pt>
                <c:pt idx="3788">
                  <c:v>15.10392</c:v>
                </c:pt>
                <c:pt idx="3789">
                  <c:v>14.963839999999999</c:v>
                </c:pt>
                <c:pt idx="3790">
                  <c:v>15.50562</c:v>
                </c:pt>
                <c:pt idx="3791">
                  <c:v>15.374969999999999</c:v>
                </c:pt>
                <c:pt idx="3792">
                  <c:v>15.355079999999999</c:v>
                </c:pt>
                <c:pt idx="3793">
                  <c:v>166.99033499999999</c:v>
                </c:pt>
                <c:pt idx="3794">
                  <c:v>161.87197599999999</c:v>
                </c:pt>
                <c:pt idx="3795">
                  <c:v>165.48141200000001</c:v>
                </c:pt>
                <c:pt idx="3796">
                  <c:v>167.89080000000001</c:v>
                </c:pt>
                <c:pt idx="3797">
                  <c:v>179.384073</c:v>
                </c:pt>
                <c:pt idx="3798">
                  <c:v>165.45797400000001</c:v>
                </c:pt>
                <c:pt idx="3799">
                  <c:v>158.300352</c:v>
                </c:pt>
                <c:pt idx="3800">
                  <c:v>158.788872</c:v>
                </c:pt>
                <c:pt idx="3801">
                  <c:v>158.37045599999999</c:v>
                </c:pt>
                <c:pt idx="3802">
                  <c:v>155.45644799999999</c:v>
                </c:pt>
                <c:pt idx="3803">
                  <c:v>156.770208</c:v>
                </c:pt>
                <c:pt idx="3804">
                  <c:v>156.76284799999999</c:v>
                </c:pt>
                <c:pt idx="3805">
                  <c:v>155.09129999999999</c:v>
                </c:pt>
                <c:pt idx="3806">
                  <c:v>153.32589999999999</c:v>
                </c:pt>
                <c:pt idx="3807">
                  <c:v>152.92367999999999</c:v>
                </c:pt>
                <c:pt idx="3808">
                  <c:v>153.02159599999999</c:v>
                </c:pt>
                <c:pt idx="3809">
                  <c:v>153.00421499999999</c:v>
                </c:pt>
                <c:pt idx="3810">
                  <c:v>161.08657199999999</c:v>
                </c:pt>
                <c:pt idx="3811">
                  <c:v>173.14442399999999</c:v>
                </c:pt>
                <c:pt idx="3812">
                  <c:v>174.741792</c:v>
                </c:pt>
                <c:pt idx="3813">
                  <c:v>158.84250800000001</c:v>
                </c:pt>
                <c:pt idx="3814">
                  <c:v>156.03245999999999</c:v>
                </c:pt>
                <c:pt idx="3815">
                  <c:v>154.49587600000001</c:v>
                </c:pt>
                <c:pt idx="3816">
                  <c:v>154.58649600000001</c:v>
                </c:pt>
                <c:pt idx="3817">
                  <c:v>155.24972399999999</c:v>
                </c:pt>
                <c:pt idx="3818">
                  <c:v>154.072768</c:v>
                </c:pt>
                <c:pt idx="3819">
                  <c:v>154.41316800000001</c:v>
                </c:pt>
                <c:pt idx="3820">
                  <c:v>158.090868</c:v>
                </c:pt>
                <c:pt idx="3821">
                  <c:v>155.61018000000001</c:v>
                </c:pt>
                <c:pt idx="3822">
                  <c:v>157.04344800000001</c:v>
                </c:pt>
                <c:pt idx="3823">
                  <c:v>157.35772</c:v>
                </c:pt>
                <c:pt idx="3824">
                  <c:v>156.46108799999999</c:v>
                </c:pt>
                <c:pt idx="3825">
                  <c:v>155.09718799999999</c:v>
                </c:pt>
                <c:pt idx="3826">
                  <c:v>155.28661600000001</c:v>
                </c:pt>
                <c:pt idx="3827">
                  <c:v>156.17321999999999</c:v>
                </c:pt>
                <c:pt idx="3828">
                  <c:v>156.89201600000001</c:v>
                </c:pt>
                <c:pt idx="3829">
                  <c:v>169.91929500000001</c:v>
                </c:pt>
                <c:pt idx="3830">
                  <c:v>165.961432</c:v>
                </c:pt>
                <c:pt idx="3831">
                  <c:v>162.44712000000001</c:v>
                </c:pt>
                <c:pt idx="3832">
                  <c:v>163.63485</c:v>
                </c:pt>
                <c:pt idx="3833">
                  <c:v>158.07744</c:v>
                </c:pt>
                <c:pt idx="3834">
                  <c:v>165.35064</c:v>
                </c:pt>
                <c:pt idx="3835">
                  <c:v>163.449195</c:v>
                </c:pt>
                <c:pt idx="3836">
                  <c:v>162.28566000000001</c:v>
                </c:pt>
                <c:pt idx="3837">
                  <c:v>160.43832</c:v>
                </c:pt>
                <c:pt idx="3838">
                  <c:v>159.60826700000001</c:v>
                </c:pt>
                <c:pt idx="3839">
                  <c:v>159.380312</c:v>
                </c:pt>
                <c:pt idx="3840">
                  <c:v>162.131788</c:v>
                </c:pt>
                <c:pt idx="3841">
                  <c:v>161.046886</c:v>
                </c:pt>
                <c:pt idx="3842">
                  <c:v>164.28248199999999</c:v>
                </c:pt>
                <c:pt idx="3843">
                  <c:v>172.17763199999999</c:v>
                </c:pt>
                <c:pt idx="3844">
                  <c:v>167.94140999999999</c:v>
                </c:pt>
                <c:pt idx="3845">
                  <c:v>167.46489199999999</c:v>
                </c:pt>
                <c:pt idx="3846">
                  <c:v>169.09466</c:v>
                </c:pt>
                <c:pt idx="3847">
                  <c:v>168.93552800000001</c:v>
                </c:pt>
                <c:pt idx="3848">
                  <c:v>165.695661</c:v>
                </c:pt>
                <c:pt idx="3849">
                  <c:v>158.21729999999999</c:v>
                </c:pt>
                <c:pt idx="3850">
                  <c:v>163.72901999999999</c:v>
                </c:pt>
                <c:pt idx="3851">
                  <c:v>164.19676000000001</c:v>
                </c:pt>
                <c:pt idx="3852">
                  <c:v>159.63480000000001</c:v>
                </c:pt>
                <c:pt idx="3853">
                  <c:v>158.78235100000001</c:v>
                </c:pt>
                <c:pt idx="3854">
                  <c:v>157.75268600000001</c:v>
                </c:pt>
                <c:pt idx="3855">
                  <c:v>157.06126800000001</c:v>
                </c:pt>
                <c:pt idx="3856">
                  <c:v>152.92913999999999</c:v>
                </c:pt>
                <c:pt idx="3857">
                  <c:v>152.515818</c:v>
                </c:pt>
                <c:pt idx="3858">
                  <c:v>152.52892199999999</c:v>
                </c:pt>
                <c:pt idx="3859">
                  <c:v>153.823488</c:v>
                </c:pt>
                <c:pt idx="3860">
                  <c:v>154.49570499999999</c:v>
                </c:pt>
                <c:pt idx="3861">
                  <c:v>153.89756199999999</c:v>
                </c:pt>
                <c:pt idx="3862">
                  <c:v>157.13151999999999</c:v>
                </c:pt>
                <c:pt idx="3863">
                  <c:v>154.65450000000001</c:v>
                </c:pt>
                <c:pt idx="3864">
                  <c:v>152.20841999999999</c:v>
                </c:pt>
                <c:pt idx="3865">
                  <c:v>152.24800500000001</c:v>
                </c:pt>
                <c:pt idx="3866">
                  <c:v>152.65322800000001</c:v>
                </c:pt>
                <c:pt idx="3867">
                  <c:v>152.74459200000001</c:v>
                </c:pt>
                <c:pt idx="3868">
                  <c:v>152.336275</c:v>
                </c:pt>
                <c:pt idx="3869">
                  <c:v>153.74049600000001</c:v>
                </c:pt>
                <c:pt idx="3870">
                  <c:v>153.18758</c:v>
                </c:pt>
                <c:pt idx="3871">
                  <c:v>153.00776400000001</c:v>
                </c:pt>
                <c:pt idx="3872">
                  <c:v>152.55749599999999</c:v>
                </c:pt>
                <c:pt idx="3873">
                  <c:v>152.483058</c:v>
                </c:pt>
                <c:pt idx="3874">
                  <c:v>152.89146600000001</c:v>
                </c:pt>
                <c:pt idx="3875">
                  <c:v>152.698455</c:v>
                </c:pt>
                <c:pt idx="3876">
                  <c:v>151.71729300000001</c:v>
                </c:pt>
                <c:pt idx="3877">
                  <c:v>151.82276200000001</c:v>
                </c:pt>
                <c:pt idx="3878">
                  <c:v>151.34246400000001</c:v>
                </c:pt>
                <c:pt idx="3879">
                  <c:v>151.47568799999999</c:v>
                </c:pt>
                <c:pt idx="3880">
                  <c:v>152.33309</c:v>
                </c:pt>
                <c:pt idx="3881">
                  <c:v>154.00358399999999</c:v>
                </c:pt>
                <c:pt idx="3882">
                  <c:v>153.80099999999999</c:v>
                </c:pt>
                <c:pt idx="3883">
                  <c:v>153.046784</c:v>
                </c:pt>
                <c:pt idx="3884">
                  <c:v>154.31988000000001</c:v>
                </c:pt>
                <c:pt idx="3885">
                  <c:v>154.60471200000001</c:v>
                </c:pt>
                <c:pt idx="3886">
                  <c:v>152.689088</c:v>
                </c:pt>
                <c:pt idx="3887">
                  <c:v>153.63466399999999</c:v>
                </c:pt>
                <c:pt idx="3888">
                  <c:v>153.08395200000001</c:v>
                </c:pt>
                <c:pt idx="3889">
                  <c:v>152.96140800000001</c:v>
                </c:pt>
                <c:pt idx="3890">
                  <c:v>152.37316000000001</c:v>
                </c:pt>
                <c:pt idx="3891">
                  <c:v>152.72460000000001</c:v>
                </c:pt>
                <c:pt idx="3892">
                  <c:v>152.75661600000001</c:v>
                </c:pt>
                <c:pt idx="3893">
                  <c:v>153.00078400000001</c:v>
                </c:pt>
                <c:pt idx="3894">
                  <c:v>153.907352</c:v>
                </c:pt>
                <c:pt idx="3895">
                  <c:v>153.57606000000001</c:v>
                </c:pt>
                <c:pt idx="3896">
                  <c:v>153.225436</c:v>
                </c:pt>
                <c:pt idx="3897">
                  <c:v>153.24309</c:v>
                </c:pt>
                <c:pt idx="3898">
                  <c:v>152.73121499999999</c:v>
                </c:pt>
                <c:pt idx="3899">
                  <c:v>152.11723799999999</c:v>
                </c:pt>
                <c:pt idx="3900">
                  <c:v>160.73596000000001</c:v>
                </c:pt>
                <c:pt idx="3901">
                  <c:v>154.857248</c:v>
                </c:pt>
                <c:pt idx="3902">
                  <c:v>163.67778000000001</c:v>
                </c:pt>
                <c:pt idx="3903">
                  <c:v>162.33624</c:v>
                </c:pt>
                <c:pt idx="3904">
                  <c:v>162.38558699999999</c:v>
                </c:pt>
                <c:pt idx="3905">
                  <c:v>158.97248999999999</c:v>
                </c:pt>
                <c:pt idx="3906">
                  <c:v>162.65223</c:v>
                </c:pt>
                <c:pt idx="3907">
                  <c:v>159.87462400000001</c:v>
                </c:pt>
                <c:pt idx="3908">
                  <c:v>159.72028800000001</c:v>
                </c:pt>
                <c:pt idx="3909">
                  <c:v>159.50024999999999</c:v>
                </c:pt>
                <c:pt idx="3910">
                  <c:v>161.673057</c:v>
                </c:pt>
                <c:pt idx="3911">
                  <c:v>159.82675800000001</c:v>
                </c:pt>
                <c:pt idx="3912">
                  <c:v>156.529191</c:v>
                </c:pt>
                <c:pt idx="3913">
                  <c:v>160.53300899999999</c:v>
                </c:pt>
                <c:pt idx="3914">
                  <c:v>162.101212</c:v>
                </c:pt>
                <c:pt idx="3915">
                  <c:v>160.05189200000001</c:v>
                </c:pt>
                <c:pt idx="3916">
                  <c:v>157.80710400000001</c:v>
                </c:pt>
                <c:pt idx="3917">
                  <c:v>159.50789399999999</c:v>
                </c:pt>
                <c:pt idx="3918">
                  <c:v>159.63401999999999</c:v>
                </c:pt>
                <c:pt idx="3919">
                  <c:v>162.81488400000001</c:v>
                </c:pt>
                <c:pt idx="3920">
                  <c:v>158.436915</c:v>
                </c:pt>
                <c:pt idx="3921">
                  <c:v>164.577144</c:v>
                </c:pt>
                <c:pt idx="3922">
                  <c:v>162.37175500000001</c:v>
                </c:pt>
                <c:pt idx="3923">
                  <c:v>167.88012800000001</c:v>
                </c:pt>
                <c:pt idx="3924">
                  <c:v>166.04159999999999</c:v>
                </c:pt>
                <c:pt idx="3925">
                  <c:v>167.37559999999999</c:v>
                </c:pt>
                <c:pt idx="3926">
                  <c:v>163.02686399999999</c:v>
                </c:pt>
                <c:pt idx="3927">
                  <c:v>168.084</c:v>
                </c:pt>
                <c:pt idx="3928">
                  <c:v>164.698768</c:v>
                </c:pt>
                <c:pt idx="3929">
                  <c:v>157.10822400000001</c:v>
                </c:pt>
                <c:pt idx="3930">
                  <c:v>156.62446800000001</c:v>
                </c:pt>
                <c:pt idx="3931">
                  <c:v>156.146445</c:v>
                </c:pt>
                <c:pt idx="3932">
                  <c:v>156.066092</c:v>
                </c:pt>
                <c:pt idx="3933">
                  <c:v>155.81893600000001</c:v>
                </c:pt>
                <c:pt idx="3934">
                  <c:v>156.8476</c:v>
                </c:pt>
                <c:pt idx="3935">
                  <c:v>156.420264</c:v>
                </c:pt>
                <c:pt idx="3936">
                  <c:v>158.48851199999999</c:v>
                </c:pt>
                <c:pt idx="3937">
                  <c:v>157.754142</c:v>
                </c:pt>
                <c:pt idx="3938">
                  <c:v>157.20022499999999</c:v>
                </c:pt>
                <c:pt idx="3939">
                  <c:v>164.35689600000001</c:v>
                </c:pt>
                <c:pt idx="3940">
                  <c:v>159.26346799999999</c:v>
                </c:pt>
                <c:pt idx="3941">
                  <c:v>165.27616</c:v>
                </c:pt>
                <c:pt idx="3942">
                  <c:v>162.26573999999999</c:v>
                </c:pt>
                <c:pt idx="3943">
                  <c:v>164.22315</c:v>
                </c:pt>
                <c:pt idx="3944">
                  <c:v>159.467581</c:v>
                </c:pt>
                <c:pt idx="3945">
                  <c:v>157.25673599999999</c:v>
                </c:pt>
                <c:pt idx="3946">
                  <c:v>162.27458999999999</c:v>
                </c:pt>
                <c:pt idx="3947">
                  <c:v>161.05068</c:v>
                </c:pt>
                <c:pt idx="3948">
                  <c:v>155.10316800000001</c:v>
                </c:pt>
                <c:pt idx="3949">
                  <c:v>159.89048</c:v>
                </c:pt>
                <c:pt idx="3950">
                  <c:v>171.26117400000001</c:v>
                </c:pt>
                <c:pt idx="3951">
                  <c:v>175.27533299999999</c:v>
                </c:pt>
                <c:pt idx="3952">
                  <c:v>166.150452</c:v>
                </c:pt>
                <c:pt idx="3953">
                  <c:v>157.67162400000001</c:v>
                </c:pt>
                <c:pt idx="3954">
                  <c:v>161.18192999999999</c:v>
                </c:pt>
                <c:pt idx="3955">
                  <c:v>164.08547999999999</c:v>
                </c:pt>
                <c:pt idx="3956">
                  <c:v>163.46311800000001</c:v>
                </c:pt>
                <c:pt idx="3957">
                  <c:v>165.274655</c:v>
                </c:pt>
                <c:pt idx="3958">
                  <c:v>163.931859</c:v>
                </c:pt>
                <c:pt idx="3959">
                  <c:v>166.92748800000001</c:v>
                </c:pt>
                <c:pt idx="3960">
                  <c:v>162.44646599999999</c:v>
                </c:pt>
                <c:pt idx="3961">
                  <c:v>162.533098</c:v>
                </c:pt>
                <c:pt idx="3962">
                  <c:v>161.24553900000001</c:v>
                </c:pt>
                <c:pt idx="3963">
                  <c:v>163.81965600000001</c:v>
                </c:pt>
                <c:pt idx="3964">
                  <c:v>160.99983900000001</c:v>
                </c:pt>
                <c:pt idx="3965">
                  <c:v>165.389679</c:v>
                </c:pt>
                <c:pt idx="3966">
                  <c:v>159.63401999999999</c:v>
                </c:pt>
                <c:pt idx="3967">
                  <c:v>159.45702499999999</c:v>
                </c:pt>
                <c:pt idx="3968">
                  <c:v>160.69872000000001</c:v>
                </c:pt>
                <c:pt idx="3969">
                  <c:v>159.27912000000001</c:v>
                </c:pt>
                <c:pt idx="3970">
                  <c:v>160.34381999999999</c:v>
                </c:pt>
                <c:pt idx="3971">
                  <c:v>158.84869</c:v>
                </c:pt>
                <c:pt idx="3972">
                  <c:v>158.23262</c:v>
                </c:pt>
                <c:pt idx="3973">
                  <c:v>158.84869</c:v>
                </c:pt>
                <c:pt idx="3974">
                  <c:v>158.82866999999999</c:v>
                </c:pt>
                <c:pt idx="3975">
                  <c:v>154.19678400000001</c:v>
                </c:pt>
                <c:pt idx="3976">
                  <c:v>163.56249</c:v>
                </c:pt>
                <c:pt idx="3977">
                  <c:v>162.61245</c:v>
                </c:pt>
                <c:pt idx="3978">
                  <c:v>157.94415000000001</c:v>
                </c:pt>
                <c:pt idx="3979">
                  <c:v>157.37549100000001</c:v>
                </c:pt>
                <c:pt idx="3980">
                  <c:v>158.069366</c:v>
                </c:pt>
                <c:pt idx="3981">
                  <c:v>158.35820000000001</c:v>
                </c:pt>
                <c:pt idx="3982">
                  <c:v>158.10913300000001</c:v>
                </c:pt>
                <c:pt idx="3983">
                  <c:v>155.9331</c:v>
                </c:pt>
                <c:pt idx="3984">
                  <c:v>152.75827200000001</c:v>
                </c:pt>
                <c:pt idx="3985">
                  <c:v>153.23851199999999</c:v>
                </c:pt>
                <c:pt idx="3986">
                  <c:v>152.76599999999999</c:v>
                </c:pt>
                <c:pt idx="3987">
                  <c:v>152.76599999999999</c:v>
                </c:pt>
                <c:pt idx="3988">
                  <c:v>152.697</c:v>
                </c:pt>
                <c:pt idx="3989">
                  <c:v>152.831504</c:v>
                </c:pt>
                <c:pt idx="3990">
                  <c:v>152.540232</c:v>
                </c:pt>
                <c:pt idx="3991">
                  <c:v>153.11707200000001</c:v>
                </c:pt>
                <c:pt idx="3992">
                  <c:v>153.66576000000001</c:v>
                </c:pt>
                <c:pt idx="3993">
                  <c:v>154.216104</c:v>
                </c:pt>
                <c:pt idx="3994">
                  <c:v>176.34474</c:v>
                </c:pt>
                <c:pt idx="3995">
                  <c:v>179.37886499999999</c:v>
                </c:pt>
                <c:pt idx="3996">
                  <c:v>180.18296000000001</c:v>
                </c:pt>
                <c:pt idx="3997">
                  <c:v>179.48736</c:v>
                </c:pt>
                <c:pt idx="3998">
                  <c:v>180.84406200000001</c:v>
                </c:pt>
                <c:pt idx="3999">
                  <c:v>180.02034</c:v>
                </c:pt>
                <c:pt idx="4000">
                  <c:v>179.65862799999999</c:v>
                </c:pt>
                <c:pt idx="4001">
                  <c:v>180.20946799999999</c:v>
                </c:pt>
                <c:pt idx="4002">
                  <c:v>181.44237200000001</c:v>
                </c:pt>
                <c:pt idx="4003">
                  <c:v>181.240272</c:v>
                </c:pt>
                <c:pt idx="4004">
                  <c:v>181.14269999999999</c:v>
                </c:pt>
                <c:pt idx="4005">
                  <c:v>180.64299600000001</c:v>
                </c:pt>
                <c:pt idx="4006">
                  <c:v>179.469594</c:v>
                </c:pt>
                <c:pt idx="4007">
                  <c:v>178.216668</c:v>
                </c:pt>
                <c:pt idx="4008">
                  <c:v>180.45029600000001</c:v>
                </c:pt>
                <c:pt idx="4009">
                  <c:v>178.96678800000001</c:v>
                </c:pt>
                <c:pt idx="4010">
                  <c:v>162.557211</c:v>
                </c:pt>
                <c:pt idx="4011">
                  <c:v>152.36304000000001</c:v>
                </c:pt>
                <c:pt idx="4012">
                  <c:v>151.991544</c:v>
                </c:pt>
                <c:pt idx="4013">
                  <c:v>153.04908399999999</c:v>
                </c:pt>
                <c:pt idx="4014">
                  <c:v>152.361108</c:v>
                </c:pt>
                <c:pt idx="4015">
                  <c:v>153.39196799999999</c:v>
                </c:pt>
                <c:pt idx="4016">
                  <c:v>152.77565999999999</c:v>
                </c:pt>
                <c:pt idx="4017">
                  <c:v>152.75358</c:v>
                </c:pt>
                <c:pt idx="4018">
                  <c:v>151.613608</c:v>
                </c:pt>
                <c:pt idx="4019">
                  <c:v>151.069152</c:v>
                </c:pt>
                <c:pt idx="4020">
                  <c:v>149.63570000000001</c:v>
                </c:pt>
                <c:pt idx="4021">
                  <c:v>149.99358000000001</c:v>
                </c:pt>
                <c:pt idx="4022">
                  <c:v>150.200028</c:v>
                </c:pt>
                <c:pt idx="4023">
                  <c:v>149.80139199999999</c:v>
                </c:pt>
                <c:pt idx="4024">
                  <c:v>149.48049599999999</c:v>
                </c:pt>
                <c:pt idx="4025">
                  <c:v>150.18227200000001</c:v>
                </c:pt>
                <c:pt idx="4026">
                  <c:v>149.62438399999999</c:v>
                </c:pt>
                <c:pt idx="4027">
                  <c:v>149.81445600000001</c:v>
                </c:pt>
                <c:pt idx="4028">
                  <c:v>149.94803999999999</c:v>
                </c:pt>
                <c:pt idx="4029">
                  <c:v>150.08162400000001</c:v>
                </c:pt>
                <c:pt idx="4030">
                  <c:v>149.76679999999999</c:v>
                </c:pt>
                <c:pt idx="4031">
                  <c:v>150.22716800000001</c:v>
                </c:pt>
                <c:pt idx="4032">
                  <c:v>150.71605600000001</c:v>
                </c:pt>
                <c:pt idx="4033">
                  <c:v>150.61899600000001</c:v>
                </c:pt>
                <c:pt idx="4034">
                  <c:v>150.58320800000001</c:v>
                </c:pt>
                <c:pt idx="4035">
                  <c:v>151.65647999999999</c:v>
                </c:pt>
                <c:pt idx="4036">
                  <c:v>151.559144</c:v>
                </c:pt>
                <c:pt idx="4037">
                  <c:v>150.15458000000001</c:v>
                </c:pt>
                <c:pt idx="4038">
                  <c:v>150.43352400000001</c:v>
                </c:pt>
                <c:pt idx="4039">
                  <c:v>150.160192</c:v>
                </c:pt>
                <c:pt idx="4040">
                  <c:v>150.23231999999999</c:v>
                </c:pt>
                <c:pt idx="4041">
                  <c:v>150.1026</c:v>
                </c:pt>
                <c:pt idx="4042">
                  <c:v>149.84592000000001</c:v>
                </c:pt>
                <c:pt idx="4043">
                  <c:v>149.846656</c:v>
                </c:pt>
                <c:pt idx="4044">
                  <c:v>149.490432</c:v>
                </c:pt>
                <c:pt idx="4045">
                  <c:v>150.59296000000001</c:v>
                </c:pt>
                <c:pt idx="4046">
                  <c:v>149.711232</c:v>
                </c:pt>
                <c:pt idx="4047">
                  <c:v>149.70571200000001</c:v>
                </c:pt>
                <c:pt idx="4048">
                  <c:v>149.76422400000001</c:v>
                </c:pt>
                <c:pt idx="4049">
                  <c:v>149.34866</c:v>
                </c:pt>
                <c:pt idx="4050">
                  <c:v>148.98663999999999</c:v>
                </c:pt>
                <c:pt idx="4051">
                  <c:v>149.53036</c:v>
                </c:pt>
                <c:pt idx="4052">
                  <c:v>149.90111999999999</c:v>
                </c:pt>
                <c:pt idx="4053">
                  <c:v>150.883128</c:v>
                </c:pt>
                <c:pt idx="4054">
                  <c:v>150.459192</c:v>
                </c:pt>
                <c:pt idx="4055">
                  <c:v>150.55588399999999</c:v>
                </c:pt>
                <c:pt idx="4056">
                  <c:v>149.881248</c:v>
                </c:pt>
                <c:pt idx="4057">
                  <c:v>149.83395999999999</c:v>
                </c:pt>
                <c:pt idx="4058">
                  <c:v>149.69963999999999</c:v>
                </c:pt>
                <c:pt idx="4059">
                  <c:v>149.63570000000001</c:v>
                </c:pt>
                <c:pt idx="4060">
                  <c:v>149.56532000000001</c:v>
                </c:pt>
                <c:pt idx="4061">
                  <c:v>150.25164000000001</c:v>
                </c:pt>
                <c:pt idx="4062">
                  <c:v>158.130336</c:v>
                </c:pt>
                <c:pt idx="4063">
                  <c:v>159.77698100000001</c:v>
                </c:pt>
                <c:pt idx="4064">
                  <c:v>158.77461600000001</c:v>
                </c:pt>
                <c:pt idx="4065">
                  <c:v>162.32907599999999</c:v>
                </c:pt>
                <c:pt idx="4066">
                  <c:v>161.53774000000001</c:v>
                </c:pt>
                <c:pt idx="4067">
                  <c:v>160.33149</c:v>
                </c:pt>
                <c:pt idx="4068">
                  <c:v>163.60344000000001</c:v>
                </c:pt>
                <c:pt idx="4069">
                  <c:v>159.77598</c:v>
                </c:pt>
                <c:pt idx="4070">
                  <c:v>157.58160599999999</c:v>
                </c:pt>
                <c:pt idx="4071">
                  <c:v>154.829948</c:v>
                </c:pt>
                <c:pt idx="4072">
                  <c:v>156.60727600000001</c:v>
                </c:pt>
                <c:pt idx="4073">
                  <c:v>157.5017</c:v>
                </c:pt>
                <c:pt idx="4074">
                  <c:v>157.044276</c:v>
                </c:pt>
                <c:pt idx="4075">
                  <c:v>157.37078399999999</c:v>
                </c:pt>
                <c:pt idx="4076">
                  <c:v>157.07849999999999</c:v>
                </c:pt>
                <c:pt idx="4077">
                  <c:v>155.95944</c:v>
                </c:pt>
                <c:pt idx="4078">
                  <c:v>155.94306</c:v>
                </c:pt>
                <c:pt idx="4079">
                  <c:v>157.25458800000001</c:v>
                </c:pt>
                <c:pt idx="4080">
                  <c:v>164.09304</c:v>
                </c:pt>
                <c:pt idx="4081">
                  <c:v>155.92012800000001</c:v>
                </c:pt>
                <c:pt idx="4082">
                  <c:v>158.01676800000001</c:v>
                </c:pt>
                <c:pt idx="4083">
                  <c:v>157.682343</c:v>
                </c:pt>
                <c:pt idx="4084">
                  <c:v>164.49600000000001</c:v>
                </c:pt>
                <c:pt idx="4085">
                  <c:v>166.322936</c:v>
                </c:pt>
                <c:pt idx="4086">
                  <c:v>157.82676000000001</c:v>
                </c:pt>
                <c:pt idx="4087">
                  <c:v>166.4556</c:v>
                </c:pt>
                <c:pt idx="4088">
                  <c:v>164.74329599999999</c:v>
                </c:pt>
                <c:pt idx="4089">
                  <c:v>164.49820800000001</c:v>
                </c:pt>
                <c:pt idx="4090">
                  <c:v>172.48895999999999</c:v>
                </c:pt>
                <c:pt idx="4091">
                  <c:v>178.346565</c:v>
                </c:pt>
                <c:pt idx="4092">
                  <c:v>168.982564</c:v>
                </c:pt>
                <c:pt idx="4093">
                  <c:v>157.22843499999999</c:v>
                </c:pt>
                <c:pt idx="4094">
                  <c:v>158.99520000000001</c:v>
                </c:pt>
                <c:pt idx="4095">
                  <c:v>162.85471999999999</c:v>
                </c:pt>
                <c:pt idx="4096">
                  <c:v>159.173742</c:v>
                </c:pt>
                <c:pt idx="4097">
                  <c:v>160.66814400000001</c:v>
                </c:pt>
                <c:pt idx="4098">
                  <c:v>158.259556</c:v>
                </c:pt>
                <c:pt idx="4099">
                  <c:v>160.64856</c:v>
                </c:pt>
                <c:pt idx="4100">
                  <c:v>162.22314</c:v>
                </c:pt>
                <c:pt idx="4101">
                  <c:v>156.64048399999999</c:v>
                </c:pt>
                <c:pt idx="4102">
                  <c:v>154.80974599999999</c:v>
                </c:pt>
                <c:pt idx="4103">
                  <c:v>155.472408</c:v>
                </c:pt>
                <c:pt idx="4104">
                  <c:v>156.251732</c:v>
                </c:pt>
                <c:pt idx="4105">
                  <c:v>156.59361899999999</c:v>
                </c:pt>
                <c:pt idx="4106">
                  <c:v>162.23004</c:v>
                </c:pt>
                <c:pt idx="4107">
                  <c:v>165.86312000000001</c:v>
                </c:pt>
                <c:pt idx="4108">
                  <c:v>159.953408</c:v>
                </c:pt>
                <c:pt idx="4109">
                  <c:v>156.465136</c:v>
                </c:pt>
                <c:pt idx="4110">
                  <c:v>155.75876</c:v>
                </c:pt>
                <c:pt idx="4111">
                  <c:v>156.036608</c:v>
                </c:pt>
                <c:pt idx="4112">
                  <c:v>156.329082</c:v>
                </c:pt>
                <c:pt idx="4113">
                  <c:v>156.27320800000001</c:v>
                </c:pt>
                <c:pt idx="4114">
                  <c:v>159.07801000000001</c:v>
                </c:pt>
                <c:pt idx="4115">
                  <c:v>163.20487199999999</c:v>
                </c:pt>
                <c:pt idx="4116">
                  <c:v>161.95679999999999</c:v>
                </c:pt>
                <c:pt idx="4117">
                  <c:v>159.34399999999999</c:v>
                </c:pt>
                <c:pt idx="4118">
                  <c:v>158.66978399999999</c:v>
                </c:pt>
                <c:pt idx="4119">
                  <c:v>164.12616</c:v>
                </c:pt>
                <c:pt idx="4120">
                  <c:v>158.45502400000001</c:v>
                </c:pt>
                <c:pt idx="4121">
                  <c:v>155.66068799999999</c:v>
                </c:pt>
                <c:pt idx="4122">
                  <c:v>159.55477200000001</c:v>
                </c:pt>
                <c:pt idx="4123">
                  <c:v>158.83076299999999</c:v>
                </c:pt>
                <c:pt idx="4124">
                  <c:v>163.203768</c:v>
                </c:pt>
                <c:pt idx="4125">
                  <c:v>161.00018399999999</c:v>
                </c:pt>
                <c:pt idx="4126">
                  <c:v>162.58240000000001</c:v>
                </c:pt>
                <c:pt idx="4127">
                  <c:v>157.820481</c:v>
                </c:pt>
                <c:pt idx="4128">
                  <c:v>161.850234</c:v>
                </c:pt>
                <c:pt idx="4129">
                  <c:v>166.47767999999999</c:v>
                </c:pt>
                <c:pt idx="4130">
                  <c:v>167.10462000000001</c:v>
                </c:pt>
                <c:pt idx="4131">
                  <c:v>172.46115</c:v>
                </c:pt>
                <c:pt idx="4132">
                  <c:v>167.18796</c:v>
                </c:pt>
                <c:pt idx="4133">
                  <c:v>167.39243999999999</c:v>
                </c:pt>
                <c:pt idx="4134">
                  <c:v>162.721923</c:v>
                </c:pt>
                <c:pt idx="4135">
                  <c:v>160.217512</c:v>
                </c:pt>
                <c:pt idx="4136">
                  <c:v>160.32334499999999</c:v>
                </c:pt>
                <c:pt idx="4137">
                  <c:v>159.53737799999999</c:v>
                </c:pt>
                <c:pt idx="4138">
                  <c:v>159.81147000000001</c:v>
                </c:pt>
                <c:pt idx="4139">
                  <c:v>159.60908599999999</c:v>
                </c:pt>
                <c:pt idx="4140">
                  <c:v>156.59380100000001</c:v>
                </c:pt>
                <c:pt idx="4141">
                  <c:v>156.22698</c:v>
                </c:pt>
                <c:pt idx="4142">
                  <c:v>155.58543</c:v>
                </c:pt>
                <c:pt idx="4143">
                  <c:v>155.90893500000001</c:v>
                </c:pt>
                <c:pt idx="4144">
                  <c:v>156.48487399999999</c:v>
                </c:pt>
                <c:pt idx="4145">
                  <c:v>156.84259499999999</c:v>
                </c:pt>
                <c:pt idx="4146">
                  <c:v>156.14143999999999</c:v>
                </c:pt>
                <c:pt idx="4147">
                  <c:v>155.70327499999999</c:v>
                </c:pt>
                <c:pt idx="4148">
                  <c:v>155.46767600000001</c:v>
                </c:pt>
                <c:pt idx="4149">
                  <c:v>154.454016</c:v>
                </c:pt>
                <c:pt idx="4150">
                  <c:v>153.16767200000001</c:v>
                </c:pt>
                <c:pt idx="4151">
                  <c:v>152.74253999999999</c:v>
                </c:pt>
                <c:pt idx="4152">
                  <c:v>153.58075199999999</c:v>
                </c:pt>
                <c:pt idx="4153">
                  <c:v>155.33647999999999</c:v>
                </c:pt>
                <c:pt idx="4154">
                  <c:v>155.880088</c:v>
                </c:pt>
                <c:pt idx="4155">
                  <c:v>156.16146000000001</c:v>
                </c:pt>
                <c:pt idx="4156">
                  <c:v>156.42445000000001</c:v>
                </c:pt>
                <c:pt idx="4157">
                  <c:v>155.648675</c:v>
                </c:pt>
                <c:pt idx="4158">
                  <c:v>155.29605000000001</c:v>
                </c:pt>
                <c:pt idx="4159">
                  <c:v>155.27511999999999</c:v>
                </c:pt>
                <c:pt idx="4160">
                  <c:v>155.43791899999999</c:v>
                </c:pt>
                <c:pt idx="4161">
                  <c:v>155.67916</c:v>
                </c:pt>
                <c:pt idx="4162">
                  <c:v>156.090844</c:v>
                </c:pt>
                <c:pt idx="4163">
                  <c:v>155.94378800000001</c:v>
                </c:pt>
                <c:pt idx="4164">
                  <c:v>153.680072</c:v>
                </c:pt>
                <c:pt idx="4165">
                  <c:v>152.58798100000001</c:v>
                </c:pt>
                <c:pt idx="4166">
                  <c:v>154.012404</c:v>
                </c:pt>
                <c:pt idx="4167">
                  <c:v>152.53492800000001</c:v>
                </c:pt>
                <c:pt idx="4168">
                  <c:v>152.40425200000001</c:v>
                </c:pt>
                <c:pt idx="4169">
                  <c:v>153.85822400000001</c:v>
                </c:pt>
                <c:pt idx="4170">
                  <c:v>157.30454399999999</c:v>
                </c:pt>
                <c:pt idx="4171">
                  <c:v>156.63229999999999</c:v>
                </c:pt>
                <c:pt idx="4172">
                  <c:v>156.752544</c:v>
                </c:pt>
                <c:pt idx="4173">
                  <c:v>157.79656</c:v>
                </c:pt>
                <c:pt idx="4174">
                  <c:v>159.73297600000001</c:v>
                </c:pt>
                <c:pt idx="4175">
                  <c:v>154.48455999999999</c:v>
                </c:pt>
                <c:pt idx="4176">
                  <c:v>155.17456000000001</c:v>
                </c:pt>
                <c:pt idx="4177">
                  <c:v>159.41732400000001</c:v>
                </c:pt>
                <c:pt idx="4178">
                  <c:v>157.186048</c:v>
                </c:pt>
                <c:pt idx="4179">
                  <c:v>155.27815200000001</c:v>
                </c:pt>
                <c:pt idx="4180">
                  <c:v>154.006068</c:v>
                </c:pt>
                <c:pt idx="4181">
                  <c:v>153.52959999999999</c:v>
                </c:pt>
                <c:pt idx="4182">
                  <c:v>153.65656000000001</c:v>
                </c:pt>
                <c:pt idx="4183">
                  <c:v>153.29454000000001</c:v>
                </c:pt>
                <c:pt idx="4184">
                  <c:v>153.31616</c:v>
                </c:pt>
                <c:pt idx="4185">
                  <c:v>153.31294</c:v>
                </c:pt>
                <c:pt idx="4186">
                  <c:v>153.529416</c:v>
                </c:pt>
                <c:pt idx="4187">
                  <c:v>153.11743999999999</c:v>
                </c:pt>
                <c:pt idx="4188">
                  <c:v>153.10897600000001</c:v>
                </c:pt>
                <c:pt idx="4189">
                  <c:v>152.97300000000001</c:v>
                </c:pt>
                <c:pt idx="4190">
                  <c:v>151.13290499999999</c:v>
                </c:pt>
                <c:pt idx="4191">
                  <c:v>150.381</c:v>
                </c:pt>
                <c:pt idx="4192">
                  <c:v>150.31180800000001</c:v>
                </c:pt>
                <c:pt idx="4193">
                  <c:v>149.03227200000001</c:v>
                </c:pt>
                <c:pt idx="4194">
                  <c:v>152.02431000000001</c:v>
                </c:pt>
                <c:pt idx="4195">
                  <c:v>153.60484500000001</c:v>
                </c:pt>
                <c:pt idx="4196">
                  <c:v>153.88337999999999</c:v>
                </c:pt>
                <c:pt idx="4197">
                  <c:v>153.53183999999999</c:v>
                </c:pt>
                <c:pt idx="4198">
                  <c:v>153.46329900000001</c:v>
                </c:pt>
                <c:pt idx="4199">
                  <c:v>153.85176000000001</c:v>
                </c:pt>
                <c:pt idx="4200">
                  <c:v>153.50561400000001</c:v>
                </c:pt>
                <c:pt idx="4201">
                  <c:v>153.794286</c:v>
                </c:pt>
                <c:pt idx="4202">
                  <c:v>153.51138</c:v>
                </c:pt>
                <c:pt idx="4203">
                  <c:v>153.58075199999999</c:v>
                </c:pt>
                <c:pt idx="4204">
                  <c:v>154.76092800000001</c:v>
                </c:pt>
                <c:pt idx="4205">
                  <c:v>153.73264399999999</c:v>
                </c:pt>
                <c:pt idx="4206">
                  <c:v>154.347848</c:v>
                </c:pt>
                <c:pt idx="4207">
                  <c:v>153.864204</c:v>
                </c:pt>
                <c:pt idx="4208">
                  <c:v>153.39086399999999</c:v>
                </c:pt>
                <c:pt idx="4209">
                  <c:v>153.66668000000001</c:v>
                </c:pt>
                <c:pt idx="4210">
                  <c:v>153.73264399999999</c:v>
                </c:pt>
                <c:pt idx="4211">
                  <c:v>154.285472</c:v>
                </c:pt>
                <c:pt idx="4212">
                  <c:v>153.87294399999999</c:v>
                </c:pt>
                <c:pt idx="4213">
                  <c:v>153.93955199999999</c:v>
                </c:pt>
                <c:pt idx="4214">
                  <c:v>155.18100000000001</c:v>
                </c:pt>
                <c:pt idx="4215">
                  <c:v>153.93531999999999</c:v>
                </c:pt>
                <c:pt idx="4216">
                  <c:v>154.354288</c:v>
                </c:pt>
                <c:pt idx="4217">
                  <c:v>154.01020800000001</c:v>
                </c:pt>
                <c:pt idx="4218">
                  <c:v>153.59731199999999</c:v>
                </c:pt>
                <c:pt idx="4219">
                  <c:v>153.80265600000001</c:v>
                </c:pt>
                <c:pt idx="4220">
                  <c:v>154.35300000000001</c:v>
                </c:pt>
                <c:pt idx="4221">
                  <c:v>153.25626800000001</c:v>
                </c:pt>
                <c:pt idx="4222">
                  <c:v>154.60572400000001</c:v>
                </c:pt>
                <c:pt idx="4223">
                  <c:v>153.63954000000001</c:v>
                </c:pt>
                <c:pt idx="4224">
                  <c:v>153.909008</c:v>
                </c:pt>
                <c:pt idx="4225">
                  <c:v>154.27709999999999</c:v>
                </c:pt>
                <c:pt idx="4226">
                  <c:v>154.51648399999999</c:v>
                </c:pt>
                <c:pt idx="4227">
                  <c:v>154.835172</c:v>
                </c:pt>
                <c:pt idx="4228">
                  <c:v>153.80099999999999</c:v>
                </c:pt>
                <c:pt idx="4229">
                  <c:v>156.903516</c:v>
                </c:pt>
                <c:pt idx="4230">
                  <c:v>162.27833999999999</c:v>
                </c:pt>
                <c:pt idx="4231">
                  <c:v>175.467285</c:v>
                </c:pt>
                <c:pt idx="4232">
                  <c:v>171.16650000000001</c:v>
                </c:pt>
                <c:pt idx="4233">
                  <c:v>153.66612799999999</c:v>
                </c:pt>
                <c:pt idx="4234">
                  <c:v>153.59151600000001</c:v>
                </c:pt>
                <c:pt idx="4235">
                  <c:v>155.22239999999999</c:v>
                </c:pt>
                <c:pt idx="4236">
                  <c:v>154.57932</c:v>
                </c:pt>
                <c:pt idx="4237">
                  <c:v>154.0264</c:v>
                </c:pt>
                <c:pt idx="4238">
                  <c:v>154.563312</c:v>
                </c:pt>
                <c:pt idx="4239">
                  <c:v>153.02037999999999</c:v>
                </c:pt>
                <c:pt idx="4240">
                  <c:v>152.97300000000001</c:v>
                </c:pt>
                <c:pt idx="4241">
                  <c:v>152.60362000000001</c:v>
                </c:pt>
                <c:pt idx="4242">
                  <c:v>152.81770399999999</c:v>
                </c:pt>
                <c:pt idx="4243">
                  <c:v>153.32398000000001</c:v>
                </c:pt>
                <c:pt idx="4244">
                  <c:v>155.455344</c:v>
                </c:pt>
                <c:pt idx="4245">
                  <c:v>161.52760799999999</c:v>
                </c:pt>
                <c:pt idx="4246">
                  <c:v>153.64552</c:v>
                </c:pt>
                <c:pt idx="4247">
                  <c:v>160.09577999999999</c:v>
                </c:pt>
                <c:pt idx="4248">
                  <c:v>156.58639199999999</c:v>
                </c:pt>
                <c:pt idx="4249">
                  <c:v>155.83511999999999</c:v>
                </c:pt>
                <c:pt idx="4250">
                  <c:v>162.10569599999999</c:v>
                </c:pt>
                <c:pt idx="4251">
                  <c:v>158.49431999999999</c:v>
                </c:pt>
                <c:pt idx="4252">
                  <c:v>153.147156</c:v>
                </c:pt>
                <c:pt idx="4253">
                  <c:v>156.89201600000001</c:v>
                </c:pt>
                <c:pt idx="4254">
                  <c:v>163.78155599999999</c:v>
                </c:pt>
                <c:pt idx="4255">
                  <c:v>162.324432</c:v>
                </c:pt>
                <c:pt idx="4256">
                  <c:v>164.01293999999999</c:v>
                </c:pt>
                <c:pt idx="4257">
                  <c:v>156.565324</c:v>
                </c:pt>
                <c:pt idx="4258">
                  <c:v>163.74993599999999</c:v>
                </c:pt>
                <c:pt idx="4259">
                  <c:v>161.07228000000001</c:v>
                </c:pt>
                <c:pt idx="4260">
                  <c:v>168.59598</c:v>
                </c:pt>
                <c:pt idx="4261">
                  <c:v>160.21109999999999</c:v>
                </c:pt>
                <c:pt idx="4262">
                  <c:v>164.09152499999999</c:v>
                </c:pt>
                <c:pt idx="4263">
                  <c:v>160.05448799999999</c:v>
                </c:pt>
                <c:pt idx="4264">
                  <c:v>160.31154000000001</c:v>
                </c:pt>
                <c:pt idx="4265">
                  <c:v>161.543418</c:v>
                </c:pt>
                <c:pt idx="4266">
                  <c:v>160.07308800000001</c:v>
                </c:pt>
                <c:pt idx="4267">
                  <c:v>161.95764</c:v>
                </c:pt>
                <c:pt idx="4268">
                  <c:v>163.63070999999999</c:v>
                </c:pt>
                <c:pt idx="4269">
                  <c:v>155.10418000000001</c:v>
                </c:pt>
                <c:pt idx="4270">
                  <c:v>153.11836</c:v>
                </c:pt>
                <c:pt idx="4271">
                  <c:v>152.70527999999999</c:v>
                </c:pt>
                <c:pt idx="4272">
                  <c:v>153.38424000000001</c:v>
                </c:pt>
                <c:pt idx="4273">
                  <c:v>157.309236</c:v>
                </c:pt>
                <c:pt idx="4274">
                  <c:v>152.769036</c:v>
                </c:pt>
                <c:pt idx="4275">
                  <c:v>158.46208799999999</c:v>
                </c:pt>
                <c:pt idx="4276">
                  <c:v>160.28828999999999</c:v>
                </c:pt>
                <c:pt idx="4277">
                  <c:v>154.041212</c:v>
                </c:pt>
                <c:pt idx="4278">
                  <c:v>152.65422000000001</c:v>
                </c:pt>
                <c:pt idx="4279">
                  <c:v>155.606224</c:v>
                </c:pt>
                <c:pt idx="4280">
                  <c:v>153.78030000000001</c:v>
                </c:pt>
                <c:pt idx="4281">
                  <c:v>149.95576800000001</c:v>
                </c:pt>
                <c:pt idx="4282">
                  <c:v>149.89698000000001</c:v>
                </c:pt>
                <c:pt idx="4283">
                  <c:v>149.89698000000001</c:v>
                </c:pt>
                <c:pt idx="4284">
                  <c:v>149.812432</c:v>
                </c:pt>
                <c:pt idx="4285">
                  <c:v>149.99091200000001</c:v>
                </c:pt>
                <c:pt idx="4286">
                  <c:v>152.81016</c:v>
                </c:pt>
                <c:pt idx="4287">
                  <c:v>150.28108</c:v>
                </c:pt>
                <c:pt idx="4288">
                  <c:v>149.92964000000001</c:v>
                </c:pt>
                <c:pt idx="4289">
                  <c:v>152.31409600000001</c:v>
                </c:pt>
                <c:pt idx="4290">
                  <c:v>156.54206400000001</c:v>
                </c:pt>
                <c:pt idx="4291">
                  <c:v>162.13285200000001</c:v>
                </c:pt>
                <c:pt idx="4292">
                  <c:v>161.82939300000001</c:v>
                </c:pt>
                <c:pt idx="4293">
                  <c:v>152.14904799999999</c:v>
                </c:pt>
                <c:pt idx="4294">
                  <c:v>152.04453599999999</c:v>
                </c:pt>
                <c:pt idx="4295">
                  <c:v>152.24932799999999</c:v>
                </c:pt>
                <c:pt idx="4296">
                  <c:v>152.12236799999999</c:v>
                </c:pt>
                <c:pt idx="4297">
                  <c:v>151.5976</c:v>
                </c:pt>
                <c:pt idx="4298">
                  <c:v>151.48535999999999</c:v>
                </c:pt>
                <c:pt idx="4299">
                  <c:v>151.67957200000001</c:v>
                </c:pt>
                <c:pt idx="4300">
                  <c:v>151.44120000000001</c:v>
                </c:pt>
                <c:pt idx="4301">
                  <c:v>151.56374400000001</c:v>
                </c:pt>
                <c:pt idx="4302">
                  <c:v>151.4136</c:v>
                </c:pt>
                <c:pt idx="4303">
                  <c:v>151.66844</c:v>
                </c:pt>
                <c:pt idx="4304">
                  <c:v>162.23487299999999</c:v>
                </c:pt>
                <c:pt idx="4305">
                  <c:v>179.50239999999999</c:v>
                </c:pt>
                <c:pt idx="4306">
                  <c:v>178.96105399999999</c:v>
                </c:pt>
                <c:pt idx="4307">
                  <c:v>178.148518</c:v>
                </c:pt>
                <c:pt idx="4308">
                  <c:v>178.36067600000001</c:v>
                </c:pt>
                <c:pt idx="4309">
                  <c:v>178.66674</c:v>
                </c:pt>
                <c:pt idx="4310">
                  <c:v>178.29299599999999</c:v>
                </c:pt>
                <c:pt idx="4311">
                  <c:v>178.22775999999999</c:v>
                </c:pt>
                <c:pt idx="4312">
                  <c:v>177.666674</c:v>
                </c:pt>
                <c:pt idx="4313">
                  <c:v>179.82143600000001</c:v>
                </c:pt>
                <c:pt idx="4314">
                  <c:v>178.42393799999999</c:v>
                </c:pt>
                <c:pt idx="4315">
                  <c:v>179.2251</c:v>
                </c:pt>
                <c:pt idx="4316">
                  <c:v>180.337872</c:v>
                </c:pt>
                <c:pt idx="4317">
                  <c:v>180.015264</c:v>
                </c:pt>
                <c:pt idx="4318">
                  <c:v>178.65639999999999</c:v>
                </c:pt>
                <c:pt idx="4319">
                  <c:v>178.714304</c:v>
                </c:pt>
                <c:pt idx="4320">
                  <c:v>178.82325</c:v>
                </c:pt>
                <c:pt idx="4321">
                  <c:v>155.10418000000001</c:v>
                </c:pt>
                <c:pt idx="4322">
                  <c:v>152.08851200000001</c:v>
                </c:pt>
                <c:pt idx="4323">
                  <c:v>151.57597999999999</c:v>
                </c:pt>
                <c:pt idx="4324">
                  <c:v>151.585272</c:v>
                </c:pt>
                <c:pt idx="4325">
                  <c:v>151.90350000000001</c:v>
                </c:pt>
                <c:pt idx="4326">
                  <c:v>153.024888</c:v>
                </c:pt>
                <c:pt idx="4327">
                  <c:v>152.07820799999999</c:v>
                </c:pt>
                <c:pt idx="4328">
                  <c:v>151.94030000000001</c:v>
                </c:pt>
                <c:pt idx="4329">
                  <c:v>152.085384</c:v>
                </c:pt>
                <c:pt idx="4330">
                  <c:v>152.37270000000001</c:v>
                </c:pt>
                <c:pt idx="4331">
                  <c:v>152.1542</c:v>
                </c:pt>
                <c:pt idx="4332">
                  <c:v>152.16432</c:v>
                </c:pt>
                <c:pt idx="4333">
                  <c:v>152.242704</c:v>
                </c:pt>
                <c:pt idx="4334">
                  <c:v>152.33433600000001</c:v>
                </c:pt>
                <c:pt idx="4335">
                  <c:v>154.55080000000001</c:v>
                </c:pt>
                <c:pt idx="4336">
                  <c:v>154.229536</c:v>
                </c:pt>
                <c:pt idx="4337">
                  <c:v>156.27708799999999</c:v>
                </c:pt>
                <c:pt idx="4338">
                  <c:v>157.80024</c:v>
                </c:pt>
                <c:pt idx="4339">
                  <c:v>157.31126</c:v>
                </c:pt>
                <c:pt idx="4340">
                  <c:v>163.250451</c:v>
                </c:pt>
                <c:pt idx="4341">
                  <c:v>166.11667800000001</c:v>
                </c:pt>
                <c:pt idx="4342">
                  <c:v>170.49690000000001</c:v>
                </c:pt>
                <c:pt idx="4343">
                  <c:v>170.6157</c:v>
                </c:pt>
                <c:pt idx="4344">
                  <c:v>172.55037799999999</c:v>
                </c:pt>
                <c:pt idx="4345">
                  <c:v>174.829746</c:v>
                </c:pt>
                <c:pt idx="4346">
                  <c:v>169.045604</c:v>
                </c:pt>
                <c:pt idx="4347">
                  <c:v>161.15499399999999</c:v>
                </c:pt>
                <c:pt idx="4348">
                  <c:v>171.49444</c:v>
                </c:pt>
                <c:pt idx="4349">
                  <c:v>161.71054899999999</c:v>
                </c:pt>
                <c:pt idx="4350">
                  <c:v>160.51817600000001</c:v>
                </c:pt>
                <c:pt idx="4351">
                  <c:v>160.490512</c:v>
                </c:pt>
                <c:pt idx="4352">
                  <c:v>158.76242199999999</c:v>
                </c:pt>
                <c:pt idx="4353">
                  <c:v>158.27175</c:v>
                </c:pt>
                <c:pt idx="4354">
                  <c:v>157.24281300000001</c:v>
                </c:pt>
                <c:pt idx="4355">
                  <c:v>156.73967400000001</c:v>
                </c:pt>
                <c:pt idx="4356">
                  <c:v>156.42445000000001</c:v>
                </c:pt>
                <c:pt idx="4357">
                  <c:v>156.90875199999999</c:v>
                </c:pt>
                <c:pt idx="4358">
                  <c:v>157.30269100000001</c:v>
                </c:pt>
                <c:pt idx="4359">
                  <c:v>156.81756999999999</c:v>
                </c:pt>
                <c:pt idx="4360">
                  <c:v>158.24294399999999</c:v>
                </c:pt>
                <c:pt idx="4361">
                  <c:v>155.51718</c:v>
                </c:pt>
                <c:pt idx="4362">
                  <c:v>155.47404599999999</c:v>
                </c:pt>
                <c:pt idx="4363">
                  <c:v>157.71559999999999</c:v>
                </c:pt>
                <c:pt idx="4364">
                  <c:v>155.22825499999999</c:v>
                </c:pt>
                <c:pt idx="4365">
                  <c:v>155.24454399999999</c:v>
                </c:pt>
                <c:pt idx="4366">
                  <c:v>157.293136</c:v>
                </c:pt>
                <c:pt idx="4367">
                  <c:v>158.05554000000001</c:v>
                </c:pt>
                <c:pt idx="4368">
                  <c:v>157.00940800000001</c:v>
                </c:pt>
                <c:pt idx="4369">
                  <c:v>156.22888</c:v>
                </c:pt>
                <c:pt idx="4370">
                  <c:v>160.01541599999999</c:v>
                </c:pt>
                <c:pt idx="4371">
                  <c:v>175.40060399999999</c:v>
                </c:pt>
                <c:pt idx="4372">
                  <c:v>178.05110400000001</c:v>
                </c:pt>
                <c:pt idx="4373">
                  <c:v>163.07883200000001</c:v>
                </c:pt>
                <c:pt idx="4374">
                  <c:v>156.046536</c:v>
                </c:pt>
                <c:pt idx="4375">
                  <c:v>156.55014399999999</c:v>
                </c:pt>
                <c:pt idx="4376">
                  <c:v>159.83794800000001</c:v>
                </c:pt>
                <c:pt idx="4377">
                  <c:v>157.588548</c:v>
                </c:pt>
                <c:pt idx="4378">
                  <c:v>160.90984</c:v>
                </c:pt>
                <c:pt idx="4379">
                  <c:v>158.29704000000001</c:v>
                </c:pt>
                <c:pt idx="4380">
                  <c:v>159.322104</c:v>
                </c:pt>
                <c:pt idx="4381">
                  <c:v>157.53196800000001</c:v>
                </c:pt>
                <c:pt idx="4382">
                  <c:v>157.89665600000001</c:v>
                </c:pt>
                <c:pt idx="4383">
                  <c:v>158.01552000000001</c:v>
                </c:pt>
                <c:pt idx="4384">
                  <c:v>158.70846399999999</c:v>
                </c:pt>
                <c:pt idx="4385">
                  <c:v>158.335128</c:v>
                </c:pt>
                <c:pt idx="4386">
                  <c:v>158.66734</c:v>
                </c:pt>
                <c:pt idx="4387">
                  <c:v>158.983452</c:v>
                </c:pt>
                <c:pt idx="4388">
                  <c:v>158.33706000000001</c:v>
                </c:pt>
                <c:pt idx="4389">
                  <c:v>156.61300199999999</c:v>
                </c:pt>
                <c:pt idx="4390">
                  <c:v>156.32616999999999</c:v>
                </c:pt>
                <c:pt idx="4391">
                  <c:v>157.55579599999999</c:v>
                </c:pt>
                <c:pt idx="4392">
                  <c:v>157.23747599999999</c:v>
                </c:pt>
                <c:pt idx="4393">
                  <c:v>157.5017</c:v>
                </c:pt>
                <c:pt idx="4394">
                  <c:v>157.884604</c:v>
                </c:pt>
                <c:pt idx="4395">
                  <c:v>157.45459600000001</c:v>
                </c:pt>
                <c:pt idx="4396">
                  <c:v>156.59458000000001</c:v>
                </c:pt>
                <c:pt idx="4397">
                  <c:v>158.715732</c:v>
                </c:pt>
                <c:pt idx="4398">
                  <c:v>157.542732</c:v>
                </c:pt>
                <c:pt idx="4399">
                  <c:v>157.45542399999999</c:v>
                </c:pt>
                <c:pt idx="4400">
                  <c:v>157.31631999999999</c:v>
                </c:pt>
                <c:pt idx="4401">
                  <c:v>157.34152800000001</c:v>
                </c:pt>
                <c:pt idx="4402">
                  <c:v>157.59968000000001</c:v>
                </c:pt>
                <c:pt idx="4403">
                  <c:v>157.542732</c:v>
                </c:pt>
                <c:pt idx="4404">
                  <c:v>156.823016</c:v>
                </c:pt>
                <c:pt idx="4405">
                  <c:v>156.75144</c:v>
                </c:pt>
                <c:pt idx="4406">
                  <c:v>158.418848</c:v>
                </c:pt>
                <c:pt idx="4407">
                  <c:v>159.16368</c:v>
                </c:pt>
                <c:pt idx="4408">
                  <c:v>159.6062</c:v>
                </c:pt>
                <c:pt idx="4409">
                  <c:v>157.389184</c:v>
                </c:pt>
                <c:pt idx="4410">
                  <c:v>157.56214399999999</c:v>
                </c:pt>
                <c:pt idx="4411">
                  <c:v>156.924768</c:v>
                </c:pt>
                <c:pt idx="4412">
                  <c:v>157.08264</c:v>
                </c:pt>
                <c:pt idx="4413">
                  <c:v>157.09524400000001</c:v>
                </c:pt>
                <c:pt idx="4414">
                  <c:v>157.36967999999999</c:v>
                </c:pt>
                <c:pt idx="4415">
                  <c:v>156.809584</c:v>
                </c:pt>
                <c:pt idx="4416">
                  <c:v>156.894408</c:v>
                </c:pt>
                <c:pt idx="4417">
                  <c:v>157.58403999999999</c:v>
                </c:pt>
                <c:pt idx="4418">
                  <c:v>156.95052799999999</c:v>
                </c:pt>
                <c:pt idx="4419">
                  <c:v>156.78106399999999</c:v>
                </c:pt>
                <c:pt idx="4420">
                  <c:v>156.99662000000001</c:v>
                </c:pt>
                <c:pt idx="4421">
                  <c:v>156.89459199999999</c:v>
                </c:pt>
                <c:pt idx="4422">
                  <c:v>157.34355199999999</c:v>
                </c:pt>
                <c:pt idx="4423">
                  <c:v>154.696988</c:v>
                </c:pt>
                <c:pt idx="4424">
                  <c:v>156.12675999999999</c:v>
                </c:pt>
                <c:pt idx="4425">
                  <c:v>154.21113600000001</c:v>
                </c:pt>
                <c:pt idx="4426">
                  <c:v>153.38424000000001</c:v>
                </c:pt>
                <c:pt idx="4427">
                  <c:v>153.69814400000001</c:v>
                </c:pt>
                <c:pt idx="4428">
                  <c:v>153.98812799999999</c:v>
                </c:pt>
                <c:pt idx="4429">
                  <c:v>153.62840800000001</c:v>
                </c:pt>
                <c:pt idx="4430">
                  <c:v>154.27443199999999</c:v>
                </c:pt>
                <c:pt idx="4431">
                  <c:v>154.27765199999999</c:v>
                </c:pt>
                <c:pt idx="4432">
                  <c:v>153.88637600000001</c:v>
                </c:pt>
                <c:pt idx="4433">
                  <c:v>152.243808</c:v>
                </c:pt>
                <c:pt idx="4434">
                  <c:v>152.886888</c:v>
                </c:pt>
                <c:pt idx="4435">
                  <c:v>152.97622000000001</c:v>
                </c:pt>
                <c:pt idx="4436">
                  <c:v>152.86858000000001</c:v>
                </c:pt>
                <c:pt idx="4437">
                  <c:v>153.56502</c:v>
                </c:pt>
                <c:pt idx="4438">
                  <c:v>152.861312</c:v>
                </c:pt>
                <c:pt idx="4439">
                  <c:v>152.74253999999999</c:v>
                </c:pt>
                <c:pt idx="4440">
                  <c:v>154.43119999999999</c:v>
                </c:pt>
                <c:pt idx="4441">
                  <c:v>153.097476</c:v>
                </c:pt>
                <c:pt idx="4442">
                  <c:v>152.62616</c:v>
                </c:pt>
                <c:pt idx="4443">
                  <c:v>152.798936</c:v>
                </c:pt>
                <c:pt idx="4444">
                  <c:v>153.58848</c:v>
                </c:pt>
                <c:pt idx="4445">
                  <c:v>155.72692799999999</c:v>
                </c:pt>
                <c:pt idx="4446">
                  <c:v>154.21334400000001</c:v>
                </c:pt>
                <c:pt idx="4447">
                  <c:v>155.18081599999999</c:v>
                </c:pt>
                <c:pt idx="4448">
                  <c:v>153.10143199999999</c:v>
                </c:pt>
                <c:pt idx="4449">
                  <c:v>153.457472</c:v>
                </c:pt>
                <c:pt idx="4450">
                  <c:v>153.31294</c:v>
                </c:pt>
                <c:pt idx="4451">
                  <c:v>153.33456000000001</c:v>
                </c:pt>
                <c:pt idx="4452">
                  <c:v>153.86080000000001</c:v>
                </c:pt>
                <c:pt idx="4453">
                  <c:v>155.80199999999999</c:v>
                </c:pt>
                <c:pt idx="4454">
                  <c:v>154.829376</c:v>
                </c:pt>
                <c:pt idx="4455">
                  <c:v>156.42392000000001</c:v>
                </c:pt>
                <c:pt idx="4456">
                  <c:v>156.21701200000001</c:v>
                </c:pt>
                <c:pt idx="4457">
                  <c:v>153.67081999999999</c:v>
                </c:pt>
                <c:pt idx="4458">
                  <c:v>154.54592400000001</c:v>
                </c:pt>
                <c:pt idx="4459">
                  <c:v>152.94484800000001</c:v>
                </c:pt>
                <c:pt idx="4460">
                  <c:v>154.93214</c:v>
                </c:pt>
                <c:pt idx="4461">
                  <c:v>155.08062799999999</c:v>
                </c:pt>
                <c:pt idx="4462">
                  <c:v>153.40181200000001</c:v>
                </c:pt>
                <c:pt idx="4463">
                  <c:v>154.55190400000001</c:v>
                </c:pt>
                <c:pt idx="4464">
                  <c:v>153.39196799999999</c:v>
                </c:pt>
                <c:pt idx="4465">
                  <c:v>153.18662399999999</c:v>
                </c:pt>
                <c:pt idx="4466">
                  <c:v>155.52600000000001</c:v>
                </c:pt>
                <c:pt idx="4467">
                  <c:v>154.21334400000001</c:v>
                </c:pt>
                <c:pt idx="4468">
                  <c:v>153.528864</c:v>
                </c:pt>
                <c:pt idx="4469">
                  <c:v>155.92160000000001</c:v>
                </c:pt>
                <c:pt idx="4470">
                  <c:v>155.49067199999999</c:v>
                </c:pt>
                <c:pt idx="4471">
                  <c:v>153.72684799999999</c:v>
                </c:pt>
                <c:pt idx="4472">
                  <c:v>157.49222399999999</c:v>
                </c:pt>
                <c:pt idx="4473">
                  <c:v>152.16045600000001</c:v>
                </c:pt>
                <c:pt idx="4474">
                  <c:v>151.813984</c:v>
                </c:pt>
                <c:pt idx="4475">
                  <c:v>151.45978400000001</c:v>
                </c:pt>
                <c:pt idx="4476">
                  <c:v>151.26152400000001</c:v>
                </c:pt>
                <c:pt idx="4477">
                  <c:v>152.27876800000001</c:v>
                </c:pt>
                <c:pt idx="4478">
                  <c:v>151.81913599999999</c:v>
                </c:pt>
                <c:pt idx="4479">
                  <c:v>152.02392800000001</c:v>
                </c:pt>
                <c:pt idx="4480">
                  <c:v>151.39087599999999</c:v>
                </c:pt>
                <c:pt idx="4481">
                  <c:v>150.988192</c:v>
                </c:pt>
                <c:pt idx="4482">
                  <c:v>151.22224</c:v>
                </c:pt>
                <c:pt idx="4483">
                  <c:v>151.65693999999999</c:v>
                </c:pt>
                <c:pt idx="4484">
                  <c:v>151.605144</c:v>
                </c:pt>
                <c:pt idx="4485">
                  <c:v>151.56172000000001</c:v>
                </c:pt>
                <c:pt idx="4486">
                  <c:v>151.47569999999999</c:v>
                </c:pt>
                <c:pt idx="4487">
                  <c:v>152.26864800000001</c:v>
                </c:pt>
                <c:pt idx="4488">
                  <c:v>152.014544</c:v>
                </c:pt>
                <c:pt idx="4489">
                  <c:v>152.352</c:v>
                </c:pt>
                <c:pt idx="4490">
                  <c:v>151.680768</c:v>
                </c:pt>
                <c:pt idx="4491">
                  <c:v>151.54607999999999</c:v>
                </c:pt>
                <c:pt idx="4492">
                  <c:v>152.01988</c:v>
                </c:pt>
                <c:pt idx="4493">
                  <c:v>152.90685199999999</c:v>
                </c:pt>
                <c:pt idx="4494">
                  <c:v>152.38107199999999</c:v>
                </c:pt>
                <c:pt idx="4495">
                  <c:v>151.885008</c:v>
                </c:pt>
                <c:pt idx="4496">
                  <c:v>151.876912</c:v>
                </c:pt>
                <c:pt idx="4497">
                  <c:v>152.83794399999999</c:v>
                </c:pt>
                <c:pt idx="4498">
                  <c:v>152.22283200000001</c:v>
                </c:pt>
                <c:pt idx="4499">
                  <c:v>152.152176</c:v>
                </c:pt>
                <c:pt idx="4500">
                  <c:v>151.582144</c:v>
                </c:pt>
                <c:pt idx="4501">
                  <c:v>151.52676</c:v>
                </c:pt>
                <c:pt idx="4502">
                  <c:v>151.4228</c:v>
                </c:pt>
                <c:pt idx="4503">
                  <c:v>150.57879199999999</c:v>
                </c:pt>
                <c:pt idx="4504">
                  <c:v>151.63578000000001</c:v>
                </c:pt>
                <c:pt idx="4505">
                  <c:v>151.14422400000001</c:v>
                </c:pt>
                <c:pt idx="4506">
                  <c:v>151.29593199999999</c:v>
                </c:pt>
                <c:pt idx="4507">
                  <c:v>151.95474400000001</c:v>
                </c:pt>
                <c:pt idx="4508">
                  <c:v>151.47781599999999</c:v>
                </c:pt>
                <c:pt idx="4509">
                  <c:v>151.922268</c:v>
                </c:pt>
                <c:pt idx="4510">
                  <c:v>151.85888</c:v>
                </c:pt>
                <c:pt idx="4511">
                  <c:v>157.81532799999999</c:v>
                </c:pt>
                <c:pt idx="4512">
                  <c:v>169.53081599999999</c:v>
                </c:pt>
                <c:pt idx="4513">
                  <c:v>176.43847</c:v>
                </c:pt>
                <c:pt idx="4514">
                  <c:v>156.249672</c:v>
                </c:pt>
                <c:pt idx="4515">
                  <c:v>152.61833999999999</c:v>
                </c:pt>
                <c:pt idx="4516">
                  <c:v>152.469944</c:v>
                </c:pt>
                <c:pt idx="4517">
                  <c:v>152.41824</c:v>
                </c:pt>
                <c:pt idx="4518">
                  <c:v>153.20760000000001</c:v>
                </c:pt>
                <c:pt idx="4519">
                  <c:v>152.78329600000001</c:v>
                </c:pt>
                <c:pt idx="4520">
                  <c:v>152.53268800000001</c:v>
                </c:pt>
                <c:pt idx="4521">
                  <c:v>153.08109999999999</c:v>
                </c:pt>
                <c:pt idx="4522">
                  <c:v>153.752792</c:v>
                </c:pt>
                <c:pt idx="4523">
                  <c:v>153.08524</c:v>
                </c:pt>
                <c:pt idx="4524">
                  <c:v>158.89356900000001</c:v>
                </c:pt>
                <c:pt idx="4525">
                  <c:v>168.154416</c:v>
                </c:pt>
                <c:pt idx="4526">
                  <c:v>174.680576</c:v>
                </c:pt>
                <c:pt idx="4527">
                  <c:v>174.0222</c:v>
                </c:pt>
                <c:pt idx="4528">
                  <c:v>165.333168</c:v>
                </c:pt>
                <c:pt idx="4529">
                  <c:v>153.551772</c:v>
                </c:pt>
                <c:pt idx="4530">
                  <c:v>151.20604800000001</c:v>
                </c:pt>
                <c:pt idx="4531">
                  <c:v>151.048912</c:v>
                </c:pt>
                <c:pt idx="4532">
                  <c:v>150.75865200000001</c:v>
                </c:pt>
                <c:pt idx="4533">
                  <c:v>151.44966400000001</c:v>
                </c:pt>
                <c:pt idx="4534">
                  <c:v>151.4228</c:v>
                </c:pt>
                <c:pt idx="4535">
                  <c:v>129.52288799999999</c:v>
                </c:pt>
                <c:pt idx="4536">
                  <c:v>18.601344000000001</c:v>
                </c:pt>
                <c:pt idx="4537">
                  <c:v>18.558129000000001</c:v>
                </c:pt>
                <c:pt idx="4538">
                  <c:v>18.409164000000001</c:v>
                </c:pt>
                <c:pt idx="4539">
                  <c:v>18.538920000000001</c:v>
                </c:pt>
                <c:pt idx="4540">
                  <c:v>18.334160000000001</c:v>
                </c:pt>
                <c:pt idx="4541">
                  <c:v>18.315528</c:v>
                </c:pt>
                <c:pt idx="4542">
                  <c:v>18.34844</c:v>
                </c:pt>
                <c:pt idx="4543">
                  <c:v>18.414263999999999</c:v>
                </c:pt>
                <c:pt idx="4544">
                  <c:v>18.381352</c:v>
                </c:pt>
                <c:pt idx="4545">
                  <c:v>18.414263999999999</c:v>
                </c:pt>
                <c:pt idx="4546">
                  <c:v>18.34844</c:v>
                </c:pt>
                <c:pt idx="4547">
                  <c:v>18.356667999999999</c:v>
                </c:pt>
                <c:pt idx="4548">
                  <c:v>18.491783999999999</c:v>
                </c:pt>
                <c:pt idx="4549">
                  <c:v>18.417120000000001</c:v>
                </c:pt>
                <c:pt idx="4550">
                  <c:v>18.253814999999999</c:v>
                </c:pt>
                <c:pt idx="4551">
                  <c:v>18.375640000000001</c:v>
                </c:pt>
                <c:pt idx="4552">
                  <c:v>18.315528</c:v>
                </c:pt>
                <c:pt idx="4553">
                  <c:v>18.350752</c:v>
                </c:pt>
                <c:pt idx="4554">
                  <c:v>18.466895999999998</c:v>
                </c:pt>
                <c:pt idx="4555">
                  <c:v>18.229092000000001</c:v>
                </c:pt>
                <c:pt idx="4556">
                  <c:v>18.40222</c:v>
                </c:pt>
                <c:pt idx="4557">
                  <c:v>18.450303999999999</c:v>
                </c:pt>
                <c:pt idx="4558">
                  <c:v>18.425415999999998</c:v>
                </c:pt>
                <c:pt idx="4559">
                  <c:v>18.5472</c:v>
                </c:pt>
                <c:pt idx="4560">
                  <c:v>18.414263999999999</c:v>
                </c:pt>
                <c:pt idx="4561">
                  <c:v>18.323755999999999</c:v>
                </c:pt>
                <c:pt idx="4562">
                  <c:v>18.4008</c:v>
                </c:pt>
                <c:pt idx="4563">
                  <c:v>18.40896</c:v>
                </c:pt>
                <c:pt idx="4564">
                  <c:v>18.474240000000002</c:v>
                </c:pt>
                <c:pt idx="4565">
                  <c:v>18.58032</c:v>
                </c:pt>
                <c:pt idx="4566">
                  <c:v>18.449760000000001</c:v>
                </c:pt>
                <c:pt idx="4567">
                  <c:v>18.447175999999999</c:v>
                </c:pt>
                <c:pt idx="4568">
                  <c:v>18.37632</c:v>
                </c:pt>
                <c:pt idx="4569">
                  <c:v>16.848649999999999</c:v>
                </c:pt>
                <c:pt idx="4570">
                  <c:v>14.743944000000001</c:v>
                </c:pt>
                <c:pt idx="4571">
                  <c:v>14.780727000000001</c:v>
                </c:pt>
                <c:pt idx="4572">
                  <c:v>14.794025</c:v>
                </c:pt>
                <c:pt idx="4573">
                  <c:v>14.865119999999999</c:v>
                </c:pt>
                <c:pt idx="4574">
                  <c:v>14.816412</c:v>
                </c:pt>
                <c:pt idx="4575">
                  <c:v>14.933654000000001</c:v>
                </c:pt>
                <c:pt idx="4576">
                  <c:v>14.867164000000001</c:v>
                </c:pt>
                <c:pt idx="4577">
                  <c:v>14.907057999999999</c:v>
                </c:pt>
                <c:pt idx="4578">
                  <c:v>14.88888</c:v>
                </c:pt>
                <c:pt idx="4579">
                  <c:v>14.933654000000001</c:v>
                </c:pt>
                <c:pt idx="4580">
                  <c:v>15.086088</c:v>
                </c:pt>
                <c:pt idx="4581">
                  <c:v>15.052607999999999</c:v>
                </c:pt>
                <c:pt idx="4582">
                  <c:v>14.946952</c:v>
                </c:pt>
                <c:pt idx="4583">
                  <c:v>15.033389</c:v>
                </c:pt>
                <c:pt idx="4584">
                  <c:v>14.7774</c:v>
                </c:pt>
                <c:pt idx="4585">
                  <c:v>14.927004999999999</c:v>
                </c:pt>
                <c:pt idx="4586">
                  <c:v>14.952168</c:v>
                </c:pt>
                <c:pt idx="4587">
                  <c:v>14.865119999999999</c:v>
                </c:pt>
                <c:pt idx="4588">
                  <c:v>14.434308</c:v>
                </c:pt>
                <c:pt idx="4589">
                  <c:v>14.514767000000001</c:v>
                </c:pt>
                <c:pt idx="4590">
                  <c:v>14.641220000000001</c:v>
                </c:pt>
                <c:pt idx="4591">
                  <c:v>14.528065</c:v>
                </c:pt>
                <c:pt idx="4592">
                  <c:v>14.647747000000001</c:v>
                </c:pt>
                <c:pt idx="4593">
                  <c:v>14.594555</c:v>
                </c:pt>
                <c:pt idx="4594">
                  <c:v>14.560700000000001</c:v>
                </c:pt>
                <c:pt idx="4595">
                  <c:v>14.534713999999999</c:v>
                </c:pt>
                <c:pt idx="4596">
                  <c:v>14.594250000000001</c:v>
                </c:pt>
                <c:pt idx="4597">
                  <c:v>14.438879999999999</c:v>
                </c:pt>
                <c:pt idx="4598">
                  <c:v>14.39226</c:v>
                </c:pt>
                <c:pt idx="4599">
                  <c:v>14.332319999999999</c:v>
                </c:pt>
                <c:pt idx="4600">
                  <c:v>14.46552</c:v>
                </c:pt>
                <c:pt idx="4601">
                  <c:v>14.694900000000001</c:v>
                </c:pt>
                <c:pt idx="4602">
                  <c:v>14.587906</c:v>
                </c:pt>
                <c:pt idx="4603">
                  <c:v>14.701610000000001</c:v>
                </c:pt>
                <c:pt idx="4604">
                  <c:v>14.694900000000001</c:v>
                </c:pt>
                <c:pt idx="4605">
                  <c:v>14.72174</c:v>
                </c:pt>
                <c:pt idx="4606">
                  <c:v>14.654640000000001</c:v>
                </c:pt>
                <c:pt idx="4607">
                  <c:v>14.621150999999999</c:v>
                </c:pt>
                <c:pt idx="4608">
                  <c:v>14.700939</c:v>
                </c:pt>
                <c:pt idx="4609">
                  <c:v>14.865119999999999</c:v>
                </c:pt>
                <c:pt idx="4610">
                  <c:v>14.838336</c:v>
                </c:pt>
                <c:pt idx="4611">
                  <c:v>14.800454</c:v>
                </c:pt>
                <c:pt idx="4612">
                  <c:v>14.787186</c:v>
                </c:pt>
                <c:pt idx="4613">
                  <c:v>14.845032</c:v>
                </c:pt>
                <c:pt idx="4614">
                  <c:v>14.506776</c:v>
                </c:pt>
                <c:pt idx="4615">
                  <c:v>14.784768</c:v>
                </c:pt>
                <c:pt idx="4616">
                  <c:v>14.778072</c:v>
                </c:pt>
                <c:pt idx="4617">
                  <c:v>14.574897999999999</c:v>
                </c:pt>
                <c:pt idx="4618">
                  <c:v>14.236668</c:v>
                </c:pt>
                <c:pt idx="4619">
                  <c:v>14.195615</c:v>
                </c:pt>
                <c:pt idx="4620">
                  <c:v>13.933619999999999</c:v>
                </c:pt>
                <c:pt idx="4621">
                  <c:v>14.122476000000001</c:v>
                </c:pt>
                <c:pt idx="4622">
                  <c:v>14.182316999999999</c:v>
                </c:pt>
                <c:pt idx="4623">
                  <c:v>14.315296999999999</c:v>
                </c:pt>
                <c:pt idx="4624">
                  <c:v>14.248806999999999</c:v>
                </c:pt>
                <c:pt idx="4625">
                  <c:v>14.195615</c:v>
                </c:pt>
                <c:pt idx="4626">
                  <c:v>13.959972</c:v>
                </c:pt>
                <c:pt idx="4627">
                  <c:v>14.025852</c:v>
                </c:pt>
                <c:pt idx="4628">
                  <c:v>14.309538</c:v>
                </c:pt>
                <c:pt idx="4629">
                  <c:v>14.356223999999999</c:v>
                </c:pt>
                <c:pt idx="4630">
                  <c:v>14.222211</c:v>
                </c:pt>
                <c:pt idx="4631">
                  <c:v>14.075932999999999</c:v>
                </c:pt>
                <c:pt idx="4632">
                  <c:v>14.118084</c:v>
                </c:pt>
                <c:pt idx="4633">
                  <c:v>14.376312</c:v>
                </c:pt>
                <c:pt idx="4634">
                  <c:v>14.462120000000001</c:v>
                </c:pt>
                <c:pt idx="4635">
                  <c:v>14.578074000000001</c:v>
                </c:pt>
                <c:pt idx="4636">
                  <c:v>14.475388000000001</c:v>
                </c:pt>
                <c:pt idx="4637">
                  <c:v>14.389146</c:v>
                </c:pt>
                <c:pt idx="4638">
                  <c:v>14.36261</c:v>
                </c:pt>
                <c:pt idx="4639">
                  <c:v>14.287528</c:v>
                </c:pt>
                <c:pt idx="4640">
                  <c:v>14.535094000000001</c:v>
                </c:pt>
                <c:pt idx="4641">
                  <c:v>14.651532</c:v>
                </c:pt>
                <c:pt idx="4642">
                  <c:v>14.409048</c:v>
                </c:pt>
                <c:pt idx="4643">
                  <c:v>14.369244</c:v>
                </c:pt>
                <c:pt idx="4644">
                  <c:v>14.29627</c:v>
                </c:pt>
                <c:pt idx="4645">
                  <c:v>14.39578</c:v>
                </c:pt>
                <c:pt idx="4646">
                  <c:v>14.422316</c:v>
                </c:pt>
                <c:pt idx="4647">
                  <c:v>14.282783999999999</c:v>
                </c:pt>
                <c:pt idx="4648">
                  <c:v>14.508118</c:v>
                </c:pt>
                <c:pt idx="4649">
                  <c:v>14.534713999999999</c:v>
                </c:pt>
                <c:pt idx="4650">
                  <c:v>14.262600000000001</c:v>
                </c:pt>
                <c:pt idx="4651">
                  <c:v>14.2494</c:v>
                </c:pt>
                <c:pt idx="4652">
                  <c:v>14.2494</c:v>
                </c:pt>
                <c:pt idx="4653">
                  <c:v>14.35896</c:v>
                </c:pt>
                <c:pt idx="4654">
                  <c:v>14.434559999999999</c:v>
                </c:pt>
                <c:pt idx="4655">
                  <c:v>14.35896</c:v>
                </c:pt>
                <c:pt idx="4656">
                  <c:v>14.47218</c:v>
                </c:pt>
                <c:pt idx="4657">
                  <c:v>14.480399999999999</c:v>
                </c:pt>
                <c:pt idx="4658">
                  <c:v>14.541363</c:v>
                </c:pt>
                <c:pt idx="4659">
                  <c:v>14.302199999999999</c:v>
                </c:pt>
                <c:pt idx="4660">
                  <c:v>14.2956</c:v>
                </c:pt>
                <c:pt idx="4661">
                  <c:v>14.401733999999999</c:v>
                </c:pt>
                <c:pt idx="4662">
                  <c:v>14.335488</c:v>
                </c:pt>
                <c:pt idx="4663">
                  <c:v>14.448276999999999</c:v>
                </c:pt>
                <c:pt idx="4664">
                  <c:v>14.361840000000001</c:v>
                </c:pt>
                <c:pt idx="4665">
                  <c:v>14.473470000000001</c:v>
                </c:pt>
                <c:pt idx="4666">
                  <c:v>14.262600000000001</c:v>
                </c:pt>
                <c:pt idx="4667">
                  <c:v>14.355191</c:v>
                </c:pt>
                <c:pt idx="4668">
                  <c:v>14.677631999999999</c:v>
                </c:pt>
                <c:pt idx="4669">
                  <c:v>14.401368</c:v>
                </c:pt>
                <c:pt idx="4670">
                  <c:v>14.407956</c:v>
                </c:pt>
                <c:pt idx="4671">
                  <c:v>14.440896</c:v>
                </c:pt>
                <c:pt idx="4672">
                  <c:v>14.514767000000001</c:v>
                </c:pt>
                <c:pt idx="4673">
                  <c:v>14.481522</c:v>
                </c:pt>
                <c:pt idx="4674">
                  <c:v>14.441628</c:v>
                </c:pt>
                <c:pt idx="4675">
                  <c:v>14.428330000000001</c:v>
                </c:pt>
                <c:pt idx="4676">
                  <c:v>14.282052</c:v>
                </c:pt>
                <c:pt idx="4677">
                  <c:v>14.348663999999999</c:v>
                </c:pt>
                <c:pt idx="4678">
                  <c:v>14.534713999999999</c:v>
                </c:pt>
                <c:pt idx="4679">
                  <c:v>14.454072</c:v>
                </c:pt>
                <c:pt idx="4680">
                  <c:v>14.528065</c:v>
                </c:pt>
                <c:pt idx="4681">
                  <c:v>14.634604</c:v>
                </c:pt>
                <c:pt idx="4682">
                  <c:v>14.731199999999999</c:v>
                </c:pt>
                <c:pt idx="4683">
                  <c:v>14.627969999999999</c:v>
                </c:pt>
                <c:pt idx="4684">
                  <c:v>14.845193999999999</c:v>
                </c:pt>
                <c:pt idx="4685">
                  <c:v>14.731605</c:v>
                </c:pt>
                <c:pt idx="4686">
                  <c:v>14.72499</c:v>
                </c:pt>
                <c:pt idx="4687">
                  <c:v>14.619149999999999</c:v>
                </c:pt>
                <c:pt idx="4688">
                  <c:v>14.67207</c:v>
                </c:pt>
                <c:pt idx="4689">
                  <c:v>14.718375</c:v>
                </c:pt>
                <c:pt idx="4690">
                  <c:v>14.604407999999999</c:v>
                </c:pt>
                <c:pt idx="4691">
                  <c:v>14.599304999999999</c:v>
                </c:pt>
                <c:pt idx="4692">
                  <c:v>14.684922</c:v>
                </c:pt>
                <c:pt idx="4693">
                  <c:v>14.618142000000001</c:v>
                </c:pt>
                <c:pt idx="4694">
                  <c:v>14.482022000000001</c:v>
                </c:pt>
                <c:pt idx="4695">
                  <c:v>14.442218</c:v>
                </c:pt>
                <c:pt idx="4696">
                  <c:v>14.42895</c:v>
                </c:pt>
                <c:pt idx="4697">
                  <c:v>14.53032</c:v>
                </c:pt>
                <c:pt idx="4698">
                  <c:v>14.476751999999999</c:v>
                </c:pt>
                <c:pt idx="4699">
                  <c:v>14.475388000000001</c:v>
                </c:pt>
                <c:pt idx="4700">
                  <c:v>14.644152</c:v>
                </c:pt>
                <c:pt idx="4701">
                  <c:v>14.657544</c:v>
                </c:pt>
                <c:pt idx="4702">
                  <c:v>14.467248</c:v>
                </c:pt>
                <c:pt idx="4703">
                  <c:v>14.447483999999999</c:v>
                </c:pt>
                <c:pt idx="4704">
                  <c:v>14.388192</c:v>
                </c:pt>
                <c:pt idx="4705">
                  <c:v>14.461575</c:v>
                </c:pt>
                <c:pt idx="4706">
                  <c:v>14.655559999999999</c:v>
                </c:pt>
                <c:pt idx="4707">
                  <c:v>14.830830000000001</c:v>
                </c:pt>
                <c:pt idx="4708">
                  <c:v>15.005466</c:v>
                </c:pt>
                <c:pt idx="4709">
                  <c:v>14.943284999999999</c:v>
                </c:pt>
                <c:pt idx="4710">
                  <c:v>14.903594999999999</c:v>
                </c:pt>
                <c:pt idx="4711">
                  <c:v>14.629272</c:v>
                </c:pt>
                <c:pt idx="4712">
                  <c:v>14.596412000000001</c:v>
                </c:pt>
                <c:pt idx="4713">
                  <c:v>14.589840000000001</c:v>
                </c:pt>
                <c:pt idx="4714">
                  <c:v>14.629272</c:v>
                </c:pt>
                <c:pt idx="4715">
                  <c:v>14.744835</c:v>
                </c:pt>
                <c:pt idx="4716">
                  <c:v>14.718375</c:v>
                </c:pt>
                <c:pt idx="4717">
                  <c:v>14.810985000000001</c:v>
                </c:pt>
                <c:pt idx="4718">
                  <c:v>14.75145</c:v>
                </c:pt>
                <c:pt idx="4719">
                  <c:v>14.751702</c:v>
                </c:pt>
                <c:pt idx="4720">
                  <c:v>14.612534999999999</c:v>
                </c:pt>
                <c:pt idx="4721">
                  <c:v>14.632379999999999</c:v>
                </c:pt>
                <c:pt idx="4722">
                  <c:v>14.711634</c:v>
                </c:pt>
                <c:pt idx="4723">
                  <c:v>14.484688</c:v>
                </c:pt>
                <c:pt idx="4724">
                  <c:v>14.576696</c:v>
                </c:pt>
                <c:pt idx="4725">
                  <c:v>14.76468</c:v>
                </c:pt>
                <c:pt idx="4726">
                  <c:v>14.76468</c:v>
                </c:pt>
                <c:pt idx="4727">
                  <c:v>14.784525</c:v>
                </c:pt>
                <c:pt idx="4728">
                  <c:v>14.911974000000001</c:v>
                </c:pt>
                <c:pt idx="4729">
                  <c:v>14.596412000000001</c:v>
                </c:pt>
                <c:pt idx="4730">
                  <c:v>14.634604</c:v>
                </c:pt>
                <c:pt idx="4731">
                  <c:v>14.574897999999999</c:v>
                </c:pt>
                <c:pt idx="4732">
                  <c:v>14.554995999999999</c:v>
                </c:pt>
                <c:pt idx="4733">
                  <c:v>14.554995999999999</c:v>
                </c:pt>
                <c:pt idx="4734">
                  <c:v>14.276196000000001</c:v>
                </c:pt>
                <c:pt idx="4735">
                  <c:v>14.422316</c:v>
                </c:pt>
                <c:pt idx="4736">
                  <c:v>14.462120000000001</c:v>
                </c:pt>
                <c:pt idx="4737">
                  <c:v>14.263019999999999</c:v>
                </c:pt>
                <c:pt idx="4738">
                  <c:v>14.282783999999999</c:v>
                </c:pt>
                <c:pt idx="4739">
                  <c:v>14.508558000000001</c:v>
                </c:pt>
                <c:pt idx="4740">
                  <c:v>14.353248000000001</c:v>
                </c:pt>
                <c:pt idx="4741">
                  <c:v>14.320387999999999</c:v>
                </c:pt>
                <c:pt idx="4742">
                  <c:v>14.382512</c:v>
                </c:pt>
                <c:pt idx="4743">
                  <c:v>14.39578</c:v>
                </c:pt>
                <c:pt idx="4744">
                  <c:v>14.442218</c:v>
                </c:pt>
                <c:pt idx="4745">
                  <c:v>14.375878</c:v>
                </c:pt>
                <c:pt idx="4746">
                  <c:v>14.402414</c:v>
                </c:pt>
                <c:pt idx="4747">
                  <c:v>14.409048</c:v>
                </c:pt>
                <c:pt idx="4748">
                  <c:v>14.382512</c:v>
                </c:pt>
                <c:pt idx="4749">
                  <c:v>14.508558000000001</c:v>
                </c:pt>
                <c:pt idx="4750">
                  <c:v>14.588165999999999</c:v>
                </c:pt>
                <c:pt idx="4751">
                  <c:v>14.574897999999999</c:v>
                </c:pt>
                <c:pt idx="4752">
                  <c:v>14.501924000000001</c:v>
                </c:pt>
                <c:pt idx="4753">
                  <c:v>14.482022000000001</c:v>
                </c:pt>
                <c:pt idx="4754">
                  <c:v>14.418968</c:v>
                </c:pt>
                <c:pt idx="4755">
                  <c:v>14.484688</c:v>
                </c:pt>
                <c:pt idx="4756">
                  <c:v>14.818481999999999</c:v>
                </c:pt>
                <c:pt idx="4757">
                  <c:v>14.744835</c:v>
                </c:pt>
                <c:pt idx="4758">
                  <c:v>14.689584</c:v>
                </c:pt>
                <c:pt idx="4759">
                  <c:v>14.64372</c:v>
                </c:pt>
                <c:pt idx="4760">
                  <c:v>14.652225</c:v>
                </c:pt>
                <c:pt idx="4761">
                  <c:v>14.678685</c:v>
                </c:pt>
                <c:pt idx="4762">
                  <c:v>14.545439999999999</c:v>
                </c:pt>
                <c:pt idx="4763">
                  <c:v>14.525784</c:v>
                </c:pt>
                <c:pt idx="4764">
                  <c:v>14.460264</c:v>
                </c:pt>
                <c:pt idx="4765">
                  <c:v>14.579459999999999</c:v>
                </c:pt>
                <c:pt idx="4766">
                  <c:v>14.559615000000001</c:v>
                </c:pt>
                <c:pt idx="4767">
                  <c:v>14.453711999999999</c:v>
                </c:pt>
                <c:pt idx="4768">
                  <c:v>14.519925000000001</c:v>
                </c:pt>
                <c:pt idx="4769">
                  <c:v>14.566229999999999</c:v>
                </c:pt>
                <c:pt idx="4770">
                  <c:v>14.684922</c:v>
                </c:pt>
                <c:pt idx="4771">
                  <c:v>14.612534999999999</c:v>
                </c:pt>
                <c:pt idx="4772">
                  <c:v>14.526540000000001</c:v>
                </c:pt>
                <c:pt idx="4773">
                  <c:v>14.579459999999999</c:v>
                </c:pt>
                <c:pt idx="4774">
                  <c:v>14.822912000000001</c:v>
                </c:pt>
                <c:pt idx="4775">
                  <c:v>14.836224</c:v>
                </c:pt>
                <c:pt idx="4776">
                  <c:v>14.812224000000001</c:v>
                </c:pt>
                <c:pt idx="4777">
                  <c:v>14.779264</c:v>
                </c:pt>
                <c:pt idx="4778">
                  <c:v>14.822912000000001</c:v>
                </c:pt>
                <c:pt idx="4779">
                  <c:v>14.680384</c:v>
                </c:pt>
                <c:pt idx="4780">
                  <c:v>14.63424</c:v>
                </c:pt>
                <c:pt idx="4781">
                  <c:v>14.723072</c:v>
                </c:pt>
                <c:pt idx="4782">
                  <c:v>14.38101</c:v>
                </c:pt>
                <c:pt idx="4783">
                  <c:v>14.464548000000001</c:v>
                </c:pt>
                <c:pt idx="4784">
                  <c:v>14.477904000000001</c:v>
                </c:pt>
                <c:pt idx="4785">
                  <c:v>14.387625</c:v>
                </c:pt>
                <c:pt idx="4786">
                  <c:v>14.623232</c:v>
                </c:pt>
                <c:pt idx="4787">
                  <c:v>14.716416000000001</c:v>
                </c:pt>
                <c:pt idx="4788">
                  <c:v>14.723072</c:v>
                </c:pt>
                <c:pt idx="4789">
                  <c:v>14.673792000000001</c:v>
                </c:pt>
                <c:pt idx="4790">
                  <c:v>14.816255999999999</c:v>
                </c:pt>
                <c:pt idx="4791">
                  <c:v>14.706752</c:v>
                </c:pt>
                <c:pt idx="4792">
                  <c:v>14.739712000000001</c:v>
                </c:pt>
                <c:pt idx="4793">
                  <c:v>14.766080000000001</c:v>
                </c:pt>
                <c:pt idx="4794">
                  <c:v>14.746304</c:v>
                </c:pt>
                <c:pt idx="4795">
                  <c:v>15.023580000000001</c:v>
                </c:pt>
                <c:pt idx="4796">
                  <c:v>14.910869999999999</c:v>
                </c:pt>
                <c:pt idx="4797">
                  <c:v>14.89761</c:v>
                </c:pt>
                <c:pt idx="4798">
                  <c:v>14.88435</c:v>
                </c:pt>
                <c:pt idx="4799">
                  <c:v>14.864459999999999</c:v>
                </c:pt>
                <c:pt idx="4800">
                  <c:v>14.890980000000001</c:v>
                </c:pt>
                <c:pt idx="4801">
                  <c:v>14.9968</c:v>
                </c:pt>
                <c:pt idx="4802">
                  <c:v>14.94402</c:v>
                </c:pt>
                <c:pt idx="4803">
                  <c:v>14.766080000000001</c:v>
                </c:pt>
                <c:pt idx="4804">
                  <c:v>14.746304</c:v>
                </c:pt>
                <c:pt idx="4805">
                  <c:v>14.719936000000001</c:v>
                </c:pt>
                <c:pt idx="4806">
                  <c:v>15.063750000000001</c:v>
                </c:pt>
                <c:pt idx="4807">
                  <c:v>14.838592</c:v>
                </c:pt>
                <c:pt idx="4808">
                  <c:v>14.977169999999999</c:v>
                </c:pt>
                <c:pt idx="4809">
                  <c:v>14.9838</c:v>
                </c:pt>
                <c:pt idx="4810">
                  <c:v>14.937390000000001</c:v>
                </c:pt>
                <c:pt idx="4811">
                  <c:v>14.85003</c:v>
                </c:pt>
                <c:pt idx="4812">
                  <c:v>14.895985</c:v>
                </c:pt>
                <c:pt idx="4813">
                  <c:v>14.96391</c:v>
                </c:pt>
                <c:pt idx="4814">
                  <c:v>14.594688</c:v>
                </c:pt>
                <c:pt idx="4815">
                  <c:v>14.588096</c:v>
                </c:pt>
                <c:pt idx="4816">
                  <c:v>14.729728</c:v>
                </c:pt>
                <c:pt idx="4817">
                  <c:v>14.44716</c:v>
                </c:pt>
                <c:pt idx="4818">
                  <c:v>14.460264</c:v>
                </c:pt>
                <c:pt idx="4819">
                  <c:v>14.763007999999999</c:v>
                </c:pt>
                <c:pt idx="4820">
                  <c:v>14.796288000000001</c:v>
                </c:pt>
                <c:pt idx="4821">
                  <c:v>14.749696</c:v>
                </c:pt>
                <c:pt idx="4822">
                  <c:v>14.709759999999999</c:v>
                </c:pt>
                <c:pt idx="4823">
                  <c:v>14.782976</c:v>
                </c:pt>
                <c:pt idx="4824">
                  <c:v>14.51268</c:v>
                </c:pt>
                <c:pt idx="4825">
                  <c:v>14.586074999999999</c:v>
                </c:pt>
                <c:pt idx="4826">
                  <c:v>14.546385000000001</c:v>
                </c:pt>
                <c:pt idx="4827">
                  <c:v>14.579459999999999</c:v>
                </c:pt>
                <c:pt idx="4828">
                  <c:v>14.8096</c:v>
                </c:pt>
                <c:pt idx="4829">
                  <c:v>14.818816</c:v>
                </c:pt>
                <c:pt idx="4830">
                  <c:v>14.779264</c:v>
                </c:pt>
                <c:pt idx="4831">
                  <c:v>14.785856000000001</c:v>
                </c:pt>
                <c:pt idx="4832">
                  <c:v>14.825407999999999</c:v>
                </c:pt>
                <c:pt idx="4833">
                  <c:v>14.818816</c:v>
                </c:pt>
                <c:pt idx="4834">
                  <c:v>14.779264</c:v>
                </c:pt>
                <c:pt idx="4835">
                  <c:v>14.842879999999999</c:v>
                </c:pt>
                <c:pt idx="4836">
                  <c:v>14.493024</c:v>
                </c:pt>
                <c:pt idx="4837">
                  <c:v>14.796288000000001</c:v>
                </c:pt>
                <c:pt idx="4838">
                  <c:v>14.756352</c:v>
                </c:pt>
                <c:pt idx="4839">
                  <c:v>14.683135999999999</c:v>
                </c:pt>
                <c:pt idx="4840">
                  <c:v>14.763007999999999</c:v>
                </c:pt>
                <c:pt idx="4841">
                  <c:v>14.680384</c:v>
                </c:pt>
                <c:pt idx="4842">
                  <c:v>14.706752</c:v>
                </c:pt>
                <c:pt idx="4843">
                  <c:v>14.726528</c:v>
                </c:pt>
                <c:pt idx="4844">
                  <c:v>14.73312</c:v>
                </c:pt>
                <c:pt idx="4845">
                  <c:v>14.739712000000001</c:v>
                </c:pt>
                <c:pt idx="4846">
                  <c:v>14.739712000000001</c:v>
                </c:pt>
                <c:pt idx="4847">
                  <c:v>14.73312</c:v>
                </c:pt>
                <c:pt idx="4848">
                  <c:v>14.752896</c:v>
                </c:pt>
                <c:pt idx="4849">
                  <c:v>14.746304</c:v>
                </c:pt>
                <c:pt idx="4850">
                  <c:v>14.719936000000001</c:v>
                </c:pt>
                <c:pt idx="4851">
                  <c:v>14.686976</c:v>
                </c:pt>
                <c:pt idx="4852">
                  <c:v>14.627648000000001</c:v>
                </c:pt>
                <c:pt idx="4853">
                  <c:v>14.601279999999999</c:v>
                </c:pt>
                <c:pt idx="4854">
                  <c:v>14.594688</c:v>
                </c:pt>
                <c:pt idx="4855">
                  <c:v>14.654016</c:v>
                </c:pt>
                <c:pt idx="4856">
                  <c:v>14.581504000000001</c:v>
                </c:pt>
                <c:pt idx="4857">
                  <c:v>14.548544</c:v>
                </c:pt>
                <c:pt idx="4858">
                  <c:v>14.548544</c:v>
                </c:pt>
                <c:pt idx="4859">
                  <c:v>14.614464</c:v>
                </c:pt>
                <c:pt idx="4860">
                  <c:v>14.63424</c:v>
                </c:pt>
                <c:pt idx="4861">
                  <c:v>14.614464</c:v>
                </c:pt>
                <c:pt idx="4862">
                  <c:v>14.713343999999999</c:v>
                </c:pt>
                <c:pt idx="4863">
                  <c:v>14.976715</c:v>
                </c:pt>
                <c:pt idx="4864">
                  <c:v>14.88435</c:v>
                </c:pt>
                <c:pt idx="4865">
                  <c:v>14.937390000000001</c:v>
                </c:pt>
                <c:pt idx="4866">
                  <c:v>14.766336000000001</c:v>
                </c:pt>
                <c:pt idx="4867">
                  <c:v>14.686208000000001</c:v>
                </c:pt>
                <c:pt idx="4868">
                  <c:v>14.844671999999999</c:v>
                </c:pt>
                <c:pt idx="4869">
                  <c:v>15.023580000000001</c:v>
                </c:pt>
                <c:pt idx="4870">
                  <c:v>15.023580000000001</c:v>
                </c:pt>
                <c:pt idx="4871">
                  <c:v>14.99043</c:v>
                </c:pt>
                <c:pt idx="4872">
                  <c:v>15.043469999999999</c:v>
                </c:pt>
                <c:pt idx="4873">
                  <c:v>15.03021</c:v>
                </c:pt>
                <c:pt idx="4874">
                  <c:v>14.844569999999999</c:v>
                </c:pt>
                <c:pt idx="4875">
                  <c:v>14.522176</c:v>
                </c:pt>
                <c:pt idx="4876">
                  <c:v>14.636544000000001</c:v>
                </c:pt>
                <c:pt idx="4877">
                  <c:v>14.616576</c:v>
                </c:pt>
                <c:pt idx="4878">
                  <c:v>14.530048000000001</c:v>
                </c:pt>
                <c:pt idx="4879">
                  <c:v>14.530048000000001</c:v>
                </c:pt>
                <c:pt idx="4880">
                  <c:v>14.503424000000001</c:v>
                </c:pt>
                <c:pt idx="4881">
                  <c:v>14.556672000000001</c:v>
                </c:pt>
                <c:pt idx="4882">
                  <c:v>14.443072000000001</c:v>
                </c:pt>
                <c:pt idx="4883">
                  <c:v>14.456256</c:v>
                </c:pt>
                <c:pt idx="4884">
                  <c:v>14.5024</c:v>
                </c:pt>
                <c:pt idx="4885">
                  <c:v>14.581504000000001</c:v>
                </c:pt>
                <c:pt idx="4886">
                  <c:v>14.82273</c:v>
                </c:pt>
                <c:pt idx="4887">
                  <c:v>14.82273</c:v>
                </c:pt>
                <c:pt idx="4888">
                  <c:v>14.829425000000001</c:v>
                </c:pt>
                <c:pt idx="4889">
                  <c:v>14.555135999999999</c:v>
                </c:pt>
                <c:pt idx="4890">
                  <c:v>14.522176</c:v>
                </c:pt>
                <c:pt idx="4891">
                  <c:v>14.535360000000001</c:v>
                </c:pt>
                <c:pt idx="4892">
                  <c:v>14.56832</c:v>
                </c:pt>
                <c:pt idx="4893">
                  <c:v>14.495808</c:v>
                </c:pt>
                <c:pt idx="4894">
                  <c:v>14.836119999999999</c:v>
                </c:pt>
                <c:pt idx="4895">
                  <c:v>14.751749999999999</c:v>
                </c:pt>
                <c:pt idx="4896">
                  <c:v>14.7056</c:v>
                </c:pt>
                <c:pt idx="4897">
                  <c:v>14.738424999999999</c:v>
                </c:pt>
                <c:pt idx="4898">
                  <c:v>14.653079999999999</c:v>
                </c:pt>
                <c:pt idx="4899">
                  <c:v>14.699035</c:v>
                </c:pt>
                <c:pt idx="4900">
                  <c:v>14.75812</c:v>
                </c:pt>
                <c:pt idx="4901">
                  <c:v>14.751555</c:v>
                </c:pt>
                <c:pt idx="4902">
                  <c:v>14.777815</c:v>
                </c:pt>
                <c:pt idx="4903">
                  <c:v>14.797510000000001</c:v>
                </c:pt>
                <c:pt idx="4904">
                  <c:v>14.843465</c:v>
                </c:pt>
                <c:pt idx="4905">
                  <c:v>14.876289999999999</c:v>
                </c:pt>
                <c:pt idx="4906">
                  <c:v>14.856595</c:v>
                </c:pt>
                <c:pt idx="4907">
                  <c:v>14.90255</c:v>
                </c:pt>
                <c:pt idx="4908">
                  <c:v>14.882854999999999</c:v>
                </c:pt>
                <c:pt idx="4909">
                  <c:v>14.781000000000001</c:v>
                </c:pt>
                <c:pt idx="4910">
                  <c:v>14.8005</c:v>
                </c:pt>
                <c:pt idx="4911">
                  <c:v>14.9688</c:v>
                </c:pt>
                <c:pt idx="4912">
                  <c:v>14.922599999999999</c:v>
                </c:pt>
                <c:pt idx="4913">
                  <c:v>15.031829999999999</c:v>
                </c:pt>
                <c:pt idx="4914">
                  <c:v>14.843465</c:v>
                </c:pt>
                <c:pt idx="4915">
                  <c:v>14.7355</c:v>
                </c:pt>
                <c:pt idx="4916">
                  <c:v>14.7355</c:v>
                </c:pt>
                <c:pt idx="4917">
                  <c:v>15.085158</c:v>
                </c:pt>
                <c:pt idx="4918">
                  <c:v>15.058494</c:v>
                </c:pt>
                <c:pt idx="4919">
                  <c:v>14.895985</c:v>
                </c:pt>
                <c:pt idx="4920">
                  <c:v>14.7615</c:v>
                </c:pt>
                <c:pt idx="4921">
                  <c:v>15.105155999999999</c:v>
                </c:pt>
                <c:pt idx="4922">
                  <c:v>15.065160000000001</c:v>
                </c:pt>
                <c:pt idx="4923">
                  <c:v>14.77125</c:v>
                </c:pt>
                <c:pt idx="4924">
                  <c:v>15.005165999999999</c:v>
                </c:pt>
                <c:pt idx="4925">
                  <c:v>14.817205</c:v>
                </c:pt>
                <c:pt idx="4926">
                  <c:v>14.82377</c:v>
                </c:pt>
                <c:pt idx="4927">
                  <c:v>14.817205</c:v>
                </c:pt>
                <c:pt idx="4928">
                  <c:v>14.869725000000001</c:v>
                </c:pt>
                <c:pt idx="4929">
                  <c:v>14.895985</c:v>
                </c:pt>
                <c:pt idx="4930">
                  <c:v>14.935375000000001</c:v>
                </c:pt>
                <c:pt idx="4931">
                  <c:v>14.90255</c:v>
                </c:pt>
                <c:pt idx="4932">
                  <c:v>14.909115</c:v>
                </c:pt>
                <c:pt idx="4933">
                  <c:v>14.882854999999999</c:v>
                </c:pt>
                <c:pt idx="4934">
                  <c:v>14.856595</c:v>
                </c:pt>
                <c:pt idx="4935">
                  <c:v>14.830335</c:v>
                </c:pt>
                <c:pt idx="4936">
                  <c:v>14.977169999999999</c:v>
                </c:pt>
                <c:pt idx="4937">
                  <c:v>14.843465</c:v>
                </c:pt>
                <c:pt idx="4938">
                  <c:v>14.88435</c:v>
                </c:pt>
                <c:pt idx="4939">
                  <c:v>14.83794</c:v>
                </c:pt>
                <c:pt idx="4940">
                  <c:v>14.88435</c:v>
                </c:pt>
                <c:pt idx="4941">
                  <c:v>14.790945000000001</c:v>
                </c:pt>
                <c:pt idx="4942">
                  <c:v>14.804074999999999</c:v>
                </c:pt>
                <c:pt idx="4943">
                  <c:v>14.797510000000001</c:v>
                </c:pt>
                <c:pt idx="4944">
                  <c:v>14.864459999999999</c:v>
                </c:pt>
                <c:pt idx="4945">
                  <c:v>14.890980000000001</c:v>
                </c:pt>
                <c:pt idx="4946">
                  <c:v>14.88435</c:v>
                </c:pt>
                <c:pt idx="4947">
                  <c:v>14.797510000000001</c:v>
                </c:pt>
                <c:pt idx="4948">
                  <c:v>14.830335</c:v>
                </c:pt>
                <c:pt idx="4949">
                  <c:v>14.876289999999999</c:v>
                </c:pt>
                <c:pt idx="4950">
                  <c:v>14.941940000000001</c:v>
                </c:pt>
                <c:pt idx="4951">
                  <c:v>14.935375000000001</c:v>
                </c:pt>
                <c:pt idx="4952">
                  <c:v>14.935375000000001</c:v>
                </c:pt>
                <c:pt idx="4953">
                  <c:v>14.922245</c:v>
                </c:pt>
                <c:pt idx="4954">
                  <c:v>14.909115</c:v>
                </c:pt>
                <c:pt idx="4955">
                  <c:v>14.895985</c:v>
                </c:pt>
                <c:pt idx="4956">
                  <c:v>15.09849</c:v>
                </c:pt>
                <c:pt idx="4957">
                  <c:v>14.810639999999999</c:v>
                </c:pt>
                <c:pt idx="4958">
                  <c:v>14.764685</c:v>
                </c:pt>
                <c:pt idx="4959">
                  <c:v>14.985168</c:v>
                </c:pt>
                <c:pt idx="4960">
                  <c:v>15.031829999999999</c:v>
                </c:pt>
                <c:pt idx="4961">
                  <c:v>15.065160000000001</c:v>
                </c:pt>
                <c:pt idx="4962">
                  <c:v>14.8369</c:v>
                </c:pt>
                <c:pt idx="4963">
                  <c:v>14.90255</c:v>
                </c:pt>
                <c:pt idx="4964">
                  <c:v>14.91568</c:v>
                </c:pt>
                <c:pt idx="4965">
                  <c:v>14.8005</c:v>
                </c:pt>
                <c:pt idx="4966">
                  <c:v>14.7875</c:v>
                </c:pt>
                <c:pt idx="4967">
                  <c:v>14.889419999999999</c:v>
                </c:pt>
                <c:pt idx="4968">
                  <c:v>14.882854999999999</c:v>
                </c:pt>
                <c:pt idx="4969">
                  <c:v>14.843465</c:v>
                </c:pt>
                <c:pt idx="4970">
                  <c:v>14.889419999999999</c:v>
                </c:pt>
                <c:pt idx="4971">
                  <c:v>14.9682</c:v>
                </c:pt>
                <c:pt idx="4972">
                  <c:v>15.027284999999999</c:v>
                </c:pt>
                <c:pt idx="4973">
                  <c:v>15.040414999999999</c:v>
                </c:pt>
                <c:pt idx="4974">
                  <c:v>14.885</c:v>
                </c:pt>
                <c:pt idx="4975">
                  <c:v>14.872</c:v>
                </c:pt>
                <c:pt idx="4976">
                  <c:v>14.833</c:v>
                </c:pt>
                <c:pt idx="4977">
                  <c:v>14.935375000000001</c:v>
                </c:pt>
                <c:pt idx="4978">
                  <c:v>14.876289999999999</c:v>
                </c:pt>
                <c:pt idx="4979">
                  <c:v>14.7615</c:v>
                </c:pt>
                <c:pt idx="4980">
                  <c:v>14.794</c:v>
                </c:pt>
                <c:pt idx="4981">
                  <c:v>14.852499999999999</c:v>
                </c:pt>
                <c:pt idx="4982">
                  <c:v>15.133800000000001</c:v>
                </c:pt>
                <c:pt idx="4983">
                  <c:v>14.865500000000001</c:v>
                </c:pt>
                <c:pt idx="4984">
                  <c:v>14.852499999999999</c:v>
                </c:pt>
                <c:pt idx="4985">
                  <c:v>14.885</c:v>
                </c:pt>
                <c:pt idx="4986">
                  <c:v>15.1404</c:v>
                </c:pt>
                <c:pt idx="4987">
                  <c:v>14.95</c:v>
                </c:pt>
                <c:pt idx="4988">
                  <c:v>15.193199999999999</c:v>
                </c:pt>
                <c:pt idx="4989">
                  <c:v>14.9175</c:v>
                </c:pt>
                <c:pt idx="4990">
                  <c:v>15.193199999999999</c:v>
                </c:pt>
                <c:pt idx="4991">
                  <c:v>15.1866</c:v>
                </c:pt>
                <c:pt idx="4992">
                  <c:v>15.2196</c:v>
                </c:pt>
                <c:pt idx="4993">
                  <c:v>15.054335999999999</c:v>
                </c:pt>
                <c:pt idx="4994">
                  <c:v>15.193199999999999</c:v>
                </c:pt>
                <c:pt idx="4995">
                  <c:v>15.2064</c:v>
                </c:pt>
                <c:pt idx="4996">
                  <c:v>15.193199999999999</c:v>
                </c:pt>
                <c:pt idx="4997">
                  <c:v>15.1866</c:v>
                </c:pt>
                <c:pt idx="4998">
                  <c:v>15.1602</c:v>
                </c:pt>
                <c:pt idx="4999">
                  <c:v>14.904500000000001</c:v>
                </c:pt>
                <c:pt idx="5000">
                  <c:v>14.898</c:v>
                </c:pt>
                <c:pt idx="5001">
                  <c:v>14.878500000000001</c:v>
                </c:pt>
                <c:pt idx="5002">
                  <c:v>14.878500000000001</c:v>
                </c:pt>
                <c:pt idx="5003">
                  <c:v>15.153600000000001</c:v>
                </c:pt>
                <c:pt idx="5004">
                  <c:v>14.981999999999999</c:v>
                </c:pt>
                <c:pt idx="5005">
                  <c:v>14.882999999999999</c:v>
                </c:pt>
                <c:pt idx="5006">
                  <c:v>14.9985</c:v>
                </c:pt>
                <c:pt idx="5007">
                  <c:v>14.985168</c:v>
                </c:pt>
                <c:pt idx="5008">
                  <c:v>15.025164</c:v>
                </c:pt>
                <c:pt idx="5009">
                  <c:v>15.005165999999999</c:v>
                </c:pt>
                <c:pt idx="5010">
                  <c:v>14.9985</c:v>
                </c:pt>
                <c:pt idx="5011">
                  <c:v>14.991834000000001</c:v>
                </c:pt>
                <c:pt idx="5012">
                  <c:v>14.8566</c:v>
                </c:pt>
                <c:pt idx="5013">
                  <c:v>14.8698</c:v>
                </c:pt>
                <c:pt idx="5014">
                  <c:v>14.965170000000001</c:v>
                </c:pt>
                <c:pt idx="5015">
                  <c:v>14.9094</c:v>
                </c:pt>
                <c:pt idx="5016">
                  <c:v>14.9358</c:v>
                </c:pt>
                <c:pt idx="5017">
                  <c:v>14.882999999999999</c:v>
                </c:pt>
                <c:pt idx="5018">
                  <c:v>15.038496</c:v>
                </c:pt>
                <c:pt idx="5019">
                  <c:v>14.865500000000001</c:v>
                </c:pt>
                <c:pt idx="5020">
                  <c:v>14.891500000000001</c:v>
                </c:pt>
                <c:pt idx="5021">
                  <c:v>14.923999999999999</c:v>
                </c:pt>
                <c:pt idx="5022">
                  <c:v>15.1668</c:v>
                </c:pt>
                <c:pt idx="5023">
                  <c:v>15.18</c:v>
                </c:pt>
                <c:pt idx="5024">
                  <c:v>14.9435</c:v>
                </c:pt>
                <c:pt idx="5025">
                  <c:v>14.9175</c:v>
                </c:pt>
                <c:pt idx="5026">
                  <c:v>14.904500000000001</c:v>
                </c:pt>
                <c:pt idx="5027">
                  <c:v>14.865500000000001</c:v>
                </c:pt>
                <c:pt idx="5028">
                  <c:v>14.878500000000001</c:v>
                </c:pt>
                <c:pt idx="5029">
                  <c:v>15.133800000000001</c:v>
                </c:pt>
                <c:pt idx="5030">
                  <c:v>15.1206</c:v>
                </c:pt>
                <c:pt idx="5031">
                  <c:v>14.872</c:v>
                </c:pt>
                <c:pt idx="5032">
                  <c:v>15.153600000000001</c:v>
                </c:pt>
                <c:pt idx="5033">
                  <c:v>15.18</c:v>
                </c:pt>
                <c:pt idx="5034">
                  <c:v>15.2196</c:v>
                </c:pt>
                <c:pt idx="5035">
                  <c:v>15.2064</c:v>
                </c:pt>
                <c:pt idx="5036">
                  <c:v>15.193199999999999</c:v>
                </c:pt>
                <c:pt idx="5037">
                  <c:v>14.898</c:v>
                </c:pt>
                <c:pt idx="5038">
                  <c:v>15.1206</c:v>
                </c:pt>
                <c:pt idx="5039">
                  <c:v>15.1404</c:v>
                </c:pt>
                <c:pt idx="5040">
                  <c:v>15.173400000000001</c:v>
                </c:pt>
                <c:pt idx="5041">
                  <c:v>15.2262</c:v>
                </c:pt>
                <c:pt idx="5042">
                  <c:v>15.080472</c:v>
                </c:pt>
                <c:pt idx="5043">
                  <c:v>15.2064</c:v>
                </c:pt>
                <c:pt idx="5044">
                  <c:v>15.2394</c:v>
                </c:pt>
                <c:pt idx="5045">
                  <c:v>15.1866</c:v>
                </c:pt>
                <c:pt idx="5046">
                  <c:v>14.911</c:v>
                </c:pt>
                <c:pt idx="5047">
                  <c:v>14.923999999999999</c:v>
                </c:pt>
                <c:pt idx="5048">
                  <c:v>14.923999999999999</c:v>
                </c:pt>
                <c:pt idx="5049">
                  <c:v>14.9305</c:v>
                </c:pt>
                <c:pt idx="5050">
                  <c:v>14.911</c:v>
                </c:pt>
                <c:pt idx="5051">
                  <c:v>14.911</c:v>
                </c:pt>
                <c:pt idx="5052">
                  <c:v>14.911</c:v>
                </c:pt>
                <c:pt idx="5053">
                  <c:v>14.936999999999999</c:v>
                </c:pt>
                <c:pt idx="5054">
                  <c:v>14.911</c:v>
                </c:pt>
                <c:pt idx="5055">
                  <c:v>15.147</c:v>
                </c:pt>
                <c:pt idx="5056">
                  <c:v>15.18</c:v>
                </c:pt>
                <c:pt idx="5057">
                  <c:v>15.212999999999999</c:v>
                </c:pt>
                <c:pt idx="5058">
                  <c:v>15.1866</c:v>
                </c:pt>
                <c:pt idx="5059">
                  <c:v>15.153600000000001</c:v>
                </c:pt>
                <c:pt idx="5060">
                  <c:v>15.1668</c:v>
                </c:pt>
                <c:pt idx="5061">
                  <c:v>15.153600000000001</c:v>
                </c:pt>
                <c:pt idx="5062">
                  <c:v>15.1668</c:v>
                </c:pt>
                <c:pt idx="5063">
                  <c:v>15.2196</c:v>
                </c:pt>
                <c:pt idx="5064">
                  <c:v>15.2196</c:v>
                </c:pt>
                <c:pt idx="5065">
                  <c:v>15.1998</c:v>
                </c:pt>
                <c:pt idx="5066">
                  <c:v>15.1998</c:v>
                </c:pt>
                <c:pt idx="5067">
                  <c:v>15.2262</c:v>
                </c:pt>
                <c:pt idx="5068">
                  <c:v>15.232799999999999</c:v>
                </c:pt>
                <c:pt idx="5069">
                  <c:v>15.2196</c:v>
                </c:pt>
                <c:pt idx="5070">
                  <c:v>15.047802000000001</c:v>
                </c:pt>
                <c:pt idx="5071">
                  <c:v>15.246</c:v>
                </c:pt>
                <c:pt idx="5072">
                  <c:v>15.087006000000001</c:v>
                </c:pt>
                <c:pt idx="5073">
                  <c:v>15.073938</c:v>
                </c:pt>
                <c:pt idx="5074">
                  <c:v>15.18</c:v>
                </c:pt>
                <c:pt idx="5075">
                  <c:v>15.133800000000001</c:v>
                </c:pt>
                <c:pt idx="5076">
                  <c:v>14.885</c:v>
                </c:pt>
                <c:pt idx="5077">
                  <c:v>15.1008</c:v>
                </c:pt>
                <c:pt idx="5078">
                  <c:v>14.846</c:v>
                </c:pt>
                <c:pt idx="5079">
                  <c:v>15.0876</c:v>
                </c:pt>
                <c:pt idx="5080">
                  <c:v>15.1272</c:v>
                </c:pt>
                <c:pt idx="5081">
                  <c:v>15.1602</c:v>
                </c:pt>
                <c:pt idx="5082">
                  <c:v>15.153600000000001</c:v>
                </c:pt>
                <c:pt idx="5083">
                  <c:v>15.015131999999999</c:v>
                </c:pt>
                <c:pt idx="5084">
                  <c:v>15.021666</c:v>
                </c:pt>
                <c:pt idx="5085">
                  <c:v>15.06087</c:v>
                </c:pt>
                <c:pt idx="5086">
                  <c:v>15.1866</c:v>
                </c:pt>
                <c:pt idx="5087">
                  <c:v>15.080472</c:v>
                </c:pt>
                <c:pt idx="5088">
                  <c:v>15.087006000000001</c:v>
                </c:pt>
                <c:pt idx="5089">
                  <c:v>15.047802000000001</c:v>
                </c:pt>
                <c:pt idx="5090">
                  <c:v>15.0282</c:v>
                </c:pt>
                <c:pt idx="5091">
                  <c:v>15.054335999999999</c:v>
                </c:pt>
                <c:pt idx="5092">
                  <c:v>15.047802000000001</c:v>
                </c:pt>
                <c:pt idx="5093">
                  <c:v>15.034734</c:v>
                </c:pt>
                <c:pt idx="5094">
                  <c:v>15.18</c:v>
                </c:pt>
                <c:pt idx="5095">
                  <c:v>15.021666</c:v>
                </c:pt>
                <c:pt idx="5096">
                  <c:v>15.034734</c:v>
                </c:pt>
                <c:pt idx="5097">
                  <c:v>15.093540000000001</c:v>
                </c:pt>
                <c:pt idx="5098">
                  <c:v>15.093540000000001</c:v>
                </c:pt>
                <c:pt idx="5099">
                  <c:v>15.047802000000001</c:v>
                </c:pt>
                <c:pt idx="5100">
                  <c:v>15.1866</c:v>
                </c:pt>
                <c:pt idx="5101">
                  <c:v>15.047802000000001</c:v>
                </c:pt>
                <c:pt idx="5102">
                  <c:v>15.067404</c:v>
                </c:pt>
                <c:pt idx="5103">
                  <c:v>15.047802000000001</c:v>
                </c:pt>
                <c:pt idx="5104">
                  <c:v>15.1998</c:v>
                </c:pt>
                <c:pt idx="5105">
                  <c:v>15.06087</c:v>
                </c:pt>
                <c:pt idx="5106">
                  <c:v>15.18</c:v>
                </c:pt>
                <c:pt idx="5107">
                  <c:v>15.1866</c:v>
                </c:pt>
                <c:pt idx="5108">
                  <c:v>15.1602</c:v>
                </c:pt>
                <c:pt idx="5109">
                  <c:v>15.1866</c:v>
                </c:pt>
                <c:pt idx="5110">
                  <c:v>15.1668</c:v>
                </c:pt>
                <c:pt idx="5111">
                  <c:v>15.18</c:v>
                </c:pt>
                <c:pt idx="5112">
                  <c:v>15.18</c:v>
                </c:pt>
                <c:pt idx="5113">
                  <c:v>15.193199999999999</c:v>
                </c:pt>
                <c:pt idx="5114">
                  <c:v>15.2262</c:v>
                </c:pt>
                <c:pt idx="5115">
                  <c:v>15.232799999999999</c:v>
                </c:pt>
                <c:pt idx="5116">
                  <c:v>15.212999999999999</c:v>
                </c:pt>
                <c:pt idx="5117">
                  <c:v>15.1866</c:v>
                </c:pt>
                <c:pt idx="5118">
                  <c:v>15.173400000000001</c:v>
                </c:pt>
                <c:pt idx="5119">
                  <c:v>15.1272</c:v>
                </c:pt>
                <c:pt idx="5120">
                  <c:v>15.133800000000001</c:v>
                </c:pt>
                <c:pt idx="5121">
                  <c:v>15.2064</c:v>
                </c:pt>
                <c:pt idx="5122">
                  <c:v>15.2262</c:v>
                </c:pt>
                <c:pt idx="5123">
                  <c:v>15.2394</c:v>
                </c:pt>
                <c:pt idx="5124">
                  <c:v>15.285600000000001</c:v>
                </c:pt>
                <c:pt idx="5125">
                  <c:v>15.279</c:v>
                </c:pt>
                <c:pt idx="5126">
                  <c:v>15.272399999999999</c:v>
                </c:pt>
                <c:pt idx="5127">
                  <c:v>15.2592</c:v>
                </c:pt>
                <c:pt idx="5128">
                  <c:v>15.252599999999999</c:v>
                </c:pt>
                <c:pt idx="5129">
                  <c:v>15.246</c:v>
                </c:pt>
                <c:pt idx="5130">
                  <c:v>15.2394</c:v>
                </c:pt>
                <c:pt idx="5131">
                  <c:v>15.2394</c:v>
                </c:pt>
                <c:pt idx="5132">
                  <c:v>15.272399999999999</c:v>
                </c:pt>
                <c:pt idx="5133">
                  <c:v>15.405125999999999</c:v>
                </c:pt>
                <c:pt idx="5134">
                  <c:v>15.358464</c:v>
                </c:pt>
                <c:pt idx="5135">
                  <c:v>15.2262</c:v>
                </c:pt>
                <c:pt idx="5136">
                  <c:v>15.212999999999999</c:v>
                </c:pt>
                <c:pt idx="5137">
                  <c:v>15.193199999999999</c:v>
                </c:pt>
                <c:pt idx="5138">
                  <c:v>15.2196</c:v>
                </c:pt>
                <c:pt idx="5139">
                  <c:v>15.212999999999999</c:v>
                </c:pt>
                <c:pt idx="5140">
                  <c:v>15.173400000000001</c:v>
                </c:pt>
                <c:pt idx="5141">
                  <c:v>15.1668</c:v>
                </c:pt>
                <c:pt idx="5142">
                  <c:v>15.18</c:v>
                </c:pt>
                <c:pt idx="5143">
                  <c:v>15.2196</c:v>
                </c:pt>
                <c:pt idx="5144">
                  <c:v>15.2064</c:v>
                </c:pt>
                <c:pt idx="5145">
                  <c:v>15.1668</c:v>
                </c:pt>
                <c:pt idx="5146">
                  <c:v>15.153600000000001</c:v>
                </c:pt>
                <c:pt idx="5147">
                  <c:v>15.173400000000001</c:v>
                </c:pt>
                <c:pt idx="5148">
                  <c:v>15.193199999999999</c:v>
                </c:pt>
                <c:pt idx="5149">
                  <c:v>15.1998</c:v>
                </c:pt>
                <c:pt idx="5150">
                  <c:v>15.212999999999999</c:v>
                </c:pt>
                <c:pt idx="5151">
                  <c:v>15.193199999999999</c:v>
                </c:pt>
                <c:pt idx="5152">
                  <c:v>15.193199999999999</c:v>
                </c:pt>
                <c:pt idx="5153">
                  <c:v>15.1866</c:v>
                </c:pt>
                <c:pt idx="5154">
                  <c:v>15.067404</c:v>
                </c:pt>
                <c:pt idx="5155">
                  <c:v>15.1998</c:v>
                </c:pt>
                <c:pt idx="5156">
                  <c:v>15.1668</c:v>
                </c:pt>
                <c:pt idx="5157">
                  <c:v>15.1272</c:v>
                </c:pt>
                <c:pt idx="5158">
                  <c:v>15.001025</c:v>
                </c:pt>
                <c:pt idx="5159">
                  <c:v>15.176069999999999</c:v>
                </c:pt>
                <c:pt idx="5160">
                  <c:v>15.066675</c:v>
                </c:pt>
                <c:pt idx="5161">
                  <c:v>15.21585</c:v>
                </c:pt>
                <c:pt idx="5162">
                  <c:v>15.132325</c:v>
                </c:pt>
                <c:pt idx="5163">
                  <c:v>15.112629999999999</c:v>
                </c:pt>
                <c:pt idx="5164">
                  <c:v>15.13889</c:v>
                </c:pt>
                <c:pt idx="5165">
                  <c:v>15.099500000000001</c:v>
                </c:pt>
                <c:pt idx="5166">
                  <c:v>15.053545</c:v>
                </c:pt>
                <c:pt idx="5167">
                  <c:v>15.092935000000001</c:v>
                </c:pt>
                <c:pt idx="5168">
                  <c:v>15.132325</c:v>
                </c:pt>
                <c:pt idx="5169">
                  <c:v>15.132325</c:v>
                </c:pt>
                <c:pt idx="5170">
                  <c:v>15.268890000000001</c:v>
                </c:pt>
                <c:pt idx="5171">
                  <c:v>15.242369999999999</c:v>
                </c:pt>
                <c:pt idx="5172">
                  <c:v>15.22911</c:v>
                </c:pt>
                <c:pt idx="5173">
                  <c:v>15.249000000000001</c:v>
                </c:pt>
                <c:pt idx="5174">
                  <c:v>15.22911</c:v>
                </c:pt>
                <c:pt idx="5175">
                  <c:v>15.23574</c:v>
                </c:pt>
                <c:pt idx="5176">
                  <c:v>15.25563</c:v>
                </c:pt>
                <c:pt idx="5177">
                  <c:v>15.29541</c:v>
                </c:pt>
                <c:pt idx="5178">
                  <c:v>15.32193</c:v>
                </c:pt>
                <c:pt idx="5179">
                  <c:v>15.335190000000001</c:v>
                </c:pt>
                <c:pt idx="5180">
                  <c:v>15.32193</c:v>
                </c:pt>
                <c:pt idx="5181">
                  <c:v>15.308669999999999</c:v>
                </c:pt>
                <c:pt idx="5182">
                  <c:v>15.34182</c:v>
                </c:pt>
                <c:pt idx="5183">
                  <c:v>15.32856</c:v>
                </c:pt>
                <c:pt idx="5184">
                  <c:v>15.145455</c:v>
                </c:pt>
                <c:pt idx="5185">
                  <c:v>15.29541</c:v>
                </c:pt>
                <c:pt idx="5186">
                  <c:v>15.197975</c:v>
                </c:pt>
                <c:pt idx="5187">
                  <c:v>15.171715000000001</c:v>
                </c:pt>
                <c:pt idx="5188">
                  <c:v>15.242369999999999</c:v>
                </c:pt>
                <c:pt idx="5189">
                  <c:v>15.28215</c:v>
                </c:pt>
                <c:pt idx="5190">
                  <c:v>15.355079999999999</c:v>
                </c:pt>
                <c:pt idx="5191">
                  <c:v>15.20454</c:v>
                </c:pt>
                <c:pt idx="5192">
                  <c:v>15.268890000000001</c:v>
                </c:pt>
                <c:pt idx="5193">
                  <c:v>15.34182</c:v>
                </c:pt>
                <c:pt idx="5194">
                  <c:v>15.184844999999999</c:v>
                </c:pt>
                <c:pt idx="5195">
                  <c:v>138.89829499999999</c:v>
                </c:pt>
                <c:pt idx="5196">
                  <c:v>171.40346400000001</c:v>
                </c:pt>
                <c:pt idx="5197">
                  <c:v>174.230784</c:v>
                </c:pt>
                <c:pt idx="5198">
                  <c:v>172.28356600000001</c:v>
                </c:pt>
                <c:pt idx="5199">
                  <c:v>183.61727999999999</c:v>
                </c:pt>
                <c:pt idx="5200">
                  <c:v>180.12643199999999</c:v>
                </c:pt>
                <c:pt idx="5201">
                  <c:v>166.48167900000001</c:v>
                </c:pt>
                <c:pt idx="5202">
                  <c:v>165.36419900000001</c:v>
                </c:pt>
                <c:pt idx="5203">
                  <c:v>177.304608</c:v>
                </c:pt>
                <c:pt idx="5204">
                  <c:v>166.82065399999999</c:v>
                </c:pt>
                <c:pt idx="5205">
                  <c:v>165.25782000000001</c:v>
                </c:pt>
                <c:pt idx="5206">
                  <c:v>182.36920799999999</c:v>
                </c:pt>
                <c:pt idx="5207">
                  <c:v>191.00754800000001</c:v>
                </c:pt>
                <c:pt idx="5208">
                  <c:v>196.65956700000001</c:v>
                </c:pt>
                <c:pt idx="5209">
                  <c:v>198.33105599999999</c:v>
                </c:pt>
                <c:pt idx="5210">
                  <c:v>198.373929</c:v>
                </c:pt>
                <c:pt idx="5211">
                  <c:v>198.07326</c:v>
                </c:pt>
                <c:pt idx="5212">
                  <c:v>197.04468</c:v>
                </c:pt>
                <c:pt idx="5213">
                  <c:v>193.27479600000001</c:v>
                </c:pt>
                <c:pt idx="5214">
                  <c:v>197.55766800000001</c:v>
                </c:pt>
                <c:pt idx="5215">
                  <c:v>200.860005</c:v>
                </c:pt>
                <c:pt idx="5216">
                  <c:v>200.39063400000001</c:v>
                </c:pt>
                <c:pt idx="5217">
                  <c:v>173.918927</c:v>
                </c:pt>
                <c:pt idx="5218">
                  <c:v>161.25857999999999</c:v>
                </c:pt>
                <c:pt idx="5219">
                  <c:v>160.49232000000001</c:v>
                </c:pt>
                <c:pt idx="5220">
                  <c:v>161.49879200000001</c:v>
                </c:pt>
                <c:pt idx="5221">
                  <c:v>160.87125599999999</c:v>
                </c:pt>
                <c:pt idx="5222">
                  <c:v>163.09238400000001</c:v>
                </c:pt>
                <c:pt idx="5223">
                  <c:v>161.3612</c:v>
                </c:pt>
                <c:pt idx="5224">
                  <c:v>160.94933399999999</c:v>
                </c:pt>
                <c:pt idx="5225">
                  <c:v>160.67251200000001</c:v>
                </c:pt>
                <c:pt idx="5226">
                  <c:v>161.92248799999999</c:v>
                </c:pt>
                <c:pt idx="5227">
                  <c:v>162.94969599999999</c:v>
                </c:pt>
                <c:pt idx="5228">
                  <c:v>162.88981799999999</c:v>
                </c:pt>
                <c:pt idx="5229">
                  <c:v>161.239936</c:v>
                </c:pt>
                <c:pt idx="5230">
                  <c:v>159.69543999999999</c:v>
                </c:pt>
                <c:pt idx="5231">
                  <c:v>160.03197599999999</c:v>
                </c:pt>
                <c:pt idx="5232">
                  <c:v>160.01707200000001</c:v>
                </c:pt>
                <c:pt idx="5233">
                  <c:v>155.40361200000001</c:v>
                </c:pt>
                <c:pt idx="5234">
                  <c:v>158.649216</c:v>
                </c:pt>
                <c:pt idx="5235">
                  <c:v>156.55437599999999</c:v>
                </c:pt>
                <c:pt idx="5236">
                  <c:v>157.647704</c:v>
                </c:pt>
                <c:pt idx="5237">
                  <c:v>156.38095200000001</c:v>
                </c:pt>
                <c:pt idx="5238">
                  <c:v>158.67009999999999</c:v>
                </c:pt>
                <c:pt idx="5239">
                  <c:v>156.57636400000001</c:v>
                </c:pt>
                <c:pt idx="5240">
                  <c:v>155.49588600000001</c:v>
                </c:pt>
                <c:pt idx="5241">
                  <c:v>155.61418599999999</c:v>
                </c:pt>
                <c:pt idx="5242">
                  <c:v>155.21870000000001</c:v>
                </c:pt>
                <c:pt idx="5243">
                  <c:v>159.693692</c:v>
                </c:pt>
                <c:pt idx="5244">
                  <c:v>180.732573</c:v>
                </c:pt>
                <c:pt idx="5245">
                  <c:v>180.03823499999999</c:v>
                </c:pt>
                <c:pt idx="5246">
                  <c:v>179.63396399999999</c:v>
                </c:pt>
                <c:pt idx="5247">
                  <c:v>175.23013499999999</c:v>
                </c:pt>
                <c:pt idx="5248">
                  <c:v>153.98583199999999</c:v>
                </c:pt>
                <c:pt idx="5249">
                  <c:v>155.38068000000001</c:v>
                </c:pt>
                <c:pt idx="5250">
                  <c:v>153.37504000000001</c:v>
                </c:pt>
                <c:pt idx="5251">
                  <c:v>157.54056499999999</c:v>
                </c:pt>
                <c:pt idx="5252">
                  <c:v>158.99394000000001</c:v>
                </c:pt>
                <c:pt idx="5253">
                  <c:v>153.17411200000001</c:v>
                </c:pt>
                <c:pt idx="5254">
                  <c:v>157.52368799999999</c:v>
                </c:pt>
                <c:pt idx="5255">
                  <c:v>154.47796</c:v>
                </c:pt>
                <c:pt idx="5256">
                  <c:v>154.32908399999999</c:v>
                </c:pt>
                <c:pt idx="5257">
                  <c:v>155.59471199999999</c:v>
                </c:pt>
                <c:pt idx="5258">
                  <c:v>154.56331800000001</c:v>
                </c:pt>
                <c:pt idx="5259">
                  <c:v>154.67998</c:v>
                </c:pt>
                <c:pt idx="5260">
                  <c:v>153.96926999999999</c:v>
                </c:pt>
                <c:pt idx="5261">
                  <c:v>155.01264</c:v>
                </c:pt>
                <c:pt idx="5262">
                  <c:v>158.30072000000001</c:v>
                </c:pt>
                <c:pt idx="5263">
                  <c:v>156.768</c:v>
                </c:pt>
                <c:pt idx="5264">
                  <c:v>158.64204000000001</c:v>
                </c:pt>
                <c:pt idx="5265">
                  <c:v>162.36666</c:v>
                </c:pt>
                <c:pt idx="5266">
                  <c:v>154.827946</c:v>
                </c:pt>
                <c:pt idx="5267">
                  <c:v>154.07391999999999</c:v>
                </c:pt>
                <c:pt idx="5268">
                  <c:v>158.226384</c:v>
                </c:pt>
                <c:pt idx="5269">
                  <c:v>156.96561600000001</c:v>
                </c:pt>
                <c:pt idx="5270">
                  <c:v>155.802368</c:v>
                </c:pt>
                <c:pt idx="5271">
                  <c:v>158.53992</c:v>
                </c:pt>
                <c:pt idx="5272">
                  <c:v>177.94155000000001</c:v>
                </c:pt>
                <c:pt idx="5273">
                  <c:v>178.22296800000001</c:v>
                </c:pt>
                <c:pt idx="5274">
                  <c:v>178.38767100000001</c:v>
                </c:pt>
                <c:pt idx="5275">
                  <c:v>180.36842200000001</c:v>
                </c:pt>
                <c:pt idx="5276">
                  <c:v>178.633284</c:v>
                </c:pt>
                <c:pt idx="5277">
                  <c:v>179.98424399999999</c:v>
                </c:pt>
                <c:pt idx="5278">
                  <c:v>178.02478500000001</c:v>
                </c:pt>
                <c:pt idx="5279">
                  <c:v>178.93051199999999</c:v>
                </c:pt>
                <c:pt idx="5280">
                  <c:v>178.17869999999999</c:v>
                </c:pt>
                <c:pt idx="5281">
                  <c:v>178.17869999999999</c:v>
                </c:pt>
                <c:pt idx="5282">
                  <c:v>178.50940800000001</c:v>
                </c:pt>
                <c:pt idx="5283">
                  <c:v>178.44774899999999</c:v>
                </c:pt>
                <c:pt idx="5284">
                  <c:v>178.623705</c:v>
                </c:pt>
                <c:pt idx="5285">
                  <c:v>178.54512</c:v>
                </c:pt>
                <c:pt idx="5286">
                  <c:v>179.440338</c:v>
                </c:pt>
                <c:pt idx="5287">
                  <c:v>178.70229</c:v>
                </c:pt>
                <c:pt idx="5288">
                  <c:v>179.39030399999999</c:v>
                </c:pt>
                <c:pt idx="5289">
                  <c:v>179.06778</c:v>
                </c:pt>
                <c:pt idx="5290">
                  <c:v>178.43165999999999</c:v>
                </c:pt>
                <c:pt idx="5291">
                  <c:v>178.71995999999999</c:v>
                </c:pt>
                <c:pt idx="5292">
                  <c:v>178.77892199999999</c:v>
                </c:pt>
                <c:pt idx="5293">
                  <c:v>178.82923500000001</c:v>
                </c:pt>
                <c:pt idx="5294">
                  <c:v>178.45053899999999</c:v>
                </c:pt>
                <c:pt idx="5295">
                  <c:v>178.30108799999999</c:v>
                </c:pt>
                <c:pt idx="5296">
                  <c:v>178.40264400000001</c:v>
                </c:pt>
                <c:pt idx="5297">
                  <c:v>178.19543999999999</c:v>
                </c:pt>
                <c:pt idx="5298">
                  <c:v>178.10020800000001</c:v>
                </c:pt>
                <c:pt idx="5299">
                  <c:v>179.436432</c:v>
                </c:pt>
                <c:pt idx="5300">
                  <c:v>178.81110000000001</c:v>
                </c:pt>
                <c:pt idx="5301">
                  <c:v>179.074476</c:v>
                </c:pt>
                <c:pt idx="5302">
                  <c:v>179.15343300000001</c:v>
                </c:pt>
                <c:pt idx="5303">
                  <c:v>178.331592</c:v>
                </c:pt>
                <c:pt idx="5304">
                  <c:v>178.06812300000001</c:v>
                </c:pt>
                <c:pt idx="5305">
                  <c:v>178.15377599999999</c:v>
                </c:pt>
                <c:pt idx="5306">
                  <c:v>167.638824</c:v>
                </c:pt>
                <c:pt idx="5307">
                  <c:v>154.48253600000001</c:v>
                </c:pt>
                <c:pt idx="5308">
                  <c:v>157.03296</c:v>
                </c:pt>
                <c:pt idx="5309">
                  <c:v>156.82264799999999</c:v>
                </c:pt>
                <c:pt idx="5310">
                  <c:v>155.71184</c:v>
                </c:pt>
                <c:pt idx="5311">
                  <c:v>154.06227999999999</c:v>
                </c:pt>
                <c:pt idx="5312">
                  <c:v>156.84822399999999</c:v>
                </c:pt>
                <c:pt idx="5313">
                  <c:v>164.19931199999999</c:v>
                </c:pt>
                <c:pt idx="5314">
                  <c:v>162.40005600000001</c:v>
                </c:pt>
                <c:pt idx="5315">
                  <c:v>155.49665200000001</c:v>
                </c:pt>
                <c:pt idx="5316">
                  <c:v>154.40958000000001</c:v>
                </c:pt>
                <c:pt idx="5317">
                  <c:v>152.19977499999999</c:v>
                </c:pt>
                <c:pt idx="5318">
                  <c:v>154.905023</c:v>
                </c:pt>
                <c:pt idx="5319">
                  <c:v>157.986816</c:v>
                </c:pt>
                <c:pt idx="5320">
                  <c:v>153.96981600000001</c:v>
                </c:pt>
                <c:pt idx="5321">
                  <c:v>154.72493399999999</c:v>
                </c:pt>
                <c:pt idx="5322">
                  <c:v>153.46786</c:v>
                </c:pt>
                <c:pt idx="5323">
                  <c:v>152.22352599999999</c:v>
                </c:pt>
                <c:pt idx="5324">
                  <c:v>153.08293</c:v>
                </c:pt>
                <c:pt idx="5325">
                  <c:v>155.30207200000001</c:v>
                </c:pt>
                <c:pt idx="5326">
                  <c:v>153.23851199999999</c:v>
                </c:pt>
                <c:pt idx="5327">
                  <c:v>152.88707199999999</c:v>
                </c:pt>
                <c:pt idx="5328">
                  <c:v>154.82633999999999</c:v>
                </c:pt>
                <c:pt idx="5329">
                  <c:v>154.892304</c:v>
                </c:pt>
                <c:pt idx="5330">
                  <c:v>153.389208</c:v>
                </c:pt>
                <c:pt idx="5331">
                  <c:v>154.94272000000001</c:v>
                </c:pt>
                <c:pt idx="5332">
                  <c:v>155.65075200000001</c:v>
                </c:pt>
                <c:pt idx="5333">
                  <c:v>151.792641</c:v>
                </c:pt>
                <c:pt idx="5334">
                  <c:v>151.994024</c:v>
                </c:pt>
                <c:pt idx="5335">
                  <c:v>153.52334400000001</c:v>
                </c:pt>
                <c:pt idx="5336">
                  <c:v>153.461152</c:v>
                </c:pt>
                <c:pt idx="5337">
                  <c:v>153.45599999999999</c:v>
                </c:pt>
                <c:pt idx="5338">
                  <c:v>156.20864</c:v>
                </c:pt>
                <c:pt idx="5339">
                  <c:v>155.94</c:v>
                </c:pt>
                <c:pt idx="5340">
                  <c:v>155.52462</c:v>
                </c:pt>
                <c:pt idx="5341">
                  <c:v>153.18579600000001</c:v>
                </c:pt>
                <c:pt idx="5342">
                  <c:v>153.73052799999999</c:v>
                </c:pt>
                <c:pt idx="5343">
                  <c:v>152.318985</c:v>
                </c:pt>
                <c:pt idx="5344">
                  <c:v>152.45776000000001</c:v>
                </c:pt>
                <c:pt idx="5345">
                  <c:v>154.65568300000001</c:v>
                </c:pt>
                <c:pt idx="5346">
                  <c:v>154.72093000000001</c:v>
                </c:pt>
                <c:pt idx="5347">
                  <c:v>156.35289599999999</c:v>
                </c:pt>
                <c:pt idx="5348">
                  <c:v>157.11851999999999</c:v>
                </c:pt>
                <c:pt idx="5349">
                  <c:v>156.423</c:v>
                </c:pt>
                <c:pt idx="5350">
                  <c:v>156.49338</c:v>
                </c:pt>
                <c:pt idx="5351">
                  <c:v>155.94064399999999</c:v>
                </c:pt>
                <c:pt idx="5352">
                  <c:v>155.938804</c:v>
                </c:pt>
                <c:pt idx="5353">
                  <c:v>158.43973199999999</c:v>
                </c:pt>
                <c:pt idx="5354">
                  <c:v>169.771096</c:v>
                </c:pt>
                <c:pt idx="5355">
                  <c:v>174.81414599999999</c:v>
                </c:pt>
                <c:pt idx="5356">
                  <c:v>157.92949999999999</c:v>
                </c:pt>
                <c:pt idx="5357">
                  <c:v>153.62840800000001</c:v>
                </c:pt>
                <c:pt idx="5358">
                  <c:v>153.691428</c:v>
                </c:pt>
                <c:pt idx="5359">
                  <c:v>153.25626800000001</c:v>
                </c:pt>
                <c:pt idx="5360">
                  <c:v>153.28644399999999</c:v>
                </c:pt>
                <c:pt idx="5361">
                  <c:v>153.36215999999999</c:v>
                </c:pt>
                <c:pt idx="5362">
                  <c:v>154.75319999999999</c:v>
                </c:pt>
                <c:pt idx="5363">
                  <c:v>180.53639999999999</c:v>
                </c:pt>
                <c:pt idx="5364">
                  <c:v>181.17005399999999</c:v>
                </c:pt>
                <c:pt idx="5365">
                  <c:v>180.93449000000001</c:v>
                </c:pt>
                <c:pt idx="5366">
                  <c:v>179.62159199999999</c:v>
                </c:pt>
                <c:pt idx="5367">
                  <c:v>158.74462</c:v>
                </c:pt>
                <c:pt idx="5368">
                  <c:v>153.62840800000001</c:v>
                </c:pt>
                <c:pt idx="5369">
                  <c:v>153.558672</c:v>
                </c:pt>
                <c:pt idx="5370">
                  <c:v>154.90638000000001</c:v>
                </c:pt>
                <c:pt idx="5371">
                  <c:v>154.73884799999999</c:v>
                </c:pt>
                <c:pt idx="5372">
                  <c:v>153.522424</c:v>
                </c:pt>
                <c:pt idx="5373">
                  <c:v>153.56502</c:v>
                </c:pt>
                <c:pt idx="5374">
                  <c:v>159.22403199999999</c:v>
                </c:pt>
                <c:pt idx="5375">
                  <c:v>164.84510399999999</c:v>
                </c:pt>
                <c:pt idx="5376">
                  <c:v>164.19261599999999</c:v>
                </c:pt>
                <c:pt idx="5377">
                  <c:v>164.7123</c:v>
                </c:pt>
                <c:pt idx="5378">
                  <c:v>164.07692399999999</c:v>
                </c:pt>
                <c:pt idx="5379">
                  <c:v>163.75067999999999</c:v>
                </c:pt>
                <c:pt idx="5380">
                  <c:v>164.71564799999999</c:v>
                </c:pt>
                <c:pt idx="5381">
                  <c:v>167.56963200000001</c:v>
                </c:pt>
                <c:pt idx="5382">
                  <c:v>154.40544</c:v>
                </c:pt>
                <c:pt idx="5383">
                  <c:v>153.10787199999999</c:v>
                </c:pt>
                <c:pt idx="5384">
                  <c:v>153.03703200000001</c:v>
                </c:pt>
                <c:pt idx="5385">
                  <c:v>158.11902000000001</c:v>
                </c:pt>
                <c:pt idx="5386">
                  <c:v>158.01975200000001</c:v>
                </c:pt>
                <c:pt idx="5387">
                  <c:v>157.90235999999999</c:v>
                </c:pt>
                <c:pt idx="5388">
                  <c:v>154.14599999999999</c:v>
                </c:pt>
                <c:pt idx="5389">
                  <c:v>154.69836799999999</c:v>
                </c:pt>
                <c:pt idx="5390">
                  <c:v>154.62624</c:v>
                </c:pt>
                <c:pt idx="5391">
                  <c:v>154.14784</c:v>
                </c:pt>
                <c:pt idx="5392">
                  <c:v>162.76376400000001</c:v>
                </c:pt>
                <c:pt idx="5393">
                  <c:v>164.20963499999999</c:v>
                </c:pt>
                <c:pt idx="5394">
                  <c:v>154.55705599999999</c:v>
                </c:pt>
                <c:pt idx="5395">
                  <c:v>154.73884799999999</c:v>
                </c:pt>
                <c:pt idx="5396">
                  <c:v>154.74896799999999</c:v>
                </c:pt>
                <c:pt idx="5397">
                  <c:v>155.45148</c:v>
                </c:pt>
                <c:pt idx="5398">
                  <c:v>155.04134400000001</c:v>
                </c:pt>
                <c:pt idx="5399">
                  <c:v>154.31344000000001</c:v>
                </c:pt>
                <c:pt idx="5400">
                  <c:v>154.69800000000001</c:v>
                </c:pt>
                <c:pt idx="5401">
                  <c:v>154.26146</c:v>
                </c:pt>
                <c:pt idx="5402">
                  <c:v>153.92106000000001</c:v>
                </c:pt>
                <c:pt idx="5403">
                  <c:v>153.94764799999999</c:v>
                </c:pt>
                <c:pt idx="5404">
                  <c:v>153.464832</c:v>
                </c:pt>
                <c:pt idx="5405">
                  <c:v>164.65185</c:v>
                </c:pt>
                <c:pt idx="5406">
                  <c:v>180.48846</c:v>
                </c:pt>
                <c:pt idx="5407">
                  <c:v>179.6951</c:v>
                </c:pt>
                <c:pt idx="5408">
                  <c:v>179.27961999999999</c:v>
                </c:pt>
                <c:pt idx="5409">
                  <c:v>179.81222399999999</c:v>
                </c:pt>
                <c:pt idx="5410">
                  <c:v>180.25721999999999</c:v>
                </c:pt>
                <c:pt idx="5411">
                  <c:v>181.64785599999999</c:v>
                </c:pt>
                <c:pt idx="5412">
                  <c:v>175.96669499999999</c:v>
                </c:pt>
                <c:pt idx="5413">
                  <c:v>164.47449900000001</c:v>
                </c:pt>
                <c:pt idx="5414">
                  <c:v>154.936556</c:v>
                </c:pt>
                <c:pt idx="5415">
                  <c:v>154.78963200000001</c:v>
                </c:pt>
                <c:pt idx="5416">
                  <c:v>154.48410000000001</c:v>
                </c:pt>
                <c:pt idx="5417">
                  <c:v>155.08256</c:v>
                </c:pt>
                <c:pt idx="5418">
                  <c:v>154.6336</c:v>
                </c:pt>
                <c:pt idx="5419">
                  <c:v>153.88839999999999</c:v>
                </c:pt>
                <c:pt idx="5420">
                  <c:v>153.97653600000001</c:v>
                </c:pt>
                <c:pt idx="5421">
                  <c:v>154.21868000000001</c:v>
                </c:pt>
                <c:pt idx="5422">
                  <c:v>180.84406200000001</c:v>
                </c:pt>
                <c:pt idx="5423">
                  <c:v>180.16810799999999</c:v>
                </c:pt>
                <c:pt idx="5424">
                  <c:v>179.51086000000001</c:v>
                </c:pt>
                <c:pt idx="5425">
                  <c:v>179.97465600000001</c:v>
                </c:pt>
                <c:pt idx="5426">
                  <c:v>166.35839999999999</c:v>
                </c:pt>
                <c:pt idx="5427">
                  <c:v>155.232336</c:v>
                </c:pt>
                <c:pt idx="5428">
                  <c:v>155.03968800000001</c:v>
                </c:pt>
                <c:pt idx="5429">
                  <c:v>155.38754</c:v>
                </c:pt>
                <c:pt idx="5430">
                  <c:v>154.103859</c:v>
                </c:pt>
                <c:pt idx="5431">
                  <c:v>154.03023999999999</c:v>
                </c:pt>
                <c:pt idx="5432">
                  <c:v>153.954801</c:v>
                </c:pt>
                <c:pt idx="5433">
                  <c:v>154.11177599999999</c:v>
                </c:pt>
                <c:pt idx="5434">
                  <c:v>154.67998</c:v>
                </c:pt>
                <c:pt idx="5435">
                  <c:v>154.58943500000001</c:v>
                </c:pt>
                <c:pt idx="5436">
                  <c:v>168.75302400000001</c:v>
                </c:pt>
                <c:pt idx="5437">
                  <c:v>176.027796</c:v>
                </c:pt>
                <c:pt idx="5438">
                  <c:v>155.006124</c:v>
                </c:pt>
                <c:pt idx="5439">
                  <c:v>154.303695</c:v>
                </c:pt>
                <c:pt idx="5440">
                  <c:v>154.403704</c:v>
                </c:pt>
                <c:pt idx="5441">
                  <c:v>154.43282400000001</c:v>
                </c:pt>
                <c:pt idx="5442">
                  <c:v>154.079835</c:v>
                </c:pt>
                <c:pt idx="5443">
                  <c:v>155.65986000000001</c:v>
                </c:pt>
                <c:pt idx="5444">
                  <c:v>155.36224000000001</c:v>
                </c:pt>
                <c:pt idx="5445">
                  <c:v>154.53515999999999</c:v>
                </c:pt>
                <c:pt idx="5446">
                  <c:v>153.07751200000001</c:v>
                </c:pt>
                <c:pt idx="5447">
                  <c:v>154.00358399999999</c:v>
                </c:pt>
                <c:pt idx="5448">
                  <c:v>153.09996000000001</c:v>
                </c:pt>
                <c:pt idx="5449">
                  <c:v>153.32628</c:v>
                </c:pt>
                <c:pt idx="5450">
                  <c:v>154.04056800000001</c:v>
                </c:pt>
                <c:pt idx="5451">
                  <c:v>165.17134799999999</c:v>
                </c:pt>
                <c:pt idx="5452">
                  <c:v>168.93683999999999</c:v>
                </c:pt>
                <c:pt idx="5453">
                  <c:v>158.569728</c:v>
                </c:pt>
                <c:pt idx="5454">
                  <c:v>162.11255600000001</c:v>
                </c:pt>
                <c:pt idx="5455">
                  <c:v>158.57718</c:v>
                </c:pt>
                <c:pt idx="5456">
                  <c:v>153.58342999999999</c:v>
                </c:pt>
                <c:pt idx="5457">
                  <c:v>156.56549999999999</c:v>
                </c:pt>
                <c:pt idx="5458">
                  <c:v>154.67269999999999</c:v>
                </c:pt>
                <c:pt idx="5459">
                  <c:v>158.83799999999999</c:v>
                </c:pt>
                <c:pt idx="5460">
                  <c:v>155.3006</c:v>
                </c:pt>
                <c:pt idx="5461">
                  <c:v>159.83297999999999</c:v>
                </c:pt>
                <c:pt idx="5462">
                  <c:v>174.449772</c:v>
                </c:pt>
                <c:pt idx="5463">
                  <c:v>180.60432599999999</c:v>
                </c:pt>
                <c:pt idx="5464">
                  <c:v>178.49080799999999</c:v>
                </c:pt>
                <c:pt idx="5465">
                  <c:v>157.73952</c:v>
                </c:pt>
                <c:pt idx="5466">
                  <c:v>156.49199999999999</c:v>
                </c:pt>
                <c:pt idx="5467">
                  <c:v>156.49006800000001</c:v>
                </c:pt>
                <c:pt idx="5468">
                  <c:v>153.13115999999999</c:v>
                </c:pt>
                <c:pt idx="5469">
                  <c:v>164.28467599999999</c:v>
                </c:pt>
                <c:pt idx="5470">
                  <c:v>171.572352</c:v>
                </c:pt>
                <c:pt idx="5471">
                  <c:v>171.30042</c:v>
                </c:pt>
                <c:pt idx="5472">
                  <c:v>171.491535</c:v>
                </c:pt>
                <c:pt idx="5473">
                  <c:v>168.97575599999999</c:v>
                </c:pt>
                <c:pt idx="5474">
                  <c:v>164.69637599999999</c:v>
                </c:pt>
                <c:pt idx="5475">
                  <c:v>155.03747999999999</c:v>
                </c:pt>
                <c:pt idx="5476">
                  <c:v>155.72600800000001</c:v>
                </c:pt>
                <c:pt idx="5477">
                  <c:v>154.57642200000001</c:v>
                </c:pt>
                <c:pt idx="5478">
                  <c:v>155.45644799999999</c:v>
                </c:pt>
                <c:pt idx="5479">
                  <c:v>156.88806</c:v>
                </c:pt>
                <c:pt idx="5480">
                  <c:v>160.00437600000001</c:v>
                </c:pt>
                <c:pt idx="5481">
                  <c:v>157.322484</c:v>
                </c:pt>
                <c:pt idx="5482">
                  <c:v>159.62680800000001</c:v>
                </c:pt>
                <c:pt idx="5483">
                  <c:v>171.58276799999999</c:v>
                </c:pt>
                <c:pt idx="5484">
                  <c:v>171.85432800000001</c:v>
                </c:pt>
                <c:pt idx="5485">
                  <c:v>171.692136</c:v>
                </c:pt>
                <c:pt idx="5486">
                  <c:v>171.523899</c:v>
                </c:pt>
                <c:pt idx="5487">
                  <c:v>170.48183399999999</c:v>
                </c:pt>
                <c:pt idx="5488">
                  <c:v>166.22475900000001</c:v>
                </c:pt>
                <c:pt idx="5489">
                  <c:v>160.18285599999999</c:v>
                </c:pt>
                <c:pt idx="5490">
                  <c:v>156.34811199999999</c:v>
                </c:pt>
                <c:pt idx="5491">
                  <c:v>163.97192699999999</c:v>
                </c:pt>
                <c:pt idx="5492">
                  <c:v>163.35543000000001</c:v>
                </c:pt>
                <c:pt idx="5493">
                  <c:v>173.560599</c:v>
                </c:pt>
                <c:pt idx="5494">
                  <c:v>175.783478</c:v>
                </c:pt>
                <c:pt idx="5495">
                  <c:v>156.11848000000001</c:v>
                </c:pt>
                <c:pt idx="5496">
                  <c:v>153.29499999999999</c:v>
                </c:pt>
                <c:pt idx="5497">
                  <c:v>153.72280000000001</c:v>
                </c:pt>
                <c:pt idx="5498">
                  <c:v>154.53515999999999</c:v>
                </c:pt>
                <c:pt idx="5499">
                  <c:v>155.24981600000001</c:v>
                </c:pt>
                <c:pt idx="5500">
                  <c:v>157.167924</c:v>
                </c:pt>
                <c:pt idx="5501">
                  <c:v>155.38192799999999</c:v>
                </c:pt>
                <c:pt idx="5502">
                  <c:v>155.27760000000001</c:v>
                </c:pt>
                <c:pt idx="5503">
                  <c:v>153.34081599999999</c:v>
                </c:pt>
                <c:pt idx="5504">
                  <c:v>157.61670000000001</c:v>
                </c:pt>
                <c:pt idx="5505">
                  <c:v>153.99696</c:v>
                </c:pt>
                <c:pt idx="5506">
                  <c:v>153.52361999999999</c:v>
                </c:pt>
                <c:pt idx="5507">
                  <c:v>153.590688</c:v>
                </c:pt>
                <c:pt idx="5508">
                  <c:v>154.61740800000001</c:v>
                </c:pt>
                <c:pt idx="5509">
                  <c:v>155.37355600000001</c:v>
                </c:pt>
                <c:pt idx="5510">
                  <c:v>153.68415999999999</c:v>
                </c:pt>
                <c:pt idx="5511">
                  <c:v>152.4348</c:v>
                </c:pt>
                <c:pt idx="5512">
                  <c:v>152.48264</c:v>
                </c:pt>
                <c:pt idx="5513">
                  <c:v>152.53158400000001</c:v>
                </c:pt>
                <c:pt idx="5514">
                  <c:v>153.45323999999999</c:v>
                </c:pt>
                <c:pt idx="5515">
                  <c:v>153.05672000000001</c:v>
                </c:pt>
                <c:pt idx="5516">
                  <c:v>153.20612800000001</c:v>
                </c:pt>
                <c:pt idx="5517">
                  <c:v>152.76130800000001</c:v>
                </c:pt>
                <c:pt idx="5518">
                  <c:v>152.886336</c:v>
                </c:pt>
                <c:pt idx="5519">
                  <c:v>153.56419199999999</c:v>
                </c:pt>
                <c:pt idx="5520">
                  <c:v>157.988012</c:v>
                </c:pt>
                <c:pt idx="5521">
                  <c:v>180.25186199999999</c:v>
                </c:pt>
                <c:pt idx="5522">
                  <c:v>178.71355199999999</c:v>
                </c:pt>
                <c:pt idx="5523">
                  <c:v>178.02848</c:v>
                </c:pt>
                <c:pt idx="5524">
                  <c:v>178.144758</c:v>
                </c:pt>
                <c:pt idx="5525">
                  <c:v>180.57400000000001</c:v>
                </c:pt>
                <c:pt idx="5526">
                  <c:v>180.913904</c:v>
                </c:pt>
                <c:pt idx="5527">
                  <c:v>181.09635800000001</c:v>
                </c:pt>
                <c:pt idx="5528">
                  <c:v>181.48768000000001</c:v>
                </c:pt>
                <c:pt idx="5529">
                  <c:v>181.4435</c:v>
                </c:pt>
                <c:pt idx="5530">
                  <c:v>181.17005399999999</c:v>
                </c:pt>
                <c:pt idx="5531">
                  <c:v>180.55407199999999</c:v>
                </c:pt>
                <c:pt idx="5532">
                  <c:v>180.762564</c:v>
                </c:pt>
                <c:pt idx="5533">
                  <c:v>179.95425800000001</c:v>
                </c:pt>
                <c:pt idx="5534">
                  <c:v>178.06890000000001</c:v>
                </c:pt>
                <c:pt idx="5535">
                  <c:v>180.40667999999999</c:v>
                </c:pt>
                <c:pt idx="5536">
                  <c:v>180.147052</c:v>
                </c:pt>
                <c:pt idx="5537">
                  <c:v>180.06564800000001</c:v>
                </c:pt>
                <c:pt idx="5538">
                  <c:v>179.97465600000001</c:v>
                </c:pt>
                <c:pt idx="5539">
                  <c:v>157.35091199999999</c:v>
                </c:pt>
                <c:pt idx="5540">
                  <c:v>153.42573200000001</c:v>
                </c:pt>
                <c:pt idx="5541">
                  <c:v>153.389208</c:v>
                </c:pt>
                <c:pt idx="5542">
                  <c:v>153.98288400000001</c:v>
                </c:pt>
                <c:pt idx="5543">
                  <c:v>153.70624000000001</c:v>
                </c:pt>
                <c:pt idx="5544">
                  <c:v>154.19181599999999</c:v>
                </c:pt>
                <c:pt idx="5545">
                  <c:v>153.98288400000001</c:v>
                </c:pt>
                <c:pt idx="5546">
                  <c:v>154.098896</c:v>
                </c:pt>
                <c:pt idx="5547">
                  <c:v>153.98812799999999</c:v>
                </c:pt>
                <c:pt idx="5548">
                  <c:v>153.11357599999999</c:v>
                </c:pt>
                <c:pt idx="5549">
                  <c:v>154.48253600000001</c:v>
                </c:pt>
                <c:pt idx="5550">
                  <c:v>155.1626</c:v>
                </c:pt>
                <c:pt idx="5551">
                  <c:v>154.26928000000001</c:v>
                </c:pt>
                <c:pt idx="5552">
                  <c:v>154.48713599999999</c:v>
                </c:pt>
                <c:pt idx="5553">
                  <c:v>153.73052799999999</c:v>
                </c:pt>
                <c:pt idx="5554">
                  <c:v>153.11707200000001</c:v>
                </c:pt>
                <c:pt idx="5555">
                  <c:v>153.25268</c:v>
                </c:pt>
                <c:pt idx="5556">
                  <c:v>153.17337599999999</c:v>
                </c:pt>
                <c:pt idx="5557">
                  <c:v>153.45231999999999</c:v>
                </c:pt>
                <c:pt idx="5558">
                  <c:v>153.45231999999999</c:v>
                </c:pt>
                <c:pt idx="5559">
                  <c:v>154.077</c:v>
                </c:pt>
                <c:pt idx="5560">
                  <c:v>153.046784</c:v>
                </c:pt>
                <c:pt idx="5561">
                  <c:v>153.11743999999999</c:v>
                </c:pt>
                <c:pt idx="5562">
                  <c:v>153.11817600000001</c:v>
                </c:pt>
                <c:pt idx="5563">
                  <c:v>157.65119999999999</c:v>
                </c:pt>
                <c:pt idx="5564">
                  <c:v>180.87103999999999</c:v>
                </c:pt>
                <c:pt idx="5565">
                  <c:v>177.80558400000001</c:v>
                </c:pt>
                <c:pt idx="5566">
                  <c:v>155.38800000000001</c:v>
                </c:pt>
                <c:pt idx="5567">
                  <c:v>156.33192</c:v>
                </c:pt>
                <c:pt idx="5568">
                  <c:v>155.723984</c:v>
                </c:pt>
                <c:pt idx="5569">
                  <c:v>155.44872000000001</c:v>
                </c:pt>
                <c:pt idx="5570">
                  <c:v>154.42282800000001</c:v>
                </c:pt>
                <c:pt idx="5571">
                  <c:v>156.07882799999999</c:v>
                </c:pt>
                <c:pt idx="5572">
                  <c:v>153.42361600000001</c:v>
                </c:pt>
                <c:pt idx="5573">
                  <c:v>151.915491</c:v>
                </c:pt>
                <c:pt idx="5574">
                  <c:v>152.25574</c:v>
                </c:pt>
                <c:pt idx="5575">
                  <c:v>152.73121499999999</c:v>
                </c:pt>
                <c:pt idx="5576">
                  <c:v>152.37622400000001</c:v>
                </c:pt>
                <c:pt idx="5577">
                  <c:v>152.778626</c:v>
                </c:pt>
                <c:pt idx="5578">
                  <c:v>153.93127200000001</c:v>
                </c:pt>
                <c:pt idx="5579">
                  <c:v>154.31988000000001</c:v>
                </c:pt>
                <c:pt idx="5580">
                  <c:v>153.723444</c:v>
                </c:pt>
                <c:pt idx="5581">
                  <c:v>165.215709</c:v>
                </c:pt>
                <c:pt idx="5582">
                  <c:v>181.72305600000001</c:v>
                </c:pt>
                <c:pt idx="5583">
                  <c:v>180.31832</c:v>
                </c:pt>
                <c:pt idx="5584">
                  <c:v>179.76635200000001</c:v>
                </c:pt>
                <c:pt idx="5585">
                  <c:v>180.806556</c:v>
                </c:pt>
                <c:pt idx="5586">
                  <c:v>178.65653399999999</c:v>
                </c:pt>
                <c:pt idx="5587">
                  <c:v>178.73856000000001</c:v>
                </c:pt>
                <c:pt idx="5588">
                  <c:v>177.95456999999999</c:v>
                </c:pt>
                <c:pt idx="5589">
                  <c:v>178.06812300000001</c:v>
                </c:pt>
                <c:pt idx="5590">
                  <c:v>178.10020800000001</c:v>
                </c:pt>
                <c:pt idx="5591">
                  <c:v>179.68522999999999</c:v>
                </c:pt>
                <c:pt idx="5592">
                  <c:v>179.55804800000001</c:v>
                </c:pt>
                <c:pt idx="5593">
                  <c:v>179.42080799999999</c:v>
                </c:pt>
                <c:pt idx="5594">
                  <c:v>180.07955999999999</c:v>
                </c:pt>
                <c:pt idx="5595">
                  <c:v>178.43538000000001</c:v>
                </c:pt>
                <c:pt idx="5596">
                  <c:v>177.984702</c:v>
                </c:pt>
                <c:pt idx="5597">
                  <c:v>177.48864</c:v>
                </c:pt>
                <c:pt idx="5598">
                  <c:v>175.32174000000001</c:v>
                </c:pt>
                <c:pt idx="5599">
                  <c:v>175.02451199999999</c:v>
                </c:pt>
                <c:pt idx="5600">
                  <c:v>174.847533</c:v>
                </c:pt>
                <c:pt idx="5601">
                  <c:v>176.32021800000001</c:v>
                </c:pt>
                <c:pt idx="5602">
                  <c:v>174.6447</c:v>
                </c:pt>
                <c:pt idx="5603">
                  <c:v>176.9785</c:v>
                </c:pt>
                <c:pt idx="5604">
                  <c:v>176.65325999999999</c:v>
                </c:pt>
                <c:pt idx="5605">
                  <c:v>176.47371999999999</c:v>
                </c:pt>
                <c:pt idx="5606">
                  <c:v>176.31204</c:v>
                </c:pt>
                <c:pt idx="5607">
                  <c:v>176.47371999999999</c:v>
                </c:pt>
                <c:pt idx="5608">
                  <c:v>176.61848000000001</c:v>
                </c:pt>
                <c:pt idx="5609">
                  <c:v>176.64094600000001</c:v>
                </c:pt>
                <c:pt idx="5610">
                  <c:v>174.76262399999999</c:v>
                </c:pt>
                <c:pt idx="5611">
                  <c:v>174.54407399999999</c:v>
                </c:pt>
                <c:pt idx="5612">
                  <c:v>174.67520400000001</c:v>
                </c:pt>
                <c:pt idx="5613">
                  <c:v>176.22086400000001</c:v>
                </c:pt>
                <c:pt idx="5614">
                  <c:v>180.27357599999999</c:v>
                </c:pt>
                <c:pt idx="5615">
                  <c:v>181.893384</c:v>
                </c:pt>
                <c:pt idx="5616">
                  <c:v>181.65293199999999</c:v>
                </c:pt>
                <c:pt idx="5617">
                  <c:v>176.928304</c:v>
                </c:pt>
                <c:pt idx="5618">
                  <c:v>175.26547500000001</c:v>
                </c:pt>
                <c:pt idx="5619">
                  <c:v>175.974414</c:v>
                </c:pt>
                <c:pt idx="5620">
                  <c:v>175.67290800000001</c:v>
                </c:pt>
                <c:pt idx="5621">
                  <c:v>175.212558</c:v>
                </c:pt>
                <c:pt idx="5622">
                  <c:v>175.55498399999999</c:v>
                </c:pt>
                <c:pt idx="5623">
                  <c:v>175.08645000000001</c:v>
                </c:pt>
                <c:pt idx="5624">
                  <c:v>158.998356</c:v>
                </c:pt>
                <c:pt idx="5625">
                  <c:v>155.914976</c:v>
                </c:pt>
                <c:pt idx="5626">
                  <c:v>152.31142800000001</c:v>
                </c:pt>
                <c:pt idx="5627">
                  <c:v>154.66708800000001</c:v>
                </c:pt>
                <c:pt idx="5628">
                  <c:v>152.931048</c:v>
                </c:pt>
                <c:pt idx="5629">
                  <c:v>153.98812799999999</c:v>
                </c:pt>
                <c:pt idx="5630">
                  <c:v>156.76974799999999</c:v>
                </c:pt>
                <c:pt idx="5631">
                  <c:v>156.97886399999999</c:v>
                </c:pt>
                <c:pt idx="5632">
                  <c:v>165.07537199999999</c:v>
                </c:pt>
                <c:pt idx="5633">
                  <c:v>154.42062000000001</c:v>
                </c:pt>
                <c:pt idx="5634">
                  <c:v>156.00863200000001</c:v>
                </c:pt>
                <c:pt idx="5635">
                  <c:v>154.24793600000001</c:v>
                </c:pt>
                <c:pt idx="5636">
                  <c:v>160.53816</c:v>
                </c:pt>
                <c:pt idx="5637">
                  <c:v>155.48855599999999</c:v>
                </c:pt>
                <c:pt idx="5638">
                  <c:v>160.74479199999999</c:v>
                </c:pt>
                <c:pt idx="5639">
                  <c:v>165.65606399999999</c:v>
                </c:pt>
                <c:pt idx="5640">
                  <c:v>163.259704</c:v>
                </c:pt>
                <c:pt idx="5641">
                  <c:v>164.37271999999999</c:v>
                </c:pt>
                <c:pt idx="5642">
                  <c:v>158.57718</c:v>
                </c:pt>
                <c:pt idx="5643">
                  <c:v>157.39359999999999</c:v>
                </c:pt>
                <c:pt idx="5644">
                  <c:v>160.74847199999999</c:v>
                </c:pt>
                <c:pt idx="5645">
                  <c:v>161.93775600000001</c:v>
                </c:pt>
                <c:pt idx="5646">
                  <c:v>157.464348</c:v>
                </c:pt>
                <c:pt idx="5647">
                  <c:v>154.40074799999999</c:v>
                </c:pt>
                <c:pt idx="5648">
                  <c:v>159.404076</c:v>
                </c:pt>
                <c:pt idx="5649">
                  <c:v>178.180002</c:v>
                </c:pt>
                <c:pt idx="5650">
                  <c:v>177.83785499999999</c:v>
                </c:pt>
                <c:pt idx="5651">
                  <c:v>177.67603500000001</c:v>
                </c:pt>
                <c:pt idx="5652">
                  <c:v>177.40940399999999</c:v>
                </c:pt>
                <c:pt idx="5653">
                  <c:v>179.40614400000001</c:v>
                </c:pt>
                <c:pt idx="5654">
                  <c:v>179.61378999999999</c:v>
                </c:pt>
                <c:pt idx="5655">
                  <c:v>179.33921599999999</c:v>
                </c:pt>
                <c:pt idx="5656">
                  <c:v>178.935768</c:v>
                </c:pt>
                <c:pt idx="5657">
                  <c:v>179.09443999999999</c:v>
                </c:pt>
                <c:pt idx="5658">
                  <c:v>178.93351200000001</c:v>
                </c:pt>
                <c:pt idx="5659">
                  <c:v>181.03140400000001</c:v>
                </c:pt>
                <c:pt idx="5660">
                  <c:v>179.63371799999999</c:v>
                </c:pt>
                <c:pt idx="5661">
                  <c:v>179.24371199999999</c:v>
                </c:pt>
                <c:pt idx="5662">
                  <c:v>179.251608</c:v>
                </c:pt>
                <c:pt idx="5663">
                  <c:v>179.757328</c:v>
                </c:pt>
                <c:pt idx="5664">
                  <c:v>179.55165600000001</c:v>
                </c:pt>
                <c:pt idx="5665">
                  <c:v>179.42532</c:v>
                </c:pt>
                <c:pt idx="5666">
                  <c:v>180.02908199999999</c:v>
                </c:pt>
                <c:pt idx="5667">
                  <c:v>179.866086</c:v>
                </c:pt>
                <c:pt idx="5668">
                  <c:v>179.09819999999999</c:v>
                </c:pt>
                <c:pt idx="5669">
                  <c:v>179.50239999999999</c:v>
                </c:pt>
                <c:pt idx="5670">
                  <c:v>179.88216</c:v>
                </c:pt>
                <c:pt idx="5671">
                  <c:v>179.14473000000001</c:v>
                </c:pt>
                <c:pt idx="5672">
                  <c:v>181.32130000000001</c:v>
                </c:pt>
                <c:pt idx="5673">
                  <c:v>181.91472200000001</c:v>
                </c:pt>
                <c:pt idx="5674">
                  <c:v>181.33605800000001</c:v>
                </c:pt>
                <c:pt idx="5675">
                  <c:v>181.55103600000001</c:v>
                </c:pt>
                <c:pt idx="5676">
                  <c:v>182.53296</c:v>
                </c:pt>
                <c:pt idx="5677">
                  <c:v>182.52083400000001</c:v>
                </c:pt>
                <c:pt idx="5678">
                  <c:v>182.81214</c:v>
                </c:pt>
                <c:pt idx="5679">
                  <c:v>182.14944</c:v>
                </c:pt>
                <c:pt idx="5680">
                  <c:v>181.77438000000001</c:v>
                </c:pt>
                <c:pt idx="5681">
                  <c:v>182.80838</c:v>
                </c:pt>
                <c:pt idx="5682">
                  <c:v>183.04356799999999</c:v>
                </c:pt>
                <c:pt idx="5683">
                  <c:v>182.84174999999999</c:v>
                </c:pt>
                <c:pt idx="5684">
                  <c:v>182.18375</c:v>
                </c:pt>
                <c:pt idx="5685">
                  <c:v>183.589426</c:v>
                </c:pt>
                <c:pt idx="5686">
                  <c:v>183.13305600000001</c:v>
                </c:pt>
                <c:pt idx="5687">
                  <c:v>183.68173400000001</c:v>
                </c:pt>
                <c:pt idx="5688">
                  <c:v>182.88574199999999</c:v>
                </c:pt>
                <c:pt idx="5689">
                  <c:v>182.322024</c:v>
                </c:pt>
                <c:pt idx="5690">
                  <c:v>183.21944199999999</c:v>
                </c:pt>
                <c:pt idx="5691">
                  <c:v>183.99654000000001</c:v>
                </c:pt>
                <c:pt idx="5692">
                  <c:v>183.65438</c:v>
                </c:pt>
                <c:pt idx="5693">
                  <c:v>183.83627000000001</c:v>
                </c:pt>
                <c:pt idx="5694">
                  <c:v>183.93374800000001</c:v>
                </c:pt>
                <c:pt idx="5695">
                  <c:v>183.776768</c:v>
                </c:pt>
                <c:pt idx="5696">
                  <c:v>182.35812000000001</c:v>
                </c:pt>
                <c:pt idx="5697">
                  <c:v>182.27408399999999</c:v>
                </c:pt>
                <c:pt idx="5698">
                  <c:v>181.75604999999999</c:v>
                </c:pt>
                <c:pt idx="5699">
                  <c:v>182.59171000000001</c:v>
                </c:pt>
                <c:pt idx="5700">
                  <c:v>182.84240800000001</c:v>
                </c:pt>
                <c:pt idx="5701">
                  <c:v>182.60204999999999</c:v>
                </c:pt>
                <c:pt idx="5702">
                  <c:v>182.64576</c:v>
                </c:pt>
                <c:pt idx="5703">
                  <c:v>182.85331199999999</c:v>
                </c:pt>
                <c:pt idx="5704">
                  <c:v>182.60204999999999</c:v>
                </c:pt>
                <c:pt idx="5705">
                  <c:v>182.59171000000001</c:v>
                </c:pt>
                <c:pt idx="5706">
                  <c:v>182.56191200000001</c:v>
                </c:pt>
                <c:pt idx="5707">
                  <c:v>182.638992</c:v>
                </c:pt>
                <c:pt idx="5708">
                  <c:v>182.27652800000001</c:v>
                </c:pt>
                <c:pt idx="5709">
                  <c:v>182.88019600000001</c:v>
                </c:pt>
                <c:pt idx="5710">
                  <c:v>182.83808400000001</c:v>
                </c:pt>
                <c:pt idx="5711">
                  <c:v>183.13079999999999</c:v>
                </c:pt>
                <c:pt idx="5712">
                  <c:v>181.493685</c:v>
                </c:pt>
                <c:pt idx="5713">
                  <c:v>181.62899999999999</c:v>
                </c:pt>
                <c:pt idx="5714">
                  <c:v>182.99017599999999</c:v>
                </c:pt>
                <c:pt idx="5715">
                  <c:v>182.53013999999999</c:v>
                </c:pt>
                <c:pt idx="5716">
                  <c:v>183.6901</c:v>
                </c:pt>
                <c:pt idx="5717">
                  <c:v>184.02013400000001</c:v>
                </c:pt>
                <c:pt idx="5718">
                  <c:v>183.87302399999999</c:v>
                </c:pt>
                <c:pt idx="5719">
                  <c:v>183.859488</c:v>
                </c:pt>
                <c:pt idx="5720">
                  <c:v>183.57908599999999</c:v>
                </c:pt>
                <c:pt idx="5721">
                  <c:v>183.51667</c:v>
                </c:pt>
                <c:pt idx="5722">
                  <c:v>183.49063200000001</c:v>
                </c:pt>
                <c:pt idx="5723">
                  <c:v>183.25299999999999</c:v>
                </c:pt>
                <c:pt idx="5724">
                  <c:v>183.589426</c:v>
                </c:pt>
                <c:pt idx="5725">
                  <c:v>183.67759799999999</c:v>
                </c:pt>
                <c:pt idx="5726">
                  <c:v>183.55568</c:v>
                </c:pt>
                <c:pt idx="5727">
                  <c:v>183.76022399999999</c:v>
                </c:pt>
                <c:pt idx="5728">
                  <c:v>184.43044399999999</c:v>
                </c:pt>
                <c:pt idx="5729">
                  <c:v>183.776768</c:v>
                </c:pt>
                <c:pt idx="5730">
                  <c:v>183.803088</c:v>
                </c:pt>
                <c:pt idx="5731">
                  <c:v>182.19004799999999</c:v>
                </c:pt>
                <c:pt idx="5732">
                  <c:v>182.75198</c:v>
                </c:pt>
                <c:pt idx="5733">
                  <c:v>182.37880000000001</c:v>
                </c:pt>
                <c:pt idx="5734">
                  <c:v>182.42382599999999</c:v>
                </c:pt>
                <c:pt idx="5735">
                  <c:v>182.259702</c:v>
                </c:pt>
                <c:pt idx="5736">
                  <c:v>178.355412</c:v>
                </c:pt>
                <c:pt idx="5737">
                  <c:v>178.79100800000001</c:v>
                </c:pt>
                <c:pt idx="5738">
                  <c:v>179.692656</c:v>
                </c:pt>
                <c:pt idx="5739">
                  <c:v>179.40614400000001</c:v>
                </c:pt>
                <c:pt idx="5740">
                  <c:v>179.41686000000001</c:v>
                </c:pt>
                <c:pt idx="5741">
                  <c:v>178.62660199999999</c:v>
                </c:pt>
                <c:pt idx="5742">
                  <c:v>178.74241000000001</c:v>
                </c:pt>
                <c:pt idx="5743">
                  <c:v>179.061352</c:v>
                </c:pt>
                <c:pt idx="5744">
                  <c:v>178.503556</c:v>
                </c:pt>
                <c:pt idx="5745">
                  <c:v>179.126588</c:v>
                </c:pt>
                <c:pt idx="5746">
                  <c:v>180.82093800000001</c:v>
                </c:pt>
                <c:pt idx="5747">
                  <c:v>181.35091</c:v>
                </c:pt>
                <c:pt idx="5748">
                  <c:v>181.06430399999999</c:v>
                </c:pt>
                <c:pt idx="5749">
                  <c:v>180.42688999999999</c:v>
                </c:pt>
                <c:pt idx="5750">
                  <c:v>180.281002</c:v>
                </c:pt>
                <c:pt idx="5751">
                  <c:v>182.46847600000001</c:v>
                </c:pt>
                <c:pt idx="5752">
                  <c:v>182.01313999999999</c:v>
                </c:pt>
                <c:pt idx="5753">
                  <c:v>181.93295800000001</c:v>
                </c:pt>
                <c:pt idx="5754">
                  <c:v>182.60064</c:v>
                </c:pt>
                <c:pt idx="5755">
                  <c:v>182.62226000000001</c:v>
                </c:pt>
                <c:pt idx="5756">
                  <c:v>182.706672</c:v>
                </c:pt>
                <c:pt idx="5757">
                  <c:v>182.241466</c:v>
                </c:pt>
                <c:pt idx="5758">
                  <c:v>181.64653999999999</c:v>
                </c:pt>
                <c:pt idx="5759">
                  <c:v>184.121184</c:v>
                </c:pt>
                <c:pt idx="5760">
                  <c:v>184.60453200000001</c:v>
                </c:pt>
                <c:pt idx="5761">
                  <c:v>184.34904</c:v>
                </c:pt>
                <c:pt idx="5762">
                  <c:v>184.49624399999999</c:v>
                </c:pt>
                <c:pt idx="5763">
                  <c:v>184.642696</c:v>
                </c:pt>
                <c:pt idx="5764">
                  <c:v>184.34847600000001</c:v>
                </c:pt>
                <c:pt idx="5765">
                  <c:v>184.28587200000001</c:v>
                </c:pt>
                <c:pt idx="5766">
                  <c:v>184.04635999999999</c:v>
                </c:pt>
                <c:pt idx="5767">
                  <c:v>184.30016000000001</c:v>
                </c:pt>
                <c:pt idx="5768">
                  <c:v>184.098624</c:v>
                </c:pt>
                <c:pt idx="5769">
                  <c:v>184.140736</c:v>
                </c:pt>
                <c:pt idx="5770">
                  <c:v>183.97454400000001</c:v>
                </c:pt>
                <c:pt idx="5771">
                  <c:v>183.891448</c:v>
                </c:pt>
                <c:pt idx="5772">
                  <c:v>182.76871199999999</c:v>
                </c:pt>
                <c:pt idx="5773">
                  <c:v>182.43049999999999</c:v>
                </c:pt>
                <c:pt idx="5774">
                  <c:v>182.30961600000001</c:v>
                </c:pt>
                <c:pt idx="5775">
                  <c:v>182.61474000000001</c:v>
                </c:pt>
                <c:pt idx="5776">
                  <c:v>183.02176</c:v>
                </c:pt>
                <c:pt idx="5777">
                  <c:v>183.45641599999999</c:v>
                </c:pt>
                <c:pt idx="5778">
                  <c:v>180.95460600000001</c:v>
                </c:pt>
                <c:pt idx="5779">
                  <c:v>182.82567599999999</c:v>
                </c:pt>
                <c:pt idx="5780">
                  <c:v>183.40152</c:v>
                </c:pt>
                <c:pt idx="5781">
                  <c:v>179.85790800000001</c:v>
                </c:pt>
                <c:pt idx="5782">
                  <c:v>184.12485000000001</c:v>
                </c:pt>
                <c:pt idx="5783">
                  <c:v>184.73632000000001</c:v>
                </c:pt>
                <c:pt idx="5784">
                  <c:v>184.28361599999999</c:v>
                </c:pt>
                <c:pt idx="5785">
                  <c:v>184.55771999999999</c:v>
                </c:pt>
                <c:pt idx="5786">
                  <c:v>184.446988</c:v>
                </c:pt>
                <c:pt idx="5787">
                  <c:v>185.49537000000001</c:v>
                </c:pt>
                <c:pt idx="5788">
                  <c:v>185.2928</c:v>
                </c:pt>
                <c:pt idx="5789">
                  <c:v>184.82505599999999</c:v>
                </c:pt>
                <c:pt idx="5790">
                  <c:v>186.47977499999999</c:v>
                </c:pt>
                <c:pt idx="5791">
                  <c:v>186.920005</c:v>
                </c:pt>
                <c:pt idx="5792">
                  <c:v>187.08739499999999</c:v>
                </c:pt>
                <c:pt idx="5793">
                  <c:v>186.96912</c:v>
                </c:pt>
                <c:pt idx="5794">
                  <c:v>184.3152</c:v>
                </c:pt>
                <c:pt idx="5795">
                  <c:v>184.00236799999999</c:v>
                </c:pt>
                <c:pt idx="5796">
                  <c:v>183.83580000000001</c:v>
                </c:pt>
                <c:pt idx="5797">
                  <c:v>183.90817999999999</c:v>
                </c:pt>
                <c:pt idx="5798">
                  <c:v>184.16874799999999</c:v>
                </c:pt>
                <c:pt idx="5799">
                  <c:v>184.13020800000001</c:v>
                </c:pt>
                <c:pt idx="5800">
                  <c:v>183.88468</c:v>
                </c:pt>
                <c:pt idx="5801">
                  <c:v>184.17504600000001</c:v>
                </c:pt>
                <c:pt idx="5802">
                  <c:v>183.143584</c:v>
                </c:pt>
                <c:pt idx="5803">
                  <c:v>180.16867199999999</c:v>
                </c:pt>
                <c:pt idx="5804">
                  <c:v>180.484512</c:v>
                </c:pt>
                <c:pt idx="5805">
                  <c:v>180.633408</c:v>
                </c:pt>
                <c:pt idx="5806">
                  <c:v>176.78354400000001</c:v>
                </c:pt>
                <c:pt idx="5807">
                  <c:v>176.11238399999999</c:v>
                </c:pt>
                <c:pt idx="5808">
                  <c:v>175.98661200000001</c:v>
                </c:pt>
                <c:pt idx="5809">
                  <c:v>174.934752</c:v>
                </c:pt>
                <c:pt idx="5810">
                  <c:v>174.96784</c:v>
                </c:pt>
                <c:pt idx="5811">
                  <c:v>175.441788</c:v>
                </c:pt>
                <c:pt idx="5812">
                  <c:v>175.64520400000001</c:v>
                </c:pt>
                <c:pt idx="5813">
                  <c:v>171.386064</c:v>
                </c:pt>
                <c:pt idx="5814">
                  <c:v>156.06916799999999</c:v>
                </c:pt>
                <c:pt idx="5815">
                  <c:v>160.02072899999999</c:v>
                </c:pt>
                <c:pt idx="5816">
                  <c:v>154.07184799999999</c:v>
                </c:pt>
                <c:pt idx="5817">
                  <c:v>153.322508</c:v>
                </c:pt>
                <c:pt idx="5818">
                  <c:v>154.97262000000001</c:v>
                </c:pt>
                <c:pt idx="5819">
                  <c:v>155.38800000000001</c:v>
                </c:pt>
                <c:pt idx="5820">
                  <c:v>161.68459200000001</c:v>
                </c:pt>
                <c:pt idx="5821">
                  <c:v>158.15533500000001</c:v>
                </c:pt>
                <c:pt idx="5822">
                  <c:v>153.22875999999999</c:v>
                </c:pt>
                <c:pt idx="5823">
                  <c:v>160.15065000000001</c:v>
                </c:pt>
                <c:pt idx="5824">
                  <c:v>160.347159</c:v>
                </c:pt>
                <c:pt idx="5825">
                  <c:v>152.775936</c:v>
                </c:pt>
                <c:pt idx="5826">
                  <c:v>153.93899999999999</c:v>
                </c:pt>
                <c:pt idx="5827">
                  <c:v>153.10787199999999</c:v>
                </c:pt>
                <c:pt idx="5828">
                  <c:v>151.95318</c:v>
                </c:pt>
                <c:pt idx="5829">
                  <c:v>152.63388800000001</c:v>
                </c:pt>
                <c:pt idx="5830">
                  <c:v>153.042</c:v>
                </c:pt>
                <c:pt idx="5831">
                  <c:v>152.49625599999999</c:v>
                </c:pt>
                <c:pt idx="5832">
                  <c:v>152.292384</c:v>
                </c:pt>
                <c:pt idx="5833">
                  <c:v>152.225132</c:v>
                </c:pt>
                <c:pt idx="5834">
                  <c:v>152.89369600000001</c:v>
                </c:pt>
                <c:pt idx="5835">
                  <c:v>152.29624799999999</c:v>
                </c:pt>
                <c:pt idx="5836">
                  <c:v>152.56507199999999</c:v>
                </c:pt>
                <c:pt idx="5837">
                  <c:v>154.55926400000001</c:v>
                </c:pt>
                <c:pt idx="5838">
                  <c:v>153.29454000000001</c:v>
                </c:pt>
                <c:pt idx="5839">
                  <c:v>159.08542800000001</c:v>
                </c:pt>
                <c:pt idx="5840">
                  <c:v>158.65334999999999</c:v>
                </c:pt>
                <c:pt idx="5841">
                  <c:v>156.20523600000001</c:v>
                </c:pt>
                <c:pt idx="5842">
                  <c:v>155.85996</c:v>
                </c:pt>
                <c:pt idx="5843">
                  <c:v>158.23857000000001</c:v>
                </c:pt>
                <c:pt idx="5844">
                  <c:v>153.45921999999999</c:v>
                </c:pt>
                <c:pt idx="5845">
                  <c:v>155.52094</c:v>
                </c:pt>
                <c:pt idx="5846">
                  <c:v>159.52662000000001</c:v>
                </c:pt>
                <c:pt idx="5847">
                  <c:v>154.766448</c:v>
                </c:pt>
                <c:pt idx="5848">
                  <c:v>154.963052</c:v>
                </c:pt>
                <c:pt idx="5849">
                  <c:v>154.762584</c:v>
                </c:pt>
                <c:pt idx="5850">
                  <c:v>155.03968800000001</c:v>
                </c:pt>
                <c:pt idx="5851">
                  <c:v>155.59039999999999</c:v>
                </c:pt>
                <c:pt idx="5852">
                  <c:v>154.97216</c:v>
                </c:pt>
                <c:pt idx="5853">
                  <c:v>155.24558400000001</c:v>
                </c:pt>
                <c:pt idx="5854">
                  <c:v>155.94064399999999</c:v>
                </c:pt>
                <c:pt idx="5855">
                  <c:v>156.07882799999999</c:v>
                </c:pt>
                <c:pt idx="5856">
                  <c:v>155.802368</c:v>
                </c:pt>
                <c:pt idx="5857">
                  <c:v>155.733</c:v>
                </c:pt>
                <c:pt idx="5858">
                  <c:v>156.58151599999999</c:v>
                </c:pt>
                <c:pt idx="5859">
                  <c:v>155.78175999999999</c:v>
                </c:pt>
                <c:pt idx="5860">
                  <c:v>156.087568</c:v>
                </c:pt>
                <c:pt idx="5861">
                  <c:v>155.84119200000001</c:v>
                </c:pt>
                <c:pt idx="5862">
                  <c:v>154.85237599999999</c:v>
                </c:pt>
                <c:pt idx="5863">
                  <c:v>154.87850399999999</c:v>
                </c:pt>
                <c:pt idx="5864">
                  <c:v>154.829376</c:v>
                </c:pt>
                <c:pt idx="5865">
                  <c:v>153.52849599999999</c:v>
                </c:pt>
                <c:pt idx="5866">
                  <c:v>154.42282800000001</c:v>
                </c:pt>
                <c:pt idx="5867">
                  <c:v>153.52978400000001</c:v>
                </c:pt>
                <c:pt idx="5868">
                  <c:v>158.15904</c:v>
                </c:pt>
                <c:pt idx="5869">
                  <c:v>153.72463999999999</c:v>
                </c:pt>
                <c:pt idx="5870">
                  <c:v>158.50864000000001</c:v>
                </c:pt>
                <c:pt idx="5871">
                  <c:v>155.25</c:v>
                </c:pt>
                <c:pt idx="5872">
                  <c:v>156.216736</c:v>
                </c:pt>
                <c:pt idx="5873">
                  <c:v>154.90039999999999</c:v>
                </c:pt>
                <c:pt idx="5874">
                  <c:v>154.13689199999999</c:v>
                </c:pt>
                <c:pt idx="5875">
                  <c:v>154.55770000000001</c:v>
                </c:pt>
                <c:pt idx="5876">
                  <c:v>154.69247999999999</c:v>
                </c:pt>
                <c:pt idx="5877">
                  <c:v>155.11052799999999</c:v>
                </c:pt>
                <c:pt idx="5878">
                  <c:v>156.056748</c:v>
                </c:pt>
                <c:pt idx="5879">
                  <c:v>155.1626</c:v>
                </c:pt>
                <c:pt idx="5880">
                  <c:v>154.818612</c:v>
                </c:pt>
                <c:pt idx="5881">
                  <c:v>153.87257600000001</c:v>
                </c:pt>
                <c:pt idx="5882">
                  <c:v>153.116152</c:v>
                </c:pt>
                <c:pt idx="5883">
                  <c:v>153.255256</c:v>
                </c:pt>
                <c:pt idx="5884">
                  <c:v>152.638948</c:v>
                </c:pt>
                <c:pt idx="5885">
                  <c:v>152.50223600000001</c:v>
                </c:pt>
                <c:pt idx="5886">
                  <c:v>156.09548000000001</c:v>
                </c:pt>
                <c:pt idx="5887">
                  <c:v>153.39086399999999</c:v>
                </c:pt>
                <c:pt idx="5888">
                  <c:v>152.91209599999999</c:v>
                </c:pt>
                <c:pt idx="5889">
                  <c:v>154.42062000000001</c:v>
                </c:pt>
                <c:pt idx="5890">
                  <c:v>156.00863200000001</c:v>
                </c:pt>
                <c:pt idx="5891">
                  <c:v>160.29331199999999</c:v>
                </c:pt>
                <c:pt idx="5892">
                  <c:v>166.167936</c:v>
                </c:pt>
                <c:pt idx="5893">
                  <c:v>164.878119</c:v>
                </c:pt>
                <c:pt idx="5894">
                  <c:v>159.17140800000001</c:v>
                </c:pt>
                <c:pt idx="5895">
                  <c:v>169.553415</c:v>
                </c:pt>
                <c:pt idx="5896">
                  <c:v>176.81757200000001</c:v>
                </c:pt>
                <c:pt idx="5897">
                  <c:v>156.072204</c:v>
                </c:pt>
                <c:pt idx="5898">
                  <c:v>156.94739999999999</c:v>
                </c:pt>
                <c:pt idx="5899">
                  <c:v>156.90158400000001</c:v>
                </c:pt>
                <c:pt idx="5900">
                  <c:v>160.501632</c:v>
                </c:pt>
                <c:pt idx="5901">
                  <c:v>160.71813599999999</c:v>
                </c:pt>
                <c:pt idx="5902">
                  <c:v>160.35729599999999</c:v>
                </c:pt>
                <c:pt idx="5903">
                  <c:v>162.97031699999999</c:v>
                </c:pt>
                <c:pt idx="5904">
                  <c:v>161.60842500000001</c:v>
                </c:pt>
                <c:pt idx="5905">
                  <c:v>153.048348</c:v>
                </c:pt>
                <c:pt idx="5906">
                  <c:v>154.99276800000001</c:v>
                </c:pt>
                <c:pt idx="5907">
                  <c:v>159.974694</c:v>
                </c:pt>
                <c:pt idx="5908">
                  <c:v>158.124087</c:v>
                </c:pt>
                <c:pt idx="5909">
                  <c:v>152.19339199999999</c:v>
                </c:pt>
                <c:pt idx="5910">
                  <c:v>152.93822399999999</c:v>
                </c:pt>
                <c:pt idx="5911">
                  <c:v>153.457472</c:v>
                </c:pt>
                <c:pt idx="5912">
                  <c:v>153.36215999999999</c:v>
                </c:pt>
                <c:pt idx="5913">
                  <c:v>153.64864800000001</c:v>
                </c:pt>
                <c:pt idx="5914">
                  <c:v>154.54969600000001</c:v>
                </c:pt>
                <c:pt idx="5915">
                  <c:v>164.01308</c:v>
                </c:pt>
                <c:pt idx="5916">
                  <c:v>168.59088</c:v>
                </c:pt>
                <c:pt idx="5917">
                  <c:v>160.49475000000001</c:v>
                </c:pt>
                <c:pt idx="5918">
                  <c:v>163.00575000000001</c:v>
                </c:pt>
                <c:pt idx="5919">
                  <c:v>166.07065800000001</c:v>
                </c:pt>
                <c:pt idx="5920">
                  <c:v>172.85798399999999</c:v>
                </c:pt>
                <c:pt idx="5921">
                  <c:v>154.55190400000001</c:v>
                </c:pt>
                <c:pt idx="5922">
                  <c:v>153.529416</c:v>
                </c:pt>
                <c:pt idx="5923">
                  <c:v>152.89663999999999</c:v>
                </c:pt>
                <c:pt idx="5924">
                  <c:v>152.38843199999999</c:v>
                </c:pt>
                <c:pt idx="5925">
                  <c:v>152.40149600000001</c:v>
                </c:pt>
                <c:pt idx="5926">
                  <c:v>152.512632</c:v>
                </c:pt>
                <c:pt idx="5927">
                  <c:v>153.704308</c:v>
                </c:pt>
                <c:pt idx="5928">
                  <c:v>152.74253999999999</c:v>
                </c:pt>
                <c:pt idx="5929">
                  <c:v>152.53416000000001</c:v>
                </c:pt>
                <c:pt idx="5930">
                  <c:v>170.20785599999999</c:v>
                </c:pt>
                <c:pt idx="5931">
                  <c:v>179.41968</c:v>
                </c:pt>
                <c:pt idx="5932">
                  <c:v>178.80266399999999</c:v>
                </c:pt>
                <c:pt idx="5933">
                  <c:v>179.29841999999999</c:v>
                </c:pt>
                <c:pt idx="5934">
                  <c:v>179.74454399999999</c:v>
                </c:pt>
                <c:pt idx="5935">
                  <c:v>179.83328</c:v>
                </c:pt>
                <c:pt idx="5936">
                  <c:v>177.8245</c:v>
                </c:pt>
                <c:pt idx="5937">
                  <c:v>177.41804400000001</c:v>
                </c:pt>
                <c:pt idx="5938">
                  <c:v>177.91220200000001</c:v>
                </c:pt>
                <c:pt idx="5939">
                  <c:v>177.542688</c:v>
                </c:pt>
                <c:pt idx="5940">
                  <c:v>178.15350000000001</c:v>
                </c:pt>
                <c:pt idx="5941">
                  <c:v>180.761436</c:v>
                </c:pt>
                <c:pt idx="5942">
                  <c:v>179.35764</c:v>
                </c:pt>
                <c:pt idx="5943">
                  <c:v>179.66784000000001</c:v>
                </c:pt>
                <c:pt idx="5944">
                  <c:v>178.854176</c:v>
                </c:pt>
                <c:pt idx="5945">
                  <c:v>178.806612</c:v>
                </c:pt>
                <c:pt idx="5946">
                  <c:v>178.27475999999999</c:v>
                </c:pt>
                <c:pt idx="5947">
                  <c:v>177.70662400000001</c:v>
                </c:pt>
                <c:pt idx="5948">
                  <c:v>178.77108000000001</c:v>
                </c:pt>
                <c:pt idx="5949">
                  <c:v>179.01792399999999</c:v>
                </c:pt>
                <c:pt idx="5950">
                  <c:v>179.22274999999999</c:v>
                </c:pt>
                <c:pt idx="5951">
                  <c:v>180.152128</c:v>
                </c:pt>
                <c:pt idx="5952">
                  <c:v>180.16416000000001</c:v>
                </c:pt>
                <c:pt idx="5953">
                  <c:v>179.95905200000001</c:v>
                </c:pt>
                <c:pt idx="5954">
                  <c:v>179.916282</c:v>
                </c:pt>
                <c:pt idx="5955">
                  <c:v>181.09757999999999</c:v>
                </c:pt>
                <c:pt idx="5956">
                  <c:v>181.54220000000001</c:v>
                </c:pt>
                <c:pt idx="5957">
                  <c:v>181.85653600000001</c:v>
                </c:pt>
                <c:pt idx="5958">
                  <c:v>181.54220000000001</c:v>
                </c:pt>
                <c:pt idx="5959">
                  <c:v>181.56523000000001</c:v>
                </c:pt>
                <c:pt idx="5960">
                  <c:v>181.29216</c:v>
                </c:pt>
                <c:pt idx="5961">
                  <c:v>181.45402799999999</c:v>
                </c:pt>
                <c:pt idx="5962">
                  <c:v>180.18953999999999</c:v>
                </c:pt>
                <c:pt idx="5963">
                  <c:v>178.83876000000001</c:v>
                </c:pt>
                <c:pt idx="5964">
                  <c:v>177.7775</c:v>
                </c:pt>
                <c:pt idx="5965">
                  <c:v>176.53087199999999</c:v>
                </c:pt>
                <c:pt idx="5966">
                  <c:v>176.98592600000001</c:v>
                </c:pt>
                <c:pt idx="5967">
                  <c:v>176.20581999999999</c:v>
                </c:pt>
                <c:pt idx="5968">
                  <c:v>175.92993000000001</c:v>
                </c:pt>
                <c:pt idx="5969">
                  <c:v>176.76794000000001</c:v>
                </c:pt>
                <c:pt idx="5970">
                  <c:v>175.95164399999999</c:v>
                </c:pt>
                <c:pt idx="5971">
                  <c:v>175.858114</c:v>
                </c:pt>
                <c:pt idx="5972">
                  <c:v>177.91220200000001</c:v>
                </c:pt>
                <c:pt idx="5973">
                  <c:v>178.47545</c:v>
                </c:pt>
                <c:pt idx="5974">
                  <c:v>177.45132000000001</c:v>
                </c:pt>
                <c:pt idx="5975">
                  <c:v>176.85066</c:v>
                </c:pt>
                <c:pt idx="5976">
                  <c:v>177.41804400000001</c:v>
                </c:pt>
                <c:pt idx="5977">
                  <c:v>178.11420799999999</c:v>
                </c:pt>
                <c:pt idx="5978">
                  <c:v>177.90628000000001</c:v>
                </c:pt>
                <c:pt idx="5979">
                  <c:v>177.830422</c:v>
                </c:pt>
                <c:pt idx="5980">
                  <c:v>177.78971999999999</c:v>
                </c:pt>
                <c:pt idx="5981">
                  <c:v>177.62578400000001</c:v>
                </c:pt>
                <c:pt idx="5982">
                  <c:v>177.66704999999999</c:v>
                </c:pt>
                <c:pt idx="5983">
                  <c:v>174.97658200000001</c:v>
                </c:pt>
                <c:pt idx="5984">
                  <c:v>174.61552800000001</c:v>
                </c:pt>
                <c:pt idx="5985">
                  <c:v>174.48956799999999</c:v>
                </c:pt>
                <c:pt idx="5986">
                  <c:v>174.90486000000001</c:v>
                </c:pt>
                <c:pt idx="5987">
                  <c:v>174.63028600000001</c:v>
                </c:pt>
                <c:pt idx="5988">
                  <c:v>174.67963599999999</c:v>
                </c:pt>
                <c:pt idx="5989">
                  <c:v>174.53919999999999</c:v>
                </c:pt>
                <c:pt idx="5990">
                  <c:v>174.57012599999999</c:v>
                </c:pt>
                <c:pt idx="5991">
                  <c:v>174.97535999999999</c:v>
                </c:pt>
                <c:pt idx="5992">
                  <c:v>175.029504</c:v>
                </c:pt>
                <c:pt idx="5993">
                  <c:v>175.264128</c:v>
                </c:pt>
                <c:pt idx="5994">
                  <c:v>175.13158799999999</c:v>
                </c:pt>
                <c:pt idx="5995">
                  <c:v>173.95203599999999</c:v>
                </c:pt>
                <c:pt idx="5996">
                  <c:v>176.01311999999999</c:v>
                </c:pt>
                <c:pt idx="5997">
                  <c:v>175.85802000000001</c:v>
                </c:pt>
                <c:pt idx="5998">
                  <c:v>175.58278799999999</c:v>
                </c:pt>
                <c:pt idx="5999">
                  <c:v>176.84379799999999</c:v>
                </c:pt>
                <c:pt idx="6000">
                  <c:v>176.97004000000001</c:v>
                </c:pt>
                <c:pt idx="6001">
                  <c:v>175.63458199999999</c:v>
                </c:pt>
                <c:pt idx="6002">
                  <c:v>175.84532999999999</c:v>
                </c:pt>
                <c:pt idx="6003">
                  <c:v>176.17949999999999</c:v>
                </c:pt>
                <c:pt idx="6004">
                  <c:v>176.26541599999999</c:v>
                </c:pt>
                <c:pt idx="6005">
                  <c:v>176.15430799999999</c:v>
                </c:pt>
                <c:pt idx="6006">
                  <c:v>176.30329800000001</c:v>
                </c:pt>
                <c:pt idx="6007">
                  <c:v>176.38752199999999</c:v>
                </c:pt>
                <c:pt idx="6008">
                  <c:v>175.43332799999999</c:v>
                </c:pt>
                <c:pt idx="6009">
                  <c:v>174.96633600000001</c:v>
                </c:pt>
                <c:pt idx="6010">
                  <c:v>175.161574</c:v>
                </c:pt>
                <c:pt idx="6011">
                  <c:v>174.837932</c:v>
                </c:pt>
                <c:pt idx="6012">
                  <c:v>174.82251600000001</c:v>
                </c:pt>
                <c:pt idx="6013">
                  <c:v>174.837932</c:v>
                </c:pt>
                <c:pt idx="6014">
                  <c:v>176.38677000000001</c:v>
                </c:pt>
                <c:pt idx="6015">
                  <c:v>175.00036399999999</c:v>
                </c:pt>
                <c:pt idx="6016">
                  <c:v>174.626902</c:v>
                </c:pt>
                <c:pt idx="6017">
                  <c:v>174.250056</c:v>
                </c:pt>
                <c:pt idx="6018">
                  <c:v>174.23623799999999</c:v>
                </c:pt>
                <c:pt idx="6019">
                  <c:v>174.80099000000001</c:v>
                </c:pt>
                <c:pt idx="6020">
                  <c:v>166.49883</c:v>
                </c:pt>
                <c:pt idx="6021">
                  <c:v>158.96964299999999</c:v>
                </c:pt>
                <c:pt idx="6022">
                  <c:v>156.09938399999999</c:v>
                </c:pt>
                <c:pt idx="6023">
                  <c:v>156.57405600000001</c:v>
                </c:pt>
                <c:pt idx="6024">
                  <c:v>159.12951000000001</c:v>
                </c:pt>
                <c:pt idx="6025">
                  <c:v>153.656192</c:v>
                </c:pt>
                <c:pt idx="6026">
                  <c:v>153.76208399999999</c:v>
                </c:pt>
                <c:pt idx="6027">
                  <c:v>154.01002399999999</c:v>
                </c:pt>
                <c:pt idx="6028">
                  <c:v>153.37706399999999</c:v>
                </c:pt>
                <c:pt idx="6029">
                  <c:v>153.23851199999999</c:v>
                </c:pt>
                <c:pt idx="6030">
                  <c:v>153.1593</c:v>
                </c:pt>
                <c:pt idx="6031">
                  <c:v>152.96968799999999</c:v>
                </c:pt>
                <c:pt idx="6032">
                  <c:v>152.361108</c:v>
                </c:pt>
                <c:pt idx="6033">
                  <c:v>154.66901999999999</c:v>
                </c:pt>
                <c:pt idx="6034">
                  <c:v>168.67782</c:v>
                </c:pt>
                <c:pt idx="6035">
                  <c:v>175.80857599999999</c:v>
                </c:pt>
                <c:pt idx="6036">
                  <c:v>164.56043099999999</c:v>
                </c:pt>
                <c:pt idx="6037">
                  <c:v>153.44496000000001</c:v>
                </c:pt>
                <c:pt idx="6038">
                  <c:v>154.76718399999999</c:v>
                </c:pt>
                <c:pt idx="6039">
                  <c:v>154.87280000000001</c:v>
                </c:pt>
                <c:pt idx="6040">
                  <c:v>153.02580800000001</c:v>
                </c:pt>
                <c:pt idx="6041">
                  <c:v>153.808176</c:v>
                </c:pt>
                <c:pt idx="6042">
                  <c:v>154.76129599999999</c:v>
                </c:pt>
                <c:pt idx="6043">
                  <c:v>152.078576</c:v>
                </c:pt>
                <c:pt idx="6044">
                  <c:v>151.400352</c:v>
                </c:pt>
                <c:pt idx="6045">
                  <c:v>151.61296400000001</c:v>
                </c:pt>
                <c:pt idx="6046">
                  <c:v>151.30338399999999</c:v>
                </c:pt>
                <c:pt idx="6047">
                  <c:v>159.61218</c:v>
                </c:pt>
                <c:pt idx="6048">
                  <c:v>154.16368199999999</c:v>
                </c:pt>
                <c:pt idx="6049">
                  <c:v>157.232868</c:v>
                </c:pt>
                <c:pt idx="6050">
                  <c:v>156.70648800000001</c:v>
                </c:pt>
                <c:pt idx="6051">
                  <c:v>153.040896</c:v>
                </c:pt>
                <c:pt idx="6052">
                  <c:v>157.04073</c:v>
                </c:pt>
                <c:pt idx="6053">
                  <c:v>159.26993999999999</c:v>
                </c:pt>
                <c:pt idx="6054">
                  <c:v>27.42446</c:v>
                </c:pt>
                <c:pt idx="6055">
                  <c:v>18.712512</c:v>
                </c:pt>
                <c:pt idx="6056">
                  <c:v>18.334403999999999</c:v>
                </c:pt>
                <c:pt idx="6057">
                  <c:v>18.225867000000001</c:v>
                </c:pt>
                <c:pt idx="6058">
                  <c:v>18.250914000000002</c:v>
                </c:pt>
                <c:pt idx="6059">
                  <c:v>18.110168000000002</c:v>
                </c:pt>
                <c:pt idx="6060">
                  <c:v>18.20082</c:v>
                </c:pt>
                <c:pt idx="6061">
                  <c:v>18.267612</c:v>
                </c:pt>
                <c:pt idx="6062">
                  <c:v>18.250914000000002</c:v>
                </c:pt>
                <c:pt idx="6063">
                  <c:v>17.960840000000001</c:v>
                </c:pt>
                <c:pt idx="6064">
                  <c:v>18.002320000000001</c:v>
                </c:pt>
                <c:pt idx="6065">
                  <c:v>18.418583999999999</c:v>
                </c:pt>
                <c:pt idx="6066">
                  <c:v>18.085280000000001</c:v>
                </c:pt>
                <c:pt idx="6067">
                  <c:v>18.326055</c:v>
                </c:pt>
                <c:pt idx="6068">
                  <c:v>18.174600000000002</c:v>
                </c:pt>
                <c:pt idx="6069">
                  <c:v>18.257400000000001</c:v>
                </c:pt>
                <c:pt idx="6070">
                  <c:v>18.521999999999998</c:v>
                </c:pt>
                <c:pt idx="6071">
                  <c:v>18.290520000000001</c:v>
                </c:pt>
                <c:pt idx="6072">
                  <c:v>18.282240000000002</c:v>
                </c:pt>
                <c:pt idx="6073">
                  <c:v>18.389880000000002</c:v>
                </c:pt>
                <c:pt idx="6074">
                  <c:v>18.505800000000001</c:v>
                </c:pt>
                <c:pt idx="6075">
                  <c:v>18.284383999999999</c:v>
                </c:pt>
                <c:pt idx="6076">
                  <c:v>18.4008</c:v>
                </c:pt>
                <c:pt idx="6077">
                  <c:v>15.88104</c:v>
                </c:pt>
                <c:pt idx="6078">
                  <c:v>15.023034000000001</c:v>
                </c:pt>
                <c:pt idx="6079">
                  <c:v>14.905296</c:v>
                </c:pt>
                <c:pt idx="6080">
                  <c:v>14.704416</c:v>
                </c:pt>
                <c:pt idx="6081">
                  <c:v>14.904351</c:v>
                </c:pt>
                <c:pt idx="6082">
                  <c:v>14.588165999999999</c:v>
                </c:pt>
                <c:pt idx="6083">
                  <c:v>14.89761</c:v>
                </c:pt>
                <c:pt idx="6084">
                  <c:v>14.798448</c:v>
                </c:pt>
                <c:pt idx="6085">
                  <c:v>14.924574</c:v>
                </c:pt>
                <c:pt idx="6086">
                  <c:v>14.72499</c:v>
                </c:pt>
                <c:pt idx="6087">
                  <c:v>14.745024000000001</c:v>
                </c:pt>
                <c:pt idx="6088">
                  <c:v>15.11328</c:v>
                </c:pt>
                <c:pt idx="6089">
                  <c:v>15.16032</c:v>
                </c:pt>
                <c:pt idx="6090">
                  <c:v>14.985431999999999</c:v>
                </c:pt>
                <c:pt idx="6091">
                  <c:v>15.270784000000001</c:v>
                </c:pt>
                <c:pt idx="6092">
                  <c:v>15.19392</c:v>
                </c:pt>
                <c:pt idx="6093">
                  <c:v>15.19392</c:v>
                </c:pt>
                <c:pt idx="6094">
                  <c:v>15.20736</c:v>
                </c:pt>
                <c:pt idx="6095">
                  <c:v>15.33184</c:v>
                </c:pt>
                <c:pt idx="6096">
                  <c:v>15.263999999999999</c:v>
                </c:pt>
                <c:pt idx="6097">
                  <c:v>15.20736</c:v>
                </c:pt>
                <c:pt idx="6098">
                  <c:v>15.20064</c:v>
                </c:pt>
                <c:pt idx="6099">
                  <c:v>15.284352</c:v>
                </c:pt>
                <c:pt idx="6100">
                  <c:v>15.33184</c:v>
                </c:pt>
                <c:pt idx="6101">
                  <c:v>15.301439999999999</c:v>
                </c:pt>
                <c:pt idx="6102">
                  <c:v>15.3216</c:v>
                </c:pt>
                <c:pt idx="6103">
                  <c:v>15.392896</c:v>
                </c:pt>
                <c:pt idx="6104">
                  <c:v>15.36576</c:v>
                </c:pt>
                <c:pt idx="6105">
                  <c:v>15.288</c:v>
                </c:pt>
                <c:pt idx="6106">
                  <c:v>15.29472</c:v>
                </c:pt>
                <c:pt idx="6107">
                  <c:v>15.372544</c:v>
                </c:pt>
                <c:pt idx="6108">
                  <c:v>15.018948</c:v>
                </c:pt>
                <c:pt idx="6109">
                  <c:v>14.985243000000001</c:v>
                </c:pt>
                <c:pt idx="6110">
                  <c:v>14.991984</c:v>
                </c:pt>
                <c:pt idx="6111">
                  <c:v>14.99211</c:v>
                </c:pt>
                <c:pt idx="6112">
                  <c:v>14.904351</c:v>
                </c:pt>
                <c:pt idx="6113">
                  <c:v>14.63076</c:v>
                </c:pt>
                <c:pt idx="6114">
                  <c:v>14.717808</c:v>
                </c:pt>
                <c:pt idx="6115">
                  <c:v>14.759472000000001</c:v>
                </c:pt>
                <c:pt idx="6116">
                  <c:v>14.863905000000001</c:v>
                </c:pt>
                <c:pt idx="6117">
                  <c:v>14.59728</c:v>
                </c:pt>
                <c:pt idx="6118">
                  <c:v>14.904351</c:v>
                </c:pt>
                <c:pt idx="6119">
                  <c:v>14.664239999999999</c:v>
                </c:pt>
                <c:pt idx="6120">
                  <c:v>14.784768</c:v>
                </c:pt>
                <c:pt idx="6121">
                  <c:v>14.759472000000001</c:v>
                </c:pt>
                <c:pt idx="6122">
                  <c:v>14.731668000000001</c:v>
                </c:pt>
                <c:pt idx="6123">
                  <c:v>14.614701999999999</c:v>
                </c:pt>
                <c:pt idx="6124">
                  <c:v>14.820294000000001</c:v>
                </c:pt>
                <c:pt idx="6125">
                  <c:v>14.778072</c:v>
                </c:pt>
                <c:pt idx="6126">
                  <c:v>14.798159999999999</c:v>
                </c:pt>
                <c:pt idx="6127">
                  <c:v>14.69772</c:v>
                </c:pt>
                <c:pt idx="6128">
                  <c:v>14.798159999999999</c:v>
                </c:pt>
                <c:pt idx="6129">
                  <c:v>14.885262000000001</c:v>
                </c:pt>
                <c:pt idx="6130">
                  <c:v>15.052652999999999</c:v>
                </c:pt>
                <c:pt idx="6131">
                  <c:v>15.093099</c:v>
                </c:pt>
                <c:pt idx="6132">
                  <c:v>14.791464</c:v>
                </c:pt>
                <c:pt idx="6133">
                  <c:v>15.025689</c:v>
                </c:pt>
                <c:pt idx="6134">
                  <c:v>14.804855999999999</c:v>
                </c:pt>
                <c:pt idx="6135">
                  <c:v>14.754016</c:v>
                </c:pt>
                <c:pt idx="6136">
                  <c:v>14.818248000000001</c:v>
                </c:pt>
                <c:pt idx="6137">
                  <c:v>14.791464</c:v>
                </c:pt>
                <c:pt idx="6138">
                  <c:v>14.734114</c:v>
                </c:pt>
                <c:pt idx="6139">
                  <c:v>14.707578</c:v>
                </c:pt>
                <c:pt idx="6140">
                  <c:v>14.780552</c:v>
                </c:pt>
                <c:pt idx="6141">
                  <c:v>14.771376</c:v>
                </c:pt>
                <c:pt idx="6142">
                  <c:v>14.83164</c:v>
                </c:pt>
                <c:pt idx="6143">
                  <c:v>14.79382</c:v>
                </c:pt>
                <c:pt idx="6144">
                  <c:v>14.811552000000001</c:v>
                </c:pt>
                <c:pt idx="6145">
                  <c:v>14.804855999999999</c:v>
                </c:pt>
                <c:pt idx="6146">
                  <c:v>14.824944</c:v>
                </c:pt>
                <c:pt idx="6147">
                  <c:v>14.574608</c:v>
                </c:pt>
                <c:pt idx="6148">
                  <c:v>14.641098</c:v>
                </c:pt>
                <c:pt idx="6149">
                  <c:v>14.845032</c:v>
                </c:pt>
                <c:pt idx="6150">
                  <c:v>14.804855999999999</c:v>
                </c:pt>
                <c:pt idx="6151">
                  <c:v>14.773918</c:v>
                </c:pt>
                <c:pt idx="6152">
                  <c:v>15.012207</c:v>
                </c:pt>
                <c:pt idx="6153">
                  <c:v>14.687676</c:v>
                </c:pt>
                <c:pt idx="6154">
                  <c:v>14.754016</c:v>
                </c:pt>
                <c:pt idx="6155">
                  <c:v>14.79382</c:v>
                </c:pt>
                <c:pt idx="6156">
                  <c:v>14.734114</c:v>
                </c:pt>
                <c:pt idx="6157">
                  <c:v>15.126804</c:v>
                </c:pt>
                <c:pt idx="6158">
                  <c:v>15.093099</c:v>
                </c:pt>
                <c:pt idx="6159">
                  <c:v>14.740748</c:v>
                </c:pt>
                <c:pt idx="6160">
                  <c:v>15.072246</c:v>
                </c:pt>
                <c:pt idx="6161">
                  <c:v>15.012143999999999</c:v>
                </c:pt>
                <c:pt idx="6162">
                  <c:v>14.978754</c:v>
                </c:pt>
                <c:pt idx="6163">
                  <c:v>14.69431</c:v>
                </c:pt>
                <c:pt idx="6164">
                  <c:v>14.877387000000001</c:v>
                </c:pt>
                <c:pt idx="6165">
                  <c:v>14.684328000000001</c:v>
                </c:pt>
                <c:pt idx="6166">
                  <c:v>14.717808</c:v>
                </c:pt>
                <c:pt idx="6167">
                  <c:v>15.052652999999999</c:v>
                </c:pt>
                <c:pt idx="6168">
                  <c:v>14.76468</c:v>
                </c:pt>
                <c:pt idx="6169">
                  <c:v>14.574608</c:v>
                </c:pt>
                <c:pt idx="6170">
                  <c:v>14.838336</c:v>
                </c:pt>
                <c:pt idx="6171">
                  <c:v>14.757984</c:v>
                </c:pt>
                <c:pt idx="6172">
                  <c:v>14.773918</c:v>
                </c:pt>
                <c:pt idx="6173">
                  <c:v>14.757984</c:v>
                </c:pt>
                <c:pt idx="6174">
                  <c:v>14.818248000000001</c:v>
                </c:pt>
                <c:pt idx="6175">
                  <c:v>15.012143999999999</c:v>
                </c:pt>
                <c:pt idx="6176">
                  <c:v>15.032178</c:v>
                </c:pt>
                <c:pt idx="6177">
                  <c:v>15.018948</c:v>
                </c:pt>
                <c:pt idx="6178">
                  <c:v>14.740748</c:v>
                </c:pt>
                <c:pt idx="6179">
                  <c:v>15.072876000000001</c:v>
                </c:pt>
                <c:pt idx="6180">
                  <c:v>14.972075999999999</c:v>
                </c:pt>
                <c:pt idx="6181">
                  <c:v>14.898618000000001</c:v>
                </c:pt>
                <c:pt idx="6182">
                  <c:v>14.985431999999999</c:v>
                </c:pt>
                <c:pt idx="6183">
                  <c:v>15.038855999999999</c:v>
                </c:pt>
                <c:pt idx="6184">
                  <c:v>15.022665</c:v>
                </c:pt>
                <c:pt idx="6185">
                  <c:v>15.3888</c:v>
                </c:pt>
                <c:pt idx="6186">
                  <c:v>15.181425000000001</c:v>
                </c:pt>
                <c:pt idx="6187">
                  <c:v>15.207884999999999</c:v>
                </c:pt>
                <c:pt idx="6188">
                  <c:v>15.214499999999999</c:v>
                </c:pt>
                <c:pt idx="6189">
                  <c:v>15.043392000000001</c:v>
                </c:pt>
                <c:pt idx="6190">
                  <c:v>15.09543</c:v>
                </c:pt>
                <c:pt idx="6191">
                  <c:v>15.180479999999999</c:v>
                </c:pt>
                <c:pt idx="6192">
                  <c:v>14.918652</c:v>
                </c:pt>
                <c:pt idx="6193">
                  <c:v>14.734114</c:v>
                </c:pt>
                <c:pt idx="6194">
                  <c:v>14.898618000000001</c:v>
                </c:pt>
                <c:pt idx="6195">
                  <c:v>14.851872</c:v>
                </c:pt>
                <c:pt idx="6196">
                  <c:v>14.871905999999999</c:v>
                </c:pt>
                <c:pt idx="6197">
                  <c:v>14.838516</c:v>
                </c:pt>
                <c:pt idx="6198">
                  <c:v>14.878584</c:v>
                </c:pt>
                <c:pt idx="6199">
                  <c:v>14.878584</c:v>
                </c:pt>
                <c:pt idx="6200">
                  <c:v>14.77791</c:v>
                </c:pt>
                <c:pt idx="6201">
                  <c:v>15.066240000000001</c:v>
                </c:pt>
                <c:pt idx="6202">
                  <c:v>14.896127999999999</c:v>
                </c:pt>
                <c:pt idx="6203">
                  <c:v>14.89194</c:v>
                </c:pt>
                <c:pt idx="6204">
                  <c:v>14.918652</c:v>
                </c:pt>
                <c:pt idx="6205">
                  <c:v>15.01248</c:v>
                </c:pt>
                <c:pt idx="6206">
                  <c:v>14.797755</c:v>
                </c:pt>
                <c:pt idx="6207">
                  <c:v>14.972075999999999</c:v>
                </c:pt>
                <c:pt idx="6208">
                  <c:v>15.14016</c:v>
                </c:pt>
                <c:pt idx="6209">
                  <c:v>15.16704</c:v>
                </c:pt>
                <c:pt idx="6210">
                  <c:v>15.126720000000001</c:v>
                </c:pt>
                <c:pt idx="6211">
                  <c:v>14.811804</c:v>
                </c:pt>
                <c:pt idx="6212">
                  <c:v>14.785092000000001</c:v>
                </c:pt>
                <c:pt idx="6213">
                  <c:v>14.798448</c:v>
                </c:pt>
                <c:pt idx="6214">
                  <c:v>14.805126</c:v>
                </c:pt>
                <c:pt idx="6215">
                  <c:v>14.785092000000001</c:v>
                </c:pt>
                <c:pt idx="6216">
                  <c:v>14.805126</c:v>
                </c:pt>
                <c:pt idx="6217">
                  <c:v>14.999040000000001</c:v>
                </c:pt>
                <c:pt idx="6218">
                  <c:v>15.066240000000001</c:v>
                </c:pt>
                <c:pt idx="6219">
                  <c:v>15.03936</c:v>
                </c:pt>
                <c:pt idx="6220">
                  <c:v>14.771295</c:v>
                </c:pt>
                <c:pt idx="6221">
                  <c:v>14.851872</c:v>
                </c:pt>
                <c:pt idx="6222">
                  <c:v>14.71176</c:v>
                </c:pt>
                <c:pt idx="6223">
                  <c:v>14.95872</c:v>
                </c:pt>
                <c:pt idx="6224">
                  <c:v>14.91168</c:v>
                </c:pt>
                <c:pt idx="6225">
                  <c:v>14.745024000000001</c:v>
                </c:pt>
                <c:pt idx="6226">
                  <c:v>14.869503999999999</c:v>
                </c:pt>
                <c:pt idx="6227">
                  <c:v>14.90944</c:v>
                </c:pt>
                <c:pt idx="6228">
                  <c:v>14.8512</c:v>
                </c:pt>
                <c:pt idx="6229">
                  <c:v>14.592689999999999</c:v>
                </c:pt>
                <c:pt idx="6230">
                  <c:v>14.625764999999999</c:v>
                </c:pt>
                <c:pt idx="6231">
                  <c:v>14.612534999999999</c:v>
                </c:pt>
                <c:pt idx="6232">
                  <c:v>14.612534999999999</c:v>
                </c:pt>
                <c:pt idx="6233">
                  <c:v>14.612534999999999</c:v>
                </c:pt>
                <c:pt idx="6234">
                  <c:v>14.619149999999999</c:v>
                </c:pt>
                <c:pt idx="6235">
                  <c:v>14.738346</c:v>
                </c:pt>
                <c:pt idx="6236">
                  <c:v>14.72499</c:v>
                </c:pt>
                <c:pt idx="6237">
                  <c:v>14.956032</c:v>
                </c:pt>
                <c:pt idx="6238">
                  <c:v>14.982656</c:v>
                </c:pt>
                <c:pt idx="6239">
                  <c:v>14.989312</c:v>
                </c:pt>
                <c:pt idx="6240">
                  <c:v>15.130699999999999</c:v>
                </c:pt>
                <c:pt idx="6241">
                  <c:v>15.15748</c:v>
                </c:pt>
                <c:pt idx="6242">
                  <c:v>15.124005</c:v>
                </c:pt>
                <c:pt idx="6243">
                  <c:v>15.04256</c:v>
                </c:pt>
                <c:pt idx="6244">
                  <c:v>15.14409</c:v>
                </c:pt>
                <c:pt idx="6245">
                  <c:v>15.049215999999999</c:v>
                </c:pt>
                <c:pt idx="6246">
                  <c:v>14.937472</c:v>
                </c:pt>
                <c:pt idx="6247">
                  <c:v>15.049215999999999</c:v>
                </c:pt>
                <c:pt idx="6248">
                  <c:v>15.055872000000001</c:v>
                </c:pt>
                <c:pt idx="6249">
                  <c:v>15.022592</c:v>
                </c:pt>
                <c:pt idx="6250">
                  <c:v>14.962688</c:v>
                </c:pt>
                <c:pt idx="6251">
                  <c:v>14.929408</c:v>
                </c:pt>
                <c:pt idx="6252">
                  <c:v>14.962688</c:v>
                </c:pt>
                <c:pt idx="6253">
                  <c:v>14.982656</c:v>
                </c:pt>
                <c:pt idx="6254">
                  <c:v>14.94272</c:v>
                </c:pt>
                <c:pt idx="6255">
                  <c:v>15.057055</c:v>
                </c:pt>
                <c:pt idx="6256">
                  <c:v>15.130699999999999</c:v>
                </c:pt>
                <c:pt idx="6257">
                  <c:v>15.14409</c:v>
                </c:pt>
                <c:pt idx="6258">
                  <c:v>15.03021</c:v>
                </c:pt>
                <c:pt idx="6259">
                  <c:v>15.069990000000001</c:v>
                </c:pt>
                <c:pt idx="6260">
                  <c:v>15.138486</c:v>
                </c:pt>
                <c:pt idx="6261">
                  <c:v>14.987895</c:v>
                </c:pt>
                <c:pt idx="6262">
                  <c:v>15.1074</c:v>
                </c:pt>
                <c:pt idx="6263">
                  <c:v>15.238476</c:v>
                </c:pt>
                <c:pt idx="6264">
                  <c:v>14.987895</c:v>
                </c:pt>
                <c:pt idx="6265">
                  <c:v>15.001025</c:v>
                </c:pt>
                <c:pt idx="6266">
                  <c:v>15.265140000000001</c:v>
                </c:pt>
                <c:pt idx="6267">
                  <c:v>15.212999999999999</c:v>
                </c:pt>
                <c:pt idx="6268">
                  <c:v>15.365130000000001</c:v>
                </c:pt>
                <c:pt idx="6269">
                  <c:v>15.338466</c:v>
                </c:pt>
                <c:pt idx="6270">
                  <c:v>15.318467999999999</c:v>
                </c:pt>
                <c:pt idx="6271">
                  <c:v>15.325134</c:v>
                </c:pt>
                <c:pt idx="6272">
                  <c:v>15.04698</c:v>
                </c:pt>
                <c:pt idx="6273">
                  <c:v>14.923999999999999</c:v>
                </c:pt>
                <c:pt idx="6274">
                  <c:v>14.9305</c:v>
                </c:pt>
                <c:pt idx="6275">
                  <c:v>15.153600000000001</c:v>
                </c:pt>
                <c:pt idx="6276">
                  <c:v>14.891500000000001</c:v>
                </c:pt>
                <c:pt idx="6277">
                  <c:v>14.891500000000001</c:v>
                </c:pt>
                <c:pt idx="6278">
                  <c:v>14.872</c:v>
                </c:pt>
                <c:pt idx="6279">
                  <c:v>14.859</c:v>
                </c:pt>
                <c:pt idx="6280">
                  <c:v>14.82</c:v>
                </c:pt>
                <c:pt idx="6281">
                  <c:v>14.846</c:v>
                </c:pt>
                <c:pt idx="6282">
                  <c:v>15.014155000000001</c:v>
                </c:pt>
                <c:pt idx="6283">
                  <c:v>15.00759</c:v>
                </c:pt>
                <c:pt idx="6284">
                  <c:v>14.843465</c:v>
                </c:pt>
                <c:pt idx="6285">
                  <c:v>14.92413</c:v>
                </c:pt>
                <c:pt idx="6286">
                  <c:v>14.90424</c:v>
                </c:pt>
                <c:pt idx="6287">
                  <c:v>14.777815</c:v>
                </c:pt>
                <c:pt idx="6288">
                  <c:v>14.890980000000001</c:v>
                </c:pt>
                <c:pt idx="6289">
                  <c:v>14.94402</c:v>
                </c:pt>
                <c:pt idx="6290">
                  <c:v>14.869725000000001</c:v>
                </c:pt>
                <c:pt idx="6291">
                  <c:v>14.90255</c:v>
                </c:pt>
                <c:pt idx="6292">
                  <c:v>14.82377</c:v>
                </c:pt>
                <c:pt idx="6293">
                  <c:v>14.92413</c:v>
                </c:pt>
                <c:pt idx="6294">
                  <c:v>14.824680000000001</c:v>
                </c:pt>
                <c:pt idx="6295">
                  <c:v>14.8512</c:v>
                </c:pt>
                <c:pt idx="6296">
                  <c:v>14.871090000000001</c:v>
                </c:pt>
                <c:pt idx="6297">
                  <c:v>14.85003</c:v>
                </c:pt>
                <c:pt idx="6298">
                  <c:v>14.922245</c:v>
                </c:pt>
                <c:pt idx="6299">
                  <c:v>14.91568</c:v>
                </c:pt>
                <c:pt idx="6300">
                  <c:v>15.111822</c:v>
                </c:pt>
                <c:pt idx="6301">
                  <c:v>15.025164</c:v>
                </c:pt>
                <c:pt idx="6302">
                  <c:v>14.9985</c:v>
                </c:pt>
                <c:pt idx="6303">
                  <c:v>14.77125</c:v>
                </c:pt>
                <c:pt idx="6304">
                  <c:v>14.77125</c:v>
                </c:pt>
                <c:pt idx="6305">
                  <c:v>14.751555</c:v>
                </c:pt>
                <c:pt idx="6306">
                  <c:v>14.75812</c:v>
                </c:pt>
                <c:pt idx="6307">
                  <c:v>14.75812</c:v>
                </c:pt>
                <c:pt idx="6308">
                  <c:v>14.965170000000001</c:v>
                </c:pt>
                <c:pt idx="6309">
                  <c:v>14.948505000000001</c:v>
                </c:pt>
                <c:pt idx="6310">
                  <c:v>14.9682</c:v>
                </c:pt>
                <c:pt idx="6311">
                  <c:v>14.852499999999999</c:v>
                </c:pt>
                <c:pt idx="6312">
                  <c:v>15.001025</c:v>
                </c:pt>
                <c:pt idx="6313">
                  <c:v>14.891500000000001</c:v>
                </c:pt>
                <c:pt idx="6314">
                  <c:v>14.95</c:v>
                </c:pt>
                <c:pt idx="6315">
                  <c:v>15.1998</c:v>
                </c:pt>
                <c:pt idx="6316">
                  <c:v>15.2262</c:v>
                </c:pt>
                <c:pt idx="6317">
                  <c:v>14.9435</c:v>
                </c:pt>
                <c:pt idx="6318">
                  <c:v>15.2064</c:v>
                </c:pt>
                <c:pt idx="6319">
                  <c:v>15.2262</c:v>
                </c:pt>
                <c:pt idx="6320">
                  <c:v>15.2394</c:v>
                </c:pt>
                <c:pt idx="6321">
                  <c:v>15.1998</c:v>
                </c:pt>
                <c:pt idx="6322">
                  <c:v>15.2064</c:v>
                </c:pt>
                <c:pt idx="6323">
                  <c:v>15.212999999999999</c:v>
                </c:pt>
                <c:pt idx="6324">
                  <c:v>15.18</c:v>
                </c:pt>
                <c:pt idx="6325">
                  <c:v>15.1668</c:v>
                </c:pt>
                <c:pt idx="6326">
                  <c:v>14.865500000000001</c:v>
                </c:pt>
                <c:pt idx="6327">
                  <c:v>14.872</c:v>
                </c:pt>
                <c:pt idx="6328">
                  <c:v>14.885</c:v>
                </c:pt>
                <c:pt idx="6329">
                  <c:v>14.865500000000001</c:v>
                </c:pt>
                <c:pt idx="6330">
                  <c:v>14.794</c:v>
                </c:pt>
                <c:pt idx="6331">
                  <c:v>14.833</c:v>
                </c:pt>
                <c:pt idx="6332">
                  <c:v>14.859</c:v>
                </c:pt>
                <c:pt idx="6333">
                  <c:v>15.133800000000001</c:v>
                </c:pt>
                <c:pt idx="6334">
                  <c:v>15.1668</c:v>
                </c:pt>
                <c:pt idx="6335">
                  <c:v>15.1866</c:v>
                </c:pt>
                <c:pt idx="6336">
                  <c:v>15.1668</c:v>
                </c:pt>
                <c:pt idx="6337">
                  <c:v>15.18</c:v>
                </c:pt>
                <c:pt idx="6338">
                  <c:v>15.212999999999999</c:v>
                </c:pt>
                <c:pt idx="6339">
                  <c:v>15.279</c:v>
                </c:pt>
                <c:pt idx="6340">
                  <c:v>15.2262</c:v>
                </c:pt>
                <c:pt idx="6341">
                  <c:v>15.173400000000001</c:v>
                </c:pt>
                <c:pt idx="6342">
                  <c:v>15.1668</c:v>
                </c:pt>
                <c:pt idx="6343">
                  <c:v>15.2064</c:v>
                </c:pt>
                <c:pt idx="6344">
                  <c:v>15.2262</c:v>
                </c:pt>
                <c:pt idx="6345">
                  <c:v>15.252599999999999</c:v>
                </c:pt>
                <c:pt idx="6346">
                  <c:v>15.252599999999999</c:v>
                </c:pt>
                <c:pt idx="6347">
                  <c:v>15.252599999999999</c:v>
                </c:pt>
                <c:pt idx="6348">
                  <c:v>15.087006000000001</c:v>
                </c:pt>
                <c:pt idx="6349">
                  <c:v>15.113142</c:v>
                </c:pt>
                <c:pt idx="6350">
                  <c:v>15.106608</c:v>
                </c:pt>
                <c:pt idx="6351">
                  <c:v>15.147</c:v>
                </c:pt>
                <c:pt idx="6352">
                  <c:v>15.153600000000001</c:v>
                </c:pt>
                <c:pt idx="6353">
                  <c:v>15.1998</c:v>
                </c:pt>
                <c:pt idx="6354">
                  <c:v>15.246</c:v>
                </c:pt>
                <c:pt idx="6355">
                  <c:v>15.232799999999999</c:v>
                </c:pt>
                <c:pt idx="6356">
                  <c:v>15.153600000000001</c:v>
                </c:pt>
                <c:pt idx="6357">
                  <c:v>15.1602</c:v>
                </c:pt>
                <c:pt idx="6358">
                  <c:v>15.1602</c:v>
                </c:pt>
                <c:pt idx="6359">
                  <c:v>15.173400000000001</c:v>
                </c:pt>
                <c:pt idx="6360">
                  <c:v>15.1998</c:v>
                </c:pt>
                <c:pt idx="6361">
                  <c:v>14.9435</c:v>
                </c:pt>
                <c:pt idx="6362">
                  <c:v>14.923999999999999</c:v>
                </c:pt>
                <c:pt idx="6363">
                  <c:v>15.173400000000001</c:v>
                </c:pt>
                <c:pt idx="6364">
                  <c:v>15.173400000000001</c:v>
                </c:pt>
                <c:pt idx="6365">
                  <c:v>14.891500000000001</c:v>
                </c:pt>
                <c:pt idx="6366">
                  <c:v>14.852499999999999</c:v>
                </c:pt>
                <c:pt idx="6367">
                  <c:v>14.872</c:v>
                </c:pt>
                <c:pt idx="6368">
                  <c:v>14.885</c:v>
                </c:pt>
                <c:pt idx="6369">
                  <c:v>14.813499999999999</c:v>
                </c:pt>
                <c:pt idx="6370">
                  <c:v>14.833</c:v>
                </c:pt>
                <c:pt idx="6371">
                  <c:v>15.094200000000001</c:v>
                </c:pt>
                <c:pt idx="6372">
                  <c:v>15.153600000000001</c:v>
                </c:pt>
                <c:pt idx="6373">
                  <c:v>15.173400000000001</c:v>
                </c:pt>
                <c:pt idx="6374">
                  <c:v>15.18</c:v>
                </c:pt>
                <c:pt idx="6375">
                  <c:v>15.1404</c:v>
                </c:pt>
                <c:pt idx="6376">
                  <c:v>15.147</c:v>
                </c:pt>
                <c:pt idx="6377">
                  <c:v>15.1206</c:v>
                </c:pt>
                <c:pt idx="6378">
                  <c:v>15.114000000000001</c:v>
                </c:pt>
                <c:pt idx="6379">
                  <c:v>15.1074</c:v>
                </c:pt>
                <c:pt idx="6380">
                  <c:v>15.094200000000001</c:v>
                </c:pt>
                <c:pt idx="6381">
                  <c:v>15.1602</c:v>
                </c:pt>
                <c:pt idx="6382">
                  <c:v>15.1668</c:v>
                </c:pt>
                <c:pt idx="6383">
                  <c:v>15.034734</c:v>
                </c:pt>
                <c:pt idx="6384">
                  <c:v>15.0282</c:v>
                </c:pt>
                <c:pt idx="6385">
                  <c:v>15.041268000000001</c:v>
                </c:pt>
                <c:pt idx="6386">
                  <c:v>15.1008</c:v>
                </c:pt>
                <c:pt idx="6387">
                  <c:v>15.021599999999999</c:v>
                </c:pt>
                <c:pt idx="6388">
                  <c:v>15.081</c:v>
                </c:pt>
                <c:pt idx="6389">
                  <c:v>15.114000000000001</c:v>
                </c:pt>
                <c:pt idx="6390">
                  <c:v>15.114000000000001</c:v>
                </c:pt>
                <c:pt idx="6391">
                  <c:v>14.865500000000001</c:v>
                </c:pt>
                <c:pt idx="6392">
                  <c:v>14.82</c:v>
                </c:pt>
                <c:pt idx="6393">
                  <c:v>15.094200000000001</c:v>
                </c:pt>
                <c:pt idx="6394">
                  <c:v>15.094200000000001</c:v>
                </c:pt>
                <c:pt idx="6395">
                  <c:v>15.1074</c:v>
                </c:pt>
                <c:pt idx="6396">
                  <c:v>15.081</c:v>
                </c:pt>
                <c:pt idx="6397">
                  <c:v>15.034800000000001</c:v>
                </c:pt>
                <c:pt idx="6398">
                  <c:v>15.041399999999999</c:v>
                </c:pt>
                <c:pt idx="6399">
                  <c:v>15.015000000000001</c:v>
                </c:pt>
                <c:pt idx="6400">
                  <c:v>14.995200000000001</c:v>
                </c:pt>
                <c:pt idx="6401">
                  <c:v>15.015000000000001</c:v>
                </c:pt>
                <c:pt idx="6402">
                  <c:v>14.781000000000001</c:v>
                </c:pt>
                <c:pt idx="6403">
                  <c:v>15.001799999999999</c:v>
                </c:pt>
                <c:pt idx="6404">
                  <c:v>14.9688</c:v>
                </c:pt>
                <c:pt idx="6405">
                  <c:v>14.9886</c:v>
                </c:pt>
                <c:pt idx="6406">
                  <c:v>14.9754</c:v>
                </c:pt>
                <c:pt idx="6407">
                  <c:v>14.9886</c:v>
                </c:pt>
                <c:pt idx="6408">
                  <c:v>15.041399999999999</c:v>
                </c:pt>
                <c:pt idx="6409">
                  <c:v>15.034800000000001</c:v>
                </c:pt>
                <c:pt idx="6410">
                  <c:v>14.7615</c:v>
                </c:pt>
                <c:pt idx="6411">
                  <c:v>14.768000000000001</c:v>
                </c:pt>
                <c:pt idx="6412">
                  <c:v>14.7745</c:v>
                </c:pt>
                <c:pt idx="6413">
                  <c:v>14.7745</c:v>
                </c:pt>
                <c:pt idx="6414">
                  <c:v>14.7615</c:v>
                </c:pt>
                <c:pt idx="6415">
                  <c:v>14.7615</c:v>
                </c:pt>
                <c:pt idx="6416">
                  <c:v>14.7485</c:v>
                </c:pt>
                <c:pt idx="6417">
                  <c:v>14.7875</c:v>
                </c:pt>
                <c:pt idx="6418">
                  <c:v>15.054600000000001</c:v>
                </c:pt>
                <c:pt idx="6419">
                  <c:v>15.0678</c:v>
                </c:pt>
                <c:pt idx="6420">
                  <c:v>15.094200000000001</c:v>
                </c:pt>
                <c:pt idx="6421">
                  <c:v>14.962859999999999</c:v>
                </c:pt>
                <c:pt idx="6422">
                  <c:v>14.949792</c:v>
                </c:pt>
                <c:pt idx="6423">
                  <c:v>14.910588000000001</c:v>
                </c:pt>
                <c:pt idx="6424">
                  <c:v>14.877917999999999</c:v>
                </c:pt>
                <c:pt idx="6425">
                  <c:v>15.0084</c:v>
                </c:pt>
                <c:pt idx="6426">
                  <c:v>14.949</c:v>
                </c:pt>
                <c:pt idx="6427">
                  <c:v>15.041399999999999</c:v>
                </c:pt>
                <c:pt idx="6428">
                  <c:v>15.0678</c:v>
                </c:pt>
                <c:pt idx="6429">
                  <c:v>15.061199999999999</c:v>
                </c:pt>
                <c:pt idx="6430">
                  <c:v>15.061199999999999</c:v>
                </c:pt>
                <c:pt idx="6431">
                  <c:v>15.054600000000001</c:v>
                </c:pt>
                <c:pt idx="6432">
                  <c:v>15.0876</c:v>
                </c:pt>
                <c:pt idx="6433">
                  <c:v>15.034800000000001</c:v>
                </c:pt>
                <c:pt idx="6434">
                  <c:v>15.021599999999999</c:v>
                </c:pt>
                <c:pt idx="6435">
                  <c:v>14.794</c:v>
                </c:pt>
                <c:pt idx="6436">
                  <c:v>15.094200000000001</c:v>
                </c:pt>
                <c:pt idx="6437">
                  <c:v>15.1008</c:v>
                </c:pt>
                <c:pt idx="6438">
                  <c:v>15.1206</c:v>
                </c:pt>
                <c:pt idx="6439">
                  <c:v>15.1272</c:v>
                </c:pt>
                <c:pt idx="6440">
                  <c:v>15.133800000000001</c:v>
                </c:pt>
                <c:pt idx="6441">
                  <c:v>15.1008</c:v>
                </c:pt>
                <c:pt idx="6442">
                  <c:v>14.846</c:v>
                </c:pt>
                <c:pt idx="6443">
                  <c:v>14.833</c:v>
                </c:pt>
                <c:pt idx="6444">
                  <c:v>14.90255</c:v>
                </c:pt>
                <c:pt idx="6445">
                  <c:v>14.995200000000001</c:v>
                </c:pt>
                <c:pt idx="6446">
                  <c:v>14.981999999999999</c:v>
                </c:pt>
                <c:pt idx="6447">
                  <c:v>14.7745</c:v>
                </c:pt>
                <c:pt idx="6448">
                  <c:v>15.105155999999999</c:v>
                </c:pt>
                <c:pt idx="6449">
                  <c:v>14.9688</c:v>
                </c:pt>
                <c:pt idx="6450">
                  <c:v>15.058494</c:v>
                </c:pt>
                <c:pt idx="6451">
                  <c:v>15.018497999999999</c:v>
                </c:pt>
                <c:pt idx="6452">
                  <c:v>15.058494</c:v>
                </c:pt>
                <c:pt idx="6453">
                  <c:v>14.922599999999999</c:v>
                </c:pt>
                <c:pt idx="6454">
                  <c:v>14.962199999999999</c:v>
                </c:pt>
                <c:pt idx="6455">
                  <c:v>14.962199999999999</c:v>
                </c:pt>
                <c:pt idx="6456">
                  <c:v>14.9886</c:v>
                </c:pt>
                <c:pt idx="6457">
                  <c:v>15.001799999999999</c:v>
                </c:pt>
                <c:pt idx="6458">
                  <c:v>14.768000000000001</c:v>
                </c:pt>
                <c:pt idx="6459">
                  <c:v>14.7745</c:v>
                </c:pt>
                <c:pt idx="6460">
                  <c:v>15.111822</c:v>
                </c:pt>
                <c:pt idx="6461">
                  <c:v>14.92881</c:v>
                </c:pt>
                <c:pt idx="6462">
                  <c:v>14.974765</c:v>
                </c:pt>
                <c:pt idx="6463">
                  <c:v>14.826499999999999</c:v>
                </c:pt>
                <c:pt idx="6464">
                  <c:v>14.826499999999999</c:v>
                </c:pt>
                <c:pt idx="6465">
                  <c:v>14.8005</c:v>
                </c:pt>
                <c:pt idx="6466">
                  <c:v>14.833</c:v>
                </c:pt>
                <c:pt idx="6467">
                  <c:v>14.865500000000001</c:v>
                </c:pt>
                <c:pt idx="6468">
                  <c:v>15.020720000000001</c:v>
                </c:pt>
                <c:pt idx="6469">
                  <c:v>14.872</c:v>
                </c:pt>
                <c:pt idx="6470">
                  <c:v>15.027284999999999</c:v>
                </c:pt>
                <c:pt idx="6471">
                  <c:v>14.885</c:v>
                </c:pt>
                <c:pt idx="6472">
                  <c:v>14.904500000000001</c:v>
                </c:pt>
                <c:pt idx="6473">
                  <c:v>14.878500000000001</c:v>
                </c:pt>
                <c:pt idx="6474">
                  <c:v>14.852499999999999</c:v>
                </c:pt>
                <c:pt idx="6475">
                  <c:v>14.955069999999999</c:v>
                </c:pt>
                <c:pt idx="6476">
                  <c:v>14.92881</c:v>
                </c:pt>
                <c:pt idx="6477">
                  <c:v>14.90255</c:v>
                </c:pt>
                <c:pt idx="6478">
                  <c:v>15.078492000000001</c:v>
                </c:pt>
                <c:pt idx="6479">
                  <c:v>15.091824000000001</c:v>
                </c:pt>
                <c:pt idx="6480">
                  <c:v>15.138486</c:v>
                </c:pt>
                <c:pt idx="6481">
                  <c:v>14.895985</c:v>
                </c:pt>
                <c:pt idx="6482">
                  <c:v>14.889419999999999</c:v>
                </c:pt>
                <c:pt idx="6483">
                  <c:v>14.882854999999999</c:v>
                </c:pt>
                <c:pt idx="6484">
                  <c:v>14.8005</c:v>
                </c:pt>
                <c:pt idx="6485">
                  <c:v>14.935375000000001</c:v>
                </c:pt>
                <c:pt idx="6486">
                  <c:v>14.909115</c:v>
                </c:pt>
                <c:pt idx="6487">
                  <c:v>14.895985</c:v>
                </c:pt>
                <c:pt idx="6488">
                  <c:v>14.909115</c:v>
                </c:pt>
                <c:pt idx="6489">
                  <c:v>14.895985</c:v>
                </c:pt>
                <c:pt idx="6490">
                  <c:v>14.909115</c:v>
                </c:pt>
                <c:pt idx="6491">
                  <c:v>14.922245</c:v>
                </c:pt>
                <c:pt idx="6492">
                  <c:v>14.895985</c:v>
                </c:pt>
                <c:pt idx="6493">
                  <c:v>14.863160000000001</c:v>
                </c:pt>
                <c:pt idx="6494">
                  <c:v>14.889419999999999</c:v>
                </c:pt>
                <c:pt idx="6495">
                  <c:v>14.7355</c:v>
                </c:pt>
                <c:pt idx="6496">
                  <c:v>15.078492000000001</c:v>
                </c:pt>
                <c:pt idx="6497">
                  <c:v>15.078492000000001</c:v>
                </c:pt>
                <c:pt idx="6498">
                  <c:v>14.9754</c:v>
                </c:pt>
                <c:pt idx="6499">
                  <c:v>14.9754</c:v>
                </c:pt>
                <c:pt idx="6500">
                  <c:v>15.054600000000001</c:v>
                </c:pt>
                <c:pt idx="6501">
                  <c:v>15.074400000000001</c:v>
                </c:pt>
                <c:pt idx="6502">
                  <c:v>15.074400000000001</c:v>
                </c:pt>
                <c:pt idx="6503">
                  <c:v>15.1404</c:v>
                </c:pt>
                <c:pt idx="6504">
                  <c:v>15.1206</c:v>
                </c:pt>
                <c:pt idx="6505">
                  <c:v>14.846</c:v>
                </c:pt>
                <c:pt idx="6506">
                  <c:v>14.961634999999999</c:v>
                </c:pt>
                <c:pt idx="6507">
                  <c:v>14.852499999999999</c:v>
                </c:pt>
                <c:pt idx="6508">
                  <c:v>14.82</c:v>
                </c:pt>
                <c:pt idx="6509">
                  <c:v>14.826499999999999</c:v>
                </c:pt>
                <c:pt idx="6510">
                  <c:v>14.82</c:v>
                </c:pt>
                <c:pt idx="6511">
                  <c:v>14.794</c:v>
                </c:pt>
                <c:pt idx="6512">
                  <c:v>14.794</c:v>
                </c:pt>
                <c:pt idx="6513">
                  <c:v>14.91568</c:v>
                </c:pt>
                <c:pt idx="6514">
                  <c:v>14.922245</c:v>
                </c:pt>
                <c:pt idx="6515">
                  <c:v>14.922245</c:v>
                </c:pt>
                <c:pt idx="6516">
                  <c:v>15.020720000000001</c:v>
                </c:pt>
                <c:pt idx="6517">
                  <c:v>15.020720000000001</c:v>
                </c:pt>
                <c:pt idx="6518">
                  <c:v>15.014155000000001</c:v>
                </c:pt>
                <c:pt idx="6519">
                  <c:v>14.859</c:v>
                </c:pt>
                <c:pt idx="6520">
                  <c:v>15.014155000000001</c:v>
                </c:pt>
                <c:pt idx="6521">
                  <c:v>14.852499999999999</c:v>
                </c:pt>
                <c:pt idx="6522">
                  <c:v>15.0876</c:v>
                </c:pt>
                <c:pt idx="6523">
                  <c:v>14.846</c:v>
                </c:pt>
                <c:pt idx="6524">
                  <c:v>14.813499999999999</c:v>
                </c:pt>
                <c:pt idx="6525">
                  <c:v>14.8005</c:v>
                </c:pt>
                <c:pt idx="6526">
                  <c:v>14.807</c:v>
                </c:pt>
                <c:pt idx="6527">
                  <c:v>15.041399999999999</c:v>
                </c:pt>
                <c:pt idx="6528">
                  <c:v>15.041399999999999</c:v>
                </c:pt>
                <c:pt idx="6529">
                  <c:v>15.0678</c:v>
                </c:pt>
                <c:pt idx="6530">
                  <c:v>14.82</c:v>
                </c:pt>
                <c:pt idx="6531">
                  <c:v>14.859</c:v>
                </c:pt>
                <c:pt idx="6532">
                  <c:v>14.872</c:v>
                </c:pt>
                <c:pt idx="6533">
                  <c:v>14.865500000000001</c:v>
                </c:pt>
                <c:pt idx="6534">
                  <c:v>15.033849999999999</c:v>
                </c:pt>
                <c:pt idx="6535">
                  <c:v>14.891500000000001</c:v>
                </c:pt>
                <c:pt idx="6536">
                  <c:v>14.865500000000001</c:v>
                </c:pt>
                <c:pt idx="6537">
                  <c:v>15.020720000000001</c:v>
                </c:pt>
                <c:pt idx="6538">
                  <c:v>14.885</c:v>
                </c:pt>
                <c:pt idx="6539">
                  <c:v>15.00759</c:v>
                </c:pt>
                <c:pt idx="6540">
                  <c:v>14.859</c:v>
                </c:pt>
                <c:pt idx="6541">
                  <c:v>14.859</c:v>
                </c:pt>
                <c:pt idx="6542">
                  <c:v>14.859</c:v>
                </c:pt>
                <c:pt idx="6543">
                  <c:v>15.1206</c:v>
                </c:pt>
                <c:pt idx="6544">
                  <c:v>15.1206</c:v>
                </c:pt>
                <c:pt idx="6545">
                  <c:v>15.1404</c:v>
                </c:pt>
                <c:pt idx="6546">
                  <c:v>15.1668</c:v>
                </c:pt>
                <c:pt idx="6547">
                  <c:v>15.153600000000001</c:v>
                </c:pt>
                <c:pt idx="6548">
                  <c:v>15.1206</c:v>
                </c:pt>
                <c:pt idx="6549">
                  <c:v>15.048</c:v>
                </c:pt>
                <c:pt idx="6550">
                  <c:v>14.826499999999999</c:v>
                </c:pt>
                <c:pt idx="6551">
                  <c:v>15.1074</c:v>
                </c:pt>
                <c:pt idx="6552">
                  <c:v>15.0678</c:v>
                </c:pt>
                <c:pt idx="6553">
                  <c:v>15.021599999999999</c:v>
                </c:pt>
                <c:pt idx="6554">
                  <c:v>14.7485</c:v>
                </c:pt>
                <c:pt idx="6555">
                  <c:v>14.742000000000001</c:v>
                </c:pt>
                <c:pt idx="6556">
                  <c:v>14.7355</c:v>
                </c:pt>
                <c:pt idx="6557">
                  <c:v>14.807</c:v>
                </c:pt>
                <c:pt idx="6558">
                  <c:v>14.7485</c:v>
                </c:pt>
                <c:pt idx="6559">
                  <c:v>14.889419999999999</c:v>
                </c:pt>
                <c:pt idx="6560">
                  <c:v>14.755000000000001</c:v>
                </c:pt>
                <c:pt idx="6561">
                  <c:v>14.9754</c:v>
                </c:pt>
                <c:pt idx="6562">
                  <c:v>15.021599999999999</c:v>
                </c:pt>
                <c:pt idx="6563">
                  <c:v>14.9754</c:v>
                </c:pt>
                <c:pt idx="6564">
                  <c:v>15.0678</c:v>
                </c:pt>
                <c:pt idx="6565">
                  <c:v>15.1668</c:v>
                </c:pt>
                <c:pt idx="6566">
                  <c:v>15.1668</c:v>
                </c:pt>
                <c:pt idx="6567">
                  <c:v>15.1008</c:v>
                </c:pt>
                <c:pt idx="6568">
                  <c:v>15.1074</c:v>
                </c:pt>
                <c:pt idx="6569">
                  <c:v>14.833</c:v>
                </c:pt>
                <c:pt idx="6570">
                  <c:v>14.813499999999999</c:v>
                </c:pt>
                <c:pt idx="6571">
                  <c:v>14.8005</c:v>
                </c:pt>
                <c:pt idx="6572">
                  <c:v>15.034800000000001</c:v>
                </c:pt>
                <c:pt idx="6573">
                  <c:v>15.054600000000001</c:v>
                </c:pt>
                <c:pt idx="6574">
                  <c:v>15.048</c:v>
                </c:pt>
                <c:pt idx="6575">
                  <c:v>15.074400000000001</c:v>
                </c:pt>
                <c:pt idx="6576">
                  <c:v>15.061199999999999</c:v>
                </c:pt>
                <c:pt idx="6577">
                  <c:v>14.82</c:v>
                </c:pt>
                <c:pt idx="6578">
                  <c:v>14.768000000000001</c:v>
                </c:pt>
                <c:pt idx="6579">
                  <c:v>14.948505000000001</c:v>
                </c:pt>
                <c:pt idx="6580">
                  <c:v>14.807</c:v>
                </c:pt>
                <c:pt idx="6581">
                  <c:v>14.768000000000001</c:v>
                </c:pt>
                <c:pt idx="6582">
                  <c:v>14.889419999999999</c:v>
                </c:pt>
                <c:pt idx="6583">
                  <c:v>14.856595</c:v>
                </c:pt>
                <c:pt idx="6584">
                  <c:v>14.882854999999999</c:v>
                </c:pt>
                <c:pt idx="6585">
                  <c:v>14.92881</c:v>
                </c:pt>
                <c:pt idx="6586">
                  <c:v>14.948505000000001</c:v>
                </c:pt>
                <c:pt idx="6587">
                  <c:v>14.987895</c:v>
                </c:pt>
                <c:pt idx="6588">
                  <c:v>14.872</c:v>
                </c:pt>
                <c:pt idx="6589">
                  <c:v>15.114000000000001</c:v>
                </c:pt>
                <c:pt idx="6590">
                  <c:v>15.021666</c:v>
                </c:pt>
                <c:pt idx="6591">
                  <c:v>15.054335999999999</c:v>
                </c:pt>
                <c:pt idx="6592">
                  <c:v>15.06087</c:v>
                </c:pt>
                <c:pt idx="6593">
                  <c:v>15.06087</c:v>
                </c:pt>
                <c:pt idx="6594">
                  <c:v>15.272399999999999</c:v>
                </c:pt>
                <c:pt idx="6595">
                  <c:v>15.279</c:v>
                </c:pt>
                <c:pt idx="6596">
                  <c:v>15.418457999999999</c:v>
                </c:pt>
                <c:pt idx="6597">
                  <c:v>15.451788000000001</c:v>
                </c:pt>
                <c:pt idx="6598">
                  <c:v>15.405125999999999</c:v>
                </c:pt>
                <c:pt idx="6599">
                  <c:v>15.246</c:v>
                </c:pt>
                <c:pt idx="6600">
                  <c:v>15.279</c:v>
                </c:pt>
                <c:pt idx="6601">
                  <c:v>15.272399999999999</c:v>
                </c:pt>
                <c:pt idx="6602">
                  <c:v>15.365130000000001</c:v>
                </c:pt>
                <c:pt idx="6603">
                  <c:v>15.318467999999999</c:v>
                </c:pt>
                <c:pt idx="6604">
                  <c:v>15.318467999999999</c:v>
                </c:pt>
                <c:pt idx="6605">
                  <c:v>15.092935000000001</c:v>
                </c:pt>
                <c:pt idx="6606">
                  <c:v>15.119194999999999</c:v>
                </c:pt>
                <c:pt idx="6607">
                  <c:v>15.145455</c:v>
                </c:pt>
                <c:pt idx="6608">
                  <c:v>15.39846</c:v>
                </c:pt>
                <c:pt idx="6609">
                  <c:v>15.145455</c:v>
                </c:pt>
                <c:pt idx="6610">
                  <c:v>15.438456</c:v>
                </c:pt>
                <c:pt idx="6611">
                  <c:v>15.191409999999999</c:v>
                </c:pt>
                <c:pt idx="6612">
                  <c:v>15.38823</c:v>
                </c:pt>
                <c:pt idx="6613">
                  <c:v>15.401490000000001</c:v>
                </c:pt>
                <c:pt idx="6614">
                  <c:v>15.21767</c:v>
                </c:pt>
                <c:pt idx="6615">
                  <c:v>15.224235</c:v>
                </c:pt>
                <c:pt idx="6616">
                  <c:v>15.243930000000001</c:v>
                </c:pt>
                <c:pt idx="6617">
                  <c:v>15.224235</c:v>
                </c:pt>
                <c:pt idx="6618">
                  <c:v>15.21767</c:v>
                </c:pt>
                <c:pt idx="6619">
                  <c:v>15.224235</c:v>
                </c:pt>
                <c:pt idx="6620">
                  <c:v>15.060499999999999</c:v>
                </c:pt>
                <c:pt idx="6621">
                  <c:v>15.12576</c:v>
                </c:pt>
                <c:pt idx="6622">
                  <c:v>15.158585</c:v>
                </c:pt>
                <c:pt idx="6623">
                  <c:v>14.9695</c:v>
                </c:pt>
                <c:pt idx="6624">
                  <c:v>15.106064999999999</c:v>
                </c:pt>
                <c:pt idx="6625">
                  <c:v>15.112629999999999</c:v>
                </c:pt>
                <c:pt idx="6626">
                  <c:v>14.975232</c:v>
                </c:pt>
                <c:pt idx="6627">
                  <c:v>15.014155000000001</c:v>
                </c:pt>
                <c:pt idx="6628">
                  <c:v>15.04698</c:v>
                </c:pt>
                <c:pt idx="6629">
                  <c:v>15.066675</c:v>
                </c:pt>
                <c:pt idx="6630">
                  <c:v>15.07324</c:v>
                </c:pt>
                <c:pt idx="6631">
                  <c:v>15.053545</c:v>
                </c:pt>
                <c:pt idx="6632">
                  <c:v>15.020720000000001</c:v>
                </c:pt>
                <c:pt idx="6633">
                  <c:v>14.883839999999999</c:v>
                </c:pt>
                <c:pt idx="6634">
                  <c:v>14.798976</c:v>
                </c:pt>
                <c:pt idx="6635">
                  <c:v>14.768208</c:v>
                </c:pt>
                <c:pt idx="6636">
                  <c:v>14.949120000000001</c:v>
                </c:pt>
                <c:pt idx="6637">
                  <c:v>14.864255999999999</c:v>
                </c:pt>
                <c:pt idx="6638">
                  <c:v>14.883839999999999</c:v>
                </c:pt>
                <c:pt idx="6639">
                  <c:v>14.712064</c:v>
                </c:pt>
                <c:pt idx="6640">
                  <c:v>14.812032</c:v>
                </c:pt>
                <c:pt idx="6641">
                  <c:v>14.857728</c:v>
                </c:pt>
                <c:pt idx="6642">
                  <c:v>14.948505000000001</c:v>
                </c:pt>
                <c:pt idx="6643">
                  <c:v>14.772864</c:v>
                </c:pt>
                <c:pt idx="6644">
                  <c:v>14.628031999999999</c:v>
                </c:pt>
                <c:pt idx="6645">
                  <c:v>14.9682</c:v>
                </c:pt>
                <c:pt idx="6646">
                  <c:v>15.041</c:v>
                </c:pt>
                <c:pt idx="6647">
                  <c:v>15.028</c:v>
                </c:pt>
                <c:pt idx="6648">
                  <c:v>15.015000000000001</c:v>
                </c:pt>
                <c:pt idx="6649">
                  <c:v>15.07324</c:v>
                </c:pt>
                <c:pt idx="6650">
                  <c:v>14.9825</c:v>
                </c:pt>
                <c:pt idx="6651">
                  <c:v>15.12576</c:v>
                </c:pt>
                <c:pt idx="6652">
                  <c:v>14.962999999999999</c:v>
                </c:pt>
                <c:pt idx="6653">
                  <c:v>15.086370000000001</c:v>
                </c:pt>
                <c:pt idx="6654">
                  <c:v>14.976000000000001</c:v>
                </c:pt>
                <c:pt idx="6655">
                  <c:v>14.936999999999999</c:v>
                </c:pt>
                <c:pt idx="6656">
                  <c:v>14.9175</c:v>
                </c:pt>
                <c:pt idx="6657">
                  <c:v>14.987895</c:v>
                </c:pt>
                <c:pt idx="6658">
                  <c:v>14.98133</c:v>
                </c:pt>
                <c:pt idx="6659">
                  <c:v>14.844671999999999</c:v>
                </c:pt>
                <c:pt idx="6660">
                  <c:v>15.086370000000001</c:v>
                </c:pt>
                <c:pt idx="6661">
                  <c:v>14.9565</c:v>
                </c:pt>
                <c:pt idx="6662">
                  <c:v>15.001025</c:v>
                </c:pt>
                <c:pt idx="6663">
                  <c:v>15.00759</c:v>
                </c:pt>
                <c:pt idx="6664">
                  <c:v>15.2658</c:v>
                </c:pt>
                <c:pt idx="6665">
                  <c:v>15.067</c:v>
                </c:pt>
                <c:pt idx="6666">
                  <c:v>15.3186</c:v>
                </c:pt>
                <c:pt idx="6667">
                  <c:v>15.073499999999999</c:v>
                </c:pt>
                <c:pt idx="6668">
                  <c:v>15.331799999999999</c:v>
                </c:pt>
                <c:pt idx="6669">
                  <c:v>15.351599999999999</c:v>
                </c:pt>
                <c:pt idx="6670">
                  <c:v>15.243822</c:v>
                </c:pt>
                <c:pt idx="6671">
                  <c:v>15.4176</c:v>
                </c:pt>
                <c:pt idx="6672">
                  <c:v>15.4572</c:v>
                </c:pt>
                <c:pt idx="6673">
                  <c:v>15.42801</c:v>
                </c:pt>
                <c:pt idx="6674">
                  <c:v>15.52083</c:v>
                </c:pt>
                <c:pt idx="6675">
                  <c:v>15.243930000000001</c:v>
                </c:pt>
                <c:pt idx="6676">
                  <c:v>15.21767</c:v>
                </c:pt>
                <c:pt idx="6677">
                  <c:v>15.2308</c:v>
                </c:pt>
                <c:pt idx="6678">
                  <c:v>15.211105</c:v>
                </c:pt>
                <c:pt idx="6679">
                  <c:v>15.171715000000001</c:v>
                </c:pt>
                <c:pt idx="6680">
                  <c:v>15.067</c:v>
                </c:pt>
                <c:pt idx="6681">
                  <c:v>15.20454</c:v>
                </c:pt>
                <c:pt idx="6682">
                  <c:v>15.197975</c:v>
                </c:pt>
                <c:pt idx="6683">
                  <c:v>12.43411</c:v>
                </c:pt>
                <c:pt idx="6684">
                  <c:v>15.0144</c:v>
                </c:pt>
                <c:pt idx="6685">
                  <c:v>15.053568</c:v>
                </c:pt>
                <c:pt idx="6686">
                  <c:v>15.187968</c:v>
                </c:pt>
                <c:pt idx="6687">
                  <c:v>15.148415999999999</c:v>
                </c:pt>
                <c:pt idx="6688">
                  <c:v>14.994816</c:v>
                </c:pt>
                <c:pt idx="6689">
                  <c:v>14.98176</c:v>
                </c:pt>
                <c:pt idx="6690">
                  <c:v>15.001344</c:v>
                </c:pt>
                <c:pt idx="6691">
                  <c:v>14.879277</c:v>
                </c:pt>
                <c:pt idx="6692">
                  <c:v>15.187968</c:v>
                </c:pt>
                <c:pt idx="6693">
                  <c:v>15.303015</c:v>
                </c:pt>
                <c:pt idx="6694">
                  <c:v>15.329275000000001</c:v>
                </c:pt>
                <c:pt idx="6695">
                  <c:v>15.316145000000001</c:v>
                </c:pt>
                <c:pt idx="6696">
                  <c:v>15.303015</c:v>
                </c:pt>
                <c:pt idx="6697">
                  <c:v>15.441269999999999</c:v>
                </c:pt>
                <c:pt idx="6698">
                  <c:v>15.41475</c:v>
                </c:pt>
                <c:pt idx="6699">
                  <c:v>15.47442</c:v>
                </c:pt>
                <c:pt idx="6700">
                  <c:v>15.401490000000001</c:v>
                </c:pt>
                <c:pt idx="6701">
                  <c:v>15.401490000000001</c:v>
                </c:pt>
                <c:pt idx="6702">
                  <c:v>15.36171</c:v>
                </c:pt>
                <c:pt idx="6703">
                  <c:v>15.247296</c:v>
                </c:pt>
                <c:pt idx="6704">
                  <c:v>15.253888</c:v>
                </c:pt>
                <c:pt idx="6705">
                  <c:v>15.280256</c:v>
                </c:pt>
                <c:pt idx="6706">
                  <c:v>15.3264</c:v>
                </c:pt>
                <c:pt idx="6707">
                  <c:v>15.063048</c:v>
                </c:pt>
                <c:pt idx="6708">
                  <c:v>15.240959999999999</c:v>
                </c:pt>
                <c:pt idx="6709">
                  <c:v>15.260805</c:v>
                </c:pt>
                <c:pt idx="6710">
                  <c:v>15.30711</c:v>
                </c:pt>
                <c:pt idx="6711">
                  <c:v>15.37326</c:v>
                </c:pt>
                <c:pt idx="6712">
                  <c:v>15.260805</c:v>
                </c:pt>
                <c:pt idx="6713">
                  <c:v>15.260805</c:v>
                </c:pt>
                <c:pt idx="6714">
                  <c:v>15.076152</c:v>
                </c:pt>
                <c:pt idx="6715">
                  <c:v>15.076152</c:v>
                </c:pt>
                <c:pt idx="6716">
                  <c:v>15.240959999999999</c:v>
                </c:pt>
                <c:pt idx="6717">
                  <c:v>15.194654999999999</c:v>
                </c:pt>
                <c:pt idx="6718">
                  <c:v>15.161580000000001</c:v>
                </c:pt>
                <c:pt idx="6719">
                  <c:v>15.043392000000001</c:v>
                </c:pt>
                <c:pt idx="6720">
                  <c:v>15.128568</c:v>
                </c:pt>
                <c:pt idx="6721">
                  <c:v>15.135120000000001</c:v>
                </c:pt>
                <c:pt idx="6722">
                  <c:v>15.161327999999999</c:v>
                </c:pt>
                <c:pt idx="6723">
                  <c:v>15.240959999999999</c:v>
                </c:pt>
                <c:pt idx="6724">
                  <c:v>15.168195000000001</c:v>
                </c:pt>
                <c:pt idx="6725">
                  <c:v>15.102045</c:v>
                </c:pt>
                <c:pt idx="6726">
                  <c:v>15.069596000000001</c:v>
                </c:pt>
                <c:pt idx="6727">
                  <c:v>14.76468</c:v>
                </c:pt>
                <c:pt idx="6728">
                  <c:v>14.754016</c:v>
                </c:pt>
                <c:pt idx="6729">
                  <c:v>14.740996000000001</c:v>
                </c:pt>
                <c:pt idx="6730">
                  <c:v>14.984159999999999</c:v>
                </c:pt>
                <c:pt idx="6731">
                  <c:v>14.81986</c:v>
                </c:pt>
                <c:pt idx="6732">
                  <c:v>35.732640000000004</c:v>
                </c:pt>
                <c:pt idx="6733">
                  <c:v>174.08902499999999</c:v>
                </c:pt>
                <c:pt idx="6734">
                  <c:v>161.547032</c:v>
                </c:pt>
                <c:pt idx="6735">
                  <c:v>161.93692799999999</c:v>
                </c:pt>
                <c:pt idx="6736">
                  <c:v>166.56093999999999</c:v>
                </c:pt>
                <c:pt idx="6737">
                  <c:v>178.172934</c:v>
                </c:pt>
                <c:pt idx="6738">
                  <c:v>159.95166</c:v>
                </c:pt>
                <c:pt idx="6739">
                  <c:v>160.92410000000001</c:v>
                </c:pt>
                <c:pt idx="6740">
                  <c:v>155.59935300000001</c:v>
                </c:pt>
                <c:pt idx="6741">
                  <c:v>155.04216</c:v>
                </c:pt>
                <c:pt idx="6742">
                  <c:v>155.860705</c:v>
                </c:pt>
                <c:pt idx="6743">
                  <c:v>154.76615699999999</c:v>
                </c:pt>
                <c:pt idx="6744">
                  <c:v>154.65568300000001</c:v>
                </c:pt>
                <c:pt idx="6745">
                  <c:v>152.67251999999999</c:v>
                </c:pt>
                <c:pt idx="6746">
                  <c:v>152.80228600000001</c:v>
                </c:pt>
                <c:pt idx="6747">
                  <c:v>152.59244000000001</c:v>
                </c:pt>
                <c:pt idx="6748">
                  <c:v>152.59244000000001</c:v>
                </c:pt>
                <c:pt idx="6749">
                  <c:v>151.987472</c:v>
                </c:pt>
                <c:pt idx="6750">
                  <c:v>152.39970199999999</c:v>
                </c:pt>
                <c:pt idx="6751">
                  <c:v>163.83111600000001</c:v>
                </c:pt>
                <c:pt idx="6752">
                  <c:v>175.389816</c:v>
                </c:pt>
                <c:pt idx="6753">
                  <c:v>168.22752</c:v>
                </c:pt>
                <c:pt idx="6754">
                  <c:v>152.66378399999999</c:v>
                </c:pt>
                <c:pt idx="6755">
                  <c:v>152.924226</c:v>
                </c:pt>
                <c:pt idx="6756">
                  <c:v>153.693085</c:v>
                </c:pt>
                <c:pt idx="6757">
                  <c:v>159.875024</c:v>
                </c:pt>
                <c:pt idx="6758">
                  <c:v>167.268328</c:v>
                </c:pt>
                <c:pt idx="6759">
                  <c:v>153.865712</c:v>
                </c:pt>
                <c:pt idx="6760">
                  <c:v>154.09375800000001</c:v>
                </c:pt>
                <c:pt idx="6761">
                  <c:v>154.11177599999999</c:v>
                </c:pt>
                <c:pt idx="6762">
                  <c:v>159.48760100000001</c:v>
                </c:pt>
                <c:pt idx="6763">
                  <c:v>166.59580800000001</c:v>
                </c:pt>
                <c:pt idx="6764">
                  <c:v>154.30142000000001</c:v>
                </c:pt>
                <c:pt idx="6765">
                  <c:v>154.70819</c:v>
                </c:pt>
                <c:pt idx="6766">
                  <c:v>157.33190200000001</c:v>
                </c:pt>
                <c:pt idx="6767">
                  <c:v>166.1842</c:v>
                </c:pt>
                <c:pt idx="6768">
                  <c:v>157.19977</c:v>
                </c:pt>
                <c:pt idx="6769">
                  <c:v>170.22944000000001</c:v>
                </c:pt>
                <c:pt idx="6770">
                  <c:v>158.64940000000001</c:v>
                </c:pt>
                <c:pt idx="6771">
                  <c:v>152.37039999999999</c:v>
                </c:pt>
                <c:pt idx="6772">
                  <c:v>152.060272</c:v>
                </c:pt>
                <c:pt idx="6773">
                  <c:v>155.15873099999999</c:v>
                </c:pt>
                <c:pt idx="6774">
                  <c:v>158.646761</c:v>
                </c:pt>
                <c:pt idx="6775">
                  <c:v>178.27616399999999</c:v>
                </c:pt>
                <c:pt idx="6776">
                  <c:v>176.20428799999999</c:v>
                </c:pt>
                <c:pt idx="6777">
                  <c:v>176.48415199999999</c:v>
                </c:pt>
                <c:pt idx="6778">
                  <c:v>175.38530399999999</c:v>
                </c:pt>
                <c:pt idx="6779">
                  <c:v>182.72788800000001</c:v>
                </c:pt>
                <c:pt idx="6780">
                  <c:v>183.26022</c:v>
                </c:pt>
                <c:pt idx="6781">
                  <c:v>184.26871199999999</c:v>
                </c:pt>
                <c:pt idx="6782">
                  <c:v>182.8845</c:v>
                </c:pt>
                <c:pt idx="6783">
                  <c:v>182.98828800000001</c:v>
                </c:pt>
                <c:pt idx="6784">
                  <c:v>182.46190799999999</c:v>
                </c:pt>
                <c:pt idx="6785">
                  <c:v>181.646916</c:v>
                </c:pt>
                <c:pt idx="6786">
                  <c:v>182.26355599999999</c:v>
                </c:pt>
                <c:pt idx="6787">
                  <c:v>180.89299800000001</c:v>
                </c:pt>
                <c:pt idx="6788">
                  <c:v>180.968886</c:v>
                </c:pt>
                <c:pt idx="6789">
                  <c:v>181.93534199999999</c:v>
                </c:pt>
                <c:pt idx="6790">
                  <c:v>179.13808800000001</c:v>
                </c:pt>
                <c:pt idx="6791">
                  <c:v>180.44604000000001</c:v>
                </c:pt>
                <c:pt idx="6792">
                  <c:v>181.50623999999999</c:v>
                </c:pt>
                <c:pt idx="6793">
                  <c:v>180.34113600000001</c:v>
                </c:pt>
                <c:pt idx="6794">
                  <c:v>181.267416</c:v>
                </c:pt>
                <c:pt idx="6795">
                  <c:v>177.31352100000001</c:v>
                </c:pt>
                <c:pt idx="6796">
                  <c:v>176.39775</c:v>
                </c:pt>
                <c:pt idx="6797">
                  <c:v>172.357551</c:v>
                </c:pt>
                <c:pt idx="6798">
                  <c:v>172.12681799999999</c:v>
                </c:pt>
                <c:pt idx="6799">
                  <c:v>170.85681</c:v>
                </c:pt>
                <c:pt idx="6800">
                  <c:v>167.05571399999999</c:v>
                </c:pt>
                <c:pt idx="6801">
                  <c:v>173.070954</c:v>
                </c:pt>
                <c:pt idx="6802">
                  <c:v>172.84049999999999</c:v>
                </c:pt>
                <c:pt idx="6803">
                  <c:v>173.526096</c:v>
                </c:pt>
                <c:pt idx="6804">
                  <c:v>172.328721</c:v>
                </c:pt>
                <c:pt idx="6805">
                  <c:v>177.35946300000001</c:v>
                </c:pt>
                <c:pt idx="6806">
                  <c:v>170.05608000000001</c:v>
                </c:pt>
                <c:pt idx="6807">
                  <c:v>182.50896599999999</c:v>
                </c:pt>
                <c:pt idx="6808">
                  <c:v>182.12571299999999</c:v>
                </c:pt>
                <c:pt idx="6809">
                  <c:v>176.68233000000001</c:v>
                </c:pt>
                <c:pt idx="6810">
                  <c:v>173.58543</c:v>
                </c:pt>
                <c:pt idx="6811">
                  <c:v>172.825062</c:v>
                </c:pt>
                <c:pt idx="6812">
                  <c:v>172.895928</c:v>
                </c:pt>
                <c:pt idx="6813">
                  <c:v>173.62644299999999</c:v>
                </c:pt>
                <c:pt idx="6814">
                  <c:v>174.12948</c:v>
                </c:pt>
                <c:pt idx="6815">
                  <c:v>178.034085</c:v>
                </c:pt>
                <c:pt idx="6816">
                  <c:v>173.46732</c:v>
                </c:pt>
                <c:pt idx="6817">
                  <c:v>172.67375100000001</c:v>
                </c:pt>
                <c:pt idx="6818">
                  <c:v>173.20357200000001</c:v>
                </c:pt>
                <c:pt idx="6819">
                  <c:v>174.91458600000001</c:v>
                </c:pt>
                <c:pt idx="6820">
                  <c:v>174.98973000000001</c:v>
                </c:pt>
                <c:pt idx="6821">
                  <c:v>177.67631399999999</c:v>
                </c:pt>
                <c:pt idx="6822">
                  <c:v>173.85884999999999</c:v>
                </c:pt>
                <c:pt idx="6823">
                  <c:v>169.91546399999999</c:v>
                </c:pt>
                <c:pt idx="6824">
                  <c:v>171.73817099999999</c:v>
                </c:pt>
                <c:pt idx="6825">
                  <c:v>172.975257</c:v>
                </c:pt>
                <c:pt idx="6826">
                  <c:v>172.84440599999999</c:v>
                </c:pt>
                <c:pt idx="6827">
                  <c:v>171.61559700000001</c:v>
                </c:pt>
                <c:pt idx="6828">
                  <c:v>172.95842400000001</c:v>
                </c:pt>
                <c:pt idx="6829">
                  <c:v>172.901601</c:v>
                </c:pt>
                <c:pt idx="6830">
                  <c:v>172.994136</c:v>
                </c:pt>
                <c:pt idx="6831">
                  <c:v>173.18646000000001</c:v>
                </c:pt>
                <c:pt idx="6832">
                  <c:v>172.422</c:v>
                </c:pt>
                <c:pt idx="6833">
                  <c:v>172.61506800000001</c:v>
                </c:pt>
                <c:pt idx="6834">
                  <c:v>176.15418299999999</c:v>
                </c:pt>
                <c:pt idx="6835">
                  <c:v>173.11019999999999</c:v>
                </c:pt>
                <c:pt idx="6836">
                  <c:v>173.753016</c:v>
                </c:pt>
                <c:pt idx="6837">
                  <c:v>174.69566399999999</c:v>
                </c:pt>
                <c:pt idx="6838">
                  <c:v>173.584686</c:v>
                </c:pt>
                <c:pt idx="6839">
                  <c:v>173.65778399999999</c:v>
                </c:pt>
                <c:pt idx="6840">
                  <c:v>177.04912200000001</c:v>
                </c:pt>
                <c:pt idx="6841">
                  <c:v>178.64351400000001</c:v>
                </c:pt>
                <c:pt idx="6842">
                  <c:v>178.63374899999999</c:v>
                </c:pt>
                <c:pt idx="6843">
                  <c:v>175.52792099999999</c:v>
                </c:pt>
                <c:pt idx="6844">
                  <c:v>174.86883</c:v>
                </c:pt>
                <c:pt idx="6845">
                  <c:v>174.15142800000001</c:v>
                </c:pt>
                <c:pt idx="6846">
                  <c:v>174.25893600000001</c:v>
                </c:pt>
                <c:pt idx="6847">
                  <c:v>174.75630000000001</c:v>
                </c:pt>
                <c:pt idx="6848">
                  <c:v>174.437682</c:v>
                </c:pt>
                <c:pt idx="6849">
                  <c:v>174.528357</c:v>
                </c:pt>
                <c:pt idx="6850">
                  <c:v>174.924723</c:v>
                </c:pt>
                <c:pt idx="6851">
                  <c:v>175.54679999999999</c:v>
                </c:pt>
                <c:pt idx="6852">
                  <c:v>174.133386</c:v>
                </c:pt>
                <c:pt idx="6853">
                  <c:v>174.10158000000001</c:v>
                </c:pt>
                <c:pt idx="6854">
                  <c:v>173.889261</c:v>
                </c:pt>
                <c:pt idx="6855">
                  <c:v>175.06822199999999</c:v>
                </c:pt>
                <c:pt idx="6856">
                  <c:v>174.33705599999999</c:v>
                </c:pt>
                <c:pt idx="6857">
                  <c:v>174.01230000000001</c:v>
                </c:pt>
                <c:pt idx="6858">
                  <c:v>174.56025600000001</c:v>
                </c:pt>
                <c:pt idx="6859">
                  <c:v>174.29501999999999</c:v>
                </c:pt>
                <c:pt idx="6860">
                  <c:v>173.51121599999999</c:v>
                </c:pt>
                <c:pt idx="6861">
                  <c:v>172.833339</c:v>
                </c:pt>
                <c:pt idx="6862">
                  <c:v>173.84043600000001</c:v>
                </c:pt>
                <c:pt idx="6863">
                  <c:v>174.56844000000001</c:v>
                </c:pt>
                <c:pt idx="6864">
                  <c:v>173.37822600000001</c:v>
                </c:pt>
                <c:pt idx="6865">
                  <c:v>173.12666100000001</c:v>
                </c:pt>
                <c:pt idx="6866">
                  <c:v>173.36874</c:v>
                </c:pt>
                <c:pt idx="6867">
                  <c:v>168.60258300000001</c:v>
                </c:pt>
                <c:pt idx="6868">
                  <c:v>171.54073199999999</c:v>
                </c:pt>
                <c:pt idx="6869">
                  <c:v>173.357394</c:v>
                </c:pt>
                <c:pt idx="6870">
                  <c:v>176.29662400000001</c:v>
                </c:pt>
                <c:pt idx="6871">
                  <c:v>175.63298399999999</c:v>
                </c:pt>
                <c:pt idx="6872">
                  <c:v>173.99851200000001</c:v>
                </c:pt>
                <c:pt idx="6873">
                  <c:v>174.142144</c:v>
                </c:pt>
                <c:pt idx="6874">
                  <c:v>173.143215</c:v>
                </c:pt>
                <c:pt idx="6875">
                  <c:v>172.782375</c:v>
                </c:pt>
                <c:pt idx="6876">
                  <c:v>175.188928</c:v>
                </c:pt>
                <c:pt idx="6877">
                  <c:v>172.67402999999999</c:v>
                </c:pt>
                <c:pt idx="6878">
                  <c:v>170.99686800000001</c:v>
                </c:pt>
                <c:pt idx="6879">
                  <c:v>171.51152999999999</c:v>
                </c:pt>
                <c:pt idx="6880">
                  <c:v>171.70803900000001</c:v>
                </c:pt>
                <c:pt idx="6881">
                  <c:v>175.509693</c:v>
                </c:pt>
                <c:pt idx="6882">
                  <c:v>172.72890000000001</c:v>
                </c:pt>
                <c:pt idx="6883">
                  <c:v>171.94993199999999</c:v>
                </c:pt>
                <c:pt idx="6884">
                  <c:v>172.57293899999999</c:v>
                </c:pt>
                <c:pt idx="6885">
                  <c:v>176.58002999999999</c:v>
                </c:pt>
                <c:pt idx="6886">
                  <c:v>179.29860600000001</c:v>
                </c:pt>
                <c:pt idx="6887">
                  <c:v>175.45194000000001</c:v>
                </c:pt>
                <c:pt idx="6888">
                  <c:v>172.388892</c:v>
                </c:pt>
                <c:pt idx="6889">
                  <c:v>175.18968000000001</c:v>
                </c:pt>
                <c:pt idx="6890">
                  <c:v>175.509972</c:v>
                </c:pt>
                <c:pt idx="6891">
                  <c:v>172.93536</c:v>
                </c:pt>
                <c:pt idx="6892">
                  <c:v>180.34838999999999</c:v>
                </c:pt>
                <c:pt idx="6893">
                  <c:v>181.421424</c:v>
                </c:pt>
                <c:pt idx="6894">
                  <c:v>173.81895299999999</c:v>
                </c:pt>
                <c:pt idx="6895">
                  <c:v>172.77437699999999</c:v>
                </c:pt>
                <c:pt idx="6896">
                  <c:v>171.391932</c:v>
                </c:pt>
                <c:pt idx="6897">
                  <c:v>172.22205</c:v>
                </c:pt>
                <c:pt idx="6898">
                  <c:v>177.67464000000001</c:v>
                </c:pt>
                <c:pt idx="6899">
                  <c:v>180.92591999999999</c:v>
                </c:pt>
                <c:pt idx="6900">
                  <c:v>176.85847200000001</c:v>
                </c:pt>
                <c:pt idx="6901">
                  <c:v>172.194615</c:v>
                </c:pt>
                <c:pt idx="6902">
                  <c:v>175.41288</c:v>
                </c:pt>
                <c:pt idx="6903">
                  <c:v>175.37361999999999</c:v>
                </c:pt>
                <c:pt idx="6904">
                  <c:v>173.372646</c:v>
                </c:pt>
                <c:pt idx="6905">
                  <c:v>176.668938</c:v>
                </c:pt>
                <c:pt idx="6906">
                  <c:v>175.10411999999999</c:v>
                </c:pt>
                <c:pt idx="6907">
                  <c:v>175.77697499999999</c:v>
                </c:pt>
                <c:pt idx="6908">
                  <c:v>172.30403999999999</c:v>
                </c:pt>
                <c:pt idx="6909">
                  <c:v>179.86572000000001</c:v>
                </c:pt>
                <c:pt idx="6910">
                  <c:v>179.06331599999999</c:v>
                </c:pt>
                <c:pt idx="6911">
                  <c:v>176.68790999999999</c:v>
                </c:pt>
                <c:pt idx="6912">
                  <c:v>172.0308</c:v>
                </c:pt>
                <c:pt idx="6913">
                  <c:v>170.20367999999999</c:v>
                </c:pt>
                <c:pt idx="6914">
                  <c:v>171.85231999999999</c:v>
                </c:pt>
                <c:pt idx="6915">
                  <c:v>171.089088</c:v>
                </c:pt>
                <c:pt idx="6916">
                  <c:v>174.14398800000001</c:v>
                </c:pt>
                <c:pt idx="6917">
                  <c:v>171.79344</c:v>
                </c:pt>
                <c:pt idx="6918">
                  <c:v>170.936092</c:v>
                </c:pt>
                <c:pt idx="6919">
                  <c:v>170.21968799999999</c:v>
                </c:pt>
                <c:pt idx="6920">
                  <c:v>180.48407700000001</c:v>
                </c:pt>
                <c:pt idx="6921">
                  <c:v>182.98903200000001</c:v>
                </c:pt>
                <c:pt idx="6922">
                  <c:v>183.27882</c:v>
                </c:pt>
                <c:pt idx="6923">
                  <c:v>172.35372000000001</c:v>
                </c:pt>
                <c:pt idx="6924">
                  <c:v>170.957528</c:v>
                </c:pt>
                <c:pt idx="6925">
                  <c:v>176.604489</c:v>
                </c:pt>
                <c:pt idx="6926">
                  <c:v>177.23474999999999</c:v>
                </c:pt>
                <c:pt idx="6927">
                  <c:v>178.06003200000001</c:v>
                </c:pt>
                <c:pt idx="6928">
                  <c:v>173.61193499999999</c:v>
                </c:pt>
                <c:pt idx="6929">
                  <c:v>174.95197200000001</c:v>
                </c:pt>
                <c:pt idx="6930">
                  <c:v>175.33727099999999</c:v>
                </c:pt>
                <c:pt idx="6931">
                  <c:v>170.698272</c:v>
                </c:pt>
                <c:pt idx="6932">
                  <c:v>169.99539200000001</c:v>
                </c:pt>
                <c:pt idx="6933">
                  <c:v>166.198092</c:v>
                </c:pt>
                <c:pt idx="6934">
                  <c:v>153.70746299999999</c:v>
                </c:pt>
                <c:pt idx="6935">
                  <c:v>154.81766300000001</c:v>
                </c:pt>
                <c:pt idx="6936">
                  <c:v>155.67224400000001</c:v>
                </c:pt>
                <c:pt idx="6937">
                  <c:v>155.27047899999999</c:v>
                </c:pt>
                <c:pt idx="6938">
                  <c:v>155.564955</c:v>
                </c:pt>
                <c:pt idx="6939">
                  <c:v>154.59680599999999</c:v>
                </c:pt>
                <c:pt idx="6940">
                  <c:v>156.41853499999999</c:v>
                </c:pt>
                <c:pt idx="6941">
                  <c:v>155.64549</c:v>
                </c:pt>
                <c:pt idx="6942">
                  <c:v>156.08501999999999</c:v>
                </c:pt>
                <c:pt idx="6943">
                  <c:v>154.723569</c:v>
                </c:pt>
                <c:pt idx="6944">
                  <c:v>155.07619399999999</c:v>
                </c:pt>
                <c:pt idx="6945">
                  <c:v>168.302592</c:v>
                </c:pt>
                <c:pt idx="6946">
                  <c:v>163.920816</c:v>
                </c:pt>
                <c:pt idx="6947">
                  <c:v>164.13646399999999</c:v>
                </c:pt>
                <c:pt idx="6948">
                  <c:v>159.86655999999999</c:v>
                </c:pt>
                <c:pt idx="6949">
                  <c:v>153.40525199999999</c:v>
                </c:pt>
                <c:pt idx="6950">
                  <c:v>153.8355</c:v>
                </c:pt>
                <c:pt idx="6951">
                  <c:v>153.14098799999999</c:v>
                </c:pt>
                <c:pt idx="6952">
                  <c:v>153.216791</c:v>
                </c:pt>
                <c:pt idx="6953">
                  <c:v>153.12115</c:v>
                </c:pt>
                <c:pt idx="6954">
                  <c:v>153.330905</c:v>
                </c:pt>
                <c:pt idx="6955">
                  <c:v>154.11760000000001</c:v>
                </c:pt>
                <c:pt idx="6956">
                  <c:v>158.75244000000001</c:v>
                </c:pt>
                <c:pt idx="6957">
                  <c:v>155.605086</c:v>
                </c:pt>
                <c:pt idx="6958">
                  <c:v>154.727846</c:v>
                </c:pt>
                <c:pt idx="6959">
                  <c:v>155.69007999999999</c:v>
                </c:pt>
                <c:pt idx="6960">
                  <c:v>154.75414499999999</c:v>
                </c:pt>
                <c:pt idx="6961">
                  <c:v>153.37576799999999</c:v>
                </c:pt>
                <c:pt idx="6962">
                  <c:v>156.62292099999999</c:v>
                </c:pt>
                <c:pt idx="6963">
                  <c:v>152.977734</c:v>
                </c:pt>
                <c:pt idx="6964">
                  <c:v>155.56322599999999</c:v>
                </c:pt>
                <c:pt idx="6965">
                  <c:v>154.60890900000001</c:v>
                </c:pt>
                <c:pt idx="6966">
                  <c:v>154.22534400000001</c:v>
                </c:pt>
                <c:pt idx="6967">
                  <c:v>158.004392</c:v>
                </c:pt>
                <c:pt idx="6968">
                  <c:v>155.55539999999999</c:v>
                </c:pt>
                <c:pt idx="6969">
                  <c:v>154.92477</c:v>
                </c:pt>
                <c:pt idx="6970">
                  <c:v>152.86525800000001</c:v>
                </c:pt>
                <c:pt idx="6971">
                  <c:v>152.21606399999999</c:v>
                </c:pt>
                <c:pt idx="6972">
                  <c:v>153.40525199999999</c:v>
                </c:pt>
                <c:pt idx="6973">
                  <c:v>153.801648</c:v>
                </c:pt>
                <c:pt idx="6974">
                  <c:v>153.56086199999999</c:v>
                </c:pt>
                <c:pt idx="6975">
                  <c:v>155.818208</c:v>
                </c:pt>
                <c:pt idx="6976">
                  <c:v>166.464234</c:v>
                </c:pt>
                <c:pt idx="6977">
                  <c:v>163.45446799999999</c:v>
                </c:pt>
                <c:pt idx="6978">
                  <c:v>161.662768</c:v>
                </c:pt>
                <c:pt idx="6979">
                  <c:v>160.88592</c:v>
                </c:pt>
                <c:pt idx="6980">
                  <c:v>173.584686</c:v>
                </c:pt>
                <c:pt idx="6981">
                  <c:v>162.71984800000001</c:v>
                </c:pt>
                <c:pt idx="6982">
                  <c:v>154.53820200000001</c:v>
                </c:pt>
                <c:pt idx="6983">
                  <c:v>148.58725699999999</c:v>
                </c:pt>
                <c:pt idx="6984">
                  <c:v>150.3073</c:v>
                </c:pt>
                <c:pt idx="6985">
                  <c:v>151.32390000000001</c:v>
                </c:pt>
                <c:pt idx="6986">
                  <c:v>154.62538000000001</c:v>
                </c:pt>
                <c:pt idx="6987">
                  <c:v>152.93350799999999</c:v>
                </c:pt>
                <c:pt idx="6988">
                  <c:v>161.05345199999999</c:v>
                </c:pt>
                <c:pt idx="6989">
                  <c:v>160.25866400000001</c:v>
                </c:pt>
                <c:pt idx="6990">
                  <c:v>153.397426</c:v>
                </c:pt>
                <c:pt idx="6991">
                  <c:v>156.078</c:v>
                </c:pt>
                <c:pt idx="6992">
                  <c:v>155.93291600000001</c:v>
                </c:pt>
                <c:pt idx="6993">
                  <c:v>153.94175999999999</c:v>
                </c:pt>
                <c:pt idx="6994">
                  <c:v>155.17823999999999</c:v>
                </c:pt>
                <c:pt idx="6995">
                  <c:v>154.88825600000001</c:v>
                </c:pt>
                <c:pt idx="6996">
                  <c:v>154.10303999999999</c:v>
                </c:pt>
                <c:pt idx="6997">
                  <c:v>152.334</c:v>
                </c:pt>
                <c:pt idx="6998">
                  <c:v>151.34246400000001</c:v>
                </c:pt>
                <c:pt idx="6999">
                  <c:v>149.64949999999999</c:v>
                </c:pt>
              </c:numCache>
            </c:numRef>
          </c:yVal>
        </c:ser>
        <c:axId val="12118272"/>
        <c:axId val="275431424"/>
      </c:scatterChart>
      <c:valAx>
        <c:axId val="12118272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it-IT" sz="1400"/>
                  <a:t>Data</a:t>
                </a:r>
              </a:p>
            </c:rich>
          </c:tx>
          <c:layout>
            <c:manualLayout>
              <c:xMode val="edge"/>
              <c:yMode val="edge"/>
              <c:x val="0.88060516020403112"/>
              <c:y val="0.96377846708555415"/>
            </c:manualLayout>
          </c:layout>
        </c:title>
        <c:numFmt formatCode="dd/mm/yyyy" sourceLinked="1"/>
        <c:tickLblPos val="nextTo"/>
        <c:spPr>
          <a:ln w="28575">
            <a:solidFill>
              <a:schemeClr val="tx1"/>
            </a:solidFill>
            <a:tailEnd type="stealth" w="lg" len="lg"/>
          </a:ln>
        </c:spPr>
        <c:crossAx val="275431424"/>
        <c:crosses val="autoZero"/>
        <c:crossBetween val="midCat"/>
      </c:valAx>
      <c:valAx>
        <c:axId val="2754314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it-IT" sz="1400"/>
                  <a:t>Potenza</a:t>
                </a:r>
                <a:r>
                  <a:rPr lang="it-IT" sz="1400" baseline="0"/>
                  <a:t> [W]</a:t>
                </a:r>
                <a:endParaRPr lang="it-IT" sz="1400"/>
              </a:p>
            </c:rich>
          </c:tx>
          <c:layout>
            <c:manualLayout>
              <c:xMode val="edge"/>
              <c:yMode val="edge"/>
              <c:x val="4.8379293662312505E-3"/>
              <c:y val="5.4292354869782761E-2"/>
            </c:manualLayout>
          </c:layout>
        </c:title>
        <c:numFmt formatCode="#,##0" sourceLinked="0"/>
        <c:tickLblPos val="nextTo"/>
        <c:spPr>
          <a:ln w="28575">
            <a:solidFill>
              <a:sysClr val="windowText" lastClr="000000"/>
            </a:solidFill>
            <a:tailEnd type="stealth" w="lg" len="lg"/>
          </a:ln>
        </c:spPr>
        <c:crossAx val="12118272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u="sng"/>
            </a:pPr>
            <a:r>
              <a:rPr lang="en-US"/>
              <a:t>Costi [c€]</a:t>
            </a:r>
          </a:p>
        </c:rich>
      </c:tx>
      <c:layout>
        <c:manualLayout>
          <c:xMode val="edge"/>
          <c:yMode val="edge"/>
          <c:x val="0.5322776450696467"/>
          <c:y val="3.7552018274954496E-2"/>
        </c:manualLayout>
      </c:layout>
    </c:title>
    <c:plotArea>
      <c:layout>
        <c:manualLayout>
          <c:layoutTarget val="inner"/>
          <c:xMode val="edge"/>
          <c:yMode val="edge"/>
          <c:x val="3.4335584684715592E-2"/>
          <c:y val="2.4059197987456992E-2"/>
          <c:w val="0.93166832375270947"/>
          <c:h val="0.92733494171814357"/>
        </c:manualLayout>
      </c:layout>
      <c:scatterChart>
        <c:scatterStyle val="lineMarker"/>
        <c:ser>
          <c:idx val="0"/>
          <c:order val="0"/>
          <c:tx>
            <c:v>Costi [€]</c:v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'Dati-CSV'!$A$3:$A$7003</c:f>
              <c:numCache>
                <c:formatCode>dd/mm/yyyy</c:formatCode>
                <c:ptCount val="7001"/>
                <c:pt idx="0">
                  <c:v>40310.615277777775</c:v>
                </c:pt>
                <c:pt idx="1">
                  <c:v>40310.615972222222</c:v>
                </c:pt>
                <c:pt idx="2">
                  <c:v>40310.616666666669</c:v>
                </c:pt>
                <c:pt idx="3">
                  <c:v>40310.617361111108</c:v>
                </c:pt>
                <c:pt idx="4">
                  <c:v>40310.618055555555</c:v>
                </c:pt>
                <c:pt idx="5">
                  <c:v>40310.618750000001</c:v>
                </c:pt>
                <c:pt idx="6">
                  <c:v>40310.619444444441</c:v>
                </c:pt>
                <c:pt idx="7">
                  <c:v>40310.620138888888</c:v>
                </c:pt>
                <c:pt idx="8">
                  <c:v>40310.620833333334</c:v>
                </c:pt>
                <c:pt idx="9">
                  <c:v>40310.621527777781</c:v>
                </c:pt>
                <c:pt idx="10">
                  <c:v>40310.62222222222</c:v>
                </c:pt>
                <c:pt idx="11">
                  <c:v>40310.622916666667</c:v>
                </c:pt>
                <c:pt idx="12">
                  <c:v>40310.623611111114</c:v>
                </c:pt>
                <c:pt idx="13">
                  <c:v>40310.624305555553</c:v>
                </c:pt>
                <c:pt idx="14">
                  <c:v>40310.625</c:v>
                </c:pt>
                <c:pt idx="15">
                  <c:v>40310.625694444447</c:v>
                </c:pt>
                <c:pt idx="16">
                  <c:v>40310.626388888886</c:v>
                </c:pt>
                <c:pt idx="17">
                  <c:v>40310.627083333333</c:v>
                </c:pt>
                <c:pt idx="18">
                  <c:v>40310.62777777778</c:v>
                </c:pt>
                <c:pt idx="19">
                  <c:v>40310.628472222219</c:v>
                </c:pt>
                <c:pt idx="20">
                  <c:v>40310.629166666666</c:v>
                </c:pt>
                <c:pt idx="21">
                  <c:v>40310.629861111112</c:v>
                </c:pt>
                <c:pt idx="22">
                  <c:v>40310.630555555559</c:v>
                </c:pt>
                <c:pt idx="23">
                  <c:v>40310.631249999999</c:v>
                </c:pt>
                <c:pt idx="24">
                  <c:v>40310.631944444445</c:v>
                </c:pt>
                <c:pt idx="25">
                  <c:v>40310.632638888892</c:v>
                </c:pt>
                <c:pt idx="26">
                  <c:v>40310.633333333331</c:v>
                </c:pt>
                <c:pt idx="27">
                  <c:v>40310.634027777778</c:v>
                </c:pt>
                <c:pt idx="28">
                  <c:v>40310.634722222225</c:v>
                </c:pt>
                <c:pt idx="29">
                  <c:v>40310.635416666664</c:v>
                </c:pt>
                <c:pt idx="30">
                  <c:v>40310.636111111111</c:v>
                </c:pt>
                <c:pt idx="31">
                  <c:v>40310.636805555558</c:v>
                </c:pt>
                <c:pt idx="32">
                  <c:v>40310.637499999997</c:v>
                </c:pt>
                <c:pt idx="33">
                  <c:v>40310.638194444444</c:v>
                </c:pt>
                <c:pt idx="34">
                  <c:v>40310.638888888891</c:v>
                </c:pt>
                <c:pt idx="35">
                  <c:v>40310.63958333333</c:v>
                </c:pt>
                <c:pt idx="36">
                  <c:v>40310.640277777777</c:v>
                </c:pt>
                <c:pt idx="37">
                  <c:v>40310.640972222223</c:v>
                </c:pt>
                <c:pt idx="38">
                  <c:v>40310.64166666667</c:v>
                </c:pt>
                <c:pt idx="39">
                  <c:v>40310.642361111109</c:v>
                </c:pt>
                <c:pt idx="40">
                  <c:v>40310.643055555556</c:v>
                </c:pt>
                <c:pt idx="41">
                  <c:v>40310.643750000003</c:v>
                </c:pt>
                <c:pt idx="42">
                  <c:v>40310.644444444442</c:v>
                </c:pt>
                <c:pt idx="43">
                  <c:v>40310.645138888889</c:v>
                </c:pt>
                <c:pt idx="44">
                  <c:v>40310.645833333336</c:v>
                </c:pt>
                <c:pt idx="45">
                  <c:v>40310.646527777775</c:v>
                </c:pt>
                <c:pt idx="46">
                  <c:v>40310.647222222222</c:v>
                </c:pt>
                <c:pt idx="47">
                  <c:v>40310.647916666669</c:v>
                </c:pt>
                <c:pt idx="48">
                  <c:v>40310.648611111108</c:v>
                </c:pt>
                <c:pt idx="49">
                  <c:v>40310.649305555555</c:v>
                </c:pt>
                <c:pt idx="50">
                  <c:v>40310.65</c:v>
                </c:pt>
                <c:pt idx="51">
                  <c:v>40310.650694444441</c:v>
                </c:pt>
                <c:pt idx="52">
                  <c:v>40310.651388888888</c:v>
                </c:pt>
                <c:pt idx="53">
                  <c:v>40310.652083333334</c:v>
                </c:pt>
                <c:pt idx="54">
                  <c:v>40310.652777777781</c:v>
                </c:pt>
                <c:pt idx="55">
                  <c:v>40310.65347222222</c:v>
                </c:pt>
                <c:pt idx="56">
                  <c:v>40310.654166666667</c:v>
                </c:pt>
                <c:pt idx="57">
                  <c:v>40310.654861111114</c:v>
                </c:pt>
                <c:pt idx="58">
                  <c:v>40310.655555555553</c:v>
                </c:pt>
                <c:pt idx="59">
                  <c:v>40310.65625</c:v>
                </c:pt>
                <c:pt idx="60">
                  <c:v>40310.656944444447</c:v>
                </c:pt>
                <c:pt idx="61">
                  <c:v>40310.657638888886</c:v>
                </c:pt>
                <c:pt idx="62">
                  <c:v>40310.658333333333</c:v>
                </c:pt>
                <c:pt idx="63">
                  <c:v>40310.65902777778</c:v>
                </c:pt>
                <c:pt idx="64">
                  <c:v>40310.659722222219</c:v>
                </c:pt>
                <c:pt idx="65">
                  <c:v>40310.660416666666</c:v>
                </c:pt>
                <c:pt idx="66">
                  <c:v>40310.661111111112</c:v>
                </c:pt>
                <c:pt idx="67">
                  <c:v>40310.661805555559</c:v>
                </c:pt>
                <c:pt idx="68">
                  <c:v>40310.662499999999</c:v>
                </c:pt>
                <c:pt idx="69">
                  <c:v>40310.663194444445</c:v>
                </c:pt>
                <c:pt idx="70">
                  <c:v>40310.663888888892</c:v>
                </c:pt>
                <c:pt idx="71">
                  <c:v>40310.664583333331</c:v>
                </c:pt>
                <c:pt idx="72">
                  <c:v>40310.665277777778</c:v>
                </c:pt>
                <c:pt idx="73">
                  <c:v>40310.665972222225</c:v>
                </c:pt>
                <c:pt idx="74">
                  <c:v>40310.666666666664</c:v>
                </c:pt>
                <c:pt idx="75">
                  <c:v>40310.667361111111</c:v>
                </c:pt>
                <c:pt idx="76">
                  <c:v>40310.668055555558</c:v>
                </c:pt>
                <c:pt idx="77">
                  <c:v>40310.668749999997</c:v>
                </c:pt>
                <c:pt idx="78">
                  <c:v>40310.669444444444</c:v>
                </c:pt>
                <c:pt idx="79">
                  <c:v>40310.670138888891</c:v>
                </c:pt>
                <c:pt idx="80">
                  <c:v>40310.67083333333</c:v>
                </c:pt>
                <c:pt idx="81">
                  <c:v>40310.671527777777</c:v>
                </c:pt>
                <c:pt idx="82">
                  <c:v>40310.672222222223</c:v>
                </c:pt>
                <c:pt idx="83">
                  <c:v>40310.67291666667</c:v>
                </c:pt>
                <c:pt idx="84">
                  <c:v>40310.673611111109</c:v>
                </c:pt>
                <c:pt idx="85">
                  <c:v>40310.674305555556</c:v>
                </c:pt>
                <c:pt idx="86">
                  <c:v>40310.675000000003</c:v>
                </c:pt>
                <c:pt idx="87">
                  <c:v>40310.675694444442</c:v>
                </c:pt>
                <c:pt idx="88">
                  <c:v>40310.676388888889</c:v>
                </c:pt>
                <c:pt idx="89">
                  <c:v>40310.677083333336</c:v>
                </c:pt>
                <c:pt idx="90">
                  <c:v>40310.677777777775</c:v>
                </c:pt>
                <c:pt idx="91">
                  <c:v>40310.678472222222</c:v>
                </c:pt>
                <c:pt idx="92">
                  <c:v>40310.679166666669</c:v>
                </c:pt>
                <c:pt idx="93">
                  <c:v>40310.679861111108</c:v>
                </c:pt>
                <c:pt idx="94">
                  <c:v>40310.680555555555</c:v>
                </c:pt>
                <c:pt idx="95">
                  <c:v>40310.681250000001</c:v>
                </c:pt>
                <c:pt idx="96">
                  <c:v>40310.681944444441</c:v>
                </c:pt>
                <c:pt idx="97">
                  <c:v>40310.682638888888</c:v>
                </c:pt>
                <c:pt idx="98">
                  <c:v>40310.683333333334</c:v>
                </c:pt>
                <c:pt idx="99">
                  <c:v>40310.684027777781</c:v>
                </c:pt>
                <c:pt idx="100">
                  <c:v>40310.68472222222</c:v>
                </c:pt>
                <c:pt idx="101">
                  <c:v>40310.685416666667</c:v>
                </c:pt>
                <c:pt idx="102">
                  <c:v>40310.686111111114</c:v>
                </c:pt>
                <c:pt idx="103">
                  <c:v>40310.686805555553</c:v>
                </c:pt>
                <c:pt idx="104">
                  <c:v>40310.6875</c:v>
                </c:pt>
                <c:pt idx="105">
                  <c:v>40310.688194444447</c:v>
                </c:pt>
                <c:pt idx="106">
                  <c:v>40310.688888888886</c:v>
                </c:pt>
                <c:pt idx="107">
                  <c:v>40310.689583333333</c:v>
                </c:pt>
                <c:pt idx="108">
                  <c:v>40310.69027777778</c:v>
                </c:pt>
                <c:pt idx="109">
                  <c:v>40310.690972222219</c:v>
                </c:pt>
                <c:pt idx="110">
                  <c:v>40310.691666666666</c:v>
                </c:pt>
                <c:pt idx="111">
                  <c:v>40310.692361111112</c:v>
                </c:pt>
                <c:pt idx="112">
                  <c:v>40310.693055555559</c:v>
                </c:pt>
                <c:pt idx="113">
                  <c:v>40310.693749999999</c:v>
                </c:pt>
                <c:pt idx="114">
                  <c:v>40310.694444444445</c:v>
                </c:pt>
                <c:pt idx="115">
                  <c:v>40310.695138888892</c:v>
                </c:pt>
                <c:pt idx="116">
                  <c:v>40310.695833333331</c:v>
                </c:pt>
                <c:pt idx="117">
                  <c:v>40310.696527777778</c:v>
                </c:pt>
                <c:pt idx="118">
                  <c:v>40310.697222222225</c:v>
                </c:pt>
                <c:pt idx="119">
                  <c:v>40310.697916666664</c:v>
                </c:pt>
                <c:pt idx="120">
                  <c:v>40310.698611111111</c:v>
                </c:pt>
                <c:pt idx="121">
                  <c:v>40310.699305555558</c:v>
                </c:pt>
                <c:pt idx="122">
                  <c:v>40310.699999999997</c:v>
                </c:pt>
                <c:pt idx="123">
                  <c:v>40310.700694444444</c:v>
                </c:pt>
                <c:pt idx="124">
                  <c:v>40310.701388888891</c:v>
                </c:pt>
                <c:pt idx="125">
                  <c:v>40310.70208333333</c:v>
                </c:pt>
                <c:pt idx="126">
                  <c:v>40310.702777777777</c:v>
                </c:pt>
                <c:pt idx="127">
                  <c:v>40310.703472222223</c:v>
                </c:pt>
                <c:pt idx="128">
                  <c:v>40310.70416666667</c:v>
                </c:pt>
                <c:pt idx="129">
                  <c:v>40310.704861111109</c:v>
                </c:pt>
                <c:pt idx="130">
                  <c:v>40310.705555555556</c:v>
                </c:pt>
                <c:pt idx="131">
                  <c:v>40310.706250000003</c:v>
                </c:pt>
                <c:pt idx="132">
                  <c:v>40310.706944444442</c:v>
                </c:pt>
                <c:pt idx="133">
                  <c:v>40310.707638888889</c:v>
                </c:pt>
                <c:pt idx="134">
                  <c:v>40310.708333333336</c:v>
                </c:pt>
                <c:pt idx="135">
                  <c:v>40310.709027777775</c:v>
                </c:pt>
                <c:pt idx="136">
                  <c:v>40310.709722222222</c:v>
                </c:pt>
                <c:pt idx="137">
                  <c:v>40310.710416666669</c:v>
                </c:pt>
                <c:pt idx="138">
                  <c:v>40310.711111111108</c:v>
                </c:pt>
                <c:pt idx="139">
                  <c:v>40310.711805555555</c:v>
                </c:pt>
                <c:pt idx="140">
                  <c:v>40310.712500000001</c:v>
                </c:pt>
                <c:pt idx="141">
                  <c:v>40310.713194444441</c:v>
                </c:pt>
                <c:pt idx="142">
                  <c:v>40310.713888888888</c:v>
                </c:pt>
                <c:pt idx="143">
                  <c:v>40310.714583333334</c:v>
                </c:pt>
                <c:pt idx="144">
                  <c:v>40310.715277777781</c:v>
                </c:pt>
                <c:pt idx="145">
                  <c:v>40310.71597222222</c:v>
                </c:pt>
                <c:pt idx="146">
                  <c:v>40310.716666666667</c:v>
                </c:pt>
                <c:pt idx="147">
                  <c:v>40310.717361111114</c:v>
                </c:pt>
                <c:pt idx="148">
                  <c:v>40310.718055555553</c:v>
                </c:pt>
                <c:pt idx="149">
                  <c:v>40310.71875</c:v>
                </c:pt>
                <c:pt idx="150">
                  <c:v>40310.719444444447</c:v>
                </c:pt>
                <c:pt idx="151">
                  <c:v>40310.720138888886</c:v>
                </c:pt>
                <c:pt idx="152">
                  <c:v>40310.720833333333</c:v>
                </c:pt>
                <c:pt idx="153">
                  <c:v>40310.72152777778</c:v>
                </c:pt>
                <c:pt idx="154">
                  <c:v>40310.722222222219</c:v>
                </c:pt>
                <c:pt idx="155">
                  <c:v>40310.722916666666</c:v>
                </c:pt>
                <c:pt idx="156">
                  <c:v>40310.723611111112</c:v>
                </c:pt>
                <c:pt idx="157">
                  <c:v>40310.724305555559</c:v>
                </c:pt>
                <c:pt idx="158">
                  <c:v>40310.724999999999</c:v>
                </c:pt>
                <c:pt idx="159">
                  <c:v>40310.725694444445</c:v>
                </c:pt>
                <c:pt idx="160">
                  <c:v>40310.726388888892</c:v>
                </c:pt>
                <c:pt idx="161">
                  <c:v>40310.727083333331</c:v>
                </c:pt>
                <c:pt idx="162">
                  <c:v>40310.727777777778</c:v>
                </c:pt>
                <c:pt idx="163">
                  <c:v>40310.728472222225</c:v>
                </c:pt>
                <c:pt idx="164">
                  <c:v>40310.729166666664</c:v>
                </c:pt>
                <c:pt idx="165">
                  <c:v>40310.729861111111</c:v>
                </c:pt>
                <c:pt idx="166">
                  <c:v>40310.730555555558</c:v>
                </c:pt>
                <c:pt idx="167">
                  <c:v>40310.731249999997</c:v>
                </c:pt>
                <c:pt idx="168">
                  <c:v>40310.731944444444</c:v>
                </c:pt>
                <c:pt idx="169">
                  <c:v>40310.732638888891</c:v>
                </c:pt>
                <c:pt idx="170">
                  <c:v>40310.73333333333</c:v>
                </c:pt>
                <c:pt idx="171">
                  <c:v>40310.734027777777</c:v>
                </c:pt>
                <c:pt idx="172">
                  <c:v>40310.734722222223</c:v>
                </c:pt>
                <c:pt idx="173">
                  <c:v>40310.73541666667</c:v>
                </c:pt>
                <c:pt idx="174">
                  <c:v>40310.736111111109</c:v>
                </c:pt>
                <c:pt idx="175">
                  <c:v>40310.736805555556</c:v>
                </c:pt>
                <c:pt idx="176">
                  <c:v>40310.737500000003</c:v>
                </c:pt>
                <c:pt idx="177">
                  <c:v>40310.738194444442</c:v>
                </c:pt>
                <c:pt idx="178">
                  <c:v>40310.738888888889</c:v>
                </c:pt>
                <c:pt idx="179">
                  <c:v>40310.739583333336</c:v>
                </c:pt>
                <c:pt idx="180">
                  <c:v>40310.740277777775</c:v>
                </c:pt>
                <c:pt idx="181">
                  <c:v>40310.740972222222</c:v>
                </c:pt>
                <c:pt idx="182">
                  <c:v>40310.741666666669</c:v>
                </c:pt>
                <c:pt idx="183">
                  <c:v>40310.742361111108</c:v>
                </c:pt>
                <c:pt idx="184">
                  <c:v>40310.743055555555</c:v>
                </c:pt>
                <c:pt idx="185">
                  <c:v>40310.743750000001</c:v>
                </c:pt>
                <c:pt idx="186">
                  <c:v>40310.744444444441</c:v>
                </c:pt>
                <c:pt idx="187">
                  <c:v>40310.745138888888</c:v>
                </c:pt>
                <c:pt idx="188">
                  <c:v>40310.745833333334</c:v>
                </c:pt>
                <c:pt idx="189">
                  <c:v>40310.746527777781</c:v>
                </c:pt>
                <c:pt idx="190">
                  <c:v>40310.74722222222</c:v>
                </c:pt>
                <c:pt idx="191">
                  <c:v>40310.747916666667</c:v>
                </c:pt>
                <c:pt idx="192">
                  <c:v>40310.748611111114</c:v>
                </c:pt>
                <c:pt idx="193">
                  <c:v>40310.749305555553</c:v>
                </c:pt>
                <c:pt idx="194">
                  <c:v>40310.75</c:v>
                </c:pt>
                <c:pt idx="195">
                  <c:v>40310.750694444447</c:v>
                </c:pt>
                <c:pt idx="196">
                  <c:v>40310.751388888886</c:v>
                </c:pt>
                <c:pt idx="197">
                  <c:v>40310.752083333333</c:v>
                </c:pt>
                <c:pt idx="198">
                  <c:v>40310.75277777778</c:v>
                </c:pt>
                <c:pt idx="199">
                  <c:v>40310.753472222219</c:v>
                </c:pt>
                <c:pt idx="200">
                  <c:v>40310.754166666666</c:v>
                </c:pt>
                <c:pt idx="201">
                  <c:v>40310.754861111112</c:v>
                </c:pt>
                <c:pt idx="202">
                  <c:v>40310.755555555559</c:v>
                </c:pt>
                <c:pt idx="203">
                  <c:v>40310.756249999999</c:v>
                </c:pt>
                <c:pt idx="204">
                  <c:v>40310.756944444445</c:v>
                </c:pt>
                <c:pt idx="205">
                  <c:v>40310.757638888892</c:v>
                </c:pt>
                <c:pt idx="206">
                  <c:v>40310.758333333331</c:v>
                </c:pt>
                <c:pt idx="207">
                  <c:v>40310.759027777778</c:v>
                </c:pt>
                <c:pt idx="208">
                  <c:v>40310.759722222225</c:v>
                </c:pt>
                <c:pt idx="209">
                  <c:v>40310.760416666664</c:v>
                </c:pt>
                <c:pt idx="210">
                  <c:v>40310.761111111111</c:v>
                </c:pt>
                <c:pt idx="211">
                  <c:v>40310.761805555558</c:v>
                </c:pt>
                <c:pt idx="212">
                  <c:v>40310.762499999997</c:v>
                </c:pt>
                <c:pt idx="213">
                  <c:v>40310.763194444444</c:v>
                </c:pt>
                <c:pt idx="214">
                  <c:v>40310.763888888891</c:v>
                </c:pt>
                <c:pt idx="215">
                  <c:v>40310.76458333333</c:v>
                </c:pt>
                <c:pt idx="216">
                  <c:v>40310.765277777777</c:v>
                </c:pt>
                <c:pt idx="217">
                  <c:v>40310.765972222223</c:v>
                </c:pt>
                <c:pt idx="218">
                  <c:v>40310.76666666667</c:v>
                </c:pt>
                <c:pt idx="219">
                  <c:v>40310.767361111109</c:v>
                </c:pt>
                <c:pt idx="220">
                  <c:v>40310.768055555556</c:v>
                </c:pt>
                <c:pt idx="221">
                  <c:v>40310.768750000003</c:v>
                </c:pt>
                <c:pt idx="222">
                  <c:v>40310.769444444442</c:v>
                </c:pt>
                <c:pt idx="223">
                  <c:v>40310.770138888889</c:v>
                </c:pt>
                <c:pt idx="224">
                  <c:v>40310.770833333336</c:v>
                </c:pt>
                <c:pt idx="225">
                  <c:v>40310.771527777775</c:v>
                </c:pt>
                <c:pt idx="226">
                  <c:v>40310.772222222222</c:v>
                </c:pt>
                <c:pt idx="227">
                  <c:v>40310.772916666669</c:v>
                </c:pt>
                <c:pt idx="228">
                  <c:v>40310.773611111108</c:v>
                </c:pt>
                <c:pt idx="229">
                  <c:v>40310.774305555555</c:v>
                </c:pt>
                <c:pt idx="230">
                  <c:v>40310.775000000001</c:v>
                </c:pt>
                <c:pt idx="231">
                  <c:v>40310.775694444441</c:v>
                </c:pt>
                <c:pt idx="232">
                  <c:v>40310.776388888888</c:v>
                </c:pt>
                <c:pt idx="233">
                  <c:v>40310.777083333334</c:v>
                </c:pt>
                <c:pt idx="234">
                  <c:v>40310.777777777781</c:v>
                </c:pt>
                <c:pt idx="235">
                  <c:v>40310.77847222222</c:v>
                </c:pt>
                <c:pt idx="236">
                  <c:v>40310.779166666667</c:v>
                </c:pt>
                <c:pt idx="237">
                  <c:v>40310.779861111114</c:v>
                </c:pt>
                <c:pt idx="238">
                  <c:v>40310.780555555553</c:v>
                </c:pt>
                <c:pt idx="239">
                  <c:v>40310.78125</c:v>
                </c:pt>
                <c:pt idx="240">
                  <c:v>40310.781944444447</c:v>
                </c:pt>
                <c:pt idx="241">
                  <c:v>40310.782638888886</c:v>
                </c:pt>
                <c:pt idx="242">
                  <c:v>40310.783333333333</c:v>
                </c:pt>
                <c:pt idx="243">
                  <c:v>40310.78402777778</c:v>
                </c:pt>
                <c:pt idx="244">
                  <c:v>40310.784722222219</c:v>
                </c:pt>
                <c:pt idx="245">
                  <c:v>40310.785416666666</c:v>
                </c:pt>
                <c:pt idx="246">
                  <c:v>40310.786111111112</c:v>
                </c:pt>
                <c:pt idx="247">
                  <c:v>40310.786805555559</c:v>
                </c:pt>
                <c:pt idx="248">
                  <c:v>40310.787499999999</c:v>
                </c:pt>
                <c:pt idx="249">
                  <c:v>40310.788194444445</c:v>
                </c:pt>
                <c:pt idx="250">
                  <c:v>40310.788888888892</c:v>
                </c:pt>
                <c:pt idx="251">
                  <c:v>40310.789583333331</c:v>
                </c:pt>
                <c:pt idx="252">
                  <c:v>40310.790277777778</c:v>
                </c:pt>
                <c:pt idx="253">
                  <c:v>40310.790972222225</c:v>
                </c:pt>
                <c:pt idx="254">
                  <c:v>40310.791666666664</c:v>
                </c:pt>
                <c:pt idx="255">
                  <c:v>40310.792361111111</c:v>
                </c:pt>
                <c:pt idx="256">
                  <c:v>40310.793055555558</c:v>
                </c:pt>
                <c:pt idx="257">
                  <c:v>40310.793749999997</c:v>
                </c:pt>
                <c:pt idx="258">
                  <c:v>40310.794444444444</c:v>
                </c:pt>
                <c:pt idx="259">
                  <c:v>40310.795138888891</c:v>
                </c:pt>
                <c:pt idx="260">
                  <c:v>40310.79583333333</c:v>
                </c:pt>
                <c:pt idx="261">
                  <c:v>40310.796527777777</c:v>
                </c:pt>
                <c:pt idx="262">
                  <c:v>40310.797222222223</c:v>
                </c:pt>
                <c:pt idx="263">
                  <c:v>40310.79791666667</c:v>
                </c:pt>
                <c:pt idx="264">
                  <c:v>40310.798611111109</c:v>
                </c:pt>
                <c:pt idx="265">
                  <c:v>40310.799305555556</c:v>
                </c:pt>
                <c:pt idx="266">
                  <c:v>40310.800000000003</c:v>
                </c:pt>
                <c:pt idx="267">
                  <c:v>40310.800694444442</c:v>
                </c:pt>
                <c:pt idx="268">
                  <c:v>40310.801388888889</c:v>
                </c:pt>
                <c:pt idx="269">
                  <c:v>40310.802083333336</c:v>
                </c:pt>
                <c:pt idx="270">
                  <c:v>40310.802777777775</c:v>
                </c:pt>
                <c:pt idx="271">
                  <c:v>40310.803472222222</c:v>
                </c:pt>
                <c:pt idx="272">
                  <c:v>40310.804166666669</c:v>
                </c:pt>
                <c:pt idx="273">
                  <c:v>40310.804861111108</c:v>
                </c:pt>
                <c:pt idx="274">
                  <c:v>40310.805555555555</c:v>
                </c:pt>
                <c:pt idx="275">
                  <c:v>40310.806250000001</c:v>
                </c:pt>
                <c:pt idx="276">
                  <c:v>40310.806944444441</c:v>
                </c:pt>
                <c:pt idx="277">
                  <c:v>40310.807638888888</c:v>
                </c:pt>
                <c:pt idx="278">
                  <c:v>40310.808333333334</c:v>
                </c:pt>
                <c:pt idx="279">
                  <c:v>40310.809027777781</c:v>
                </c:pt>
                <c:pt idx="280">
                  <c:v>40310.80972222222</c:v>
                </c:pt>
                <c:pt idx="281">
                  <c:v>40310.810416666667</c:v>
                </c:pt>
                <c:pt idx="282">
                  <c:v>40310.811111111114</c:v>
                </c:pt>
                <c:pt idx="283">
                  <c:v>40310.811805555553</c:v>
                </c:pt>
                <c:pt idx="284">
                  <c:v>40310.8125</c:v>
                </c:pt>
                <c:pt idx="285">
                  <c:v>40310.813194444447</c:v>
                </c:pt>
                <c:pt idx="286">
                  <c:v>40310.813888888886</c:v>
                </c:pt>
                <c:pt idx="287">
                  <c:v>40310.814583333333</c:v>
                </c:pt>
                <c:pt idx="288">
                  <c:v>40310.81527777778</c:v>
                </c:pt>
                <c:pt idx="289">
                  <c:v>40310.815972222219</c:v>
                </c:pt>
                <c:pt idx="290">
                  <c:v>40310.816666666666</c:v>
                </c:pt>
                <c:pt idx="291">
                  <c:v>40310.817361111112</c:v>
                </c:pt>
                <c:pt idx="292">
                  <c:v>40310.818055555559</c:v>
                </c:pt>
                <c:pt idx="293">
                  <c:v>40310.818749999999</c:v>
                </c:pt>
                <c:pt idx="294">
                  <c:v>40310.819444444445</c:v>
                </c:pt>
                <c:pt idx="295">
                  <c:v>40310.820138888892</c:v>
                </c:pt>
                <c:pt idx="296">
                  <c:v>40310.820833333331</c:v>
                </c:pt>
                <c:pt idx="297">
                  <c:v>40310.821527777778</c:v>
                </c:pt>
                <c:pt idx="298">
                  <c:v>40310.822222222225</c:v>
                </c:pt>
                <c:pt idx="299">
                  <c:v>40310.822916666664</c:v>
                </c:pt>
                <c:pt idx="300">
                  <c:v>40310.823611111111</c:v>
                </c:pt>
                <c:pt idx="301">
                  <c:v>40310.824305555558</c:v>
                </c:pt>
                <c:pt idx="302">
                  <c:v>40310.824999999997</c:v>
                </c:pt>
                <c:pt idx="303">
                  <c:v>40310.825694444444</c:v>
                </c:pt>
                <c:pt idx="304">
                  <c:v>40310.826388888891</c:v>
                </c:pt>
                <c:pt idx="305">
                  <c:v>40310.82708333333</c:v>
                </c:pt>
                <c:pt idx="306">
                  <c:v>40310.827777777777</c:v>
                </c:pt>
                <c:pt idx="307">
                  <c:v>40310.828472222223</c:v>
                </c:pt>
                <c:pt idx="308">
                  <c:v>40310.82916666667</c:v>
                </c:pt>
                <c:pt idx="309">
                  <c:v>40310.829861111109</c:v>
                </c:pt>
                <c:pt idx="310">
                  <c:v>40310.830555555556</c:v>
                </c:pt>
                <c:pt idx="311">
                  <c:v>40310.831250000003</c:v>
                </c:pt>
                <c:pt idx="312">
                  <c:v>40310.831944444442</c:v>
                </c:pt>
                <c:pt idx="313">
                  <c:v>40310.832638888889</c:v>
                </c:pt>
                <c:pt idx="314">
                  <c:v>40310.833333333336</c:v>
                </c:pt>
                <c:pt idx="315">
                  <c:v>40310.834027777775</c:v>
                </c:pt>
                <c:pt idx="316">
                  <c:v>40310.834722222222</c:v>
                </c:pt>
                <c:pt idx="317">
                  <c:v>40310.835416666669</c:v>
                </c:pt>
                <c:pt idx="318">
                  <c:v>40310.836111111108</c:v>
                </c:pt>
                <c:pt idx="319">
                  <c:v>40310.836805555555</c:v>
                </c:pt>
                <c:pt idx="320">
                  <c:v>40310.837500000001</c:v>
                </c:pt>
                <c:pt idx="321">
                  <c:v>40310.838194444441</c:v>
                </c:pt>
                <c:pt idx="322">
                  <c:v>40310.838888888888</c:v>
                </c:pt>
                <c:pt idx="323">
                  <c:v>40310.839583333334</c:v>
                </c:pt>
                <c:pt idx="324">
                  <c:v>40310.840277777781</c:v>
                </c:pt>
                <c:pt idx="325">
                  <c:v>40310.84097222222</c:v>
                </c:pt>
                <c:pt idx="326">
                  <c:v>40310.841666666667</c:v>
                </c:pt>
                <c:pt idx="327">
                  <c:v>40310.842361111114</c:v>
                </c:pt>
                <c:pt idx="328">
                  <c:v>40310.843055555553</c:v>
                </c:pt>
                <c:pt idx="329">
                  <c:v>40310.84375</c:v>
                </c:pt>
                <c:pt idx="330">
                  <c:v>40310.844444444447</c:v>
                </c:pt>
                <c:pt idx="331">
                  <c:v>40310.845138888886</c:v>
                </c:pt>
                <c:pt idx="332">
                  <c:v>40310.845833333333</c:v>
                </c:pt>
                <c:pt idx="333">
                  <c:v>40310.84652777778</c:v>
                </c:pt>
                <c:pt idx="334">
                  <c:v>40310.847222222219</c:v>
                </c:pt>
                <c:pt idx="335">
                  <c:v>40310.847916666666</c:v>
                </c:pt>
                <c:pt idx="336">
                  <c:v>40310.848611111112</c:v>
                </c:pt>
                <c:pt idx="337">
                  <c:v>40310.849305555559</c:v>
                </c:pt>
                <c:pt idx="338">
                  <c:v>40310.85</c:v>
                </c:pt>
                <c:pt idx="339">
                  <c:v>40310.850694444445</c:v>
                </c:pt>
                <c:pt idx="340">
                  <c:v>40310.851388888892</c:v>
                </c:pt>
                <c:pt idx="341">
                  <c:v>40310.852083333331</c:v>
                </c:pt>
                <c:pt idx="342">
                  <c:v>40310.852777777778</c:v>
                </c:pt>
                <c:pt idx="343">
                  <c:v>40310.853472222225</c:v>
                </c:pt>
                <c:pt idx="344">
                  <c:v>40310.854166666664</c:v>
                </c:pt>
                <c:pt idx="345">
                  <c:v>40310.854861111111</c:v>
                </c:pt>
                <c:pt idx="346">
                  <c:v>40310.855555555558</c:v>
                </c:pt>
                <c:pt idx="347">
                  <c:v>40310.856249999997</c:v>
                </c:pt>
                <c:pt idx="348">
                  <c:v>40310.856944444444</c:v>
                </c:pt>
                <c:pt idx="349">
                  <c:v>40310.857638888891</c:v>
                </c:pt>
                <c:pt idx="350">
                  <c:v>40310.85833333333</c:v>
                </c:pt>
                <c:pt idx="351">
                  <c:v>40310.859027777777</c:v>
                </c:pt>
                <c:pt idx="352">
                  <c:v>40310.859722222223</c:v>
                </c:pt>
                <c:pt idx="353">
                  <c:v>40310.86041666667</c:v>
                </c:pt>
                <c:pt idx="354">
                  <c:v>40310.861111111109</c:v>
                </c:pt>
                <c:pt idx="355">
                  <c:v>40310.861805555556</c:v>
                </c:pt>
                <c:pt idx="356">
                  <c:v>40310.862500000003</c:v>
                </c:pt>
                <c:pt idx="357">
                  <c:v>40310.863194444442</c:v>
                </c:pt>
                <c:pt idx="358">
                  <c:v>40310.863888888889</c:v>
                </c:pt>
                <c:pt idx="359">
                  <c:v>40310.864583333336</c:v>
                </c:pt>
                <c:pt idx="360">
                  <c:v>40310.865277777775</c:v>
                </c:pt>
                <c:pt idx="361">
                  <c:v>40310.865972222222</c:v>
                </c:pt>
                <c:pt idx="362">
                  <c:v>40310.866666666669</c:v>
                </c:pt>
                <c:pt idx="363">
                  <c:v>40310.867361111108</c:v>
                </c:pt>
                <c:pt idx="364">
                  <c:v>40310.868055555555</c:v>
                </c:pt>
                <c:pt idx="365">
                  <c:v>40310.868750000001</c:v>
                </c:pt>
                <c:pt idx="366">
                  <c:v>40310.869444444441</c:v>
                </c:pt>
                <c:pt idx="367">
                  <c:v>40310.870138888888</c:v>
                </c:pt>
                <c:pt idx="368">
                  <c:v>40310.870833333334</c:v>
                </c:pt>
                <c:pt idx="369">
                  <c:v>40310.871527777781</c:v>
                </c:pt>
                <c:pt idx="370">
                  <c:v>40310.87222222222</c:v>
                </c:pt>
                <c:pt idx="371">
                  <c:v>40310.872916666667</c:v>
                </c:pt>
                <c:pt idx="372">
                  <c:v>40310.873611111114</c:v>
                </c:pt>
                <c:pt idx="373">
                  <c:v>40310.874305555553</c:v>
                </c:pt>
                <c:pt idx="374">
                  <c:v>40310.875</c:v>
                </c:pt>
                <c:pt idx="375">
                  <c:v>40310.875694444447</c:v>
                </c:pt>
                <c:pt idx="376">
                  <c:v>40310.876388888886</c:v>
                </c:pt>
                <c:pt idx="377">
                  <c:v>40310.877083333333</c:v>
                </c:pt>
                <c:pt idx="378">
                  <c:v>40310.87777777778</c:v>
                </c:pt>
                <c:pt idx="379">
                  <c:v>40310.878472222219</c:v>
                </c:pt>
                <c:pt idx="380">
                  <c:v>40310.879166666666</c:v>
                </c:pt>
                <c:pt idx="381">
                  <c:v>40310.879861111112</c:v>
                </c:pt>
                <c:pt idx="382">
                  <c:v>40310.880555555559</c:v>
                </c:pt>
                <c:pt idx="383">
                  <c:v>40310.881249999999</c:v>
                </c:pt>
                <c:pt idx="384">
                  <c:v>40310.881944444445</c:v>
                </c:pt>
                <c:pt idx="385">
                  <c:v>40310.882638888892</c:v>
                </c:pt>
                <c:pt idx="386">
                  <c:v>40310.883333333331</c:v>
                </c:pt>
                <c:pt idx="387">
                  <c:v>40310.884027777778</c:v>
                </c:pt>
                <c:pt idx="388">
                  <c:v>40310.884722222225</c:v>
                </c:pt>
                <c:pt idx="389">
                  <c:v>40310.885416666664</c:v>
                </c:pt>
                <c:pt idx="390">
                  <c:v>40310.886111111111</c:v>
                </c:pt>
                <c:pt idx="391">
                  <c:v>40310.886805555558</c:v>
                </c:pt>
                <c:pt idx="392">
                  <c:v>40310.887499999997</c:v>
                </c:pt>
                <c:pt idx="393">
                  <c:v>40310.888194444444</c:v>
                </c:pt>
                <c:pt idx="394">
                  <c:v>40310.888888888891</c:v>
                </c:pt>
                <c:pt idx="395">
                  <c:v>40310.88958333333</c:v>
                </c:pt>
                <c:pt idx="396">
                  <c:v>40310.890277777777</c:v>
                </c:pt>
                <c:pt idx="397">
                  <c:v>40310.890972222223</c:v>
                </c:pt>
                <c:pt idx="398">
                  <c:v>40310.89166666667</c:v>
                </c:pt>
                <c:pt idx="399">
                  <c:v>40310.892361111109</c:v>
                </c:pt>
                <c:pt idx="400">
                  <c:v>40310.893055555556</c:v>
                </c:pt>
                <c:pt idx="401">
                  <c:v>40310.893750000003</c:v>
                </c:pt>
                <c:pt idx="402">
                  <c:v>40310.894444444442</c:v>
                </c:pt>
                <c:pt idx="403">
                  <c:v>40310.895138888889</c:v>
                </c:pt>
                <c:pt idx="404">
                  <c:v>40310.895833333336</c:v>
                </c:pt>
                <c:pt idx="405">
                  <c:v>40310.896527777775</c:v>
                </c:pt>
                <c:pt idx="406">
                  <c:v>40310.897222222222</c:v>
                </c:pt>
                <c:pt idx="407">
                  <c:v>40310.897916666669</c:v>
                </c:pt>
                <c:pt idx="408">
                  <c:v>40310.898611111108</c:v>
                </c:pt>
                <c:pt idx="409">
                  <c:v>40310.899305555555</c:v>
                </c:pt>
                <c:pt idx="410">
                  <c:v>40310.9</c:v>
                </c:pt>
                <c:pt idx="411">
                  <c:v>40310.900694444441</c:v>
                </c:pt>
                <c:pt idx="412">
                  <c:v>40310.901388888888</c:v>
                </c:pt>
                <c:pt idx="413">
                  <c:v>40310.902083333334</c:v>
                </c:pt>
                <c:pt idx="414">
                  <c:v>40310.902777777781</c:v>
                </c:pt>
                <c:pt idx="415">
                  <c:v>40310.90347222222</c:v>
                </c:pt>
                <c:pt idx="416">
                  <c:v>40310.904166666667</c:v>
                </c:pt>
                <c:pt idx="417">
                  <c:v>40310.904861111114</c:v>
                </c:pt>
                <c:pt idx="418">
                  <c:v>40310.905555555553</c:v>
                </c:pt>
                <c:pt idx="419">
                  <c:v>40310.90625</c:v>
                </c:pt>
                <c:pt idx="420">
                  <c:v>40310.906944444447</c:v>
                </c:pt>
                <c:pt idx="421">
                  <c:v>40310.907638888886</c:v>
                </c:pt>
                <c:pt idx="422">
                  <c:v>40310.908333333333</c:v>
                </c:pt>
                <c:pt idx="423">
                  <c:v>40310.90902777778</c:v>
                </c:pt>
                <c:pt idx="424">
                  <c:v>40310.909722222219</c:v>
                </c:pt>
                <c:pt idx="425">
                  <c:v>40310.910416666666</c:v>
                </c:pt>
                <c:pt idx="426">
                  <c:v>40310.911111111112</c:v>
                </c:pt>
                <c:pt idx="427">
                  <c:v>40310.911805555559</c:v>
                </c:pt>
                <c:pt idx="428">
                  <c:v>40310.912499999999</c:v>
                </c:pt>
                <c:pt idx="429">
                  <c:v>40310.913194444445</c:v>
                </c:pt>
                <c:pt idx="430">
                  <c:v>40310.913888888892</c:v>
                </c:pt>
                <c:pt idx="431">
                  <c:v>40310.914583333331</c:v>
                </c:pt>
                <c:pt idx="432">
                  <c:v>40310.915277777778</c:v>
                </c:pt>
                <c:pt idx="433">
                  <c:v>40310.915972222225</c:v>
                </c:pt>
                <c:pt idx="434">
                  <c:v>40310.916666666664</c:v>
                </c:pt>
                <c:pt idx="435">
                  <c:v>40310.917361111111</c:v>
                </c:pt>
                <c:pt idx="436">
                  <c:v>40310.918055555558</c:v>
                </c:pt>
                <c:pt idx="437">
                  <c:v>40310.918749999997</c:v>
                </c:pt>
                <c:pt idx="438">
                  <c:v>40310.919444444444</c:v>
                </c:pt>
                <c:pt idx="439">
                  <c:v>40310.920138888891</c:v>
                </c:pt>
                <c:pt idx="440">
                  <c:v>40310.92083333333</c:v>
                </c:pt>
                <c:pt idx="441">
                  <c:v>40310.921527777777</c:v>
                </c:pt>
                <c:pt idx="442">
                  <c:v>40310.922222222223</c:v>
                </c:pt>
                <c:pt idx="443">
                  <c:v>40310.92291666667</c:v>
                </c:pt>
                <c:pt idx="444">
                  <c:v>40310.923611111109</c:v>
                </c:pt>
                <c:pt idx="445">
                  <c:v>40310.924305555556</c:v>
                </c:pt>
                <c:pt idx="446">
                  <c:v>40310.925000000003</c:v>
                </c:pt>
                <c:pt idx="447">
                  <c:v>40310.925694444442</c:v>
                </c:pt>
                <c:pt idx="448">
                  <c:v>40310.926388888889</c:v>
                </c:pt>
                <c:pt idx="449">
                  <c:v>40310.927083333336</c:v>
                </c:pt>
                <c:pt idx="450">
                  <c:v>40310.927777777775</c:v>
                </c:pt>
                <c:pt idx="451">
                  <c:v>40310.928472222222</c:v>
                </c:pt>
                <c:pt idx="452">
                  <c:v>40310.929166666669</c:v>
                </c:pt>
                <c:pt idx="453">
                  <c:v>40310.929861111108</c:v>
                </c:pt>
                <c:pt idx="454">
                  <c:v>40310.930555555555</c:v>
                </c:pt>
                <c:pt idx="455">
                  <c:v>40310.931250000001</c:v>
                </c:pt>
                <c:pt idx="456">
                  <c:v>40310.931944444441</c:v>
                </c:pt>
                <c:pt idx="457">
                  <c:v>40310.932638888888</c:v>
                </c:pt>
                <c:pt idx="458">
                  <c:v>40310.933333333334</c:v>
                </c:pt>
                <c:pt idx="459">
                  <c:v>40310.934027777781</c:v>
                </c:pt>
                <c:pt idx="460">
                  <c:v>40310.93472222222</c:v>
                </c:pt>
                <c:pt idx="461">
                  <c:v>40310.935416666667</c:v>
                </c:pt>
                <c:pt idx="462">
                  <c:v>40310.936111111114</c:v>
                </c:pt>
                <c:pt idx="463">
                  <c:v>40310.936805555553</c:v>
                </c:pt>
                <c:pt idx="464">
                  <c:v>40310.9375</c:v>
                </c:pt>
                <c:pt idx="465">
                  <c:v>40310.938194444447</c:v>
                </c:pt>
                <c:pt idx="466">
                  <c:v>40310.938888888886</c:v>
                </c:pt>
                <c:pt idx="467">
                  <c:v>40310.939583333333</c:v>
                </c:pt>
                <c:pt idx="468">
                  <c:v>40310.94027777778</c:v>
                </c:pt>
                <c:pt idx="469">
                  <c:v>40310.940972222219</c:v>
                </c:pt>
                <c:pt idx="470">
                  <c:v>40310.941666666666</c:v>
                </c:pt>
                <c:pt idx="471">
                  <c:v>40310.942361111112</c:v>
                </c:pt>
                <c:pt idx="472">
                  <c:v>40310.943055555559</c:v>
                </c:pt>
                <c:pt idx="473">
                  <c:v>40310.943749999999</c:v>
                </c:pt>
                <c:pt idx="474">
                  <c:v>40310.944444444445</c:v>
                </c:pt>
                <c:pt idx="475">
                  <c:v>40310.945138888892</c:v>
                </c:pt>
                <c:pt idx="476">
                  <c:v>40310.945833333331</c:v>
                </c:pt>
                <c:pt idx="477">
                  <c:v>40310.946527777778</c:v>
                </c:pt>
                <c:pt idx="478">
                  <c:v>40310.947222222225</c:v>
                </c:pt>
                <c:pt idx="479">
                  <c:v>40310.947916666664</c:v>
                </c:pt>
                <c:pt idx="480">
                  <c:v>40310.948611111111</c:v>
                </c:pt>
                <c:pt idx="481">
                  <c:v>40310.949305555558</c:v>
                </c:pt>
                <c:pt idx="482">
                  <c:v>40310.949999999997</c:v>
                </c:pt>
                <c:pt idx="483">
                  <c:v>40310.950694444444</c:v>
                </c:pt>
                <c:pt idx="484">
                  <c:v>40310.951388888891</c:v>
                </c:pt>
                <c:pt idx="485">
                  <c:v>40310.95208333333</c:v>
                </c:pt>
                <c:pt idx="486">
                  <c:v>40310.952777777777</c:v>
                </c:pt>
                <c:pt idx="487">
                  <c:v>40310.953472222223</c:v>
                </c:pt>
                <c:pt idx="488">
                  <c:v>40310.95416666667</c:v>
                </c:pt>
                <c:pt idx="489">
                  <c:v>40310.954861111109</c:v>
                </c:pt>
                <c:pt idx="490">
                  <c:v>40310.955555555556</c:v>
                </c:pt>
                <c:pt idx="491">
                  <c:v>40310.956250000003</c:v>
                </c:pt>
                <c:pt idx="492">
                  <c:v>40310.956944444442</c:v>
                </c:pt>
                <c:pt idx="493">
                  <c:v>40310.957638888889</c:v>
                </c:pt>
                <c:pt idx="494">
                  <c:v>40310.958333333336</c:v>
                </c:pt>
                <c:pt idx="495">
                  <c:v>40310.959027777775</c:v>
                </c:pt>
                <c:pt idx="496">
                  <c:v>40310.959722222222</c:v>
                </c:pt>
                <c:pt idx="497">
                  <c:v>40310.960416666669</c:v>
                </c:pt>
                <c:pt idx="498">
                  <c:v>40310.961111111108</c:v>
                </c:pt>
                <c:pt idx="499">
                  <c:v>40310.961805555555</c:v>
                </c:pt>
                <c:pt idx="500">
                  <c:v>40310.962500000001</c:v>
                </c:pt>
                <c:pt idx="501">
                  <c:v>40310.963194444441</c:v>
                </c:pt>
                <c:pt idx="502">
                  <c:v>40310.963888888888</c:v>
                </c:pt>
                <c:pt idx="503">
                  <c:v>40310.964583333334</c:v>
                </c:pt>
                <c:pt idx="504">
                  <c:v>40310.965277777781</c:v>
                </c:pt>
                <c:pt idx="505">
                  <c:v>40310.96597222222</c:v>
                </c:pt>
                <c:pt idx="506">
                  <c:v>40310.966666666667</c:v>
                </c:pt>
                <c:pt idx="507">
                  <c:v>40310.967361111114</c:v>
                </c:pt>
                <c:pt idx="508">
                  <c:v>40310.968055555553</c:v>
                </c:pt>
                <c:pt idx="509">
                  <c:v>40310.96875</c:v>
                </c:pt>
                <c:pt idx="510">
                  <c:v>40310.969444444447</c:v>
                </c:pt>
                <c:pt idx="511">
                  <c:v>40310.970138888886</c:v>
                </c:pt>
                <c:pt idx="512">
                  <c:v>40310.970833333333</c:v>
                </c:pt>
                <c:pt idx="513">
                  <c:v>40310.97152777778</c:v>
                </c:pt>
                <c:pt idx="514">
                  <c:v>40310.972222222219</c:v>
                </c:pt>
                <c:pt idx="515">
                  <c:v>40310.972916666666</c:v>
                </c:pt>
                <c:pt idx="516">
                  <c:v>40310.973611111112</c:v>
                </c:pt>
                <c:pt idx="517">
                  <c:v>40310.974305555559</c:v>
                </c:pt>
                <c:pt idx="518">
                  <c:v>40310.974999999999</c:v>
                </c:pt>
                <c:pt idx="519">
                  <c:v>40310.975694444445</c:v>
                </c:pt>
                <c:pt idx="520">
                  <c:v>40310.976388888892</c:v>
                </c:pt>
                <c:pt idx="521">
                  <c:v>40310.977083333331</c:v>
                </c:pt>
                <c:pt idx="522">
                  <c:v>40310.977777777778</c:v>
                </c:pt>
                <c:pt idx="523">
                  <c:v>40310.978472222225</c:v>
                </c:pt>
                <c:pt idx="524">
                  <c:v>40310.979166666664</c:v>
                </c:pt>
                <c:pt idx="525">
                  <c:v>40310.979861111111</c:v>
                </c:pt>
                <c:pt idx="526">
                  <c:v>40310.980555555558</c:v>
                </c:pt>
                <c:pt idx="527">
                  <c:v>40310.981249999997</c:v>
                </c:pt>
                <c:pt idx="528">
                  <c:v>40310.981944444444</c:v>
                </c:pt>
                <c:pt idx="529">
                  <c:v>40310.982638888891</c:v>
                </c:pt>
                <c:pt idx="530">
                  <c:v>40310.98333333333</c:v>
                </c:pt>
                <c:pt idx="531">
                  <c:v>40310.984027777777</c:v>
                </c:pt>
                <c:pt idx="532">
                  <c:v>40310.984722222223</c:v>
                </c:pt>
                <c:pt idx="533">
                  <c:v>40310.98541666667</c:v>
                </c:pt>
                <c:pt idx="534">
                  <c:v>40310.986111111109</c:v>
                </c:pt>
                <c:pt idx="535">
                  <c:v>40310.986805555556</c:v>
                </c:pt>
                <c:pt idx="536">
                  <c:v>40310.987500000003</c:v>
                </c:pt>
                <c:pt idx="537">
                  <c:v>40310.988194444442</c:v>
                </c:pt>
                <c:pt idx="538">
                  <c:v>40310.988888888889</c:v>
                </c:pt>
                <c:pt idx="539">
                  <c:v>40310.989583333336</c:v>
                </c:pt>
                <c:pt idx="540">
                  <c:v>40310.990277777775</c:v>
                </c:pt>
                <c:pt idx="541">
                  <c:v>40310.990972222222</c:v>
                </c:pt>
                <c:pt idx="542">
                  <c:v>40310.991666666669</c:v>
                </c:pt>
                <c:pt idx="543">
                  <c:v>40310.992361111108</c:v>
                </c:pt>
                <c:pt idx="544">
                  <c:v>40310.993055555555</c:v>
                </c:pt>
                <c:pt idx="545">
                  <c:v>40310.993750000001</c:v>
                </c:pt>
                <c:pt idx="546">
                  <c:v>40310.994444444441</c:v>
                </c:pt>
                <c:pt idx="547">
                  <c:v>40310.995138888888</c:v>
                </c:pt>
                <c:pt idx="548">
                  <c:v>40310.995833333334</c:v>
                </c:pt>
                <c:pt idx="549">
                  <c:v>40310.996527777781</c:v>
                </c:pt>
                <c:pt idx="550">
                  <c:v>40310.99722222222</c:v>
                </c:pt>
                <c:pt idx="551">
                  <c:v>40310.997916666667</c:v>
                </c:pt>
                <c:pt idx="552">
                  <c:v>40310.998611111114</c:v>
                </c:pt>
                <c:pt idx="553">
                  <c:v>40310.999305555553</c:v>
                </c:pt>
                <c:pt idx="554">
                  <c:v>40311</c:v>
                </c:pt>
                <c:pt idx="555">
                  <c:v>40311.000694444447</c:v>
                </c:pt>
                <c:pt idx="556">
                  <c:v>40311.001388888886</c:v>
                </c:pt>
                <c:pt idx="557">
                  <c:v>40311.002083333333</c:v>
                </c:pt>
                <c:pt idx="558">
                  <c:v>40311.00277777778</c:v>
                </c:pt>
                <c:pt idx="559">
                  <c:v>40311.003472222219</c:v>
                </c:pt>
                <c:pt idx="560">
                  <c:v>40311.004166666666</c:v>
                </c:pt>
                <c:pt idx="561">
                  <c:v>40311.004861111112</c:v>
                </c:pt>
                <c:pt idx="562">
                  <c:v>40311.005555555559</c:v>
                </c:pt>
                <c:pt idx="563">
                  <c:v>40311.006249999999</c:v>
                </c:pt>
                <c:pt idx="564">
                  <c:v>40311.006944444445</c:v>
                </c:pt>
                <c:pt idx="565">
                  <c:v>40311.007638888892</c:v>
                </c:pt>
                <c:pt idx="566">
                  <c:v>40311.008333333331</c:v>
                </c:pt>
                <c:pt idx="567">
                  <c:v>40311.009027777778</c:v>
                </c:pt>
                <c:pt idx="568">
                  <c:v>40311.009722222225</c:v>
                </c:pt>
                <c:pt idx="569">
                  <c:v>40311.010416666664</c:v>
                </c:pt>
                <c:pt idx="570">
                  <c:v>40311.011111111111</c:v>
                </c:pt>
                <c:pt idx="571">
                  <c:v>40311.011805555558</c:v>
                </c:pt>
                <c:pt idx="572">
                  <c:v>40311.012499999997</c:v>
                </c:pt>
                <c:pt idx="573">
                  <c:v>40311.013194444444</c:v>
                </c:pt>
                <c:pt idx="574">
                  <c:v>40311.013888888891</c:v>
                </c:pt>
                <c:pt idx="575">
                  <c:v>40311.01458333333</c:v>
                </c:pt>
                <c:pt idx="576">
                  <c:v>40311.015277777777</c:v>
                </c:pt>
                <c:pt idx="577">
                  <c:v>40311.015972222223</c:v>
                </c:pt>
                <c:pt idx="578">
                  <c:v>40311.01666666667</c:v>
                </c:pt>
                <c:pt idx="579">
                  <c:v>40311.017361111109</c:v>
                </c:pt>
                <c:pt idx="580">
                  <c:v>40311.018055555556</c:v>
                </c:pt>
                <c:pt idx="581">
                  <c:v>40311.018750000003</c:v>
                </c:pt>
                <c:pt idx="582">
                  <c:v>40311.019444444442</c:v>
                </c:pt>
                <c:pt idx="583">
                  <c:v>40311.020138888889</c:v>
                </c:pt>
                <c:pt idx="584">
                  <c:v>40311.020833333336</c:v>
                </c:pt>
                <c:pt idx="585">
                  <c:v>40311.021527777775</c:v>
                </c:pt>
                <c:pt idx="586">
                  <c:v>40311.022222222222</c:v>
                </c:pt>
                <c:pt idx="587">
                  <c:v>40311.022916666669</c:v>
                </c:pt>
                <c:pt idx="588">
                  <c:v>40311.023611111108</c:v>
                </c:pt>
                <c:pt idx="589">
                  <c:v>40311.024305555555</c:v>
                </c:pt>
                <c:pt idx="590">
                  <c:v>40311.025000000001</c:v>
                </c:pt>
                <c:pt idx="591">
                  <c:v>40311.025694444441</c:v>
                </c:pt>
                <c:pt idx="592">
                  <c:v>40311.026388888888</c:v>
                </c:pt>
                <c:pt idx="593">
                  <c:v>40311.027083333334</c:v>
                </c:pt>
                <c:pt idx="594">
                  <c:v>40311.027777777781</c:v>
                </c:pt>
                <c:pt idx="595">
                  <c:v>40311.02847222222</c:v>
                </c:pt>
                <c:pt idx="596">
                  <c:v>40311.029166666667</c:v>
                </c:pt>
                <c:pt idx="597">
                  <c:v>40311.029861111114</c:v>
                </c:pt>
                <c:pt idx="598">
                  <c:v>40311.030555555553</c:v>
                </c:pt>
                <c:pt idx="599">
                  <c:v>40311.03125</c:v>
                </c:pt>
                <c:pt idx="600">
                  <c:v>40311.031944444447</c:v>
                </c:pt>
                <c:pt idx="601">
                  <c:v>40311.032638888886</c:v>
                </c:pt>
                <c:pt idx="602">
                  <c:v>40311.033333333333</c:v>
                </c:pt>
                <c:pt idx="603">
                  <c:v>40311.03402777778</c:v>
                </c:pt>
                <c:pt idx="604">
                  <c:v>40311.034722222219</c:v>
                </c:pt>
                <c:pt idx="605">
                  <c:v>40311.035416666666</c:v>
                </c:pt>
                <c:pt idx="606">
                  <c:v>40311.036111111112</c:v>
                </c:pt>
                <c:pt idx="607">
                  <c:v>40311.036805555559</c:v>
                </c:pt>
                <c:pt idx="608">
                  <c:v>40311.037499999999</c:v>
                </c:pt>
                <c:pt idx="609">
                  <c:v>40311.038194444445</c:v>
                </c:pt>
                <c:pt idx="610">
                  <c:v>40311.038888888892</c:v>
                </c:pt>
                <c:pt idx="611">
                  <c:v>40311.039583333331</c:v>
                </c:pt>
                <c:pt idx="612">
                  <c:v>40311.040277777778</c:v>
                </c:pt>
                <c:pt idx="613">
                  <c:v>40311.040972222225</c:v>
                </c:pt>
                <c:pt idx="614">
                  <c:v>40311.041666666664</c:v>
                </c:pt>
                <c:pt idx="615">
                  <c:v>40311.042361111111</c:v>
                </c:pt>
                <c:pt idx="616">
                  <c:v>40311.043055555558</c:v>
                </c:pt>
                <c:pt idx="617">
                  <c:v>40311.043749999997</c:v>
                </c:pt>
                <c:pt idx="618">
                  <c:v>40311.044444444444</c:v>
                </c:pt>
                <c:pt idx="619">
                  <c:v>40311.045138888891</c:v>
                </c:pt>
                <c:pt idx="620">
                  <c:v>40311.04583333333</c:v>
                </c:pt>
                <c:pt idx="621">
                  <c:v>40311.046527777777</c:v>
                </c:pt>
                <c:pt idx="622">
                  <c:v>40311.047222222223</c:v>
                </c:pt>
                <c:pt idx="623">
                  <c:v>40311.04791666667</c:v>
                </c:pt>
                <c:pt idx="624">
                  <c:v>40311.048611111109</c:v>
                </c:pt>
                <c:pt idx="625">
                  <c:v>40311.049305555556</c:v>
                </c:pt>
                <c:pt idx="626">
                  <c:v>40311.050000000003</c:v>
                </c:pt>
                <c:pt idx="627">
                  <c:v>40311.050694444442</c:v>
                </c:pt>
                <c:pt idx="628">
                  <c:v>40311.051388888889</c:v>
                </c:pt>
                <c:pt idx="629">
                  <c:v>40311.052083333336</c:v>
                </c:pt>
                <c:pt idx="630">
                  <c:v>40311.052777777775</c:v>
                </c:pt>
                <c:pt idx="631">
                  <c:v>40311.053472222222</c:v>
                </c:pt>
                <c:pt idx="632">
                  <c:v>40311.054166666669</c:v>
                </c:pt>
                <c:pt idx="633">
                  <c:v>40311.054861111108</c:v>
                </c:pt>
                <c:pt idx="634">
                  <c:v>40311.055555555555</c:v>
                </c:pt>
                <c:pt idx="635">
                  <c:v>40311.056250000001</c:v>
                </c:pt>
                <c:pt idx="636">
                  <c:v>40311.056944444441</c:v>
                </c:pt>
                <c:pt idx="637">
                  <c:v>40311.057638888888</c:v>
                </c:pt>
                <c:pt idx="638">
                  <c:v>40311.058333333334</c:v>
                </c:pt>
                <c:pt idx="639">
                  <c:v>40311.059027777781</c:v>
                </c:pt>
                <c:pt idx="640">
                  <c:v>40311.05972222222</c:v>
                </c:pt>
                <c:pt idx="641">
                  <c:v>40311.060416666667</c:v>
                </c:pt>
                <c:pt idx="642">
                  <c:v>40311.061111111114</c:v>
                </c:pt>
                <c:pt idx="643">
                  <c:v>40311.061805555553</c:v>
                </c:pt>
                <c:pt idx="644">
                  <c:v>40311.0625</c:v>
                </c:pt>
                <c:pt idx="645">
                  <c:v>40311.063194444447</c:v>
                </c:pt>
                <c:pt idx="646">
                  <c:v>40311.063888888886</c:v>
                </c:pt>
                <c:pt idx="647">
                  <c:v>40311.064583333333</c:v>
                </c:pt>
                <c:pt idx="648">
                  <c:v>40311.06527777778</c:v>
                </c:pt>
                <c:pt idx="649">
                  <c:v>40311.065972222219</c:v>
                </c:pt>
                <c:pt idx="650">
                  <c:v>40311.066666666666</c:v>
                </c:pt>
                <c:pt idx="651">
                  <c:v>40311.067361111112</c:v>
                </c:pt>
                <c:pt idx="652">
                  <c:v>40311.068055555559</c:v>
                </c:pt>
                <c:pt idx="653">
                  <c:v>40311.068749999999</c:v>
                </c:pt>
                <c:pt idx="654">
                  <c:v>40311.069444444445</c:v>
                </c:pt>
                <c:pt idx="655">
                  <c:v>40311.070138888892</c:v>
                </c:pt>
                <c:pt idx="656">
                  <c:v>40311.070833333331</c:v>
                </c:pt>
                <c:pt idx="657">
                  <c:v>40311.071527777778</c:v>
                </c:pt>
                <c:pt idx="658">
                  <c:v>40311.072222222225</c:v>
                </c:pt>
                <c:pt idx="659">
                  <c:v>40311.072916666664</c:v>
                </c:pt>
                <c:pt idx="660">
                  <c:v>40311.073611111111</c:v>
                </c:pt>
                <c:pt idx="661">
                  <c:v>40311.074305555558</c:v>
                </c:pt>
                <c:pt idx="662">
                  <c:v>40311.074999999997</c:v>
                </c:pt>
                <c:pt idx="663">
                  <c:v>40311.075694444444</c:v>
                </c:pt>
                <c:pt idx="664">
                  <c:v>40311.076388888891</c:v>
                </c:pt>
                <c:pt idx="665">
                  <c:v>40311.07708333333</c:v>
                </c:pt>
                <c:pt idx="666">
                  <c:v>40311.077777777777</c:v>
                </c:pt>
                <c:pt idx="667">
                  <c:v>40311.078472222223</c:v>
                </c:pt>
                <c:pt idx="668">
                  <c:v>40311.07916666667</c:v>
                </c:pt>
                <c:pt idx="669">
                  <c:v>40311.079861111109</c:v>
                </c:pt>
                <c:pt idx="670">
                  <c:v>40311.080555555556</c:v>
                </c:pt>
                <c:pt idx="671">
                  <c:v>40311.081250000003</c:v>
                </c:pt>
                <c:pt idx="672">
                  <c:v>40311.081944444442</c:v>
                </c:pt>
                <c:pt idx="673">
                  <c:v>40311.082638888889</c:v>
                </c:pt>
                <c:pt idx="674">
                  <c:v>40311.083333333336</c:v>
                </c:pt>
                <c:pt idx="675">
                  <c:v>40311.084027777775</c:v>
                </c:pt>
                <c:pt idx="676">
                  <c:v>40311.084722222222</c:v>
                </c:pt>
                <c:pt idx="677">
                  <c:v>40311.085416666669</c:v>
                </c:pt>
                <c:pt idx="678">
                  <c:v>40311.086111111108</c:v>
                </c:pt>
                <c:pt idx="679">
                  <c:v>40311.086805555555</c:v>
                </c:pt>
                <c:pt idx="680">
                  <c:v>40311.087500000001</c:v>
                </c:pt>
                <c:pt idx="681">
                  <c:v>40311.088194444441</c:v>
                </c:pt>
                <c:pt idx="682">
                  <c:v>40311.088888888888</c:v>
                </c:pt>
                <c:pt idx="683">
                  <c:v>40311.089583333334</c:v>
                </c:pt>
                <c:pt idx="684">
                  <c:v>40311.090277777781</c:v>
                </c:pt>
                <c:pt idx="685">
                  <c:v>40311.09097222222</c:v>
                </c:pt>
                <c:pt idx="686">
                  <c:v>40311.091666666667</c:v>
                </c:pt>
                <c:pt idx="687">
                  <c:v>40311.092361111114</c:v>
                </c:pt>
                <c:pt idx="688">
                  <c:v>40311.093055555553</c:v>
                </c:pt>
                <c:pt idx="689">
                  <c:v>40311.09375</c:v>
                </c:pt>
                <c:pt idx="690">
                  <c:v>40311.094444444447</c:v>
                </c:pt>
                <c:pt idx="691">
                  <c:v>40311.095138888886</c:v>
                </c:pt>
                <c:pt idx="692">
                  <c:v>40311.095833333333</c:v>
                </c:pt>
                <c:pt idx="693">
                  <c:v>40311.09652777778</c:v>
                </c:pt>
                <c:pt idx="694">
                  <c:v>40311.097222222219</c:v>
                </c:pt>
                <c:pt idx="695">
                  <c:v>40311.097916666666</c:v>
                </c:pt>
                <c:pt idx="696">
                  <c:v>40311.098611111112</c:v>
                </c:pt>
                <c:pt idx="697">
                  <c:v>40311.099305555559</c:v>
                </c:pt>
                <c:pt idx="698">
                  <c:v>40311.1</c:v>
                </c:pt>
                <c:pt idx="699">
                  <c:v>40311.100694444445</c:v>
                </c:pt>
                <c:pt idx="700">
                  <c:v>40311.101388888892</c:v>
                </c:pt>
                <c:pt idx="701">
                  <c:v>40311.102083333331</c:v>
                </c:pt>
                <c:pt idx="702">
                  <c:v>40311.102777777778</c:v>
                </c:pt>
                <c:pt idx="703">
                  <c:v>40311.103472222225</c:v>
                </c:pt>
                <c:pt idx="704">
                  <c:v>40311.104166666664</c:v>
                </c:pt>
                <c:pt idx="705">
                  <c:v>40311.104861111111</c:v>
                </c:pt>
                <c:pt idx="706">
                  <c:v>40311.105555555558</c:v>
                </c:pt>
                <c:pt idx="707">
                  <c:v>40311.106249999997</c:v>
                </c:pt>
                <c:pt idx="708">
                  <c:v>40311.106944444444</c:v>
                </c:pt>
                <c:pt idx="709">
                  <c:v>40311.107638888891</c:v>
                </c:pt>
                <c:pt idx="710">
                  <c:v>40311.10833333333</c:v>
                </c:pt>
                <c:pt idx="711">
                  <c:v>40311.109027777777</c:v>
                </c:pt>
                <c:pt idx="712">
                  <c:v>40311.109722222223</c:v>
                </c:pt>
                <c:pt idx="713">
                  <c:v>40311.11041666667</c:v>
                </c:pt>
                <c:pt idx="714">
                  <c:v>40311.111111111109</c:v>
                </c:pt>
                <c:pt idx="715">
                  <c:v>40311.111805555556</c:v>
                </c:pt>
                <c:pt idx="716">
                  <c:v>40311.112500000003</c:v>
                </c:pt>
                <c:pt idx="717">
                  <c:v>40311.113194444442</c:v>
                </c:pt>
                <c:pt idx="718">
                  <c:v>40311.113888888889</c:v>
                </c:pt>
                <c:pt idx="719">
                  <c:v>40311.114583333336</c:v>
                </c:pt>
                <c:pt idx="720">
                  <c:v>40311.115277777775</c:v>
                </c:pt>
                <c:pt idx="721">
                  <c:v>40311.115972222222</c:v>
                </c:pt>
                <c:pt idx="722">
                  <c:v>40311.116666666669</c:v>
                </c:pt>
                <c:pt idx="723">
                  <c:v>40311.117361111108</c:v>
                </c:pt>
                <c:pt idx="724">
                  <c:v>40311.118055555555</c:v>
                </c:pt>
                <c:pt idx="725">
                  <c:v>40311.118750000001</c:v>
                </c:pt>
                <c:pt idx="726">
                  <c:v>40311.119444444441</c:v>
                </c:pt>
                <c:pt idx="727">
                  <c:v>40311.120138888888</c:v>
                </c:pt>
                <c:pt idx="728">
                  <c:v>40311.120833333334</c:v>
                </c:pt>
                <c:pt idx="729">
                  <c:v>40311.121527777781</c:v>
                </c:pt>
                <c:pt idx="730">
                  <c:v>40311.12222222222</c:v>
                </c:pt>
                <c:pt idx="731">
                  <c:v>40311.122916666667</c:v>
                </c:pt>
                <c:pt idx="732">
                  <c:v>40311.123611111114</c:v>
                </c:pt>
                <c:pt idx="733">
                  <c:v>40311.124305555553</c:v>
                </c:pt>
                <c:pt idx="734">
                  <c:v>40311.125</c:v>
                </c:pt>
                <c:pt idx="735">
                  <c:v>40311.125694444447</c:v>
                </c:pt>
                <c:pt idx="736">
                  <c:v>40311.126388888886</c:v>
                </c:pt>
                <c:pt idx="737">
                  <c:v>40311.127083333333</c:v>
                </c:pt>
                <c:pt idx="738">
                  <c:v>40311.12777777778</c:v>
                </c:pt>
                <c:pt idx="739">
                  <c:v>40311.128472222219</c:v>
                </c:pt>
                <c:pt idx="740">
                  <c:v>40311.129166666666</c:v>
                </c:pt>
                <c:pt idx="741">
                  <c:v>40311.129861111112</c:v>
                </c:pt>
                <c:pt idx="742">
                  <c:v>40311.130555555559</c:v>
                </c:pt>
                <c:pt idx="743">
                  <c:v>40311.131249999999</c:v>
                </c:pt>
                <c:pt idx="744">
                  <c:v>40311.131944444445</c:v>
                </c:pt>
                <c:pt idx="745">
                  <c:v>40311.132638888892</c:v>
                </c:pt>
                <c:pt idx="746">
                  <c:v>40311.133333333331</c:v>
                </c:pt>
                <c:pt idx="747">
                  <c:v>40311.134027777778</c:v>
                </c:pt>
                <c:pt idx="748">
                  <c:v>40311.134722222225</c:v>
                </c:pt>
                <c:pt idx="749">
                  <c:v>40311.135416666664</c:v>
                </c:pt>
                <c:pt idx="750">
                  <c:v>40311.136111111111</c:v>
                </c:pt>
                <c:pt idx="751">
                  <c:v>40311.136805555558</c:v>
                </c:pt>
                <c:pt idx="752">
                  <c:v>40311.137499999997</c:v>
                </c:pt>
                <c:pt idx="753">
                  <c:v>40311.138194444444</c:v>
                </c:pt>
                <c:pt idx="754">
                  <c:v>40311.138888888891</c:v>
                </c:pt>
                <c:pt idx="755">
                  <c:v>40311.13958333333</c:v>
                </c:pt>
                <c:pt idx="756">
                  <c:v>40311.140277777777</c:v>
                </c:pt>
                <c:pt idx="757">
                  <c:v>40311.140972222223</c:v>
                </c:pt>
                <c:pt idx="758">
                  <c:v>40311.14166666667</c:v>
                </c:pt>
                <c:pt idx="759">
                  <c:v>40311.142361111109</c:v>
                </c:pt>
                <c:pt idx="760">
                  <c:v>40311.143055555556</c:v>
                </c:pt>
                <c:pt idx="761">
                  <c:v>40311.143750000003</c:v>
                </c:pt>
                <c:pt idx="762">
                  <c:v>40311.144444444442</c:v>
                </c:pt>
                <c:pt idx="763">
                  <c:v>40311.145138888889</c:v>
                </c:pt>
                <c:pt idx="764">
                  <c:v>40311.145833333336</c:v>
                </c:pt>
                <c:pt idx="765">
                  <c:v>40311.146527777775</c:v>
                </c:pt>
                <c:pt idx="766">
                  <c:v>40311.147222222222</c:v>
                </c:pt>
                <c:pt idx="767">
                  <c:v>40311.147916666669</c:v>
                </c:pt>
                <c:pt idx="768">
                  <c:v>40311.148611111108</c:v>
                </c:pt>
                <c:pt idx="769">
                  <c:v>40311.149305555555</c:v>
                </c:pt>
                <c:pt idx="770">
                  <c:v>40311.15</c:v>
                </c:pt>
                <c:pt idx="771">
                  <c:v>40311.150694444441</c:v>
                </c:pt>
                <c:pt idx="772">
                  <c:v>40311.151388888888</c:v>
                </c:pt>
                <c:pt idx="773">
                  <c:v>40311.152083333334</c:v>
                </c:pt>
                <c:pt idx="774">
                  <c:v>40311.152777777781</c:v>
                </c:pt>
                <c:pt idx="775">
                  <c:v>40311.15347222222</c:v>
                </c:pt>
                <c:pt idx="776">
                  <c:v>40311.154166666667</c:v>
                </c:pt>
                <c:pt idx="777">
                  <c:v>40311.154861111114</c:v>
                </c:pt>
                <c:pt idx="778">
                  <c:v>40311.155555555553</c:v>
                </c:pt>
                <c:pt idx="779">
                  <c:v>40311.15625</c:v>
                </c:pt>
                <c:pt idx="780">
                  <c:v>40311.156944444447</c:v>
                </c:pt>
                <c:pt idx="781">
                  <c:v>40311.157638888886</c:v>
                </c:pt>
                <c:pt idx="782">
                  <c:v>40311.158333333333</c:v>
                </c:pt>
                <c:pt idx="783">
                  <c:v>40311.15902777778</c:v>
                </c:pt>
                <c:pt idx="784">
                  <c:v>40311.159722222219</c:v>
                </c:pt>
                <c:pt idx="785">
                  <c:v>40311.160416666666</c:v>
                </c:pt>
                <c:pt idx="786">
                  <c:v>40311.161111111112</c:v>
                </c:pt>
                <c:pt idx="787">
                  <c:v>40311.161805555559</c:v>
                </c:pt>
                <c:pt idx="788">
                  <c:v>40311.162499999999</c:v>
                </c:pt>
                <c:pt idx="789">
                  <c:v>40311.163194444445</c:v>
                </c:pt>
                <c:pt idx="790">
                  <c:v>40311.163888888892</c:v>
                </c:pt>
                <c:pt idx="791">
                  <c:v>40311.164583333331</c:v>
                </c:pt>
                <c:pt idx="792">
                  <c:v>40311.165277777778</c:v>
                </c:pt>
                <c:pt idx="793">
                  <c:v>40311.165972222225</c:v>
                </c:pt>
                <c:pt idx="794">
                  <c:v>40311.166666666664</c:v>
                </c:pt>
                <c:pt idx="795">
                  <c:v>40311.167361111111</c:v>
                </c:pt>
                <c:pt idx="796">
                  <c:v>40311.168055555558</c:v>
                </c:pt>
                <c:pt idx="797">
                  <c:v>40311.168749999997</c:v>
                </c:pt>
                <c:pt idx="798">
                  <c:v>40311.169444444444</c:v>
                </c:pt>
                <c:pt idx="799">
                  <c:v>40311.170138888891</c:v>
                </c:pt>
                <c:pt idx="800">
                  <c:v>40311.17083333333</c:v>
                </c:pt>
                <c:pt idx="801">
                  <c:v>40311.171527777777</c:v>
                </c:pt>
                <c:pt idx="802">
                  <c:v>40311.172222222223</c:v>
                </c:pt>
                <c:pt idx="803">
                  <c:v>40311.17291666667</c:v>
                </c:pt>
                <c:pt idx="804">
                  <c:v>40311.173611111109</c:v>
                </c:pt>
                <c:pt idx="805">
                  <c:v>40311.174305555556</c:v>
                </c:pt>
                <c:pt idx="806">
                  <c:v>40311.175000000003</c:v>
                </c:pt>
                <c:pt idx="807">
                  <c:v>40311.175694444442</c:v>
                </c:pt>
                <c:pt idx="808">
                  <c:v>40311.176388888889</c:v>
                </c:pt>
                <c:pt idx="809">
                  <c:v>40311.177083333336</c:v>
                </c:pt>
                <c:pt idx="810">
                  <c:v>40311.177777777775</c:v>
                </c:pt>
                <c:pt idx="811">
                  <c:v>40311.178472222222</c:v>
                </c:pt>
                <c:pt idx="812">
                  <c:v>40311.179166666669</c:v>
                </c:pt>
                <c:pt idx="813">
                  <c:v>40311.179861111108</c:v>
                </c:pt>
                <c:pt idx="814">
                  <c:v>40311.180555555555</c:v>
                </c:pt>
                <c:pt idx="815">
                  <c:v>40311.181250000001</c:v>
                </c:pt>
                <c:pt idx="816">
                  <c:v>40311.181944444441</c:v>
                </c:pt>
                <c:pt idx="817">
                  <c:v>40311.182638888888</c:v>
                </c:pt>
                <c:pt idx="818">
                  <c:v>40311.183333333334</c:v>
                </c:pt>
                <c:pt idx="819">
                  <c:v>40311.184027777781</c:v>
                </c:pt>
                <c:pt idx="820">
                  <c:v>40311.18472222222</c:v>
                </c:pt>
                <c:pt idx="821">
                  <c:v>40311.185416666667</c:v>
                </c:pt>
                <c:pt idx="822">
                  <c:v>40311.186111111114</c:v>
                </c:pt>
                <c:pt idx="823">
                  <c:v>40311.186805555553</c:v>
                </c:pt>
                <c:pt idx="824">
                  <c:v>40311.1875</c:v>
                </c:pt>
                <c:pt idx="825">
                  <c:v>40311.188194444447</c:v>
                </c:pt>
                <c:pt idx="826">
                  <c:v>40311.188888888886</c:v>
                </c:pt>
                <c:pt idx="827">
                  <c:v>40311.189583333333</c:v>
                </c:pt>
                <c:pt idx="828">
                  <c:v>40311.19027777778</c:v>
                </c:pt>
                <c:pt idx="829">
                  <c:v>40311.190972222219</c:v>
                </c:pt>
                <c:pt idx="830">
                  <c:v>40311.191666666666</c:v>
                </c:pt>
                <c:pt idx="831">
                  <c:v>40311.192361111112</c:v>
                </c:pt>
                <c:pt idx="832">
                  <c:v>40311.193055555559</c:v>
                </c:pt>
                <c:pt idx="833">
                  <c:v>40311.193749999999</c:v>
                </c:pt>
                <c:pt idx="834">
                  <c:v>40311.194444444445</c:v>
                </c:pt>
                <c:pt idx="835">
                  <c:v>40311.195138888892</c:v>
                </c:pt>
                <c:pt idx="836">
                  <c:v>40311.195833333331</c:v>
                </c:pt>
                <c:pt idx="837">
                  <c:v>40311.196527777778</c:v>
                </c:pt>
                <c:pt idx="838">
                  <c:v>40311.197222222225</c:v>
                </c:pt>
                <c:pt idx="839">
                  <c:v>40311.197916666664</c:v>
                </c:pt>
                <c:pt idx="840">
                  <c:v>40311.198611111111</c:v>
                </c:pt>
                <c:pt idx="841">
                  <c:v>40311.199305555558</c:v>
                </c:pt>
                <c:pt idx="842">
                  <c:v>40311.199999999997</c:v>
                </c:pt>
                <c:pt idx="843">
                  <c:v>40311.200694444444</c:v>
                </c:pt>
                <c:pt idx="844">
                  <c:v>40311.201388888891</c:v>
                </c:pt>
                <c:pt idx="845">
                  <c:v>40311.20208333333</c:v>
                </c:pt>
                <c:pt idx="846">
                  <c:v>40311.202777777777</c:v>
                </c:pt>
                <c:pt idx="847">
                  <c:v>40311.203472222223</c:v>
                </c:pt>
                <c:pt idx="848">
                  <c:v>40311.20416666667</c:v>
                </c:pt>
                <c:pt idx="849">
                  <c:v>40311.204861111109</c:v>
                </c:pt>
                <c:pt idx="850">
                  <c:v>40311.205555555556</c:v>
                </c:pt>
                <c:pt idx="851">
                  <c:v>40311.206250000003</c:v>
                </c:pt>
                <c:pt idx="852">
                  <c:v>40311.206944444442</c:v>
                </c:pt>
                <c:pt idx="853">
                  <c:v>40311.207638888889</c:v>
                </c:pt>
                <c:pt idx="854">
                  <c:v>40311.208333333336</c:v>
                </c:pt>
                <c:pt idx="855">
                  <c:v>40311.209027777775</c:v>
                </c:pt>
                <c:pt idx="856">
                  <c:v>40311.209722222222</c:v>
                </c:pt>
                <c:pt idx="857">
                  <c:v>40311.210416666669</c:v>
                </c:pt>
                <c:pt idx="858">
                  <c:v>40311.211111111108</c:v>
                </c:pt>
                <c:pt idx="859">
                  <c:v>40311.211805555555</c:v>
                </c:pt>
                <c:pt idx="860">
                  <c:v>40311.212500000001</c:v>
                </c:pt>
                <c:pt idx="861">
                  <c:v>40311.213194444441</c:v>
                </c:pt>
                <c:pt idx="862">
                  <c:v>40311.213888888888</c:v>
                </c:pt>
                <c:pt idx="863">
                  <c:v>40311.214583333334</c:v>
                </c:pt>
                <c:pt idx="864">
                  <c:v>40311.215277777781</c:v>
                </c:pt>
                <c:pt idx="865">
                  <c:v>40311.21597222222</c:v>
                </c:pt>
                <c:pt idx="866">
                  <c:v>40311.216666666667</c:v>
                </c:pt>
                <c:pt idx="867">
                  <c:v>40311.217361111114</c:v>
                </c:pt>
                <c:pt idx="868">
                  <c:v>40311.218055555553</c:v>
                </c:pt>
                <c:pt idx="869">
                  <c:v>40311.21875</c:v>
                </c:pt>
                <c:pt idx="870">
                  <c:v>40311.219444444447</c:v>
                </c:pt>
                <c:pt idx="871">
                  <c:v>40311.220138888886</c:v>
                </c:pt>
                <c:pt idx="872">
                  <c:v>40311.220833333333</c:v>
                </c:pt>
                <c:pt idx="873">
                  <c:v>40311.22152777778</c:v>
                </c:pt>
                <c:pt idx="874">
                  <c:v>40311.222222222219</c:v>
                </c:pt>
                <c:pt idx="875">
                  <c:v>40311.222916666666</c:v>
                </c:pt>
                <c:pt idx="876">
                  <c:v>40311.223611111112</c:v>
                </c:pt>
                <c:pt idx="877">
                  <c:v>40311.224305555559</c:v>
                </c:pt>
                <c:pt idx="878">
                  <c:v>40311.224999999999</c:v>
                </c:pt>
                <c:pt idx="879">
                  <c:v>40311.225694444445</c:v>
                </c:pt>
                <c:pt idx="880">
                  <c:v>40311.226388888892</c:v>
                </c:pt>
                <c:pt idx="881">
                  <c:v>40311.227083333331</c:v>
                </c:pt>
                <c:pt idx="882">
                  <c:v>40311.227777777778</c:v>
                </c:pt>
                <c:pt idx="883">
                  <c:v>40311.228472222225</c:v>
                </c:pt>
                <c:pt idx="884">
                  <c:v>40311.229166666664</c:v>
                </c:pt>
                <c:pt idx="885">
                  <c:v>40311.229861111111</c:v>
                </c:pt>
                <c:pt idx="886">
                  <c:v>40311.230555555558</c:v>
                </c:pt>
                <c:pt idx="887">
                  <c:v>40311.231249999997</c:v>
                </c:pt>
                <c:pt idx="888">
                  <c:v>40311.231944444444</c:v>
                </c:pt>
                <c:pt idx="889">
                  <c:v>40311.232638888891</c:v>
                </c:pt>
                <c:pt idx="890">
                  <c:v>40311.23333333333</c:v>
                </c:pt>
                <c:pt idx="891">
                  <c:v>40311.234027777777</c:v>
                </c:pt>
                <c:pt idx="892">
                  <c:v>40311.234722222223</c:v>
                </c:pt>
                <c:pt idx="893">
                  <c:v>40311.23541666667</c:v>
                </c:pt>
                <c:pt idx="894">
                  <c:v>40311.236111111109</c:v>
                </c:pt>
                <c:pt idx="895">
                  <c:v>40311.236805555556</c:v>
                </c:pt>
                <c:pt idx="896">
                  <c:v>40311.237500000003</c:v>
                </c:pt>
                <c:pt idx="897">
                  <c:v>40311.238194444442</c:v>
                </c:pt>
                <c:pt idx="898">
                  <c:v>40311.238888888889</c:v>
                </c:pt>
                <c:pt idx="899">
                  <c:v>40311.239583333336</c:v>
                </c:pt>
                <c:pt idx="900">
                  <c:v>40311.240277777775</c:v>
                </c:pt>
                <c:pt idx="901">
                  <c:v>40311.240972222222</c:v>
                </c:pt>
                <c:pt idx="902">
                  <c:v>40311.241666666669</c:v>
                </c:pt>
                <c:pt idx="903">
                  <c:v>40311.242361111108</c:v>
                </c:pt>
                <c:pt idx="904">
                  <c:v>40311.243055555555</c:v>
                </c:pt>
                <c:pt idx="905">
                  <c:v>40311.243750000001</c:v>
                </c:pt>
                <c:pt idx="906">
                  <c:v>40311.244444444441</c:v>
                </c:pt>
                <c:pt idx="907">
                  <c:v>40311.245138888888</c:v>
                </c:pt>
                <c:pt idx="908">
                  <c:v>40311.245833333334</c:v>
                </c:pt>
                <c:pt idx="909">
                  <c:v>40311.246527777781</c:v>
                </c:pt>
                <c:pt idx="910">
                  <c:v>40311.24722222222</c:v>
                </c:pt>
                <c:pt idx="911">
                  <c:v>40311.247916666667</c:v>
                </c:pt>
                <c:pt idx="912">
                  <c:v>40311.248611111114</c:v>
                </c:pt>
                <c:pt idx="913">
                  <c:v>40311.249305555553</c:v>
                </c:pt>
                <c:pt idx="914">
                  <c:v>40311.25</c:v>
                </c:pt>
                <c:pt idx="915">
                  <c:v>40311.250694444447</c:v>
                </c:pt>
                <c:pt idx="916">
                  <c:v>40311.251388888886</c:v>
                </c:pt>
                <c:pt idx="917">
                  <c:v>40311.252083333333</c:v>
                </c:pt>
                <c:pt idx="918">
                  <c:v>40311.25277777778</c:v>
                </c:pt>
                <c:pt idx="919">
                  <c:v>40311.253472222219</c:v>
                </c:pt>
                <c:pt idx="920">
                  <c:v>40311.254166666666</c:v>
                </c:pt>
                <c:pt idx="921">
                  <c:v>40311.254861111112</c:v>
                </c:pt>
                <c:pt idx="922">
                  <c:v>40311.255555555559</c:v>
                </c:pt>
                <c:pt idx="923">
                  <c:v>40311.256249999999</c:v>
                </c:pt>
                <c:pt idx="924">
                  <c:v>40311.256944444445</c:v>
                </c:pt>
                <c:pt idx="925">
                  <c:v>40311.257638888892</c:v>
                </c:pt>
                <c:pt idx="926">
                  <c:v>40311.258333333331</c:v>
                </c:pt>
                <c:pt idx="927">
                  <c:v>40311.259027777778</c:v>
                </c:pt>
                <c:pt idx="928">
                  <c:v>40311.259722222225</c:v>
                </c:pt>
                <c:pt idx="929">
                  <c:v>40311.260416666664</c:v>
                </c:pt>
                <c:pt idx="930">
                  <c:v>40311.261111111111</c:v>
                </c:pt>
                <c:pt idx="931">
                  <c:v>40311.261805555558</c:v>
                </c:pt>
                <c:pt idx="932">
                  <c:v>40311.262499999997</c:v>
                </c:pt>
                <c:pt idx="933">
                  <c:v>40311.263194444444</c:v>
                </c:pt>
                <c:pt idx="934">
                  <c:v>40311.263888888891</c:v>
                </c:pt>
                <c:pt idx="935">
                  <c:v>40311.26458333333</c:v>
                </c:pt>
                <c:pt idx="936">
                  <c:v>40311.265277777777</c:v>
                </c:pt>
                <c:pt idx="937">
                  <c:v>40311.265972222223</c:v>
                </c:pt>
                <c:pt idx="938">
                  <c:v>40311.26666666667</c:v>
                </c:pt>
                <c:pt idx="939">
                  <c:v>40311.267361111109</c:v>
                </c:pt>
                <c:pt idx="940">
                  <c:v>40311.268055555556</c:v>
                </c:pt>
                <c:pt idx="941">
                  <c:v>40311.268750000003</c:v>
                </c:pt>
                <c:pt idx="942">
                  <c:v>40311.269444444442</c:v>
                </c:pt>
                <c:pt idx="943">
                  <c:v>40311.270138888889</c:v>
                </c:pt>
                <c:pt idx="944">
                  <c:v>40311.270833333336</c:v>
                </c:pt>
                <c:pt idx="945">
                  <c:v>40311.271527777775</c:v>
                </c:pt>
                <c:pt idx="946">
                  <c:v>40311.272222222222</c:v>
                </c:pt>
                <c:pt idx="947">
                  <c:v>40311.272916666669</c:v>
                </c:pt>
                <c:pt idx="948">
                  <c:v>40311.273611111108</c:v>
                </c:pt>
                <c:pt idx="949">
                  <c:v>40311.274305555555</c:v>
                </c:pt>
                <c:pt idx="950">
                  <c:v>40311.275000000001</c:v>
                </c:pt>
                <c:pt idx="951">
                  <c:v>40311.275694444441</c:v>
                </c:pt>
                <c:pt idx="952">
                  <c:v>40311.276388888888</c:v>
                </c:pt>
                <c:pt idx="953">
                  <c:v>40311.277083333334</c:v>
                </c:pt>
                <c:pt idx="954">
                  <c:v>40311.277777777781</c:v>
                </c:pt>
                <c:pt idx="955">
                  <c:v>40311.27847222222</c:v>
                </c:pt>
                <c:pt idx="956">
                  <c:v>40311.279166666667</c:v>
                </c:pt>
                <c:pt idx="957">
                  <c:v>40311.279861111114</c:v>
                </c:pt>
                <c:pt idx="958">
                  <c:v>40311.280555555553</c:v>
                </c:pt>
                <c:pt idx="959">
                  <c:v>40311.28125</c:v>
                </c:pt>
                <c:pt idx="960">
                  <c:v>40311.281944444447</c:v>
                </c:pt>
                <c:pt idx="961">
                  <c:v>40311.282638888886</c:v>
                </c:pt>
                <c:pt idx="962">
                  <c:v>40311.283333333333</c:v>
                </c:pt>
                <c:pt idx="963">
                  <c:v>40311.28402777778</c:v>
                </c:pt>
                <c:pt idx="964">
                  <c:v>40311.284722222219</c:v>
                </c:pt>
                <c:pt idx="965">
                  <c:v>40311.285416666666</c:v>
                </c:pt>
                <c:pt idx="966">
                  <c:v>40311.286111111112</c:v>
                </c:pt>
                <c:pt idx="967">
                  <c:v>40311.286805555559</c:v>
                </c:pt>
                <c:pt idx="968">
                  <c:v>40311.287499999999</c:v>
                </c:pt>
                <c:pt idx="969">
                  <c:v>40311.288194444445</c:v>
                </c:pt>
                <c:pt idx="970">
                  <c:v>40311.288888888892</c:v>
                </c:pt>
                <c:pt idx="971">
                  <c:v>40311.289583333331</c:v>
                </c:pt>
                <c:pt idx="972">
                  <c:v>40311.290277777778</c:v>
                </c:pt>
                <c:pt idx="973">
                  <c:v>40311.290972222225</c:v>
                </c:pt>
                <c:pt idx="974">
                  <c:v>40311.291666666664</c:v>
                </c:pt>
                <c:pt idx="975">
                  <c:v>40311.292361111111</c:v>
                </c:pt>
                <c:pt idx="976">
                  <c:v>40311.293055555558</c:v>
                </c:pt>
                <c:pt idx="977">
                  <c:v>40311.293749999997</c:v>
                </c:pt>
                <c:pt idx="978">
                  <c:v>40311.294444444444</c:v>
                </c:pt>
                <c:pt idx="979">
                  <c:v>40311.295138888891</c:v>
                </c:pt>
                <c:pt idx="980">
                  <c:v>40311.29583333333</c:v>
                </c:pt>
                <c:pt idx="981">
                  <c:v>40311.296527777777</c:v>
                </c:pt>
                <c:pt idx="982">
                  <c:v>40311.297222222223</c:v>
                </c:pt>
                <c:pt idx="983">
                  <c:v>40311.29791666667</c:v>
                </c:pt>
                <c:pt idx="984">
                  <c:v>40311.298611111109</c:v>
                </c:pt>
                <c:pt idx="985">
                  <c:v>40311.299305555556</c:v>
                </c:pt>
                <c:pt idx="986">
                  <c:v>40311.300000000003</c:v>
                </c:pt>
                <c:pt idx="987">
                  <c:v>40311.300694444442</c:v>
                </c:pt>
                <c:pt idx="988">
                  <c:v>40311.301388888889</c:v>
                </c:pt>
                <c:pt idx="989">
                  <c:v>40311.302083333336</c:v>
                </c:pt>
                <c:pt idx="990">
                  <c:v>40311.302777777775</c:v>
                </c:pt>
                <c:pt idx="991">
                  <c:v>40311.303472222222</c:v>
                </c:pt>
                <c:pt idx="992">
                  <c:v>40311.304166666669</c:v>
                </c:pt>
                <c:pt idx="993">
                  <c:v>40311.304861111108</c:v>
                </c:pt>
                <c:pt idx="994">
                  <c:v>40311.305555555555</c:v>
                </c:pt>
                <c:pt idx="995">
                  <c:v>40311.306250000001</c:v>
                </c:pt>
                <c:pt idx="996">
                  <c:v>40311.306944444441</c:v>
                </c:pt>
                <c:pt idx="997">
                  <c:v>40311.307638888888</c:v>
                </c:pt>
                <c:pt idx="998">
                  <c:v>40311.308333333334</c:v>
                </c:pt>
                <c:pt idx="999">
                  <c:v>40311.309027777781</c:v>
                </c:pt>
                <c:pt idx="1000">
                  <c:v>40311.30972222222</c:v>
                </c:pt>
                <c:pt idx="1001">
                  <c:v>40311.310416666667</c:v>
                </c:pt>
                <c:pt idx="1002">
                  <c:v>40311.311111111114</c:v>
                </c:pt>
                <c:pt idx="1003">
                  <c:v>40311.311805555553</c:v>
                </c:pt>
                <c:pt idx="1004">
                  <c:v>40311.3125</c:v>
                </c:pt>
                <c:pt idx="1005">
                  <c:v>40311.313194444447</c:v>
                </c:pt>
                <c:pt idx="1006">
                  <c:v>40311.313888888886</c:v>
                </c:pt>
                <c:pt idx="1007">
                  <c:v>40311.314583333333</c:v>
                </c:pt>
                <c:pt idx="1008">
                  <c:v>40311.31527777778</c:v>
                </c:pt>
                <c:pt idx="1009">
                  <c:v>40311.315972222219</c:v>
                </c:pt>
                <c:pt idx="1010">
                  <c:v>40311.316666666666</c:v>
                </c:pt>
                <c:pt idx="1011">
                  <c:v>40311.317361111112</c:v>
                </c:pt>
                <c:pt idx="1012">
                  <c:v>40311.318055555559</c:v>
                </c:pt>
                <c:pt idx="1013">
                  <c:v>40311.318749999999</c:v>
                </c:pt>
                <c:pt idx="1014">
                  <c:v>40311.319444444445</c:v>
                </c:pt>
                <c:pt idx="1015">
                  <c:v>40311.320138888892</c:v>
                </c:pt>
                <c:pt idx="1016">
                  <c:v>40311.320833333331</c:v>
                </c:pt>
                <c:pt idx="1017">
                  <c:v>40311.321527777778</c:v>
                </c:pt>
                <c:pt idx="1018">
                  <c:v>40311.322222222225</c:v>
                </c:pt>
                <c:pt idx="1019">
                  <c:v>40311.322916666664</c:v>
                </c:pt>
                <c:pt idx="1020">
                  <c:v>40311.323611111111</c:v>
                </c:pt>
                <c:pt idx="1021">
                  <c:v>40311.324305555558</c:v>
                </c:pt>
                <c:pt idx="1022">
                  <c:v>40311.324999999997</c:v>
                </c:pt>
                <c:pt idx="1023">
                  <c:v>40311.325694444444</c:v>
                </c:pt>
                <c:pt idx="1024">
                  <c:v>40311.326388888891</c:v>
                </c:pt>
                <c:pt idx="1025">
                  <c:v>40311.32708333333</c:v>
                </c:pt>
                <c:pt idx="1026">
                  <c:v>40311.327777777777</c:v>
                </c:pt>
                <c:pt idx="1027">
                  <c:v>40311.328472222223</c:v>
                </c:pt>
                <c:pt idx="1028">
                  <c:v>40311.32916666667</c:v>
                </c:pt>
                <c:pt idx="1029">
                  <c:v>40311.329861111109</c:v>
                </c:pt>
                <c:pt idx="1030">
                  <c:v>40311.330555555556</c:v>
                </c:pt>
                <c:pt idx="1031">
                  <c:v>40311.331250000003</c:v>
                </c:pt>
                <c:pt idx="1032">
                  <c:v>40311.331944444442</c:v>
                </c:pt>
                <c:pt idx="1033">
                  <c:v>40311.332638888889</c:v>
                </c:pt>
                <c:pt idx="1034">
                  <c:v>40311.333333333336</c:v>
                </c:pt>
                <c:pt idx="1035">
                  <c:v>40311.334027777775</c:v>
                </c:pt>
                <c:pt idx="1036">
                  <c:v>40311.334722222222</c:v>
                </c:pt>
                <c:pt idx="1037">
                  <c:v>40311.335416666669</c:v>
                </c:pt>
                <c:pt idx="1038">
                  <c:v>40311.336111111108</c:v>
                </c:pt>
                <c:pt idx="1039">
                  <c:v>40311.336805555555</c:v>
                </c:pt>
                <c:pt idx="1040">
                  <c:v>40311.337500000001</c:v>
                </c:pt>
                <c:pt idx="1041">
                  <c:v>40311.338194444441</c:v>
                </c:pt>
                <c:pt idx="1042">
                  <c:v>40311.338888888888</c:v>
                </c:pt>
                <c:pt idx="1043">
                  <c:v>40311.339583333334</c:v>
                </c:pt>
                <c:pt idx="1044">
                  <c:v>40311.340277777781</c:v>
                </c:pt>
                <c:pt idx="1045">
                  <c:v>40311.34097222222</c:v>
                </c:pt>
                <c:pt idx="1046">
                  <c:v>40311.341666666667</c:v>
                </c:pt>
                <c:pt idx="1047">
                  <c:v>40311.342361111114</c:v>
                </c:pt>
                <c:pt idx="1048">
                  <c:v>40311.343055555553</c:v>
                </c:pt>
                <c:pt idx="1049">
                  <c:v>40311.34375</c:v>
                </c:pt>
                <c:pt idx="1050">
                  <c:v>40311.344444444447</c:v>
                </c:pt>
                <c:pt idx="1051">
                  <c:v>40311.345138888886</c:v>
                </c:pt>
                <c:pt idx="1052">
                  <c:v>40311.345833333333</c:v>
                </c:pt>
                <c:pt idx="1053">
                  <c:v>40311.34652777778</c:v>
                </c:pt>
                <c:pt idx="1054">
                  <c:v>40311.347222222219</c:v>
                </c:pt>
                <c:pt idx="1055">
                  <c:v>40311.347916666666</c:v>
                </c:pt>
                <c:pt idx="1056">
                  <c:v>40311.348611111112</c:v>
                </c:pt>
                <c:pt idx="1057">
                  <c:v>40311.349305555559</c:v>
                </c:pt>
                <c:pt idx="1058">
                  <c:v>40311.35</c:v>
                </c:pt>
                <c:pt idx="1059">
                  <c:v>40311.350694444445</c:v>
                </c:pt>
                <c:pt idx="1060">
                  <c:v>40311.351388888892</c:v>
                </c:pt>
                <c:pt idx="1061">
                  <c:v>40311.352083333331</c:v>
                </c:pt>
                <c:pt idx="1062">
                  <c:v>40311.352777777778</c:v>
                </c:pt>
                <c:pt idx="1063">
                  <c:v>40311.353472222225</c:v>
                </c:pt>
                <c:pt idx="1064">
                  <c:v>40311.354166666664</c:v>
                </c:pt>
                <c:pt idx="1065">
                  <c:v>40311.354861111111</c:v>
                </c:pt>
                <c:pt idx="1066">
                  <c:v>40311.355555555558</c:v>
                </c:pt>
                <c:pt idx="1067">
                  <c:v>40311.356249999997</c:v>
                </c:pt>
                <c:pt idx="1068">
                  <c:v>40311.356944444444</c:v>
                </c:pt>
                <c:pt idx="1069">
                  <c:v>40311.357638888891</c:v>
                </c:pt>
                <c:pt idx="1070">
                  <c:v>40311.35833333333</c:v>
                </c:pt>
                <c:pt idx="1071">
                  <c:v>40311.359027777777</c:v>
                </c:pt>
                <c:pt idx="1072">
                  <c:v>40311.359722222223</c:v>
                </c:pt>
                <c:pt idx="1073">
                  <c:v>40311.36041666667</c:v>
                </c:pt>
                <c:pt idx="1074">
                  <c:v>40311.361111111109</c:v>
                </c:pt>
                <c:pt idx="1075">
                  <c:v>40311.361805555556</c:v>
                </c:pt>
                <c:pt idx="1076">
                  <c:v>40311.362500000003</c:v>
                </c:pt>
                <c:pt idx="1077">
                  <c:v>40311.363194444442</c:v>
                </c:pt>
                <c:pt idx="1078">
                  <c:v>40311.363888888889</c:v>
                </c:pt>
                <c:pt idx="1079">
                  <c:v>40311.364583333336</c:v>
                </c:pt>
                <c:pt idx="1080">
                  <c:v>40311.365277777775</c:v>
                </c:pt>
                <c:pt idx="1081">
                  <c:v>40311.365972222222</c:v>
                </c:pt>
                <c:pt idx="1082">
                  <c:v>40311.366666666669</c:v>
                </c:pt>
                <c:pt idx="1083">
                  <c:v>40311.367361111108</c:v>
                </c:pt>
                <c:pt idx="1084">
                  <c:v>40311.368055555555</c:v>
                </c:pt>
                <c:pt idx="1085">
                  <c:v>40311.368750000001</c:v>
                </c:pt>
                <c:pt idx="1086">
                  <c:v>40311.369444444441</c:v>
                </c:pt>
                <c:pt idx="1087">
                  <c:v>40311.370138888888</c:v>
                </c:pt>
                <c:pt idx="1088">
                  <c:v>40311.370833333334</c:v>
                </c:pt>
                <c:pt idx="1089">
                  <c:v>40311.371527777781</c:v>
                </c:pt>
                <c:pt idx="1090">
                  <c:v>40311.37222222222</c:v>
                </c:pt>
                <c:pt idx="1091">
                  <c:v>40311.372916666667</c:v>
                </c:pt>
                <c:pt idx="1092">
                  <c:v>40311.373611111114</c:v>
                </c:pt>
                <c:pt idx="1093">
                  <c:v>40311.374305555553</c:v>
                </c:pt>
                <c:pt idx="1094">
                  <c:v>40311.375</c:v>
                </c:pt>
                <c:pt idx="1095">
                  <c:v>40311.375694444447</c:v>
                </c:pt>
                <c:pt idx="1096">
                  <c:v>40311.376388888886</c:v>
                </c:pt>
                <c:pt idx="1097">
                  <c:v>40311.377083333333</c:v>
                </c:pt>
                <c:pt idx="1098">
                  <c:v>40311.37777777778</c:v>
                </c:pt>
                <c:pt idx="1099">
                  <c:v>40311.378472222219</c:v>
                </c:pt>
                <c:pt idx="1100">
                  <c:v>40311.379166666666</c:v>
                </c:pt>
                <c:pt idx="1101">
                  <c:v>40311.379861111112</c:v>
                </c:pt>
                <c:pt idx="1102">
                  <c:v>40311.380555555559</c:v>
                </c:pt>
                <c:pt idx="1103">
                  <c:v>40311.381249999999</c:v>
                </c:pt>
                <c:pt idx="1104">
                  <c:v>40311.381944444445</c:v>
                </c:pt>
                <c:pt idx="1105">
                  <c:v>40311.382638888892</c:v>
                </c:pt>
                <c:pt idx="1106">
                  <c:v>40311.383333333331</c:v>
                </c:pt>
                <c:pt idx="1107">
                  <c:v>40311.384027777778</c:v>
                </c:pt>
                <c:pt idx="1108">
                  <c:v>40311.384722222225</c:v>
                </c:pt>
                <c:pt idx="1109">
                  <c:v>40311.385416666664</c:v>
                </c:pt>
                <c:pt idx="1110">
                  <c:v>40311.386111111111</c:v>
                </c:pt>
                <c:pt idx="1111">
                  <c:v>40311.386805555558</c:v>
                </c:pt>
                <c:pt idx="1112">
                  <c:v>40311.387499999997</c:v>
                </c:pt>
                <c:pt idx="1113">
                  <c:v>40311.388194444444</c:v>
                </c:pt>
                <c:pt idx="1114">
                  <c:v>40311.388888888891</c:v>
                </c:pt>
                <c:pt idx="1115">
                  <c:v>40311.38958333333</c:v>
                </c:pt>
                <c:pt idx="1116">
                  <c:v>40311.390277777777</c:v>
                </c:pt>
                <c:pt idx="1117">
                  <c:v>40311.390972222223</c:v>
                </c:pt>
                <c:pt idx="1118">
                  <c:v>40311.39166666667</c:v>
                </c:pt>
                <c:pt idx="1119">
                  <c:v>40311.392361111109</c:v>
                </c:pt>
                <c:pt idx="1120">
                  <c:v>40311.393055555556</c:v>
                </c:pt>
                <c:pt idx="1121">
                  <c:v>40311.393750000003</c:v>
                </c:pt>
                <c:pt idx="1122">
                  <c:v>40311.394444444442</c:v>
                </c:pt>
                <c:pt idx="1123">
                  <c:v>40311.395138888889</c:v>
                </c:pt>
                <c:pt idx="1124">
                  <c:v>40311.395833333336</c:v>
                </c:pt>
                <c:pt idx="1125">
                  <c:v>40311.396527777775</c:v>
                </c:pt>
                <c:pt idx="1126">
                  <c:v>40311.397222222222</c:v>
                </c:pt>
                <c:pt idx="1127">
                  <c:v>40311.397916666669</c:v>
                </c:pt>
                <c:pt idx="1128">
                  <c:v>40311.398611111108</c:v>
                </c:pt>
                <c:pt idx="1129">
                  <c:v>40311.399305555555</c:v>
                </c:pt>
                <c:pt idx="1130">
                  <c:v>40311.4</c:v>
                </c:pt>
                <c:pt idx="1131">
                  <c:v>40311.400694444441</c:v>
                </c:pt>
                <c:pt idx="1132">
                  <c:v>40311.401388888888</c:v>
                </c:pt>
                <c:pt idx="1133">
                  <c:v>40311.402083333334</c:v>
                </c:pt>
                <c:pt idx="1134">
                  <c:v>40311.402777777781</c:v>
                </c:pt>
                <c:pt idx="1135">
                  <c:v>40311.40347222222</c:v>
                </c:pt>
                <c:pt idx="1136">
                  <c:v>40311.404166666667</c:v>
                </c:pt>
                <c:pt idx="1137">
                  <c:v>40311.404861111114</c:v>
                </c:pt>
                <c:pt idx="1138">
                  <c:v>40311.405555555553</c:v>
                </c:pt>
                <c:pt idx="1139">
                  <c:v>40311.40625</c:v>
                </c:pt>
                <c:pt idx="1140">
                  <c:v>40311.406944444447</c:v>
                </c:pt>
                <c:pt idx="1141">
                  <c:v>40311.407638888886</c:v>
                </c:pt>
                <c:pt idx="1142">
                  <c:v>40311.408333333333</c:v>
                </c:pt>
                <c:pt idx="1143">
                  <c:v>40311.40902777778</c:v>
                </c:pt>
                <c:pt idx="1144">
                  <c:v>40311.409722222219</c:v>
                </c:pt>
                <c:pt idx="1145">
                  <c:v>40311.410416666666</c:v>
                </c:pt>
                <c:pt idx="1146">
                  <c:v>40311.411111111112</c:v>
                </c:pt>
                <c:pt idx="1147">
                  <c:v>40311.411805555559</c:v>
                </c:pt>
                <c:pt idx="1148">
                  <c:v>40311.412499999999</c:v>
                </c:pt>
                <c:pt idx="1149">
                  <c:v>40311.413194444445</c:v>
                </c:pt>
                <c:pt idx="1150">
                  <c:v>40311.413888888892</c:v>
                </c:pt>
                <c:pt idx="1151">
                  <c:v>40311.414583333331</c:v>
                </c:pt>
                <c:pt idx="1152">
                  <c:v>40311.415277777778</c:v>
                </c:pt>
                <c:pt idx="1153">
                  <c:v>40311.415972222225</c:v>
                </c:pt>
                <c:pt idx="1154">
                  <c:v>40311.416666666664</c:v>
                </c:pt>
                <c:pt idx="1155">
                  <c:v>40311.417361111111</c:v>
                </c:pt>
                <c:pt idx="1156">
                  <c:v>40311.418055555558</c:v>
                </c:pt>
                <c:pt idx="1157">
                  <c:v>40311.418749999997</c:v>
                </c:pt>
                <c:pt idx="1158">
                  <c:v>40311.419444444444</c:v>
                </c:pt>
                <c:pt idx="1159">
                  <c:v>40311.420138888891</c:v>
                </c:pt>
                <c:pt idx="1160">
                  <c:v>40311.42083333333</c:v>
                </c:pt>
                <c:pt idx="1161">
                  <c:v>40311.421527777777</c:v>
                </c:pt>
                <c:pt idx="1162">
                  <c:v>40311.422222222223</c:v>
                </c:pt>
                <c:pt idx="1163">
                  <c:v>40311.42291666667</c:v>
                </c:pt>
                <c:pt idx="1164">
                  <c:v>40311.423611111109</c:v>
                </c:pt>
                <c:pt idx="1165">
                  <c:v>40311.424305555556</c:v>
                </c:pt>
                <c:pt idx="1166">
                  <c:v>40311.425000000003</c:v>
                </c:pt>
                <c:pt idx="1167">
                  <c:v>40311.425694444442</c:v>
                </c:pt>
                <c:pt idx="1168">
                  <c:v>40311.426388888889</c:v>
                </c:pt>
                <c:pt idx="1169">
                  <c:v>40311.427083333336</c:v>
                </c:pt>
                <c:pt idx="1170">
                  <c:v>40311.427777777775</c:v>
                </c:pt>
                <c:pt idx="1171">
                  <c:v>40311.428472222222</c:v>
                </c:pt>
                <c:pt idx="1172">
                  <c:v>40311.429166666669</c:v>
                </c:pt>
                <c:pt idx="1173">
                  <c:v>40311.429861111108</c:v>
                </c:pt>
                <c:pt idx="1174">
                  <c:v>40311.430555555555</c:v>
                </c:pt>
                <c:pt idx="1175">
                  <c:v>40311.431250000001</c:v>
                </c:pt>
                <c:pt idx="1176">
                  <c:v>40311.431944444441</c:v>
                </c:pt>
                <c:pt idx="1177">
                  <c:v>40311.432638888888</c:v>
                </c:pt>
                <c:pt idx="1178">
                  <c:v>40311.433333333334</c:v>
                </c:pt>
                <c:pt idx="1179">
                  <c:v>40311.434027777781</c:v>
                </c:pt>
                <c:pt idx="1180">
                  <c:v>40311.43472222222</c:v>
                </c:pt>
                <c:pt idx="1181">
                  <c:v>40311.435416666667</c:v>
                </c:pt>
                <c:pt idx="1182">
                  <c:v>40311.436111111114</c:v>
                </c:pt>
                <c:pt idx="1183">
                  <c:v>40311.436805555553</c:v>
                </c:pt>
                <c:pt idx="1184">
                  <c:v>40311.4375</c:v>
                </c:pt>
                <c:pt idx="1185">
                  <c:v>40311.438194444447</c:v>
                </c:pt>
                <c:pt idx="1186">
                  <c:v>40311.438888888886</c:v>
                </c:pt>
                <c:pt idx="1187">
                  <c:v>40311.439583333333</c:v>
                </c:pt>
                <c:pt idx="1188">
                  <c:v>40311.44027777778</c:v>
                </c:pt>
                <c:pt idx="1189">
                  <c:v>40311.440972222219</c:v>
                </c:pt>
                <c:pt idx="1190">
                  <c:v>40311.441666666666</c:v>
                </c:pt>
                <c:pt idx="1191">
                  <c:v>40311.442361111112</c:v>
                </c:pt>
                <c:pt idx="1192">
                  <c:v>40311.443055555559</c:v>
                </c:pt>
                <c:pt idx="1193">
                  <c:v>40311.443749999999</c:v>
                </c:pt>
                <c:pt idx="1194">
                  <c:v>40311.444444444445</c:v>
                </c:pt>
                <c:pt idx="1195">
                  <c:v>40311.445138888892</c:v>
                </c:pt>
                <c:pt idx="1196">
                  <c:v>40311.445833333331</c:v>
                </c:pt>
                <c:pt idx="1197">
                  <c:v>40311.446527777778</c:v>
                </c:pt>
                <c:pt idx="1198">
                  <c:v>40311.447222222225</c:v>
                </c:pt>
                <c:pt idx="1199">
                  <c:v>40311.447916666664</c:v>
                </c:pt>
                <c:pt idx="1200">
                  <c:v>40311.448611111111</c:v>
                </c:pt>
                <c:pt idx="1201">
                  <c:v>40311.449305555558</c:v>
                </c:pt>
                <c:pt idx="1202">
                  <c:v>40311.449999999997</c:v>
                </c:pt>
                <c:pt idx="1203">
                  <c:v>40311.450694444444</c:v>
                </c:pt>
                <c:pt idx="1204">
                  <c:v>40311.451388888891</c:v>
                </c:pt>
                <c:pt idx="1205">
                  <c:v>40311.45208333333</c:v>
                </c:pt>
                <c:pt idx="1206">
                  <c:v>40311.452777777777</c:v>
                </c:pt>
                <c:pt idx="1207">
                  <c:v>40311.453472222223</c:v>
                </c:pt>
                <c:pt idx="1208">
                  <c:v>40311.45416666667</c:v>
                </c:pt>
                <c:pt idx="1209">
                  <c:v>40311.454861111109</c:v>
                </c:pt>
                <c:pt idx="1210">
                  <c:v>40311.455555555556</c:v>
                </c:pt>
                <c:pt idx="1211">
                  <c:v>40311.456250000003</c:v>
                </c:pt>
                <c:pt idx="1212">
                  <c:v>40311.456944444442</c:v>
                </c:pt>
                <c:pt idx="1213">
                  <c:v>40311.457638888889</c:v>
                </c:pt>
                <c:pt idx="1214">
                  <c:v>40311.458333333336</c:v>
                </c:pt>
                <c:pt idx="1215">
                  <c:v>40311.459027777775</c:v>
                </c:pt>
                <c:pt idx="1216">
                  <c:v>40311.459722222222</c:v>
                </c:pt>
                <c:pt idx="1217">
                  <c:v>40311.460416666669</c:v>
                </c:pt>
                <c:pt idx="1218">
                  <c:v>40311.461111111108</c:v>
                </c:pt>
                <c:pt idx="1219">
                  <c:v>40311.461805555555</c:v>
                </c:pt>
                <c:pt idx="1220">
                  <c:v>40311.462500000001</c:v>
                </c:pt>
                <c:pt idx="1221">
                  <c:v>40311.463194444441</c:v>
                </c:pt>
                <c:pt idx="1222">
                  <c:v>40311.463888888888</c:v>
                </c:pt>
                <c:pt idx="1223">
                  <c:v>40311.464583333334</c:v>
                </c:pt>
                <c:pt idx="1224">
                  <c:v>40311.465277777781</c:v>
                </c:pt>
                <c:pt idx="1225">
                  <c:v>40311.46597222222</c:v>
                </c:pt>
                <c:pt idx="1226">
                  <c:v>40311.466666666667</c:v>
                </c:pt>
                <c:pt idx="1227">
                  <c:v>40311.467361111114</c:v>
                </c:pt>
                <c:pt idx="1228">
                  <c:v>40311.468055555553</c:v>
                </c:pt>
                <c:pt idx="1229">
                  <c:v>40311.46875</c:v>
                </c:pt>
                <c:pt idx="1230">
                  <c:v>40311.469444444447</c:v>
                </c:pt>
                <c:pt idx="1231">
                  <c:v>40311.470138888886</c:v>
                </c:pt>
                <c:pt idx="1232">
                  <c:v>40311.470833333333</c:v>
                </c:pt>
                <c:pt idx="1233">
                  <c:v>40311.47152777778</c:v>
                </c:pt>
                <c:pt idx="1234">
                  <c:v>40311.472222222219</c:v>
                </c:pt>
                <c:pt idx="1235">
                  <c:v>40311.472916666666</c:v>
                </c:pt>
                <c:pt idx="1236">
                  <c:v>40311.473611111112</c:v>
                </c:pt>
                <c:pt idx="1237">
                  <c:v>40311.474305555559</c:v>
                </c:pt>
                <c:pt idx="1238">
                  <c:v>40311.474999999999</c:v>
                </c:pt>
                <c:pt idx="1239">
                  <c:v>40311.475694444445</c:v>
                </c:pt>
                <c:pt idx="1240">
                  <c:v>40311.476388888892</c:v>
                </c:pt>
                <c:pt idx="1241">
                  <c:v>40311.477083333331</c:v>
                </c:pt>
                <c:pt idx="1242">
                  <c:v>40311.477777777778</c:v>
                </c:pt>
                <c:pt idx="1243">
                  <c:v>40311.478472222225</c:v>
                </c:pt>
                <c:pt idx="1244">
                  <c:v>40311.479166666664</c:v>
                </c:pt>
                <c:pt idx="1245">
                  <c:v>40311.479861111111</c:v>
                </c:pt>
                <c:pt idx="1246">
                  <c:v>40311.480555555558</c:v>
                </c:pt>
                <c:pt idx="1247">
                  <c:v>40311.481249999997</c:v>
                </c:pt>
                <c:pt idx="1248">
                  <c:v>40311.481944444444</c:v>
                </c:pt>
                <c:pt idx="1249">
                  <c:v>40311.482638888891</c:v>
                </c:pt>
                <c:pt idx="1250">
                  <c:v>40311.48333333333</c:v>
                </c:pt>
                <c:pt idx="1251">
                  <c:v>40311.484027777777</c:v>
                </c:pt>
                <c:pt idx="1252">
                  <c:v>40311.484722222223</c:v>
                </c:pt>
                <c:pt idx="1253">
                  <c:v>40311.48541666667</c:v>
                </c:pt>
                <c:pt idx="1254">
                  <c:v>40311.486111111109</c:v>
                </c:pt>
                <c:pt idx="1255">
                  <c:v>40311.486805555556</c:v>
                </c:pt>
                <c:pt idx="1256">
                  <c:v>40311.487500000003</c:v>
                </c:pt>
                <c:pt idx="1257">
                  <c:v>40311.488194444442</c:v>
                </c:pt>
                <c:pt idx="1258">
                  <c:v>40311.488888888889</c:v>
                </c:pt>
                <c:pt idx="1259">
                  <c:v>40311.489583333336</c:v>
                </c:pt>
                <c:pt idx="1260">
                  <c:v>40311.490277777775</c:v>
                </c:pt>
                <c:pt idx="1261">
                  <c:v>40311.490972222222</c:v>
                </c:pt>
                <c:pt idx="1262">
                  <c:v>40311.491666666669</c:v>
                </c:pt>
                <c:pt idx="1263">
                  <c:v>40311.492361111108</c:v>
                </c:pt>
                <c:pt idx="1264">
                  <c:v>40311.493055555555</c:v>
                </c:pt>
                <c:pt idx="1265">
                  <c:v>40311.493750000001</c:v>
                </c:pt>
                <c:pt idx="1266">
                  <c:v>40311.494444444441</c:v>
                </c:pt>
                <c:pt idx="1267">
                  <c:v>40311.495138888888</c:v>
                </c:pt>
                <c:pt idx="1268">
                  <c:v>40311.495833333334</c:v>
                </c:pt>
                <c:pt idx="1269">
                  <c:v>40311.496527777781</c:v>
                </c:pt>
                <c:pt idx="1270">
                  <c:v>40311.49722222222</c:v>
                </c:pt>
                <c:pt idx="1271">
                  <c:v>40311.497916666667</c:v>
                </c:pt>
                <c:pt idx="1272">
                  <c:v>40311.498611111114</c:v>
                </c:pt>
                <c:pt idx="1273">
                  <c:v>40311.499305555553</c:v>
                </c:pt>
                <c:pt idx="1274">
                  <c:v>40311.5</c:v>
                </c:pt>
                <c:pt idx="1275">
                  <c:v>40311.500694444447</c:v>
                </c:pt>
                <c:pt idx="1276">
                  <c:v>40311.501388888886</c:v>
                </c:pt>
                <c:pt idx="1277">
                  <c:v>40311.502083333333</c:v>
                </c:pt>
                <c:pt idx="1278">
                  <c:v>40311.50277777778</c:v>
                </c:pt>
                <c:pt idx="1279">
                  <c:v>40311.503472222219</c:v>
                </c:pt>
                <c:pt idx="1280">
                  <c:v>40311.504166666666</c:v>
                </c:pt>
                <c:pt idx="1281">
                  <c:v>40311.504861111112</c:v>
                </c:pt>
                <c:pt idx="1282">
                  <c:v>40311.505555555559</c:v>
                </c:pt>
                <c:pt idx="1283">
                  <c:v>40311.506249999999</c:v>
                </c:pt>
                <c:pt idx="1284">
                  <c:v>40311.506944444445</c:v>
                </c:pt>
                <c:pt idx="1285">
                  <c:v>40311.507638888892</c:v>
                </c:pt>
                <c:pt idx="1286">
                  <c:v>40311.508333333331</c:v>
                </c:pt>
                <c:pt idx="1287">
                  <c:v>40311.509027777778</c:v>
                </c:pt>
                <c:pt idx="1288">
                  <c:v>40311.509722222225</c:v>
                </c:pt>
                <c:pt idx="1289">
                  <c:v>40311.510416666664</c:v>
                </c:pt>
                <c:pt idx="1290">
                  <c:v>40311.511111111111</c:v>
                </c:pt>
                <c:pt idx="1291">
                  <c:v>40311.511805555558</c:v>
                </c:pt>
                <c:pt idx="1292">
                  <c:v>40311.512499999997</c:v>
                </c:pt>
                <c:pt idx="1293">
                  <c:v>40311.513194444444</c:v>
                </c:pt>
                <c:pt idx="1294">
                  <c:v>40311.513888888891</c:v>
                </c:pt>
                <c:pt idx="1295">
                  <c:v>40311.51458333333</c:v>
                </c:pt>
                <c:pt idx="1296">
                  <c:v>40311.515277777777</c:v>
                </c:pt>
                <c:pt idx="1297">
                  <c:v>40311.515972222223</c:v>
                </c:pt>
                <c:pt idx="1298">
                  <c:v>40311.51666666667</c:v>
                </c:pt>
                <c:pt idx="1299">
                  <c:v>40311.517361111109</c:v>
                </c:pt>
                <c:pt idx="1300">
                  <c:v>40311.518055555556</c:v>
                </c:pt>
                <c:pt idx="1301">
                  <c:v>40311.518750000003</c:v>
                </c:pt>
                <c:pt idx="1302">
                  <c:v>40311.519444444442</c:v>
                </c:pt>
                <c:pt idx="1303">
                  <c:v>40311.520138888889</c:v>
                </c:pt>
                <c:pt idx="1304">
                  <c:v>40311.520833333336</c:v>
                </c:pt>
                <c:pt idx="1305">
                  <c:v>40311.521527777775</c:v>
                </c:pt>
                <c:pt idx="1306">
                  <c:v>40311.522222222222</c:v>
                </c:pt>
                <c:pt idx="1307">
                  <c:v>40311.522916666669</c:v>
                </c:pt>
                <c:pt idx="1308">
                  <c:v>40311.523611111108</c:v>
                </c:pt>
                <c:pt idx="1309">
                  <c:v>40311.524305555555</c:v>
                </c:pt>
                <c:pt idx="1310">
                  <c:v>40311.525000000001</c:v>
                </c:pt>
                <c:pt idx="1311">
                  <c:v>40311.525694444441</c:v>
                </c:pt>
                <c:pt idx="1312">
                  <c:v>40311.526388888888</c:v>
                </c:pt>
                <c:pt idx="1313">
                  <c:v>40311.527083333334</c:v>
                </c:pt>
                <c:pt idx="1314">
                  <c:v>40311.527777777781</c:v>
                </c:pt>
                <c:pt idx="1315">
                  <c:v>40311.52847222222</c:v>
                </c:pt>
                <c:pt idx="1316">
                  <c:v>40311.529166666667</c:v>
                </c:pt>
                <c:pt idx="1317">
                  <c:v>40311.529861111114</c:v>
                </c:pt>
                <c:pt idx="1318">
                  <c:v>40311.530555555553</c:v>
                </c:pt>
                <c:pt idx="1319">
                  <c:v>40311.53125</c:v>
                </c:pt>
                <c:pt idx="1320">
                  <c:v>40311.531944444447</c:v>
                </c:pt>
                <c:pt idx="1321">
                  <c:v>40311.532638888886</c:v>
                </c:pt>
                <c:pt idx="1322">
                  <c:v>40311.533333333333</c:v>
                </c:pt>
                <c:pt idx="1323">
                  <c:v>40311.53402777778</c:v>
                </c:pt>
                <c:pt idx="1324">
                  <c:v>40311.534722222219</c:v>
                </c:pt>
                <c:pt idx="1325">
                  <c:v>40311.535416666666</c:v>
                </c:pt>
                <c:pt idx="1326">
                  <c:v>40311.536111111112</c:v>
                </c:pt>
                <c:pt idx="1327">
                  <c:v>40311.536805555559</c:v>
                </c:pt>
                <c:pt idx="1328">
                  <c:v>40311.537499999999</c:v>
                </c:pt>
                <c:pt idx="1329">
                  <c:v>40311.538194444445</c:v>
                </c:pt>
                <c:pt idx="1330">
                  <c:v>40311.538888888892</c:v>
                </c:pt>
                <c:pt idx="1331">
                  <c:v>40311.539583333331</c:v>
                </c:pt>
                <c:pt idx="1332">
                  <c:v>40311.540277777778</c:v>
                </c:pt>
                <c:pt idx="1333">
                  <c:v>40311.540972222225</c:v>
                </c:pt>
                <c:pt idx="1334">
                  <c:v>40311.541666666664</c:v>
                </c:pt>
                <c:pt idx="1335">
                  <c:v>40311.542361111111</c:v>
                </c:pt>
                <c:pt idx="1336">
                  <c:v>40311.543055555558</c:v>
                </c:pt>
                <c:pt idx="1337">
                  <c:v>40311.543749999997</c:v>
                </c:pt>
                <c:pt idx="1338">
                  <c:v>40311.544444444444</c:v>
                </c:pt>
                <c:pt idx="1339">
                  <c:v>40311.545138888891</c:v>
                </c:pt>
                <c:pt idx="1340">
                  <c:v>40311.54583333333</c:v>
                </c:pt>
                <c:pt idx="1341">
                  <c:v>40311.546527777777</c:v>
                </c:pt>
                <c:pt idx="1342">
                  <c:v>40311.547222222223</c:v>
                </c:pt>
                <c:pt idx="1343">
                  <c:v>40311.54791666667</c:v>
                </c:pt>
                <c:pt idx="1344">
                  <c:v>40311.548611111109</c:v>
                </c:pt>
                <c:pt idx="1345">
                  <c:v>40311.549305555556</c:v>
                </c:pt>
                <c:pt idx="1346">
                  <c:v>40311.550000000003</c:v>
                </c:pt>
                <c:pt idx="1347">
                  <c:v>40311.550694444442</c:v>
                </c:pt>
                <c:pt idx="1348">
                  <c:v>40311.551388888889</c:v>
                </c:pt>
                <c:pt idx="1349">
                  <c:v>40311.552083333336</c:v>
                </c:pt>
                <c:pt idx="1350">
                  <c:v>40311.552777777775</c:v>
                </c:pt>
                <c:pt idx="1351">
                  <c:v>40311.553472222222</c:v>
                </c:pt>
                <c:pt idx="1352">
                  <c:v>40311.554166666669</c:v>
                </c:pt>
                <c:pt idx="1353">
                  <c:v>40311.554861111108</c:v>
                </c:pt>
                <c:pt idx="1354">
                  <c:v>40311.555555555555</c:v>
                </c:pt>
                <c:pt idx="1355">
                  <c:v>40311.556250000001</c:v>
                </c:pt>
                <c:pt idx="1356">
                  <c:v>40311.556944444441</c:v>
                </c:pt>
                <c:pt idx="1357">
                  <c:v>40311.557638888888</c:v>
                </c:pt>
                <c:pt idx="1358">
                  <c:v>40311.558333333334</c:v>
                </c:pt>
                <c:pt idx="1359">
                  <c:v>40311.559027777781</c:v>
                </c:pt>
                <c:pt idx="1360">
                  <c:v>40311.55972222222</c:v>
                </c:pt>
                <c:pt idx="1361">
                  <c:v>40311.560416666667</c:v>
                </c:pt>
                <c:pt idx="1362">
                  <c:v>40311.561111111114</c:v>
                </c:pt>
                <c:pt idx="1363">
                  <c:v>40311.561805555553</c:v>
                </c:pt>
                <c:pt idx="1364">
                  <c:v>40311.5625</c:v>
                </c:pt>
                <c:pt idx="1365">
                  <c:v>40311.563194444447</c:v>
                </c:pt>
                <c:pt idx="1366">
                  <c:v>40311.563888888886</c:v>
                </c:pt>
                <c:pt idx="1367">
                  <c:v>40311.564583333333</c:v>
                </c:pt>
                <c:pt idx="1368">
                  <c:v>40311.56527777778</c:v>
                </c:pt>
                <c:pt idx="1369">
                  <c:v>40311.565972222219</c:v>
                </c:pt>
                <c:pt idx="1370">
                  <c:v>40311.566666666666</c:v>
                </c:pt>
                <c:pt idx="1371">
                  <c:v>40311.567361111112</c:v>
                </c:pt>
                <c:pt idx="1372">
                  <c:v>40311.568055555559</c:v>
                </c:pt>
                <c:pt idx="1373">
                  <c:v>40311.568749999999</c:v>
                </c:pt>
                <c:pt idx="1374">
                  <c:v>40311.569444444445</c:v>
                </c:pt>
                <c:pt idx="1375">
                  <c:v>40311.570138888892</c:v>
                </c:pt>
                <c:pt idx="1376">
                  <c:v>40311.570833333331</c:v>
                </c:pt>
                <c:pt idx="1377">
                  <c:v>40311.571527777778</c:v>
                </c:pt>
                <c:pt idx="1378">
                  <c:v>40311.572222222225</c:v>
                </c:pt>
                <c:pt idx="1379">
                  <c:v>40311.572916666664</c:v>
                </c:pt>
                <c:pt idx="1380">
                  <c:v>40311.573611111111</c:v>
                </c:pt>
                <c:pt idx="1381">
                  <c:v>40311.574305555558</c:v>
                </c:pt>
                <c:pt idx="1382">
                  <c:v>40311.574999999997</c:v>
                </c:pt>
                <c:pt idx="1383">
                  <c:v>40311.575694444444</c:v>
                </c:pt>
                <c:pt idx="1384">
                  <c:v>40311.576388888891</c:v>
                </c:pt>
                <c:pt idx="1385">
                  <c:v>40311.57708333333</c:v>
                </c:pt>
                <c:pt idx="1386">
                  <c:v>40311.577777777777</c:v>
                </c:pt>
                <c:pt idx="1387">
                  <c:v>40311.578472222223</c:v>
                </c:pt>
                <c:pt idx="1388">
                  <c:v>40311.57916666667</c:v>
                </c:pt>
                <c:pt idx="1389">
                  <c:v>40311.579861111109</c:v>
                </c:pt>
                <c:pt idx="1390">
                  <c:v>40311.580555555556</c:v>
                </c:pt>
                <c:pt idx="1391">
                  <c:v>40311.581250000003</c:v>
                </c:pt>
                <c:pt idx="1392">
                  <c:v>40311.581944444442</c:v>
                </c:pt>
                <c:pt idx="1393">
                  <c:v>40311.582638888889</c:v>
                </c:pt>
                <c:pt idx="1394">
                  <c:v>40311.583333333336</c:v>
                </c:pt>
                <c:pt idx="1395">
                  <c:v>40311.584027777775</c:v>
                </c:pt>
                <c:pt idx="1396">
                  <c:v>40311.584722222222</c:v>
                </c:pt>
                <c:pt idx="1397">
                  <c:v>40311.585416666669</c:v>
                </c:pt>
                <c:pt idx="1398">
                  <c:v>40311.586111111108</c:v>
                </c:pt>
                <c:pt idx="1399">
                  <c:v>40311.586805555555</c:v>
                </c:pt>
                <c:pt idx="1400">
                  <c:v>40311.587500000001</c:v>
                </c:pt>
                <c:pt idx="1401">
                  <c:v>40311.588194444441</c:v>
                </c:pt>
                <c:pt idx="1402">
                  <c:v>40311.588888888888</c:v>
                </c:pt>
                <c:pt idx="1403">
                  <c:v>40311.589583333334</c:v>
                </c:pt>
                <c:pt idx="1404">
                  <c:v>40311.590277777781</c:v>
                </c:pt>
                <c:pt idx="1405">
                  <c:v>40311.59097222222</c:v>
                </c:pt>
                <c:pt idx="1406">
                  <c:v>40311.591666666667</c:v>
                </c:pt>
                <c:pt idx="1407">
                  <c:v>40311.592361111114</c:v>
                </c:pt>
                <c:pt idx="1408">
                  <c:v>40311.593055555553</c:v>
                </c:pt>
                <c:pt idx="1409">
                  <c:v>40311.59375</c:v>
                </c:pt>
                <c:pt idx="1410">
                  <c:v>40311.594444444447</c:v>
                </c:pt>
                <c:pt idx="1411">
                  <c:v>40311.595138888886</c:v>
                </c:pt>
                <c:pt idx="1412">
                  <c:v>40311.595833333333</c:v>
                </c:pt>
                <c:pt idx="1413">
                  <c:v>40311.59652777778</c:v>
                </c:pt>
                <c:pt idx="1414">
                  <c:v>40311.597222222219</c:v>
                </c:pt>
                <c:pt idx="1415">
                  <c:v>40311.597916666666</c:v>
                </c:pt>
                <c:pt idx="1416">
                  <c:v>40311.598611111112</c:v>
                </c:pt>
                <c:pt idx="1417">
                  <c:v>40311.599305555559</c:v>
                </c:pt>
                <c:pt idx="1418">
                  <c:v>40311.599999999999</c:v>
                </c:pt>
                <c:pt idx="1419">
                  <c:v>40311.600694444445</c:v>
                </c:pt>
                <c:pt idx="1420">
                  <c:v>40311.601388888892</c:v>
                </c:pt>
                <c:pt idx="1421">
                  <c:v>40311.602083333331</c:v>
                </c:pt>
                <c:pt idx="1422">
                  <c:v>40311.602777777778</c:v>
                </c:pt>
                <c:pt idx="1423">
                  <c:v>40311.603472222225</c:v>
                </c:pt>
                <c:pt idx="1424">
                  <c:v>40311.604166666664</c:v>
                </c:pt>
                <c:pt idx="1425">
                  <c:v>40311.604861111111</c:v>
                </c:pt>
                <c:pt idx="1426">
                  <c:v>40311.605555555558</c:v>
                </c:pt>
                <c:pt idx="1427">
                  <c:v>40311.606249999997</c:v>
                </c:pt>
                <c:pt idx="1428">
                  <c:v>40311.606944444444</c:v>
                </c:pt>
                <c:pt idx="1429">
                  <c:v>40311.607638888891</c:v>
                </c:pt>
                <c:pt idx="1430">
                  <c:v>40311.60833333333</c:v>
                </c:pt>
                <c:pt idx="1431">
                  <c:v>40311.609027777777</c:v>
                </c:pt>
                <c:pt idx="1432">
                  <c:v>40311.609722222223</c:v>
                </c:pt>
                <c:pt idx="1433">
                  <c:v>40311.61041666667</c:v>
                </c:pt>
                <c:pt idx="1434">
                  <c:v>40311.611111111109</c:v>
                </c:pt>
                <c:pt idx="1435">
                  <c:v>40311.611805555556</c:v>
                </c:pt>
                <c:pt idx="1436">
                  <c:v>40311.612500000003</c:v>
                </c:pt>
                <c:pt idx="1437">
                  <c:v>40311.613194444442</c:v>
                </c:pt>
                <c:pt idx="1438">
                  <c:v>40311.613888888889</c:v>
                </c:pt>
                <c:pt idx="1439">
                  <c:v>40311.614583333336</c:v>
                </c:pt>
                <c:pt idx="1440">
                  <c:v>40311.615277777775</c:v>
                </c:pt>
                <c:pt idx="1441">
                  <c:v>40311.615972222222</c:v>
                </c:pt>
                <c:pt idx="1442">
                  <c:v>40311.616666666669</c:v>
                </c:pt>
                <c:pt idx="1443">
                  <c:v>40311.617361111108</c:v>
                </c:pt>
                <c:pt idx="1444">
                  <c:v>40311.618055555555</c:v>
                </c:pt>
                <c:pt idx="1445">
                  <c:v>40311.618750000001</c:v>
                </c:pt>
                <c:pt idx="1446">
                  <c:v>40311.619444444441</c:v>
                </c:pt>
                <c:pt idx="1447">
                  <c:v>40311.620138888888</c:v>
                </c:pt>
                <c:pt idx="1448">
                  <c:v>40311.620833333334</c:v>
                </c:pt>
                <c:pt idx="1449">
                  <c:v>40311.621527777781</c:v>
                </c:pt>
                <c:pt idx="1450">
                  <c:v>40311.62222222222</c:v>
                </c:pt>
                <c:pt idx="1451">
                  <c:v>40311.622916666667</c:v>
                </c:pt>
                <c:pt idx="1452">
                  <c:v>40311.623611111114</c:v>
                </c:pt>
                <c:pt idx="1453">
                  <c:v>40311.624305555553</c:v>
                </c:pt>
                <c:pt idx="1454">
                  <c:v>40311.625</c:v>
                </c:pt>
                <c:pt idx="1455">
                  <c:v>40311.625694444447</c:v>
                </c:pt>
                <c:pt idx="1456">
                  <c:v>40311.626388888886</c:v>
                </c:pt>
                <c:pt idx="1457">
                  <c:v>40311.645833333336</c:v>
                </c:pt>
                <c:pt idx="1458">
                  <c:v>40311.646527777775</c:v>
                </c:pt>
                <c:pt idx="1459">
                  <c:v>40311.647222222222</c:v>
                </c:pt>
                <c:pt idx="1460">
                  <c:v>40311.647916666669</c:v>
                </c:pt>
                <c:pt idx="1461">
                  <c:v>40311.648611111108</c:v>
                </c:pt>
                <c:pt idx="1462">
                  <c:v>40311.649305555555</c:v>
                </c:pt>
                <c:pt idx="1463">
                  <c:v>40311.65</c:v>
                </c:pt>
                <c:pt idx="1464">
                  <c:v>40311.650694444441</c:v>
                </c:pt>
                <c:pt idx="1465">
                  <c:v>40311.651388888888</c:v>
                </c:pt>
                <c:pt idx="1466">
                  <c:v>40311.652083333334</c:v>
                </c:pt>
                <c:pt idx="1467">
                  <c:v>40311.652777777781</c:v>
                </c:pt>
                <c:pt idx="1468">
                  <c:v>40311.65347222222</c:v>
                </c:pt>
                <c:pt idx="1469">
                  <c:v>40311.654166666667</c:v>
                </c:pt>
                <c:pt idx="1470">
                  <c:v>40311.654861111114</c:v>
                </c:pt>
                <c:pt idx="1471">
                  <c:v>40311.655555555553</c:v>
                </c:pt>
                <c:pt idx="1472">
                  <c:v>40311.65625</c:v>
                </c:pt>
                <c:pt idx="1473">
                  <c:v>40311.656944444447</c:v>
                </c:pt>
                <c:pt idx="1474">
                  <c:v>40311.657638888886</c:v>
                </c:pt>
                <c:pt idx="1475">
                  <c:v>40311.658333333333</c:v>
                </c:pt>
                <c:pt idx="1476">
                  <c:v>40311.65902777778</c:v>
                </c:pt>
                <c:pt idx="1477">
                  <c:v>40311.659722222219</c:v>
                </c:pt>
                <c:pt idx="1478">
                  <c:v>40311.660416666666</c:v>
                </c:pt>
                <c:pt idx="1479">
                  <c:v>40311.661111111112</c:v>
                </c:pt>
                <c:pt idx="1480">
                  <c:v>40311.661805555559</c:v>
                </c:pt>
                <c:pt idx="1481">
                  <c:v>40311.662499999999</c:v>
                </c:pt>
                <c:pt idx="1482">
                  <c:v>40311.663194444445</c:v>
                </c:pt>
                <c:pt idx="1483">
                  <c:v>40311.663888888892</c:v>
                </c:pt>
                <c:pt idx="1484">
                  <c:v>40311.664583333331</c:v>
                </c:pt>
                <c:pt idx="1485">
                  <c:v>40311.665277777778</c:v>
                </c:pt>
                <c:pt idx="1486">
                  <c:v>40311.665972222225</c:v>
                </c:pt>
                <c:pt idx="1487">
                  <c:v>40311.666666666664</c:v>
                </c:pt>
                <c:pt idx="1488">
                  <c:v>40311.667361111111</c:v>
                </c:pt>
                <c:pt idx="1489">
                  <c:v>40311.668055555558</c:v>
                </c:pt>
                <c:pt idx="1490">
                  <c:v>40311.668749999997</c:v>
                </c:pt>
                <c:pt idx="1491">
                  <c:v>40311.669444444444</c:v>
                </c:pt>
                <c:pt idx="1492">
                  <c:v>40311.670138888891</c:v>
                </c:pt>
                <c:pt idx="1493">
                  <c:v>40311.67083333333</c:v>
                </c:pt>
                <c:pt idx="1494">
                  <c:v>40311.671527777777</c:v>
                </c:pt>
                <c:pt idx="1495">
                  <c:v>40311.672222222223</c:v>
                </c:pt>
                <c:pt idx="1496">
                  <c:v>40311.67291666667</c:v>
                </c:pt>
                <c:pt idx="1497">
                  <c:v>40311.673611111109</c:v>
                </c:pt>
                <c:pt idx="1498">
                  <c:v>40311.674305555556</c:v>
                </c:pt>
                <c:pt idx="1499">
                  <c:v>40311.675000000003</c:v>
                </c:pt>
                <c:pt idx="1500">
                  <c:v>40311.675694444442</c:v>
                </c:pt>
                <c:pt idx="1501">
                  <c:v>40311.676388888889</c:v>
                </c:pt>
                <c:pt idx="1502">
                  <c:v>40311.677083333336</c:v>
                </c:pt>
                <c:pt idx="1503">
                  <c:v>40311.677777777775</c:v>
                </c:pt>
                <c:pt idx="1504">
                  <c:v>40311.678472222222</c:v>
                </c:pt>
                <c:pt idx="1505">
                  <c:v>40311.679166666669</c:v>
                </c:pt>
                <c:pt idx="1506">
                  <c:v>40311.679861111108</c:v>
                </c:pt>
                <c:pt idx="1507">
                  <c:v>40311.680555555555</c:v>
                </c:pt>
                <c:pt idx="1508">
                  <c:v>40311.681250000001</c:v>
                </c:pt>
                <c:pt idx="1509">
                  <c:v>40311.681944444441</c:v>
                </c:pt>
                <c:pt idx="1510">
                  <c:v>40311.682638888888</c:v>
                </c:pt>
                <c:pt idx="1511">
                  <c:v>40311.683333333334</c:v>
                </c:pt>
                <c:pt idx="1512">
                  <c:v>40311.684027777781</c:v>
                </c:pt>
                <c:pt idx="1513">
                  <c:v>40311.68472222222</c:v>
                </c:pt>
                <c:pt idx="1514">
                  <c:v>40311.685416666667</c:v>
                </c:pt>
                <c:pt idx="1515">
                  <c:v>40311.686111111114</c:v>
                </c:pt>
                <c:pt idx="1516">
                  <c:v>40311.686805555553</c:v>
                </c:pt>
                <c:pt idx="1517">
                  <c:v>40311.6875</c:v>
                </c:pt>
                <c:pt idx="1518">
                  <c:v>40311.688194444447</c:v>
                </c:pt>
                <c:pt idx="1519">
                  <c:v>40311.688888888886</c:v>
                </c:pt>
                <c:pt idx="1520">
                  <c:v>40311.689583333333</c:v>
                </c:pt>
                <c:pt idx="1521">
                  <c:v>40311.69027777778</c:v>
                </c:pt>
                <c:pt idx="1522">
                  <c:v>40311.690972222219</c:v>
                </c:pt>
                <c:pt idx="1523">
                  <c:v>40311.691666666666</c:v>
                </c:pt>
                <c:pt idx="1524">
                  <c:v>40311.692361111112</c:v>
                </c:pt>
                <c:pt idx="1525">
                  <c:v>40311.693055555559</c:v>
                </c:pt>
                <c:pt idx="1526">
                  <c:v>40311.693749999999</c:v>
                </c:pt>
                <c:pt idx="1527">
                  <c:v>40311.694444444445</c:v>
                </c:pt>
                <c:pt idx="1528">
                  <c:v>40311.695138888892</c:v>
                </c:pt>
                <c:pt idx="1529">
                  <c:v>40311.695833333331</c:v>
                </c:pt>
                <c:pt idx="1530">
                  <c:v>40311.696527777778</c:v>
                </c:pt>
                <c:pt idx="1531">
                  <c:v>40311.697222222225</c:v>
                </c:pt>
                <c:pt idx="1532">
                  <c:v>40311.697916666664</c:v>
                </c:pt>
                <c:pt idx="1533">
                  <c:v>40311.698611111111</c:v>
                </c:pt>
                <c:pt idx="1534">
                  <c:v>40311.699305555558</c:v>
                </c:pt>
                <c:pt idx="1535">
                  <c:v>40311.699999999997</c:v>
                </c:pt>
                <c:pt idx="1536">
                  <c:v>40311.700694444444</c:v>
                </c:pt>
                <c:pt idx="1537">
                  <c:v>40311.701388888891</c:v>
                </c:pt>
                <c:pt idx="1538">
                  <c:v>40311.70208333333</c:v>
                </c:pt>
                <c:pt idx="1539">
                  <c:v>40311.702777777777</c:v>
                </c:pt>
                <c:pt idx="1540">
                  <c:v>40311.703472222223</c:v>
                </c:pt>
                <c:pt idx="1541">
                  <c:v>40311.70416666667</c:v>
                </c:pt>
                <c:pt idx="1542">
                  <c:v>40311.704861111109</c:v>
                </c:pt>
                <c:pt idx="1543">
                  <c:v>40311.705555555556</c:v>
                </c:pt>
                <c:pt idx="1544">
                  <c:v>40311.706250000003</c:v>
                </c:pt>
                <c:pt idx="1545">
                  <c:v>40311.706944444442</c:v>
                </c:pt>
                <c:pt idx="1546">
                  <c:v>40311.707638888889</c:v>
                </c:pt>
                <c:pt idx="1547">
                  <c:v>40311.708333333336</c:v>
                </c:pt>
                <c:pt idx="1548">
                  <c:v>40311.709027777775</c:v>
                </c:pt>
                <c:pt idx="1549">
                  <c:v>40311.709722222222</c:v>
                </c:pt>
                <c:pt idx="1550">
                  <c:v>40311.710416666669</c:v>
                </c:pt>
                <c:pt idx="1551">
                  <c:v>40311.711111111108</c:v>
                </c:pt>
                <c:pt idx="1552">
                  <c:v>40311.711805555555</c:v>
                </c:pt>
                <c:pt idx="1553">
                  <c:v>40311.712500000001</c:v>
                </c:pt>
                <c:pt idx="1554">
                  <c:v>40311.713194444441</c:v>
                </c:pt>
                <c:pt idx="1555">
                  <c:v>40311.713888888888</c:v>
                </c:pt>
                <c:pt idx="1556">
                  <c:v>40311.714583333334</c:v>
                </c:pt>
                <c:pt idx="1557">
                  <c:v>40311.715277777781</c:v>
                </c:pt>
                <c:pt idx="1558">
                  <c:v>40311.71597222222</c:v>
                </c:pt>
                <c:pt idx="1559">
                  <c:v>40311.716666666667</c:v>
                </c:pt>
                <c:pt idx="1560">
                  <c:v>40311.717361111114</c:v>
                </c:pt>
                <c:pt idx="1561">
                  <c:v>40311.718055555553</c:v>
                </c:pt>
                <c:pt idx="1562">
                  <c:v>40311.71875</c:v>
                </c:pt>
                <c:pt idx="1563">
                  <c:v>40311.719444444447</c:v>
                </c:pt>
                <c:pt idx="1564">
                  <c:v>40311.720138888886</c:v>
                </c:pt>
                <c:pt idx="1565">
                  <c:v>40311.720833333333</c:v>
                </c:pt>
                <c:pt idx="1566">
                  <c:v>40311.72152777778</c:v>
                </c:pt>
                <c:pt idx="1567">
                  <c:v>40311.722222222219</c:v>
                </c:pt>
                <c:pt idx="1568">
                  <c:v>40311.722916666666</c:v>
                </c:pt>
                <c:pt idx="1569">
                  <c:v>40311.723611111112</c:v>
                </c:pt>
                <c:pt idx="1570">
                  <c:v>40311.724305555559</c:v>
                </c:pt>
                <c:pt idx="1571">
                  <c:v>40311.724999999999</c:v>
                </c:pt>
                <c:pt idx="1572">
                  <c:v>40311.725694444445</c:v>
                </c:pt>
                <c:pt idx="1573">
                  <c:v>40311.726388888892</c:v>
                </c:pt>
                <c:pt idx="1574">
                  <c:v>40311.727083333331</c:v>
                </c:pt>
                <c:pt idx="1575">
                  <c:v>40311.727777777778</c:v>
                </c:pt>
                <c:pt idx="1576">
                  <c:v>40311.728472222225</c:v>
                </c:pt>
                <c:pt idx="1577">
                  <c:v>40311.729166666664</c:v>
                </c:pt>
                <c:pt idx="1578">
                  <c:v>40311.729861111111</c:v>
                </c:pt>
                <c:pt idx="1579">
                  <c:v>40311.730555555558</c:v>
                </c:pt>
                <c:pt idx="1580">
                  <c:v>40311.731249999997</c:v>
                </c:pt>
                <c:pt idx="1581">
                  <c:v>40311.731944444444</c:v>
                </c:pt>
                <c:pt idx="1582">
                  <c:v>40311.732638888891</c:v>
                </c:pt>
                <c:pt idx="1583">
                  <c:v>40311.73333333333</c:v>
                </c:pt>
                <c:pt idx="1584">
                  <c:v>40311.734027777777</c:v>
                </c:pt>
                <c:pt idx="1585">
                  <c:v>40311.734722222223</c:v>
                </c:pt>
                <c:pt idx="1586">
                  <c:v>40311.73541666667</c:v>
                </c:pt>
                <c:pt idx="1587">
                  <c:v>40311.736111111109</c:v>
                </c:pt>
                <c:pt idx="1588">
                  <c:v>40311.736805555556</c:v>
                </c:pt>
                <c:pt idx="1589">
                  <c:v>40311.737500000003</c:v>
                </c:pt>
                <c:pt idx="1590">
                  <c:v>40311.738194444442</c:v>
                </c:pt>
                <c:pt idx="1591">
                  <c:v>40311.738888888889</c:v>
                </c:pt>
                <c:pt idx="1592">
                  <c:v>40311.739583333336</c:v>
                </c:pt>
                <c:pt idx="1593">
                  <c:v>40311.740277777775</c:v>
                </c:pt>
                <c:pt idx="1594">
                  <c:v>40311.740972222222</c:v>
                </c:pt>
                <c:pt idx="1595">
                  <c:v>40311.741666666669</c:v>
                </c:pt>
                <c:pt idx="1596">
                  <c:v>40311.742361111108</c:v>
                </c:pt>
                <c:pt idx="1597">
                  <c:v>40311.743055555555</c:v>
                </c:pt>
                <c:pt idx="1598">
                  <c:v>40311.743750000001</c:v>
                </c:pt>
                <c:pt idx="1599">
                  <c:v>40311.744444444441</c:v>
                </c:pt>
                <c:pt idx="1600">
                  <c:v>40311.745138888888</c:v>
                </c:pt>
                <c:pt idx="1601">
                  <c:v>40311.745833333334</c:v>
                </c:pt>
                <c:pt idx="1602">
                  <c:v>40311.746527777781</c:v>
                </c:pt>
                <c:pt idx="1603">
                  <c:v>40311.74722222222</c:v>
                </c:pt>
                <c:pt idx="1604">
                  <c:v>40311.747916666667</c:v>
                </c:pt>
                <c:pt idx="1605">
                  <c:v>40311.748611111114</c:v>
                </c:pt>
                <c:pt idx="1606">
                  <c:v>40311.749305555553</c:v>
                </c:pt>
                <c:pt idx="1607">
                  <c:v>40311.75</c:v>
                </c:pt>
                <c:pt idx="1608">
                  <c:v>40311.750694444447</c:v>
                </c:pt>
                <c:pt idx="1609">
                  <c:v>40311.751388888886</c:v>
                </c:pt>
                <c:pt idx="1610">
                  <c:v>40311.752083333333</c:v>
                </c:pt>
                <c:pt idx="1611">
                  <c:v>40311.75277777778</c:v>
                </c:pt>
                <c:pt idx="1612">
                  <c:v>40311.753472222219</c:v>
                </c:pt>
                <c:pt idx="1613">
                  <c:v>40311.754166666666</c:v>
                </c:pt>
                <c:pt idx="1614">
                  <c:v>40311.754861111112</c:v>
                </c:pt>
                <c:pt idx="1615">
                  <c:v>40311.755555555559</c:v>
                </c:pt>
                <c:pt idx="1616">
                  <c:v>40311.756249999999</c:v>
                </c:pt>
                <c:pt idx="1617">
                  <c:v>40311.756944444445</c:v>
                </c:pt>
                <c:pt idx="1618">
                  <c:v>40311.757638888892</c:v>
                </c:pt>
                <c:pt idx="1619">
                  <c:v>40311.758333333331</c:v>
                </c:pt>
                <c:pt idx="1620">
                  <c:v>40311.759027777778</c:v>
                </c:pt>
                <c:pt idx="1621">
                  <c:v>40311.759722222225</c:v>
                </c:pt>
                <c:pt idx="1622">
                  <c:v>40311.760416666664</c:v>
                </c:pt>
                <c:pt idx="1623">
                  <c:v>40311.761111111111</c:v>
                </c:pt>
                <c:pt idx="1624">
                  <c:v>40311.761805555558</c:v>
                </c:pt>
                <c:pt idx="1625">
                  <c:v>40311.762499999997</c:v>
                </c:pt>
                <c:pt idx="1626">
                  <c:v>40311.763194444444</c:v>
                </c:pt>
                <c:pt idx="1627">
                  <c:v>40311.763888888891</c:v>
                </c:pt>
                <c:pt idx="1628">
                  <c:v>40311.76458333333</c:v>
                </c:pt>
                <c:pt idx="1629">
                  <c:v>40311.765277777777</c:v>
                </c:pt>
                <c:pt idx="1630">
                  <c:v>40311.765972222223</c:v>
                </c:pt>
                <c:pt idx="1631">
                  <c:v>40311.76666666667</c:v>
                </c:pt>
                <c:pt idx="1632">
                  <c:v>40311.767361111109</c:v>
                </c:pt>
                <c:pt idx="1633">
                  <c:v>40311.768055555556</c:v>
                </c:pt>
                <c:pt idx="1634">
                  <c:v>40311.768750000003</c:v>
                </c:pt>
                <c:pt idx="1635">
                  <c:v>40311.769444444442</c:v>
                </c:pt>
                <c:pt idx="1636">
                  <c:v>40311.770138888889</c:v>
                </c:pt>
                <c:pt idx="1637">
                  <c:v>40311.770833333336</c:v>
                </c:pt>
                <c:pt idx="1638">
                  <c:v>40311.771527777775</c:v>
                </c:pt>
                <c:pt idx="1639">
                  <c:v>40311.772222222222</c:v>
                </c:pt>
                <c:pt idx="1640">
                  <c:v>40311.772916666669</c:v>
                </c:pt>
                <c:pt idx="1641">
                  <c:v>40311.773611111108</c:v>
                </c:pt>
                <c:pt idx="1642">
                  <c:v>40311.774305555555</c:v>
                </c:pt>
                <c:pt idx="1643">
                  <c:v>40311.775000000001</c:v>
                </c:pt>
                <c:pt idx="1644">
                  <c:v>40311.775694444441</c:v>
                </c:pt>
                <c:pt idx="1645">
                  <c:v>40311.776388888888</c:v>
                </c:pt>
                <c:pt idx="1646">
                  <c:v>40311.777083333334</c:v>
                </c:pt>
                <c:pt idx="1647">
                  <c:v>40311.777777777781</c:v>
                </c:pt>
                <c:pt idx="1648">
                  <c:v>40311.77847222222</c:v>
                </c:pt>
                <c:pt idx="1649">
                  <c:v>40311.779166666667</c:v>
                </c:pt>
                <c:pt idx="1650">
                  <c:v>40311.779861111114</c:v>
                </c:pt>
                <c:pt idx="1651">
                  <c:v>40311.780555555553</c:v>
                </c:pt>
                <c:pt idx="1652">
                  <c:v>40311.78125</c:v>
                </c:pt>
                <c:pt idx="1653">
                  <c:v>40311.781944444447</c:v>
                </c:pt>
                <c:pt idx="1654">
                  <c:v>40311.782638888886</c:v>
                </c:pt>
                <c:pt idx="1655">
                  <c:v>40311.783333333333</c:v>
                </c:pt>
                <c:pt idx="1656">
                  <c:v>40311.78402777778</c:v>
                </c:pt>
                <c:pt idx="1657">
                  <c:v>40311.784722222219</c:v>
                </c:pt>
                <c:pt idx="1658">
                  <c:v>40311.785416666666</c:v>
                </c:pt>
                <c:pt idx="1659">
                  <c:v>40311.786111111112</c:v>
                </c:pt>
                <c:pt idx="1660">
                  <c:v>40311.786805555559</c:v>
                </c:pt>
                <c:pt idx="1661">
                  <c:v>40311.787499999999</c:v>
                </c:pt>
                <c:pt idx="1662">
                  <c:v>40311.788194444445</c:v>
                </c:pt>
                <c:pt idx="1663">
                  <c:v>40311.788888888892</c:v>
                </c:pt>
                <c:pt idx="1664">
                  <c:v>40311.789583333331</c:v>
                </c:pt>
                <c:pt idx="1665">
                  <c:v>40311.790277777778</c:v>
                </c:pt>
                <c:pt idx="1666">
                  <c:v>40311.790972222225</c:v>
                </c:pt>
                <c:pt idx="1667">
                  <c:v>40311.791666666664</c:v>
                </c:pt>
                <c:pt idx="1668">
                  <c:v>40311.792361111111</c:v>
                </c:pt>
                <c:pt idx="1669">
                  <c:v>40311.793055555558</c:v>
                </c:pt>
                <c:pt idx="1670">
                  <c:v>40311.793749999997</c:v>
                </c:pt>
                <c:pt idx="1671">
                  <c:v>40311.794444444444</c:v>
                </c:pt>
                <c:pt idx="1672">
                  <c:v>40311.795138888891</c:v>
                </c:pt>
                <c:pt idx="1673">
                  <c:v>40311.79583333333</c:v>
                </c:pt>
                <c:pt idx="1674">
                  <c:v>40311.796527777777</c:v>
                </c:pt>
                <c:pt idx="1675">
                  <c:v>40311.797222222223</c:v>
                </c:pt>
                <c:pt idx="1676">
                  <c:v>40311.79791666667</c:v>
                </c:pt>
                <c:pt idx="1677">
                  <c:v>40311.798611111109</c:v>
                </c:pt>
                <c:pt idx="1678">
                  <c:v>40311.799305555556</c:v>
                </c:pt>
                <c:pt idx="1679">
                  <c:v>40311.800000000003</c:v>
                </c:pt>
                <c:pt idx="1680">
                  <c:v>40311.800694444442</c:v>
                </c:pt>
                <c:pt idx="1681">
                  <c:v>40311.801388888889</c:v>
                </c:pt>
                <c:pt idx="1682">
                  <c:v>40311.802083333336</c:v>
                </c:pt>
                <c:pt idx="1683">
                  <c:v>40311.802777777775</c:v>
                </c:pt>
                <c:pt idx="1684">
                  <c:v>40311.803472222222</c:v>
                </c:pt>
                <c:pt idx="1685">
                  <c:v>40311.804166666669</c:v>
                </c:pt>
                <c:pt idx="1686">
                  <c:v>40311.804861111108</c:v>
                </c:pt>
                <c:pt idx="1687">
                  <c:v>40311.805555555555</c:v>
                </c:pt>
                <c:pt idx="1688">
                  <c:v>40311.806250000001</c:v>
                </c:pt>
                <c:pt idx="1689">
                  <c:v>40311.806944444441</c:v>
                </c:pt>
                <c:pt idx="1690">
                  <c:v>40311.807638888888</c:v>
                </c:pt>
                <c:pt idx="1691">
                  <c:v>40311.808333333334</c:v>
                </c:pt>
                <c:pt idx="1692">
                  <c:v>40311.809027777781</c:v>
                </c:pt>
                <c:pt idx="1693">
                  <c:v>40311.80972222222</c:v>
                </c:pt>
                <c:pt idx="1694">
                  <c:v>40311.810416666667</c:v>
                </c:pt>
                <c:pt idx="1695">
                  <c:v>40311.811111111114</c:v>
                </c:pt>
                <c:pt idx="1696">
                  <c:v>40311.811805555553</c:v>
                </c:pt>
                <c:pt idx="1697">
                  <c:v>40311.8125</c:v>
                </c:pt>
                <c:pt idx="1698">
                  <c:v>40311.813194444447</c:v>
                </c:pt>
                <c:pt idx="1699">
                  <c:v>40311.813888888886</c:v>
                </c:pt>
                <c:pt idx="1700">
                  <c:v>40311.814583333333</c:v>
                </c:pt>
                <c:pt idx="1701">
                  <c:v>40311.81527777778</c:v>
                </c:pt>
                <c:pt idx="1702">
                  <c:v>40311.815972222219</c:v>
                </c:pt>
                <c:pt idx="1703">
                  <c:v>40311.816666666666</c:v>
                </c:pt>
                <c:pt idx="1704">
                  <c:v>40311.817361111112</c:v>
                </c:pt>
                <c:pt idx="1705">
                  <c:v>40311.818055555559</c:v>
                </c:pt>
                <c:pt idx="1706">
                  <c:v>40311.818749999999</c:v>
                </c:pt>
                <c:pt idx="1707">
                  <c:v>40311.819444444445</c:v>
                </c:pt>
                <c:pt idx="1708">
                  <c:v>40311.820138888892</c:v>
                </c:pt>
                <c:pt idx="1709">
                  <c:v>40311.820833333331</c:v>
                </c:pt>
                <c:pt idx="1710">
                  <c:v>40311.821527777778</c:v>
                </c:pt>
                <c:pt idx="1711">
                  <c:v>40311.822222222225</c:v>
                </c:pt>
                <c:pt idx="1712">
                  <c:v>40311.822916666664</c:v>
                </c:pt>
                <c:pt idx="1713">
                  <c:v>40311.823611111111</c:v>
                </c:pt>
                <c:pt idx="1714">
                  <c:v>40311.824305555558</c:v>
                </c:pt>
                <c:pt idx="1715">
                  <c:v>40311.824999999997</c:v>
                </c:pt>
                <c:pt idx="1716">
                  <c:v>40311.825694444444</c:v>
                </c:pt>
                <c:pt idx="1717">
                  <c:v>40311.826388888891</c:v>
                </c:pt>
                <c:pt idx="1718">
                  <c:v>40311.82708333333</c:v>
                </c:pt>
                <c:pt idx="1719">
                  <c:v>40311.827777777777</c:v>
                </c:pt>
                <c:pt idx="1720">
                  <c:v>40311.828472222223</c:v>
                </c:pt>
                <c:pt idx="1721">
                  <c:v>40311.82916666667</c:v>
                </c:pt>
                <c:pt idx="1722">
                  <c:v>40311.829861111109</c:v>
                </c:pt>
                <c:pt idx="1723">
                  <c:v>40311.830555555556</c:v>
                </c:pt>
                <c:pt idx="1724">
                  <c:v>40311.831250000003</c:v>
                </c:pt>
                <c:pt idx="1725">
                  <c:v>40311.831944444442</c:v>
                </c:pt>
                <c:pt idx="1726">
                  <c:v>40311.832638888889</c:v>
                </c:pt>
                <c:pt idx="1727">
                  <c:v>40311.833333333336</c:v>
                </c:pt>
                <c:pt idx="1728">
                  <c:v>40311.834027777775</c:v>
                </c:pt>
                <c:pt idx="1729">
                  <c:v>40311.834722222222</c:v>
                </c:pt>
                <c:pt idx="1730">
                  <c:v>40311.835416666669</c:v>
                </c:pt>
                <c:pt idx="1731">
                  <c:v>40311.836111111108</c:v>
                </c:pt>
                <c:pt idx="1732">
                  <c:v>40311.836805555555</c:v>
                </c:pt>
                <c:pt idx="1733">
                  <c:v>40311.837500000001</c:v>
                </c:pt>
                <c:pt idx="1734">
                  <c:v>40311.838194444441</c:v>
                </c:pt>
                <c:pt idx="1735">
                  <c:v>40311.838888888888</c:v>
                </c:pt>
                <c:pt idx="1736">
                  <c:v>40311.839583333334</c:v>
                </c:pt>
                <c:pt idx="1737">
                  <c:v>40311.840277777781</c:v>
                </c:pt>
                <c:pt idx="1738">
                  <c:v>40311.84097222222</c:v>
                </c:pt>
                <c:pt idx="1739">
                  <c:v>40311.841666666667</c:v>
                </c:pt>
                <c:pt idx="1740">
                  <c:v>40311.842361111114</c:v>
                </c:pt>
                <c:pt idx="1741">
                  <c:v>40311.843055555553</c:v>
                </c:pt>
                <c:pt idx="1742">
                  <c:v>40311.84375</c:v>
                </c:pt>
                <c:pt idx="1743">
                  <c:v>40311.844444444447</c:v>
                </c:pt>
                <c:pt idx="1744">
                  <c:v>40311.845138888886</c:v>
                </c:pt>
                <c:pt idx="1745">
                  <c:v>40311.845833333333</c:v>
                </c:pt>
                <c:pt idx="1746">
                  <c:v>40311.84652777778</c:v>
                </c:pt>
                <c:pt idx="1747">
                  <c:v>40311.847222222219</c:v>
                </c:pt>
                <c:pt idx="1748">
                  <c:v>40311.847916666666</c:v>
                </c:pt>
                <c:pt idx="1749">
                  <c:v>40311.848611111112</c:v>
                </c:pt>
                <c:pt idx="1750">
                  <c:v>40311.849305555559</c:v>
                </c:pt>
                <c:pt idx="1751">
                  <c:v>40311.85</c:v>
                </c:pt>
                <c:pt idx="1752">
                  <c:v>40311.850694444445</c:v>
                </c:pt>
                <c:pt idx="1753">
                  <c:v>40311.851388888892</c:v>
                </c:pt>
                <c:pt idx="1754">
                  <c:v>40311.852083333331</c:v>
                </c:pt>
                <c:pt idx="1755">
                  <c:v>40311.852777777778</c:v>
                </c:pt>
                <c:pt idx="1756">
                  <c:v>40311.853472222225</c:v>
                </c:pt>
                <c:pt idx="1757">
                  <c:v>40311.854166666664</c:v>
                </c:pt>
                <c:pt idx="1758">
                  <c:v>40311.854861111111</c:v>
                </c:pt>
                <c:pt idx="1759">
                  <c:v>40311.855555555558</c:v>
                </c:pt>
                <c:pt idx="1760">
                  <c:v>40311.856249999997</c:v>
                </c:pt>
                <c:pt idx="1761">
                  <c:v>40311.856944444444</c:v>
                </c:pt>
                <c:pt idx="1762">
                  <c:v>40311.857638888891</c:v>
                </c:pt>
                <c:pt idx="1763">
                  <c:v>40311.85833333333</c:v>
                </c:pt>
                <c:pt idx="1764">
                  <c:v>40311.859027777777</c:v>
                </c:pt>
                <c:pt idx="1765">
                  <c:v>40311.859722222223</c:v>
                </c:pt>
                <c:pt idx="1766">
                  <c:v>40311.86041666667</c:v>
                </c:pt>
                <c:pt idx="1767">
                  <c:v>40311.861111111109</c:v>
                </c:pt>
                <c:pt idx="1768">
                  <c:v>40311.861805555556</c:v>
                </c:pt>
                <c:pt idx="1769">
                  <c:v>40311.862500000003</c:v>
                </c:pt>
                <c:pt idx="1770">
                  <c:v>40311.863194444442</c:v>
                </c:pt>
                <c:pt idx="1771">
                  <c:v>40311.863888888889</c:v>
                </c:pt>
                <c:pt idx="1772">
                  <c:v>40311.864583333336</c:v>
                </c:pt>
                <c:pt idx="1773">
                  <c:v>40311.865277777775</c:v>
                </c:pt>
                <c:pt idx="1774">
                  <c:v>40311.865972222222</c:v>
                </c:pt>
                <c:pt idx="1775">
                  <c:v>40311.866666666669</c:v>
                </c:pt>
                <c:pt idx="1776">
                  <c:v>40311.867361111108</c:v>
                </c:pt>
                <c:pt idx="1777">
                  <c:v>40311.868055555555</c:v>
                </c:pt>
                <c:pt idx="1778">
                  <c:v>40311.868750000001</c:v>
                </c:pt>
                <c:pt idx="1779">
                  <c:v>40311.869444444441</c:v>
                </c:pt>
                <c:pt idx="1780">
                  <c:v>40311.870138888888</c:v>
                </c:pt>
                <c:pt idx="1781">
                  <c:v>40311.870833333334</c:v>
                </c:pt>
                <c:pt idx="1782">
                  <c:v>40311.871527777781</c:v>
                </c:pt>
                <c:pt idx="1783">
                  <c:v>40311.87222222222</c:v>
                </c:pt>
                <c:pt idx="1784">
                  <c:v>40311.872916666667</c:v>
                </c:pt>
                <c:pt idx="1785">
                  <c:v>40311.873611111114</c:v>
                </c:pt>
                <c:pt idx="1786">
                  <c:v>40311.874305555553</c:v>
                </c:pt>
                <c:pt idx="1787">
                  <c:v>40311.875</c:v>
                </c:pt>
                <c:pt idx="1788">
                  <c:v>40311.875694444447</c:v>
                </c:pt>
                <c:pt idx="1789">
                  <c:v>40311.876388888886</c:v>
                </c:pt>
                <c:pt idx="1790">
                  <c:v>40311.877083333333</c:v>
                </c:pt>
                <c:pt idx="1791">
                  <c:v>40311.87777777778</c:v>
                </c:pt>
                <c:pt idx="1792">
                  <c:v>40311.878472222219</c:v>
                </c:pt>
                <c:pt idx="1793">
                  <c:v>40311.879166666666</c:v>
                </c:pt>
                <c:pt idx="1794">
                  <c:v>40311.879861111112</c:v>
                </c:pt>
                <c:pt idx="1795">
                  <c:v>40311.880555555559</c:v>
                </c:pt>
                <c:pt idx="1796">
                  <c:v>40311.881249999999</c:v>
                </c:pt>
                <c:pt idx="1797">
                  <c:v>40311.881944444445</c:v>
                </c:pt>
                <c:pt idx="1798">
                  <c:v>40311.882638888892</c:v>
                </c:pt>
                <c:pt idx="1799">
                  <c:v>40311.883333333331</c:v>
                </c:pt>
                <c:pt idx="1800">
                  <c:v>40311.884027777778</c:v>
                </c:pt>
                <c:pt idx="1801">
                  <c:v>40311.884722222225</c:v>
                </c:pt>
                <c:pt idx="1802">
                  <c:v>40311.885416666664</c:v>
                </c:pt>
                <c:pt idx="1803">
                  <c:v>40311.886111111111</c:v>
                </c:pt>
                <c:pt idx="1804">
                  <c:v>40311.886805555558</c:v>
                </c:pt>
                <c:pt idx="1805">
                  <c:v>40311.887499999997</c:v>
                </c:pt>
                <c:pt idx="1806">
                  <c:v>40311.888194444444</c:v>
                </c:pt>
                <c:pt idx="1807">
                  <c:v>40311.888888888891</c:v>
                </c:pt>
                <c:pt idx="1808">
                  <c:v>40311.88958333333</c:v>
                </c:pt>
                <c:pt idx="1809">
                  <c:v>40311.890277777777</c:v>
                </c:pt>
                <c:pt idx="1810">
                  <c:v>40311.890972222223</c:v>
                </c:pt>
                <c:pt idx="1811">
                  <c:v>40311.89166666667</c:v>
                </c:pt>
                <c:pt idx="1812">
                  <c:v>40311.892361111109</c:v>
                </c:pt>
                <c:pt idx="1813">
                  <c:v>40311.893055555556</c:v>
                </c:pt>
                <c:pt idx="1814">
                  <c:v>40311.893750000003</c:v>
                </c:pt>
                <c:pt idx="1815">
                  <c:v>40311.894444444442</c:v>
                </c:pt>
                <c:pt idx="1816">
                  <c:v>40311.895138888889</c:v>
                </c:pt>
                <c:pt idx="1817">
                  <c:v>40311.895833333336</c:v>
                </c:pt>
                <c:pt idx="1818">
                  <c:v>40311.896527777775</c:v>
                </c:pt>
                <c:pt idx="1819">
                  <c:v>40311.897222222222</c:v>
                </c:pt>
                <c:pt idx="1820">
                  <c:v>40311.897916666669</c:v>
                </c:pt>
                <c:pt idx="1821">
                  <c:v>40311.898611111108</c:v>
                </c:pt>
                <c:pt idx="1822">
                  <c:v>40311.899305555555</c:v>
                </c:pt>
                <c:pt idx="1823">
                  <c:v>40311.9</c:v>
                </c:pt>
                <c:pt idx="1824">
                  <c:v>40311.900694444441</c:v>
                </c:pt>
                <c:pt idx="1825">
                  <c:v>40311.901388888888</c:v>
                </c:pt>
                <c:pt idx="1826">
                  <c:v>40311.902083333334</c:v>
                </c:pt>
                <c:pt idx="1827">
                  <c:v>40311.902777777781</c:v>
                </c:pt>
                <c:pt idx="1828">
                  <c:v>40311.90347222222</c:v>
                </c:pt>
                <c:pt idx="1829">
                  <c:v>40311.904166666667</c:v>
                </c:pt>
                <c:pt idx="1830">
                  <c:v>40311.904861111114</c:v>
                </c:pt>
                <c:pt idx="1831">
                  <c:v>40311.905555555553</c:v>
                </c:pt>
                <c:pt idx="1832">
                  <c:v>40311.90625</c:v>
                </c:pt>
                <c:pt idx="1833">
                  <c:v>40311.906944444447</c:v>
                </c:pt>
                <c:pt idx="1834">
                  <c:v>40311.907638888886</c:v>
                </c:pt>
                <c:pt idx="1835">
                  <c:v>40311.908333333333</c:v>
                </c:pt>
                <c:pt idx="1836">
                  <c:v>40311.90902777778</c:v>
                </c:pt>
                <c:pt idx="1837">
                  <c:v>40311.909722222219</c:v>
                </c:pt>
                <c:pt idx="1838">
                  <c:v>40311.910416666666</c:v>
                </c:pt>
                <c:pt idx="1839">
                  <c:v>40311.911111111112</c:v>
                </c:pt>
                <c:pt idx="1840">
                  <c:v>40311.911805555559</c:v>
                </c:pt>
                <c:pt idx="1841">
                  <c:v>40311.912499999999</c:v>
                </c:pt>
                <c:pt idx="1842">
                  <c:v>40311.913194444445</c:v>
                </c:pt>
                <c:pt idx="1843">
                  <c:v>40311.913888888892</c:v>
                </c:pt>
                <c:pt idx="1844">
                  <c:v>40311.914583333331</c:v>
                </c:pt>
                <c:pt idx="1845">
                  <c:v>40311.915277777778</c:v>
                </c:pt>
                <c:pt idx="1846">
                  <c:v>40311.915972222225</c:v>
                </c:pt>
                <c:pt idx="1847">
                  <c:v>40311.916666666664</c:v>
                </c:pt>
                <c:pt idx="1848">
                  <c:v>40311.917361111111</c:v>
                </c:pt>
                <c:pt idx="1849">
                  <c:v>40311.918055555558</c:v>
                </c:pt>
                <c:pt idx="1850">
                  <c:v>40311.918749999997</c:v>
                </c:pt>
                <c:pt idx="1851">
                  <c:v>40311.919444444444</c:v>
                </c:pt>
                <c:pt idx="1852">
                  <c:v>40311.920138888891</c:v>
                </c:pt>
                <c:pt idx="1853">
                  <c:v>40311.92083333333</c:v>
                </c:pt>
                <c:pt idx="1854">
                  <c:v>40311.921527777777</c:v>
                </c:pt>
                <c:pt idx="1855">
                  <c:v>40311.922222222223</c:v>
                </c:pt>
                <c:pt idx="1856">
                  <c:v>40311.92291666667</c:v>
                </c:pt>
                <c:pt idx="1857">
                  <c:v>40311.923611111109</c:v>
                </c:pt>
                <c:pt idx="1858">
                  <c:v>40311.924305555556</c:v>
                </c:pt>
                <c:pt idx="1859">
                  <c:v>40311.925000000003</c:v>
                </c:pt>
                <c:pt idx="1860">
                  <c:v>40311.925694444442</c:v>
                </c:pt>
                <c:pt idx="1861">
                  <c:v>40311.926388888889</c:v>
                </c:pt>
                <c:pt idx="1862">
                  <c:v>40311.927083333336</c:v>
                </c:pt>
                <c:pt idx="1863">
                  <c:v>40311.927777777775</c:v>
                </c:pt>
                <c:pt idx="1864">
                  <c:v>40311.928472222222</c:v>
                </c:pt>
                <c:pt idx="1865">
                  <c:v>40311.929166666669</c:v>
                </c:pt>
                <c:pt idx="1866">
                  <c:v>40311.929861111108</c:v>
                </c:pt>
                <c:pt idx="1867">
                  <c:v>40311.930555555555</c:v>
                </c:pt>
                <c:pt idx="1868">
                  <c:v>40311.931250000001</c:v>
                </c:pt>
                <c:pt idx="1869">
                  <c:v>40311.931944444441</c:v>
                </c:pt>
                <c:pt idx="1870">
                  <c:v>40311.932638888888</c:v>
                </c:pt>
                <c:pt idx="1871">
                  <c:v>40311.933333333334</c:v>
                </c:pt>
                <c:pt idx="1872">
                  <c:v>40311.934027777781</c:v>
                </c:pt>
                <c:pt idx="1873">
                  <c:v>40311.93472222222</c:v>
                </c:pt>
                <c:pt idx="1874">
                  <c:v>40311.935416666667</c:v>
                </c:pt>
                <c:pt idx="1875">
                  <c:v>40311.936111111114</c:v>
                </c:pt>
                <c:pt idx="1876">
                  <c:v>40311.936805555553</c:v>
                </c:pt>
                <c:pt idx="1877">
                  <c:v>40311.9375</c:v>
                </c:pt>
                <c:pt idx="1878">
                  <c:v>40311.938194444447</c:v>
                </c:pt>
                <c:pt idx="1879">
                  <c:v>40311.938888888886</c:v>
                </c:pt>
                <c:pt idx="1880">
                  <c:v>40311.939583333333</c:v>
                </c:pt>
                <c:pt idx="1881">
                  <c:v>40311.94027777778</c:v>
                </c:pt>
                <c:pt idx="1882">
                  <c:v>40311.940972222219</c:v>
                </c:pt>
                <c:pt idx="1883">
                  <c:v>40311.941666666666</c:v>
                </c:pt>
                <c:pt idx="1884">
                  <c:v>40311.942361111112</c:v>
                </c:pt>
                <c:pt idx="1885">
                  <c:v>40311.943055555559</c:v>
                </c:pt>
                <c:pt idx="1886">
                  <c:v>40311.943749999999</c:v>
                </c:pt>
                <c:pt idx="1887">
                  <c:v>40311.944444444445</c:v>
                </c:pt>
                <c:pt idx="1888">
                  <c:v>40311.945138888892</c:v>
                </c:pt>
                <c:pt idx="1889">
                  <c:v>40311.945833333331</c:v>
                </c:pt>
                <c:pt idx="1890">
                  <c:v>40311.946527777778</c:v>
                </c:pt>
                <c:pt idx="1891">
                  <c:v>40311.947222222225</c:v>
                </c:pt>
                <c:pt idx="1892">
                  <c:v>40311.947916666664</c:v>
                </c:pt>
                <c:pt idx="1893">
                  <c:v>40311.948611111111</c:v>
                </c:pt>
                <c:pt idx="1894">
                  <c:v>40311.949305555558</c:v>
                </c:pt>
                <c:pt idx="1895">
                  <c:v>40311.949999999997</c:v>
                </c:pt>
                <c:pt idx="1896">
                  <c:v>40311.950694444444</c:v>
                </c:pt>
                <c:pt idx="1897">
                  <c:v>40311.951388888891</c:v>
                </c:pt>
                <c:pt idx="1898">
                  <c:v>40311.95208333333</c:v>
                </c:pt>
                <c:pt idx="1899">
                  <c:v>40311.952777777777</c:v>
                </c:pt>
                <c:pt idx="1900">
                  <c:v>40311.953472222223</c:v>
                </c:pt>
                <c:pt idx="1901">
                  <c:v>40311.95416666667</c:v>
                </c:pt>
                <c:pt idx="1902">
                  <c:v>40311.954861111109</c:v>
                </c:pt>
                <c:pt idx="1903">
                  <c:v>40311.955555555556</c:v>
                </c:pt>
                <c:pt idx="1904">
                  <c:v>40311.956250000003</c:v>
                </c:pt>
                <c:pt idx="1905">
                  <c:v>40311.956944444442</c:v>
                </c:pt>
                <c:pt idx="1906">
                  <c:v>40311.957638888889</c:v>
                </c:pt>
                <c:pt idx="1907">
                  <c:v>40311.958333333336</c:v>
                </c:pt>
                <c:pt idx="1908">
                  <c:v>40311.959027777775</c:v>
                </c:pt>
                <c:pt idx="1909">
                  <c:v>40311.959722222222</c:v>
                </c:pt>
                <c:pt idx="1910">
                  <c:v>40311.960416666669</c:v>
                </c:pt>
                <c:pt idx="1911">
                  <c:v>40311.961111111108</c:v>
                </c:pt>
                <c:pt idx="1912">
                  <c:v>40311.961805555555</c:v>
                </c:pt>
                <c:pt idx="1913">
                  <c:v>40311.962500000001</c:v>
                </c:pt>
                <c:pt idx="1914">
                  <c:v>40311.963194444441</c:v>
                </c:pt>
                <c:pt idx="1915">
                  <c:v>40311.963888888888</c:v>
                </c:pt>
                <c:pt idx="1916">
                  <c:v>40311.964583333334</c:v>
                </c:pt>
                <c:pt idx="1917">
                  <c:v>40311.965277777781</c:v>
                </c:pt>
                <c:pt idx="1918">
                  <c:v>40311.96597222222</c:v>
                </c:pt>
                <c:pt idx="1919">
                  <c:v>40311.966666666667</c:v>
                </c:pt>
                <c:pt idx="1920">
                  <c:v>40311.967361111114</c:v>
                </c:pt>
                <c:pt idx="1921">
                  <c:v>40311.968055555553</c:v>
                </c:pt>
                <c:pt idx="1922">
                  <c:v>40311.96875</c:v>
                </c:pt>
                <c:pt idx="1923">
                  <c:v>40311.969444444447</c:v>
                </c:pt>
                <c:pt idx="1924">
                  <c:v>40311.970138888886</c:v>
                </c:pt>
                <c:pt idx="1925">
                  <c:v>40311.970833333333</c:v>
                </c:pt>
                <c:pt idx="1926">
                  <c:v>40311.97152777778</c:v>
                </c:pt>
                <c:pt idx="1927">
                  <c:v>40311.972222222219</c:v>
                </c:pt>
                <c:pt idx="1928">
                  <c:v>40311.972916666666</c:v>
                </c:pt>
                <c:pt idx="1929">
                  <c:v>40311.973611111112</c:v>
                </c:pt>
                <c:pt idx="1930">
                  <c:v>40311.974305555559</c:v>
                </c:pt>
                <c:pt idx="1931">
                  <c:v>40311.974999999999</c:v>
                </c:pt>
                <c:pt idx="1932">
                  <c:v>40311.975694444445</c:v>
                </c:pt>
                <c:pt idx="1933">
                  <c:v>40311.976388888892</c:v>
                </c:pt>
                <c:pt idx="1934">
                  <c:v>40311.977083333331</c:v>
                </c:pt>
                <c:pt idx="1935">
                  <c:v>40311.977777777778</c:v>
                </c:pt>
                <c:pt idx="1936">
                  <c:v>40311.978472222225</c:v>
                </c:pt>
                <c:pt idx="1937">
                  <c:v>40311.979166666664</c:v>
                </c:pt>
                <c:pt idx="1938">
                  <c:v>40311.979861111111</c:v>
                </c:pt>
                <c:pt idx="1939">
                  <c:v>40311.980555555558</c:v>
                </c:pt>
                <c:pt idx="1940">
                  <c:v>40311.981249999997</c:v>
                </c:pt>
                <c:pt idx="1941">
                  <c:v>40311.981944444444</c:v>
                </c:pt>
                <c:pt idx="1942">
                  <c:v>40311.982638888891</c:v>
                </c:pt>
                <c:pt idx="1943">
                  <c:v>40311.98333333333</c:v>
                </c:pt>
                <c:pt idx="1944">
                  <c:v>40311.984027777777</c:v>
                </c:pt>
                <c:pt idx="1945">
                  <c:v>40311.984722222223</c:v>
                </c:pt>
                <c:pt idx="1946">
                  <c:v>40311.98541666667</c:v>
                </c:pt>
                <c:pt idx="1947">
                  <c:v>40311.986111111109</c:v>
                </c:pt>
                <c:pt idx="1948">
                  <c:v>40311.986805555556</c:v>
                </c:pt>
                <c:pt idx="1949">
                  <c:v>40311.987500000003</c:v>
                </c:pt>
                <c:pt idx="1950">
                  <c:v>40311.988194444442</c:v>
                </c:pt>
                <c:pt idx="1951">
                  <c:v>40311.988888888889</c:v>
                </c:pt>
                <c:pt idx="1952">
                  <c:v>40311.989583333336</c:v>
                </c:pt>
                <c:pt idx="1953">
                  <c:v>40311.990277777775</c:v>
                </c:pt>
                <c:pt idx="1954">
                  <c:v>40311.990972222222</c:v>
                </c:pt>
                <c:pt idx="1955">
                  <c:v>40311.991666666669</c:v>
                </c:pt>
                <c:pt idx="1956">
                  <c:v>40311.992361111108</c:v>
                </c:pt>
                <c:pt idx="1957">
                  <c:v>40311.993055555555</c:v>
                </c:pt>
                <c:pt idx="1958">
                  <c:v>40311.993750000001</c:v>
                </c:pt>
                <c:pt idx="1959">
                  <c:v>40311.994444444441</c:v>
                </c:pt>
                <c:pt idx="1960">
                  <c:v>40311.995138888888</c:v>
                </c:pt>
                <c:pt idx="1961">
                  <c:v>40311.995833333334</c:v>
                </c:pt>
                <c:pt idx="1962">
                  <c:v>40311.996527777781</c:v>
                </c:pt>
                <c:pt idx="1963">
                  <c:v>40311.99722222222</c:v>
                </c:pt>
                <c:pt idx="1964">
                  <c:v>40311.997916666667</c:v>
                </c:pt>
                <c:pt idx="1965">
                  <c:v>40311.998611111114</c:v>
                </c:pt>
                <c:pt idx="1966">
                  <c:v>40311.999305555553</c:v>
                </c:pt>
                <c:pt idx="1967">
                  <c:v>40312</c:v>
                </c:pt>
                <c:pt idx="1968">
                  <c:v>40312.000694444447</c:v>
                </c:pt>
                <c:pt idx="1969">
                  <c:v>40312.001388888886</c:v>
                </c:pt>
                <c:pt idx="1970">
                  <c:v>40312.002083333333</c:v>
                </c:pt>
                <c:pt idx="1971">
                  <c:v>40312.00277777778</c:v>
                </c:pt>
                <c:pt idx="1972">
                  <c:v>40312.003472222219</c:v>
                </c:pt>
                <c:pt idx="1973">
                  <c:v>40312.004166666666</c:v>
                </c:pt>
                <c:pt idx="1974">
                  <c:v>40312.004861111112</c:v>
                </c:pt>
                <c:pt idx="1975">
                  <c:v>40312.005555555559</c:v>
                </c:pt>
                <c:pt idx="1976">
                  <c:v>40312.006249999999</c:v>
                </c:pt>
                <c:pt idx="1977">
                  <c:v>40312.006944444445</c:v>
                </c:pt>
                <c:pt idx="1978">
                  <c:v>40312.007638888892</c:v>
                </c:pt>
                <c:pt idx="1979">
                  <c:v>40312.008333333331</c:v>
                </c:pt>
                <c:pt idx="1980">
                  <c:v>40312.009027777778</c:v>
                </c:pt>
                <c:pt idx="1981">
                  <c:v>40312.009722222225</c:v>
                </c:pt>
                <c:pt idx="1982">
                  <c:v>40312.010416666664</c:v>
                </c:pt>
                <c:pt idx="1983">
                  <c:v>40312.011111111111</c:v>
                </c:pt>
                <c:pt idx="1984">
                  <c:v>40312.011805555558</c:v>
                </c:pt>
                <c:pt idx="1985">
                  <c:v>40312.012499999997</c:v>
                </c:pt>
                <c:pt idx="1986">
                  <c:v>40312.013194444444</c:v>
                </c:pt>
                <c:pt idx="1987">
                  <c:v>40312.013888888891</c:v>
                </c:pt>
                <c:pt idx="1988">
                  <c:v>40312.01458333333</c:v>
                </c:pt>
                <c:pt idx="1989">
                  <c:v>40312.015277777777</c:v>
                </c:pt>
                <c:pt idx="1990">
                  <c:v>40312.015972222223</c:v>
                </c:pt>
                <c:pt idx="1991">
                  <c:v>40312.01666666667</c:v>
                </c:pt>
                <c:pt idx="1992">
                  <c:v>40312.017361111109</c:v>
                </c:pt>
                <c:pt idx="1993">
                  <c:v>40312.018055555556</c:v>
                </c:pt>
                <c:pt idx="1994">
                  <c:v>40312.018750000003</c:v>
                </c:pt>
                <c:pt idx="1995">
                  <c:v>40312.019444444442</c:v>
                </c:pt>
                <c:pt idx="1996">
                  <c:v>40312.020138888889</c:v>
                </c:pt>
                <c:pt idx="1997">
                  <c:v>40312.020833333336</c:v>
                </c:pt>
                <c:pt idx="1998">
                  <c:v>40312.021527777775</c:v>
                </c:pt>
                <c:pt idx="1999">
                  <c:v>40312.022222222222</c:v>
                </c:pt>
                <c:pt idx="2000">
                  <c:v>40312.022916666669</c:v>
                </c:pt>
                <c:pt idx="2001">
                  <c:v>40312.023611111108</c:v>
                </c:pt>
                <c:pt idx="2002">
                  <c:v>40312.024305555555</c:v>
                </c:pt>
                <c:pt idx="2003">
                  <c:v>40312.025000000001</c:v>
                </c:pt>
                <c:pt idx="2004">
                  <c:v>40312.025694444441</c:v>
                </c:pt>
                <c:pt idx="2005">
                  <c:v>40312.026388888888</c:v>
                </c:pt>
                <c:pt idx="2006">
                  <c:v>40312.027083333334</c:v>
                </c:pt>
                <c:pt idx="2007">
                  <c:v>40312.027777777781</c:v>
                </c:pt>
                <c:pt idx="2008">
                  <c:v>40312.02847222222</c:v>
                </c:pt>
                <c:pt idx="2009">
                  <c:v>40312.029166666667</c:v>
                </c:pt>
                <c:pt idx="2010">
                  <c:v>40312.029861111114</c:v>
                </c:pt>
                <c:pt idx="2011">
                  <c:v>40312.030555555553</c:v>
                </c:pt>
                <c:pt idx="2012">
                  <c:v>40312.03125</c:v>
                </c:pt>
                <c:pt idx="2013">
                  <c:v>40312.031944444447</c:v>
                </c:pt>
                <c:pt idx="2014">
                  <c:v>40312.032638888886</c:v>
                </c:pt>
                <c:pt idx="2015">
                  <c:v>40312.033333333333</c:v>
                </c:pt>
                <c:pt idx="2016">
                  <c:v>40312.03402777778</c:v>
                </c:pt>
                <c:pt idx="2017">
                  <c:v>40312.034722222219</c:v>
                </c:pt>
                <c:pt idx="2018">
                  <c:v>40312.035416666666</c:v>
                </c:pt>
                <c:pt idx="2019">
                  <c:v>40312.036111111112</c:v>
                </c:pt>
                <c:pt idx="2020">
                  <c:v>40312.036805555559</c:v>
                </c:pt>
                <c:pt idx="2021">
                  <c:v>40312.037499999999</c:v>
                </c:pt>
                <c:pt idx="2022">
                  <c:v>40312.038194444445</c:v>
                </c:pt>
                <c:pt idx="2023">
                  <c:v>40312.038888888892</c:v>
                </c:pt>
                <c:pt idx="2024">
                  <c:v>40312.039583333331</c:v>
                </c:pt>
                <c:pt idx="2025">
                  <c:v>40312.040277777778</c:v>
                </c:pt>
                <c:pt idx="2026">
                  <c:v>40312.040972222225</c:v>
                </c:pt>
                <c:pt idx="2027">
                  <c:v>40312.041666666664</c:v>
                </c:pt>
                <c:pt idx="2028">
                  <c:v>40312.042361111111</c:v>
                </c:pt>
                <c:pt idx="2029">
                  <c:v>40312.043055555558</c:v>
                </c:pt>
                <c:pt idx="2030">
                  <c:v>40312.043749999997</c:v>
                </c:pt>
                <c:pt idx="2031">
                  <c:v>40312.044444444444</c:v>
                </c:pt>
                <c:pt idx="2032">
                  <c:v>40312.045138888891</c:v>
                </c:pt>
                <c:pt idx="2033">
                  <c:v>40312.04583333333</c:v>
                </c:pt>
                <c:pt idx="2034">
                  <c:v>40312.046527777777</c:v>
                </c:pt>
                <c:pt idx="2035">
                  <c:v>40312.047222222223</c:v>
                </c:pt>
                <c:pt idx="2036">
                  <c:v>40312.04791666667</c:v>
                </c:pt>
                <c:pt idx="2037">
                  <c:v>40312.048611111109</c:v>
                </c:pt>
                <c:pt idx="2038">
                  <c:v>40312.049305555556</c:v>
                </c:pt>
                <c:pt idx="2039">
                  <c:v>40312.050000000003</c:v>
                </c:pt>
                <c:pt idx="2040">
                  <c:v>40312.050694444442</c:v>
                </c:pt>
                <c:pt idx="2041">
                  <c:v>40312.051388888889</c:v>
                </c:pt>
                <c:pt idx="2042">
                  <c:v>40312.052083333336</c:v>
                </c:pt>
                <c:pt idx="2043">
                  <c:v>40312.052777777775</c:v>
                </c:pt>
                <c:pt idx="2044">
                  <c:v>40312.053472222222</c:v>
                </c:pt>
                <c:pt idx="2045">
                  <c:v>40312.054166666669</c:v>
                </c:pt>
                <c:pt idx="2046">
                  <c:v>40312.054861111108</c:v>
                </c:pt>
                <c:pt idx="2047">
                  <c:v>40312.055555555555</c:v>
                </c:pt>
                <c:pt idx="2048">
                  <c:v>40312.056250000001</c:v>
                </c:pt>
                <c:pt idx="2049">
                  <c:v>40312.056944444441</c:v>
                </c:pt>
                <c:pt idx="2050">
                  <c:v>40312.057638888888</c:v>
                </c:pt>
                <c:pt idx="2051">
                  <c:v>40312.058333333334</c:v>
                </c:pt>
                <c:pt idx="2052">
                  <c:v>40312.059027777781</c:v>
                </c:pt>
                <c:pt idx="2053">
                  <c:v>40312.05972222222</c:v>
                </c:pt>
                <c:pt idx="2054">
                  <c:v>40312.060416666667</c:v>
                </c:pt>
                <c:pt idx="2055">
                  <c:v>40312.061111111114</c:v>
                </c:pt>
                <c:pt idx="2056">
                  <c:v>40312.061805555553</c:v>
                </c:pt>
                <c:pt idx="2057">
                  <c:v>40312.0625</c:v>
                </c:pt>
                <c:pt idx="2058">
                  <c:v>40312.063194444447</c:v>
                </c:pt>
                <c:pt idx="2059">
                  <c:v>40312.063888888886</c:v>
                </c:pt>
                <c:pt idx="2060">
                  <c:v>40312.064583333333</c:v>
                </c:pt>
                <c:pt idx="2061">
                  <c:v>40312.06527777778</c:v>
                </c:pt>
                <c:pt idx="2062">
                  <c:v>40312.065972222219</c:v>
                </c:pt>
                <c:pt idx="2063">
                  <c:v>40312.066666666666</c:v>
                </c:pt>
                <c:pt idx="2064">
                  <c:v>40312.067361111112</c:v>
                </c:pt>
                <c:pt idx="2065">
                  <c:v>40312.068055555559</c:v>
                </c:pt>
                <c:pt idx="2066">
                  <c:v>40312.068749999999</c:v>
                </c:pt>
                <c:pt idx="2067">
                  <c:v>40312.069444444445</c:v>
                </c:pt>
                <c:pt idx="2068">
                  <c:v>40312.070138888892</c:v>
                </c:pt>
                <c:pt idx="2069">
                  <c:v>40312.070833333331</c:v>
                </c:pt>
                <c:pt idx="2070">
                  <c:v>40312.071527777778</c:v>
                </c:pt>
                <c:pt idx="2071">
                  <c:v>40312.072222222225</c:v>
                </c:pt>
                <c:pt idx="2072">
                  <c:v>40312.072916666664</c:v>
                </c:pt>
                <c:pt idx="2073">
                  <c:v>40312.073611111111</c:v>
                </c:pt>
                <c:pt idx="2074">
                  <c:v>40312.074305555558</c:v>
                </c:pt>
                <c:pt idx="2075">
                  <c:v>40312.074999999997</c:v>
                </c:pt>
                <c:pt idx="2076">
                  <c:v>40312.075694444444</c:v>
                </c:pt>
                <c:pt idx="2077">
                  <c:v>40312.076388888891</c:v>
                </c:pt>
                <c:pt idx="2078">
                  <c:v>40312.07708333333</c:v>
                </c:pt>
                <c:pt idx="2079">
                  <c:v>40312.077777777777</c:v>
                </c:pt>
                <c:pt idx="2080">
                  <c:v>40312.078472222223</c:v>
                </c:pt>
                <c:pt idx="2081">
                  <c:v>40312.07916666667</c:v>
                </c:pt>
                <c:pt idx="2082">
                  <c:v>40312.079861111109</c:v>
                </c:pt>
                <c:pt idx="2083">
                  <c:v>40312.080555555556</c:v>
                </c:pt>
                <c:pt idx="2084">
                  <c:v>40312.081250000003</c:v>
                </c:pt>
                <c:pt idx="2085">
                  <c:v>40312.081944444442</c:v>
                </c:pt>
                <c:pt idx="2086">
                  <c:v>40312.082638888889</c:v>
                </c:pt>
                <c:pt idx="2087">
                  <c:v>40312.083333333336</c:v>
                </c:pt>
                <c:pt idx="2088">
                  <c:v>40312.084027777775</c:v>
                </c:pt>
                <c:pt idx="2089">
                  <c:v>40312.084722222222</c:v>
                </c:pt>
                <c:pt idx="2090">
                  <c:v>40312.085416666669</c:v>
                </c:pt>
                <c:pt idx="2091">
                  <c:v>40312.086111111108</c:v>
                </c:pt>
                <c:pt idx="2092">
                  <c:v>40312.086805555555</c:v>
                </c:pt>
                <c:pt idx="2093">
                  <c:v>40312.087500000001</c:v>
                </c:pt>
                <c:pt idx="2094">
                  <c:v>40312.088194444441</c:v>
                </c:pt>
                <c:pt idx="2095">
                  <c:v>40312.088888888888</c:v>
                </c:pt>
                <c:pt idx="2096">
                  <c:v>40312.089583333334</c:v>
                </c:pt>
                <c:pt idx="2097">
                  <c:v>40312.090277777781</c:v>
                </c:pt>
                <c:pt idx="2098">
                  <c:v>40312.09097222222</c:v>
                </c:pt>
                <c:pt idx="2099">
                  <c:v>40312.091666666667</c:v>
                </c:pt>
                <c:pt idx="2100">
                  <c:v>40312.092361111114</c:v>
                </c:pt>
                <c:pt idx="2101">
                  <c:v>40312.093055555553</c:v>
                </c:pt>
                <c:pt idx="2102">
                  <c:v>40312.09375</c:v>
                </c:pt>
                <c:pt idx="2103">
                  <c:v>40312.094444444447</c:v>
                </c:pt>
                <c:pt idx="2104">
                  <c:v>40312.095138888886</c:v>
                </c:pt>
                <c:pt idx="2105">
                  <c:v>40312.095833333333</c:v>
                </c:pt>
                <c:pt idx="2106">
                  <c:v>40312.09652777778</c:v>
                </c:pt>
                <c:pt idx="2107">
                  <c:v>40312.097222222219</c:v>
                </c:pt>
                <c:pt idx="2108">
                  <c:v>40312.097916666666</c:v>
                </c:pt>
                <c:pt idx="2109">
                  <c:v>40312.098611111112</c:v>
                </c:pt>
                <c:pt idx="2110">
                  <c:v>40312.099305555559</c:v>
                </c:pt>
                <c:pt idx="2111">
                  <c:v>40312.1</c:v>
                </c:pt>
                <c:pt idx="2112">
                  <c:v>40312.100694444445</c:v>
                </c:pt>
                <c:pt idx="2113">
                  <c:v>40312.101388888892</c:v>
                </c:pt>
                <c:pt idx="2114">
                  <c:v>40312.102083333331</c:v>
                </c:pt>
                <c:pt idx="2115">
                  <c:v>40312.102777777778</c:v>
                </c:pt>
                <c:pt idx="2116">
                  <c:v>40312.103472222225</c:v>
                </c:pt>
                <c:pt idx="2117">
                  <c:v>40312.104166666664</c:v>
                </c:pt>
                <c:pt idx="2118">
                  <c:v>40312.104861111111</c:v>
                </c:pt>
                <c:pt idx="2119">
                  <c:v>40312.105555555558</c:v>
                </c:pt>
                <c:pt idx="2120">
                  <c:v>40312.106249999997</c:v>
                </c:pt>
                <c:pt idx="2121">
                  <c:v>40312.106944444444</c:v>
                </c:pt>
                <c:pt idx="2122">
                  <c:v>40312.107638888891</c:v>
                </c:pt>
                <c:pt idx="2123">
                  <c:v>40312.10833333333</c:v>
                </c:pt>
                <c:pt idx="2124">
                  <c:v>40312.109027777777</c:v>
                </c:pt>
                <c:pt idx="2125">
                  <c:v>40312.109722222223</c:v>
                </c:pt>
                <c:pt idx="2126">
                  <c:v>40312.11041666667</c:v>
                </c:pt>
                <c:pt idx="2127">
                  <c:v>40312.111111111109</c:v>
                </c:pt>
                <c:pt idx="2128">
                  <c:v>40312.111805555556</c:v>
                </c:pt>
                <c:pt idx="2129">
                  <c:v>40312.112500000003</c:v>
                </c:pt>
                <c:pt idx="2130">
                  <c:v>40312.113194444442</c:v>
                </c:pt>
                <c:pt idx="2131">
                  <c:v>40312.113888888889</c:v>
                </c:pt>
                <c:pt idx="2132">
                  <c:v>40312.114583333336</c:v>
                </c:pt>
                <c:pt idx="2133">
                  <c:v>40312.115277777775</c:v>
                </c:pt>
                <c:pt idx="2134">
                  <c:v>40312.115972222222</c:v>
                </c:pt>
                <c:pt idx="2135">
                  <c:v>40312.116666666669</c:v>
                </c:pt>
                <c:pt idx="2136">
                  <c:v>40312.117361111108</c:v>
                </c:pt>
                <c:pt idx="2137">
                  <c:v>40312.118055555555</c:v>
                </c:pt>
                <c:pt idx="2138">
                  <c:v>40312.118750000001</c:v>
                </c:pt>
                <c:pt idx="2139">
                  <c:v>40312.119444444441</c:v>
                </c:pt>
                <c:pt idx="2140">
                  <c:v>40312.120138888888</c:v>
                </c:pt>
                <c:pt idx="2141">
                  <c:v>40312.120833333334</c:v>
                </c:pt>
                <c:pt idx="2142">
                  <c:v>40312.121527777781</c:v>
                </c:pt>
                <c:pt idx="2143">
                  <c:v>40312.12222222222</c:v>
                </c:pt>
                <c:pt idx="2144">
                  <c:v>40312.122916666667</c:v>
                </c:pt>
                <c:pt idx="2145">
                  <c:v>40312.123611111114</c:v>
                </c:pt>
                <c:pt idx="2146">
                  <c:v>40312.124305555553</c:v>
                </c:pt>
                <c:pt idx="2147">
                  <c:v>40312.125</c:v>
                </c:pt>
                <c:pt idx="2148">
                  <c:v>40312.125694444447</c:v>
                </c:pt>
                <c:pt idx="2149">
                  <c:v>40312.126388888886</c:v>
                </c:pt>
                <c:pt idx="2150">
                  <c:v>40312.127083333333</c:v>
                </c:pt>
                <c:pt idx="2151">
                  <c:v>40312.12777777778</c:v>
                </c:pt>
                <c:pt idx="2152">
                  <c:v>40312.128472222219</c:v>
                </c:pt>
                <c:pt idx="2153">
                  <c:v>40312.129166666666</c:v>
                </c:pt>
                <c:pt idx="2154">
                  <c:v>40312.129861111112</c:v>
                </c:pt>
                <c:pt idx="2155">
                  <c:v>40312.130555555559</c:v>
                </c:pt>
                <c:pt idx="2156">
                  <c:v>40312.131249999999</c:v>
                </c:pt>
                <c:pt idx="2157">
                  <c:v>40312.131944444445</c:v>
                </c:pt>
                <c:pt idx="2158">
                  <c:v>40312.132638888892</c:v>
                </c:pt>
                <c:pt idx="2159">
                  <c:v>40312.133333333331</c:v>
                </c:pt>
                <c:pt idx="2160">
                  <c:v>40312.134027777778</c:v>
                </c:pt>
                <c:pt idx="2161">
                  <c:v>40312.134722222225</c:v>
                </c:pt>
                <c:pt idx="2162">
                  <c:v>40312.135416666664</c:v>
                </c:pt>
                <c:pt idx="2163">
                  <c:v>40312.136111111111</c:v>
                </c:pt>
                <c:pt idx="2164">
                  <c:v>40312.136805555558</c:v>
                </c:pt>
                <c:pt idx="2165">
                  <c:v>40312.137499999997</c:v>
                </c:pt>
                <c:pt idx="2166">
                  <c:v>40312.138194444444</c:v>
                </c:pt>
                <c:pt idx="2167">
                  <c:v>40312.138888888891</c:v>
                </c:pt>
                <c:pt idx="2168">
                  <c:v>40312.13958333333</c:v>
                </c:pt>
                <c:pt idx="2169">
                  <c:v>40312.140277777777</c:v>
                </c:pt>
                <c:pt idx="2170">
                  <c:v>40312.140972222223</c:v>
                </c:pt>
                <c:pt idx="2171">
                  <c:v>40312.14166666667</c:v>
                </c:pt>
                <c:pt idx="2172">
                  <c:v>40312.142361111109</c:v>
                </c:pt>
                <c:pt idx="2173">
                  <c:v>40312.143055555556</c:v>
                </c:pt>
                <c:pt idx="2174">
                  <c:v>40312.143750000003</c:v>
                </c:pt>
                <c:pt idx="2175">
                  <c:v>40312.144444444442</c:v>
                </c:pt>
                <c:pt idx="2176">
                  <c:v>40312.145138888889</c:v>
                </c:pt>
                <c:pt idx="2177">
                  <c:v>40312.145833333336</c:v>
                </c:pt>
                <c:pt idx="2178">
                  <c:v>40312.146527777775</c:v>
                </c:pt>
                <c:pt idx="2179">
                  <c:v>40312.147222222222</c:v>
                </c:pt>
                <c:pt idx="2180">
                  <c:v>40312.147916666669</c:v>
                </c:pt>
                <c:pt idx="2181">
                  <c:v>40312.148611111108</c:v>
                </c:pt>
                <c:pt idx="2182">
                  <c:v>40312.149305555555</c:v>
                </c:pt>
                <c:pt idx="2183">
                  <c:v>40312.15</c:v>
                </c:pt>
                <c:pt idx="2184">
                  <c:v>40312.150694444441</c:v>
                </c:pt>
                <c:pt idx="2185">
                  <c:v>40312.151388888888</c:v>
                </c:pt>
                <c:pt idx="2186">
                  <c:v>40312.152083333334</c:v>
                </c:pt>
                <c:pt idx="2187">
                  <c:v>40312.152777777781</c:v>
                </c:pt>
                <c:pt idx="2188">
                  <c:v>40312.15347222222</c:v>
                </c:pt>
                <c:pt idx="2189">
                  <c:v>40312.154166666667</c:v>
                </c:pt>
                <c:pt idx="2190">
                  <c:v>40312.154861111114</c:v>
                </c:pt>
                <c:pt idx="2191">
                  <c:v>40312.155555555553</c:v>
                </c:pt>
                <c:pt idx="2192">
                  <c:v>40312.15625</c:v>
                </c:pt>
                <c:pt idx="2193">
                  <c:v>40312.156944444447</c:v>
                </c:pt>
                <c:pt idx="2194">
                  <c:v>40312.157638888886</c:v>
                </c:pt>
                <c:pt idx="2195">
                  <c:v>40312.158333333333</c:v>
                </c:pt>
                <c:pt idx="2196">
                  <c:v>40312.15902777778</c:v>
                </c:pt>
                <c:pt idx="2197">
                  <c:v>40312.159722222219</c:v>
                </c:pt>
                <c:pt idx="2198">
                  <c:v>40312.160416666666</c:v>
                </c:pt>
                <c:pt idx="2199">
                  <c:v>40312.161111111112</c:v>
                </c:pt>
                <c:pt idx="2200">
                  <c:v>40312.161805555559</c:v>
                </c:pt>
                <c:pt idx="2201">
                  <c:v>40312.162499999999</c:v>
                </c:pt>
                <c:pt idx="2202">
                  <c:v>40312.163194444445</c:v>
                </c:pt>
                <c:pt idx="2203">
                  <c:v>40312.163888888892</c:v>
                </c:pt>
                <c:pt idx="2204">
                  <c:v>40312.164583333331</c:v>
                </c:pt>
                <c:pt idx="2205">
                  <c:v>40312.165277777778</c:v>
                </c:pt>
                <c:pt idx="2206">
                  <c:v>40312.165972222225</c:v>
                </c:pt>
                <c:pt idx="2207">
                  <c:v>40312.166666666664</c:v>
                </c:pt>
                <c:pt idx="2208">
                  <c:v>40312.167361111111</c:v>
                </c:pt>
                <c:pt idx="2209">
                  <c:v>40312.168055555558</c:v>
                </c:pt>
                <c:pt idx="2210">
                  <c:v>40312.168749999997</c:v>
                </c:pt>
                <c:pt idx="2211">
                  <c:v>40312.169444444444</c:v>
                </c:pt>
                <c:pt idx="2212">
                  <c:v>40312.170138888891</c:v>
                </c:pt>
                <c:pt idx="2213">
                  <c:v>40312.17083333333</c:v>
                </c:pt>
                <c:pt idx="2214">
                  <c:v>40312.171527777777</c:v>
                </c:pt>
                <c:pt idx="2215">
                  <c:v>40312.172222222223</c:v>
                </c:pt>
                <c:pt idx="2216">
                  <c:v>40312.17291666667</c:v>
                </c:pt>
                <c:pt idx="2217">
                  <c:v>40312.173611111109</c:v>
                </c:pt>
                <c:pt idx="2218">
                  <c:v>40312.174305555556</c:v>
                </c:pt>
                <c:pt idx="2219">
                  <c:v>40312.175000000003</c:v>
                </c:pt>
                <c:pt idx="2220">
                  <c:v>40312.175694444442</c:v>
                </c:pt>
                <c:pt idx="2221">
                  <c:v>40312.176388888889</c:v>
                </c:pt>
                <c:pt idx="2222">
                  <c:v>40312.177083333336</c:v>
                </c:pt>
                <c:pt idx="2223">
                  <c:v>40312.177777777775</c:v>
                </c:pt>
                <c:pt idx="2224">
                  <c:v>40312.178472222222</c:v>
                </c:pt>
                <c:pt idx="2225">
                  <c:v>40312.179166666669</c:v>
                </c:pt>
                <c:pt idx="2226">
                  <c:v>40312.179861111108</c:v>
                </c:pt>
                <c:pt idx="2227">
                  <c:v>40312.180555555555</c:v>
                </c:pt>
                <c:pt idx="2228">
                  <c:v>40312.181250000001</c:v>
                </c:pt>
                <c:pt idx="2229">
                  <c:v>40312.181944444441</c:v>
                </c:pt>
                <c:pt idx="2230">
                  <c:v>40312.182638888888</c:v>
                </c:pt>
                <c:pt idx="2231">
                  <c:v>40312.183333333334</c:v>
                </c:pt>
                <c:pt idx="2232">
                  <c:v>40312.184027777781</c:v>
                </c:pt>
                <c:pt idx="2233">
                  <c:v>40312.18472222222</c:v>
                </c:pt>
                <c:pt idx="2234">
                  <c:v>40312.185416666667</c:v>
                </c:pt>
                <c:pt idx="2235">
                  <c:v>40312.186111111114</c:v>
                </c:pt>
                <c:pt idx="2236">
                  <c:v>40312.186805555553</c:v>
                </c:pt>
                <c:pt idx="2237">
                  <c:v>40312.1875</c:v>
                </c:pt>
                <c:pt idx="2238">
                  <c:v>40312.188194444447</c:v>
                </c:pt>
                <c:pt idx="2239">
                  <c:v>40312.188888888886</c:v>
                </c:pt>
                <c:pt idx="2240">
                  <c:v>40312.189583333333</c:v>
                </c:pt>
                <c:pt idx="2241">
                  <c:v>40312.19027777778</c:v>
                </c:pt>
                <c:pt idx="2242">
                  <c:v>40312.190972222219</c:v>
                </c:pt>
                <c:pt idx="2243">
                  <c:v>40312.191666666666</c:v>
                </c:pt>
                <c:pt idx="2244">
                  <c:v>40312.192361111112</c:v>
                </c:pt>
                <c:pt idx="2245">
                  <c:v>40312.193055555559</c:v>
                </c:pt>
                <c:pt idx="2246">
                  <c:v>40312.193749999999</c:v>
                </c:pt>
                <c:pt idx="2247">
                  <c:v>40312.194444444445</c:v>
                </c:pt>
                <c:pt idx="2248">
                  <c:v>40312.195138888892</c:v>
                </c:pt>
                <c:pt idx="2249">
                  <c:v>40312.195833333331</c:v>
                </c:pt>
                <c:pt idx="2250">
                  <c:v>40312.196527777778</c:v>
                </c:pt>
                <c:pt idx="2251">
                  <c:v>40312.197222222225</c:v>
                </c:pt>
                <c:pt idx="2252">
                  <c:v>40312.197916666664</c:v>
                </c:pt>
                <c:pt idx="2253">
                  <c:v>40312.198611111111</c:v>
                </c:pt>
                <c:pt idx="2254">
                  <c:v>40312.199305555558</c:v>
                </c:pt>
                <c:pt idx="2255">
                  <c:v>40312.199999999997</c:v>
                </c:pt>
                <c:pt idx="2256">
                  <c:v>40312.200694444444</c:v>
                </c:pt>
                <c:pt idx="2257">
                  <c:v>40312.201388888891</c:v>
                </c:pt>
                <c:pt idx="2258">
                  <c:v>40312.20208333333</c:v>
                </c:pt>
                <c:pt idx="2259">
                  <c:v>40312.202777777777</c:v>
                </c:pt>
                <c:pt idx="2260">
                  <c:v>40312.203472222223</c:v>
                </c:pt>
                <c:pt idx="2261">
                  <c:v>40312.20416666667</c:v>
                </c:pt>
                <c:pt idx="2262">
                  <c:v>40312.204861111109</c:v>
                </c:pt>
                <c:pt idx="2263">
                  <c:v>40312.205555555556</c:v>
                </c:pt>
                <c:pt idx="2264">
                  <c:v>40312.206250000003</c:v>
                </c:pt>
                <c:pt idx="2265">
                  <c:v>40312.206944444442</c:v>
                </c:pt>
                <c:pt idx="2266">
                  <c:v>40312.207638888889</c:v>
                </c:pt>
                <c:pt idx="2267">
                  <c:v>40312.208333333336</c:v>
                </c:pt>
                <c:pt idx="2268">
                  <c:v>40312.209027777775</c:v>
                </c:pt>
                <c:pt idx="2269">
                  <c:v>40312.209722222222</c:v>
                </c:pt>
                <c:pt idx="2270">
                  <c:v>40312.210416666669</c:v>
                </c:pt>
                <c:pt idx="2271">
                  <c:v>40312.211111111108</c:v>
                </c:pt>
                <c:pt idx="2272">
                  <c:v>40312.211805555555</c:v>
                </c:pt>
                <c:pt idx="2273">
                  <c:v>40312.212500000001</c:v>
                </c:pt>
                <c:pt idx="2274">
                  <c:v>40312.213194444441</c:v>
                </c:pt>
                <c:pt idx="2275">
                  <c:v>40312.213888888888</c:v>
                </c:pt>
                <c:pt idx="2276">
                  <c:v>40312.214583333334</c:v>
                </c:pt>
                <c:pt idx="2277">
                  <c:v>40312.215277777781</c:v>
                </c:pt>
                <c:pt idx="2278">
                  <c:v>40312.21597222222</c:v>
                </c:pt>
                <c:pt idx="2279">
                  <c:v>40312.216666666667</c:v>
                </c:pt>
                <c:pt idx="2280">
                  <c:v>40312.217361111114</c:v>
                </c:pt>
                <c:pt idx="2281">
                  <c:v>40312.218055555553</c:v>
                </c:pt>
                <c:pt idx="2282">
                  <c:v>40312.21875</c:v>
                </c:pt>
                <c:pt idx="2283">
                  <c:v>40312.219444444447</c:v>
                </c:pt>
                <c:pt idx="2284">
                  <c:v>40312.220138888886</c:v>
                </c:pt>
                <c:pt idx="2285">
                  <c:v>40312.220833333333</c:v>
                </c:pt>
                <c:pt idx="2286">
                  <c:v>40312.22152777778</c:v>
                </c:pt>
                <c:pt idx="2287">
                  <c:v>40312.222222222219</c:v>
                </c:pt>
                <c:pt idx="2288">
                  <c:v>40312.222916666666</c:v>
                </c:pt>
                <c:pt idx="2289">
                  <c:v>40312.223611111112</c:v>
                </c:pt>
                <c:pt idx="2290">
                  <c:v>40312.224305555559</c:v>
                </c:pt>
                <c:pt idx="2291">
                  <c:v>40312.224999999999</c:v>
                </c:pt>
                <c:pt idx="2292">
                  <c:v>40312.225694444445</c:v>
                </c:pt>
                <c:pt idx="2293">
                  <c:v>40312.226388888892</c:v>
                </c:pt>
                <c:pt idx="2294">
                  <c:v>40312.227083333331</c:v>
                </c:pt>
                <c:pt idx="2295">
                  <c:v>40312.227777777778</c:v>
                </c:pt>
                <c:pt idx="2296">
                  <c:v>40312.228472222225</c:v>
                </c:pt>
                <c:pt idx="2297">
                  <c:v>40312.229166666664</c:v>
                </c:pt>
                <c:pt idx="2298">
                  <c:v>40312.229861111111</c:v>
                </c:pt>
                <c:pt idx="2299">
                  <c:v>40312.230555555558</c:v>
                </c:pt>
                <c:pt idx="2300">
                  <c:v>40312.231249999997</c:v>
                </c:pt>
                <c:pt idx="2301">
                  <c:v>40312.231944444444</c:v>
                </c:pt>
                <c:pt idx="2302">
                  <c:v>40312.232638888891</c:v>
                </c:pt>
                <c:pt idx="2303">
                  <c:v>40312.23333333333</c:v>
                </c:pt>
                <c:pt idx="2304">
                  <c:v>40312.234027777777</c:v>
                </c:pt>
                <c:pt idx="2305">
                  <c:v>40312.234722222223</c:v>
                </c:pt>
                <c:pt idx="2306">
                  <c:v>40312.23541666667</c:v>
                </c:pt>
                <c:pt idx="2307">
                  <c:v>40312.236111111109</c:v>
                </c:pt>
                <c:pt idx="2308">
                  <c:v>40312.236805555556</c:v>
                </c:pt>
                <c:pt idx="2309">
                  <c:v>40312.237500000003</c:v>
                </c:pt>
                <c:pt idx="2310">
                  <c:v>40312.238194444442</c:v>
                </c:pt>
                <c:pt idx="2311">
                  <c:v>40312.238888888889</c:v>
                </c:pt>
                <c:pt idx="2312">
                  <c:v>40312.239583333336</c:v>
                </c:pt>
                <c:pt idx="2313">
                  <c:v>40312.240277777775</c:v>
                </c:pt>
                <c:pt idx="2314">
                  <c:v>40312.240972222222</c:v>
                </c:pt>
                <c:pt idx="2315">
                  <c:v>40312.241666666669</c:v>
                </c:pt>
                <c:pt idx="2316">
                  <c:v>40312.242361111108</c:v>
                </c:pt>
                <c:pt idx="2317">
                  <c:v>40312.243055555555</c:v>
                </c:pt>
                <c:pt idx="2318">
                  <c:v>40312.243750000001</c:v>
                </c:pt>
                <c:pt idx="2319">
                  <c:v>40312.244444444441</c:v>
                </c:pt>
                <c:pt idx="2320">
                  <c:v>40312.245138888888</c:v>
                </c:pt>
                <c:pt idx="2321">
                  <c:v>40312.245833333334</c:v>
                </c:pt>
                <c:pt idx="2322">
                  <c:v>40312.246527777781</c:v>
                </c:pt>
                <c:pt idx="2323">
                  <c:v>40312.24722222222</c:v>
                </c:pt>
                <c:pt idx="2324">
                  <c:v>40312.247916666667</c:v>
                </c:pt>
                <c:pt idx="2325">
                  <c:v>40312.248611111114</c:v>
                </c:pt>
                <c:pt idx="2326">
                  <c:v>40312.249305555553</c:v>
                </c:pt>
                <c:pt idx="2327">
                  <c:v>40312.25</c:v>
                </c:pt>
                <c:pt idx="2328">
                  <c:v>40312.250694444447</c:v>
                </c:pt>
                <c:pt idx="2329">
                  <c:v>40312.251388888886</c:v>
                </c:pt>
                <c:pt idx="2330">
                  <c:v>40312.252083333333</c:v>
                </c:pt>
                <c:pt idx="2331">
                  <c:v>40312.25277777778</c:v>
                </c:pt>
                <c:pt idx="2332">
                  <c:v>40312.253472222219</c:v>
                </c:pt>
                <c:pt idx="2333">
                  <c:v>40312.254166666666</c:v>
                </c:pt>
                <c:pt idx="2334">
                  <c:v>40312.254861111112</c:v>
                </c:pt>
                <c:pt idx="2335">
                  <c:v>40312.255555555559</c:v>
                </c:pt>
                <c:pt idx="2336">
                  <c:v>40312.256249999999</c:v>
                </c:pt>
                <c:pt idx="2337">
                  <c:v>40312.256944444445</c:v>
                </c:pt>
                <c:pt idx="2338">
                  <c:v>40312.257638888892</c:v>
                </c:pt>
                <c:pt idx="2339">
                  <c:v>40312.258333333331</c:v>
                </c:pt>
                <c:pt idx="2340">
                  <c:v>40312.259027777778</c:v>
                </c:pt>
                <c:pt idx="2341">
                  <c:v>40312.259722222225</c:v>
                </c:pt>
                <c:pt idx="2342">
                  <c:v>40312.260416666664</c:v>
                </c:pt>
                <c:pt idx="2343">
                  <c:v>40312.261111111111</c:v>
                </c:pt>
                <c:pt idx="2344">
                  <c:v>40312.261805555558</c:v>
                </c:pt>
                <c:pt idx="2345">
                  <c:v>40312.262499999997</c:v>
                </c:pt>
                <c:pt idx="2346">
                  <c:v>40312.263194444444</c:v>
                </c:pt>
                <c:pt idx="2347">
                  <c:v>40312.263888888891</c:v>
                </c:pt>
                <c:pt idx="2348">
                  <c:v>40312.26458333333</c:v>
                </c:pt>
                <c:pt idx="2349">
                  <c:v>40312.265277777777</c:v>
                </c:pt>
                <c:pt idx="2350">
                  <c:v>40312.265972222223</c:v>
                </c:pt>
                <c:pt idx="2351">
                  <c:v>40312.26666666667</c:v>
                </c:pt>
                <c:pt idx="2352">
                  <c:v>40312.267361111109</c:v>
                </c:pt>
                <c:pt idx="2353">
                  <c:v>40312.268055555556</c:v>
                </c:pt>
                <c:pt idx="2354">
                  <c:v>40312.268750000003</c:v>
                </c:pt>
                <c:pt idx="2355">
                  <c:v>40312.269444444442</c:v>
                </c:pt>
                <c:pt idx="2356">
                  <c:v>40312.270138888889</c:v>
                </c:pt>
                <c:pt idx="2357">
                  <c:v>40312.270833333336</c:v>
                </c:pt>
                <c:pt idx="2358">
                  <c:v>40312.271527777775</c:v>
                </c:pt>
                <c:pt idx="2359">
                  <c:v>40312.272222222222</c:v>
                </c:pt>
                <c:pt idx="2360">
                  <c:v>40312.272916666669</c:v>
                </c:pt>
                <c:pt idx="2361">
                  <c:v>40312.273611111108</c:v>
                </c:pt>
                <c:pt idx="2362">
                  <c:v>40312.274305555555</c:v>
                </c:pt>
                <c:pt idx="2363">
                  <c:v>40312.275000000001</c:v>
                </c:pt>
                <c:pt idx="2364">
                  <c:v>40312.275694444441</c:v>
                </c:pt>
                <c:pt idx="2365">
                  <c:v>40312.276388888888</c:v>
                </c:pt>
                <c:pt idx="2366">
                  <c:v>40312.277083333334</c:v>
                </c:pt>
                <c:pt idx="2367">
                  <c:v>40312.277777777781</c:v>
                </c:pt>
                <c:pt idx="2368">
                  <c:v>40312.27847222222</c:v>
                </c:pt>
                <c:pt idx="2369">
                  <c:v>40312.279166666667</c:v>
                </c:pt>
                <c:pt idx="2370">
                  <c:v>40312.279861111114</c:v>
                </c:pt>
                <c:pt idx="2371">
                  <c:v>40312.280555555553</c:v>
                </c:pt>
                <c:pt idx="2372">
                  <c:v>40312.28125</c:v>
                </c:pt>
                <c:pt idx="2373">
                  <c:v>40312.281944444447</c:v>
                </c:pt>
                <c:pt idx="2374">
                  <c:v>40312.282638888886</c:v>
                </c:pt>
                <c:pt idx="2375">
                  <c:v>40312.283333333333</c:v>
                </c:pt>
                <c:pt idx="2376">
                  <c:v>40312.28402777778</c:v>
                </c:pt>
                <c:pt idx="2377">
                  <c:v>40312.284722222219</c:v>
                </c:pt>
                <c:pt idx="2378">
                  <c:v>40312.285416666666</c:v>
                </c:pt>
                <c:pt idx="2379">
                  <c:v>40312.286111111112</c:v>
                </c:pt>
                <c:pt idx="2380">
                  <c:v>40312.286805555559</c:v>
                </c:pt>
                <c:pt idx="2381">
                  <c:v>40312.287499999999</c:v>
                </c:pt>
                <c:pt idx="2382">
                  <c:v>40312.288194444445</c:v>
                </c:pt>
                <c:pt idx="2383">
                  <c:v>40312.288888888892</c:v>
                </c:pt>
                <c:pt idx="2384">
                  <c:v>40312.289583333331</c:v>
                </c:pt>
                <c:pt idx="2385">
                  <c:v>40312.290277777778</c:v>
                </c:pt>
                <c:pt idx="2386">
                  <c:v>40312.290972222225</c:v>
                </c:pt>
                <c:pt idx="2387">
                  <c:v>40312.291666666664</c:v>
                </c:pt>
                <c:pt idx="2388">
                  <c:v>40312.292361111111</c:v>
                </c:pt>
                <c:pt idx="2389">
                  <c:v>40312.293055555558</c:v>
                </c:pt>
                <c:pt idx="2390">
                  <c:v>40312.293749999997</c:v>
                </c:pt>
                <c:pt idx="2391">
                  <c:v>40312.294444444444</c:v>
                </c:pt>
                <c:pt idx="2392">
                  <c:v>40312.295138888891</c:v>
                </c:pt>
                <c:pt idx="2393">
                  <c:v>40312.29583333333</c:v>
                </c:pt>
                <c:pt idx="2394">
                  <c:v>40312.296527777777</c:v>
                </c:pt>
                <c:pt idx="2395">
                  <c:v>40312.297222222223</c:v>
                </c:pt>
                <c:pt idx="2396">
                  <c:v>40312.29791666667</c:v>
                </c:pt>
                <c:pt idx="2397">
                  <c:v>40312.298611111109</c:v>
                </c:pt>
                <c:pt idx="2398">
                  <c:v>40312.299305555556</c:v>
                </c:pt>
                <c:pt idx="2399">
                  <c:v>40312.300000000003</c:v>
                </c:pt>
                <c:pt idx="2400">
                  <c:v>40312.300694444442</c:v>
                </c:pt>
                <c:pt idx="2401">
                  <c:v>40312.301388888889</c:v>
                </c:pt>
                <c:pt idx="2402">
                  <c:v>40312.302083333336</c:v>
                </c:pt>
                <c:pt idx="2403">
                  <c:v>40312.302777777775</c:v>
                </c:pt>
                <c:pt idx="2404">
                  <c:v>40312.303472222222</c:v>
                </c:pt>
                <c:pt idx="2405">
                  <c:v>40312.304166666669</c:v>
                </c:pt>
                <c:pt idx="2406">
                  <c:v>40312.304861111108</c:v>
                </c:pt>
                <c:pt idx="2407">
                  <c:v>40312.305555555555</c:v>
                </c:pt>
                <c:pt idx="2408">
                  <c:v>40312.306250000001</c:v>
                </c:pt>
                <c:pt idx="2409">
                  <c:v>40312.306944444441</c:v>
                </c:pt>
                <c:pt idx="2410">
                  <c:v>40312.307638888888</c:v>
                </c:pt>
                <c:pt idx="2411">
                  <c:v>40312.308333333334</c:v>
                </c:pt>
                <c:pt idx="2412">
                  <c:v>40312.309027777781</c:v>
                </c:pt>
                <c:pt idx="2413">
                  <c:v>40312.30972222222</c:v>
                </c:pt>
                <c:pt idx="2414">
                  <c:v>40312.310416666667</c:v>
                </c:pt>
                <c:pt idx="2415">
                  <c:v>40312.311111111114</c:v>
                </c:pt>
                <c:pt idx="2416">
                  <c:v>40312.311805555553</c:v>
                </c:pt>
                <c:pt idx="2417">
                  <c:v>40312.3125</c:v>
                </c:pt>
                <c:pt idx="2418">
                  <c:v>40312.313194444447</c:v>
                </c:pt>
                <c:pt idx="2419">
                  <c:v>40312.313888888886</c:v>
                </c:pt>
                <c:pt idx="2420">
                  <c:v>40312.314583333333</c:v>
                </c:pt>
                <c:pt idx="2421">
                  <c:v>40312.31527777778</c:v>
                </c:pt>
                <c:pt idx="2422">
                  <c:v>40312.315972222219</c:v>
                </c:pt>
                <c:pt idx="2423">
                  <c:v>40312.316666666666</c:v>
                </c:pt>
                <c:pt idx="2424">
                  <c:v>40312.317361111112</c:v>
                </c:pt>
                <c:pt idx="2425">
                  <c:v>40312.318055555559</c:v>
                </c:pt>
                <c:pt idx="2426">
                  <c:v>40312.318749999999</c:v>
                </c:pt>
                <c:pt idx="2427">
                  <c:v>40312.319444444445</c:v>
                </c:pt>
                <c:pt idx="2428">
                  <c:v>40312.320138888892</c:v>
                </c:pt>
                <c:pt idx="2429">
                  <c:v>40312.320833333331</c:v>
                </c:pt>
                <c:pt idx="2430">
                  <c:v>40312.321527777778</c:v>
                </c:pt>
                <c:pt idx="2431">
                  <c:v>40312.322222222225</c:v>
                </c:pt>
                <c:pt idx="2432">
                  <c:v>40312.322916666664</c:v>
                </c:pt>
                <c:pt idx="2433">
                  <c:v>40312.323611111111</c:v>
                </c:pt>
                <c:pt idx="2434">
                  <c:v>40312.324305555558</c:v>
                </c:pt>
                <c:pt idx="2435">
                  <c:v>40312.324999999997</c:v>
                </c:pt>
                <c:pt idx="2436">
                  <c:v>40312.325694444444</c:v>
                </c:pt>
                <c:pt idx="2437">
                  <c:v>40312.326388888891</c:v>
                </c:pt>
                <c:pt idx="2438">
                  <c:v>40312.32708333333</c:v>
                </c:pt>
                <c:pt idx="2439">
                  <c:v>40312.327777777777</c:v>
                </c:pt>
                <c:pt idx="2440">
                  <c:v>40312.328472222223</c:v>
                </c:pt>
                <c:pt idx="2441">
                  <c:v>40312.32916666667</c:v>
                </c:pt>
                <c:pt idx="2442">
                  <c:v>40312.329861111109</c:v>
                </c:pt>
                <c:pt idx="2443">
                  <c:v>40312.330555555556</c:v>
                </c:pt>
                <c:pt idx="2444">
                  <c:v>40312.331250000003</c:v>
                </c:pt>
                <c:pt idx="2445">
                  <c:v>40312.331944444442</c:v>
                </c:pt>
                <c:pt idx="2446">
                  <c:v>40312.332638888889</c:v>
                </c:pt>
                <c:pt idx="2447">
                  <c:v>40312.333333333336</c:v>
                </c:pt>
                <c:pt idx="2448">
                  <c:v>40312.334027777775</c:v>
                </c:pt>
                <c:pt idx="2449">
                  <c:v>40312.334722222222</c:v>
                </c:pt>
                <c:pt idx="2450">
                  <c:v>40312.335416666669</c:v>
                </c:pt>
                <c:pt idx="2451">
                  <c:v>40312.336111111108</c:v>
                </c:pt>
                <c:pt idx="2452">
                  <c:v>40312.336805555555</c:v>
                </c:pt>
                <c:pt idx="2453">
                  <c:v>40312.337500000001</c:v>
                </c:pt>
                <c:pt idx="2454">
                  <c:v>40312.338194444441</c:v>
                </c:pt>
                <c:pt idx="2455">
                  <c:v>40312.338888888888</c:v>
                </c:pt>
                <c:pt idx="2456">
                  <c:v>40312.339583333334</c:v>
                </c:pt>
                <c:pt idx="2457">
                  <c:v>40312.340277777781</c:v>
                </c:pt>
                <c:pt idx="2458">
                  <c:v>40312.34097222222</c:v>
                </c:pt>
                <c:pt idx="2459">
                  <c:v>40312.341666666667</c:v>
                </c:pt>
                <c:pt idx="2460">
                  <c:v>40312.342361111114</c:v>
                </c:pt>
                <c:pt idx="2461">
                  <c:v>40312.343055555553</c:v>
                </c:pt>
                <c:pt idx="2462">
                  <c:v>40312.34375</c:v>
                </c:pt>
                <c:pt idx="2463">
                  <c:v>40312.344444444447</c:v>
                </c:pt>
                <c:pt idx="2464">
                  <c:v>40312.345138888886</c:v>
                </c:pt>
                <c:pt idx="2465">
                  <c:v>40312.345833333333</c:v>
                </c:pt>
                <c:pt idx="2466">
                  <c:v>40312.34652777778</c:v>
                </c:pt>
                <c:pt idx="2467">
                  <c:v>40312.347222222219</c:v>
                </c:pt>
                <c:pt idx="2468">
                  <c:v>40312.347916666666</c:v>
                </c:pt>
                <c:pt idx="2469">
                  <c:v>40312.348611111112</c:v>
                </c:pt>
                <c:pt idx="2470">
                  <c:v>40312.349305555559</c:v>
                </c:pt>
                <c:pt idx="2471">
                  <c:v>40312.35</c:v>
                </c:pt>
                <c:pt idx="2472">
                  <c:v>40312.350694444445</c:v>
                </c:pt>
                <c:pt idx="2473">
                  <c:v>40312.351388888892</c:v>
                </c:pt>
                <c:pt idx="2474">
                  <c:v>40312.352083333331</c:v>
                </c:pt>
                <c:pt idx="2475">
                  <c:v>40312.352777777778</c:v>
                </c:pt>
                <c:pt idx="2476">
                  <c:v>40312.353472222225</c:v>
                </c:pt>
                <c:pt idx="2477">
                  <c:v>40312.354166666664</c:v>
                </c:pt>
                <c:pt idx="2478">
                  <c:v>40312.354861111111</c:v>
                </c:pt>
                <c:pt idx="2479">
                  <c:v>40312.355555555558</c:v>
                </c:pt>
                <c:pt idx="2480">
                  <c:v>40312.356249999997</c:v>
                </c:pt>
                <c:pt idx="2481">
                  <c:v>40312.356944444444</c:v>
                </c:pt>
                <c:pt idx="2482">
                  <c:v>40312.357638888891</c:v>
                </c:pt>
                <c:pt idx="2483">
                  <c:v>40312.35833333333</c:v>
                </c:pt>
                <c:pt idx="2484">
                  <c:v>40312.359027777777</c:v>
                </c:pt>
                <c:pt idx="2485">
                  <c:v>40312.359722222223</c:v>
                </c:pt>
                <c:pt idx="2486">
                  <c:v>40312.36041666667</c:v>
                </c:pt>
                <c:pt idx="2487">
                  <c:v>40312.361111111109</c:v>
                </c:pt>
                <c:pt idx="2488">
                  <c:v>40312.361805555556</c:v>
                </c:pt>
                <c:pt idx="2489">
                  <c:v>40312.362500000003</c:v>
                </c:pt>
                <c:pt idx="2490">
                  <c:v>40312.363194444442</c:v>
                </c:pt>
                <c:pt idx="2491">
                  <c:v>40312.363888888889</c:v>
                </c:pt>
                <c:pt idx="2492">
                  <c:v>40312.364583333336</c:v>
                </c:pt>
                <c:pt idx="2493">
                  <c:v>40312.365277777775</c:v>
                </c:pt>
                <c:pt idx="2494">
                  <c:v>40312.365972222222</c:v>
                </c:pt>
                <c:pt idx="2495">
                  <c:v>40312.366666666669</c:v>
                </c:pt>
                <c:pt idx="2496">
                  <c:v>40312.367361111108</c:v>
                </c:pt>
                <c:pt idx="2497">
                  <c:v>40312.368055555555</c:v>
                </c:pt>
                <c:pt idx="2498">
                  <c:v>40312.368750000001</c:v>
                </c:pt>
                <c:pt idx="2499">
                  <c:v>40312.369444444441</c:v>
                </c:pt>
                <c:pt idx="2500">
                  <c:v>40312.370138888888</c:v>
                </c:pt>
                <c:pt idx="2501">
                  <c:v>40312.370833333334</c:v>
                </c:pt>
                <c:pt idx="2502">
                  <c:v>40312.371527777781</c:v>
                </c:pt>
                <c:pt idx="2503">
                  <c:v>40312.37222222222</c:v>
                </c:pt>
                <c:pt idx="2504">
                  <c:v>40312.372916666667</c:v>
                </c:pt>
                <c:pt idx="2505">
                  <c:v>40312.373611111114</c:v>
                </c:pt>
                <c:pt idx="2506">
                  <c:v>40312.374305555553</c:v>
                </c:pt>
                <c:pt idx="2507">
                  <c:v>40312.375</c:v>
                </c:pt>
                <c:pt idx="2508">
                  <c:v>40312.375694444447</c:v>
                </c:pt>
                <c:pt idx="2509">
                  <c:v>40312.376388888886</c:v>
                </c:pt>
                <c:pt idx="2510">
                  <c:v>40312.377083333333</c:v>
                </c:pt>
                <c:pt idx="2511">
                  <c:v>40312.37777777778</c:v>
                </c:pt>
                <c:pt idx="2512">
                  <c:v>40312.378472222219</c:v>
                </c:pt>
                <c:pt idx="2513">
                  <c:v>40312.379166666666</c:v>
                </c:pt>
                <c:pt idx="2514">
                  <c:v>40312.379861111112</c:v>
                </c:pt>
                <c:pt idx="2515">
                  <c:v>40312.380555555559</c:v>
                </c:pt>
                <c:pt idx="2516">
                  <c:v>40312.381249999999</c:v>
                </c:pt>
                <c:pt idx="2517">
                  <c:v>40312.381944444445</c:v>
                </c:pt>
                <c:pt idx="2518">
                  <c:v>40312.382638888892</c:v>
                </c:pt>
                <c:pt idx="2519">
                  <c:v>40312.383333333331</c:v>
                </c:pt>
                <c:pt idx="2520">
                  <c:v>40312.384027777778</c:v>
                </c:pt>
                <c:pt idx="2521">
                  <c:v>40312.384722222225</c:v>
                </c:pt>
                <c:pt idx="2522">
                  <c:v>40312.385416666664</c:v>
                </c:pt>
                <c:pt idx="2523">
                  <c:v>40312.386111111111</c:v>
                </c:pt>
                <c:pt idx="2524">
                  <c:v>40312.386805555558</c:v>
                </c:pt>
                <c:pt idx="2525">
                  <c:v>40312.387499999997</c:v>
                </c:pt>
                <c:pt idx="2526">
                  <c:v>40312.388194444444</c:v>
                </c:pt>
                <c:pt idx="2527">
                  <c:v>40312.388888888891</c:v>
                </c:pt>
                <c:pt idx="2528">
                  <c:v>40312.38958333333</c:v>
                </c:pt>
                <c:pt idx="2529">
                  <c:v>40312.390277777777</c:v>
                </c:pt>
                <c:pt idx="2530">
                  <c:v>40312.390972222223</c:v>
                </c:pt>
                <c:pt idx="2531">
                  <c:v>40312.39166666667</c:v>
                </c:pt>
                <c:pt idx="2532">
                  <c:v>40312.392361111109</c:v>
                </c:pt>
                <c:pt idx="2533">
                  <c:v>40312.393055555556</c:v>
                </c:pt>
                <c:pt idx="2534">
                  <c:v>40312.393750000003</c:v>
                </c:pt>
                <c:pt idx="2535">
                  <c:v>40312.394444444442</c:v>
                </c:pt>
                <c:pt idx="2536">
                  <c:v>40312.395138888889</c:v>
                </c:pt>
                <c:pt idx="2537">
                  <c:v>40312.395833333336</c:v>
                </c:pt>
                <c:pt idx="2538">
                  <c:v>40312.396527777775</c:v>
                </c:pt>
                <c:pt idx="2539">
                  <c:v>40312.397222222222</c:v>
                </c:pt>
                <c:pt idx="2540">
                  <c:v>40312.397916666669</c:v>
                </c:pt>
                <c:pt idx="2541">
                  <c:v>40312.398611111108</c:v>
                </c:pt>
                <c:pt idx="2542">
                  <c:v>40312.399305555555</c:v>
                </c:pt>
                <c:pt idx="2543">
                  <c:v>40312.400000000001</c:v>
                </c:pt>
                <c:pt idx="2544">
                  <c:v>40312.400694444441</c:v>
                </c:pt>
                <c:pt idx="2545">
                  <c:v>40312.401388888888</c:v>
                </c:pt>
                <c:pt idx="2546">
                  <c:v>40312.402083333334</c:v>
                </c:pt>
                <c:pt idx="2547">
                  <c:v>40312.402777777781</c:v>
                </c:pt>
                <c:pt idx="2548">
                  <c:v>40312.40347222222</c:v>
                </c:pt>
                <c:pt idx="2549">
                  <c:v>40312.404166666667</c:v>
                </c:pt>
                <c:pt idx="2550">
                  <c:v>40312.404861111114</c:v>
                </c:pt>
                <c:pt idx="2551">
                  <c:v>40312.405555555553</c:v>
                </c:pt>
                <c:pt idx="2552">
                  <c:v>40312.40625</c:v>
                </c:pt>
                <c:pt idx="2553">
                  <c:v>40312.406944444447</c:v>
                </c:pt>
                <c:pt idx="2554">
                  <c:v>40312.407638888886</c:v>
                </c:pt>
                <c:pt idx="2555">
                  <c:v>40312.408333333333</c:v>
                </c:pt>
                <c:pt idx="2556">
                  <c:v>40312.40902777778</c:v>
                </c:pt>
                <c:pt idx="2557">
                  <c:v>40312.409722222219</c:v>
                </c:pt>
                <c:pt idx="2558">
                  <c:v>40312.410416666666</c:v>
                </c:pt>
                <c:pt idx="2559">
                  <c:v>40312.411111111112</c:v>
                </c:pt>
                <c:pt idx="2560">
                  <c:v>40312.411805555559</c:v>
                </c:pt>
                <c:pt idx="2561">
                  <c:v>40312.412499999999</c:v>
                </c:pt>
                <c:pt idx="2562">
                  <c:v>40312.413194444445</c:v>
                </c:pt>
                <c:pt idx="2563">
                  <c:v>40312.413888888892</c:v>
                </c:pt>
                <c:pt idx="2564">
                  <c:v>40312.414583333331</c:v>
                </c:pt>
                <c:pt idx="2565">
                  <c:v>40312.415277777778</c:v>
                </c:pt>
                <c:pt idx="2566">
                  <c:v>40312.415972222225</c:v>
                </c:pt>
                <c:pt idx="2567">
                  <c:v>40312.416666666664</c:v>
                </c:pt>
                <c:pt idx="2568">
                  <c:v>40312.417361111111</c:v>
                </c:pt>
                <c:pt idx="2569">
                  <c:v>40312.418055555558</c:v>
                </c:pt>
                <c:pt idx="2570">
                  <c:v>40312.418749999997</c:v>
                </c:pt>
                <c:pt idx="2571">
                  <c:v>40312.419444444444</c:v>
                </c:pt>
                <c:pt idx="2572">
                  <c:v>40312.420138888891</c:v>
                </c:pt>
                <c:pt idx="2573">
                  <c:v>40312.42083333333</c:v>
                </c:pt>
                <c:pt idx="2574">
                  <c:v>40312.421527777777</c:v>
                </c:pt>
                <c:pt idx="2575">
                  <c:v>40312.422222222223</c:v>
                </c:pt>
                <c:pt idx="2576">
                  <c:v>40312.42291666667</c:v>
                </c:pt>
                <c:pt idx="2577">
                  <c:v>40312.423611111109</c:v>
                </c:pt>
                <c:pt idx="2578">
                  <c:v>40312.424305555556</c:v>
                </c:pt>
                <c:pt idx="2579">
                  <c:v>40312.425000000003</c:v>
                </c:pt>
                <c:pt idx="2580">
                  <c:v>40312.425694444442</c:v>
                </c:pt>
                <c:pt idx="2581">
                  <c:v>40312.426388888889</c:v>
                </c:pt>
                <c:pt idx="2582">
                  <c:v>40312.427083333336</c:v>
                </c:pt>
                <c:pt idx="2583">
                  <c:v>40312.427777777775</c:v>
                </c:pt>
                <c:pt idx="2584">
                  <c:v>40312.428472222222</c:v>
                </c:pt>
                <c:pt idx="2585">
                  <c:v>40312.429166666669</c:v>
                </c:pt>
                <c:pt idx="2586">
                  <c:v>40312.429861111108</c:v>
                </c:pt>
                <c:pt idx="2587">
                  <c:v>40312.430555555555</c:v>
                </c:pt>
                <c:pt idx="2588">
                  <c:v>40312.431250000001</c:v>
                </c:pt>
                <c:pt idx="2589">
                  <c:v>40312.431944444441</c:v>
                </c:pt>
                <c:pt idx="2590">
                  <c:v>40312.432638888888</c:v>
                </c:pt>
                <c:pt idx="2591">
                  <c:v>40312.433333333334</c:v>
                </c:pt>
                <c:pt idx="2592">
                  <c:v>40312.434027777781</c:v>
                </c:pt>
                <c:pt idx="2593">
                  <c:v>40312.43472222222</c:v>
                </c:pt>
                <c:pt idx="2594">
                  <c:v>40312.435416666667</c:v>
                </c:pt>
                <c:pt idx="2595">
                  <c:v>40312.436111111114</c:v>
                </c:pt>
                <c:pt idx="2596">
                  <c:v>40312.436805555553</c:v>
                </c:pt>
                <c:pt idx="2597">
                  <c:v>40312.4375</c:v>
                </c:pt>
                <c:pt idx="2598">
                  <c:v>40312.438194444447</c:v>
                </c:pt>
                <c:pt idx="2599">
                  <c:v>40312.438888888886</c:v>
                </c:pt>
                <c:pt idx="2600">
                  <c:v>40312.439583333333</c:v>
                </c:pt>
                <c:pt idx="2601">
                  <c:v>40312.44027777778</c:v>
                </c:pt>
                <c:pt idx="2602">
                  <c:v>40312.440972222219</c:v>
                </c:pt>
                <c:pt idx="2603">
                  <c:v>40312.441666666666</c:v>
                </c:pt>
                <c:pt idx="2604">
                  <c:v>40312.442361111112</c:v>
                </c:pt>
                <c:pt idx="2605">
                  <c:v>40312.443055555559</c:v>
                </c:pt>
                <c:pt idx="2606">
                  <c:v>40312.443749999999</c:v>
                </c:pt>
                <c:pt idx="2607">
                  <c:v>40312.444444444445</c:v>
                </c:pt>
                <c:pt idx="2608">
                  <c:v>40312.445138888892</c:v>
                </c:pt>
                <c:pt idx="2609">
                  <c:v>40312.445833333331</c:v>
                </c:pt>
                <c:pt idx="2610">
                  <c:v>40312.446527777778</c:v>
                </c:pt>
                <c:pt idx="2611">
                  <c:v>40312.447222222225</c:v>
                </c:pt>
                <c:pt idx="2612">
                  <c:v>40312.447916666664</c:v>
                </c:pt>
                <c:pt idx="2613">
                  <c:v>40312.448611111111</c:v>
                </c:pt>
                <c:pt idx="2614">
                  <c:v>40312.449305555558</c:v>
                </c:pt>
                <c:pt idx="2615">
                  <c:v>40312.449999999997</c:v>
                </c:pt>
                <c:pt idx="2616">
                  <c:v>40312.450694444444</c:v>
                </c:pt>
                <c:pt idx="2617">
                  <c:v>40312.451388888891</c:v>
                </c:pt>
                <c:pt idx="2618">
                  <c:v>40312.45208333333</c:v>
                </c:pt>
                <c:pt idx="2619">
                  <c:v>40312.452777777777</c:v>
                </c:pt>
                <c:pt idx="2620">
                  <c:v>40312.453472222223</c:v>
                </c:pt>
                <c:pt idx="2621">
                  <c:v>40312.45416666667</c:v>
                </c:pt>
                <c:pt idx="2622">
                  <c:v>40312.454861111109</c:v>
                </c:pt>
                <c:pt idx="2623">
                  <c:v>40312.455555555556</c:v>
                </c:pt>
                <c:pt idx="2624">
                  <c:v>40312.456250000003</c:v>
                </c:pt>
                <c:pt idx="2625">
                  <c:v>40312.456944444442</c:v>
                </c:pt>
                <c:pt idx="2626">
                  <c:v>40312.457638888889</c:v>
                </c:pt>
                <c:pt idx="2627">
                  <c:v>40312.458333333336</c:v>
                </c:pt>
                <c:pt idx="2628">
                  <c:v>40312.459027777775</c:v>
                </c:pt>
                <c:pt idx="2629">
                  <c:v>40312.459722222222</c:v>
                </c:pt>
                <c:pt idx="2630">
                  <c:v>40312.460416666669</c:v>
                </c:pt>
                <c:pt idx="2631">
                  <c:v>40312.461111111108</c:v>
                </c:pt>
                <c:pt idx="2632">
                  <c:v>40312.461805555555</c:v>
                </c:pt>
                <c:pt idx="2633">
                  <c:v>40312.462500000001</c:v>
                </c:pt>
                <c:pt idx="2634">
                  <c:v>40312.463194444441</c:v>
                </c:pt>
                <c:pt idx="2635">
                  <c:v>40312.463888888888</c:v>
                </c:pt>
                <c:pt idx="2636">
                  <c:v>40312.464583333334</c:v>
                </c:pt>
                <c:pt idx="2637">
                  <c:v>40312.465277777781</c:v>
                </c:pt>
                <c:pt idx="2638">
                  <c:v>40312.46597222222</c:v>
                </c:pt>
                <c:pt idx="2639">
                  <c:v>40312.466666666667</c:v>
                </c:pt>
                <c:pt idx="2640">
                  <c:v>40312.467361111114</c:v>
                </c:pt>
                <c:pt idx="2641">
                  <c:v>40312.468055555553</c:v>
                </c:pt>
                <c:pt idx="2642">
                  <c:v>40312.46875</c:v>
                </c:pt>
                <c:pt idx="2643">
                  <c:v>40312.469444444447</c:v>
                </c:pt>
                <c:pt idx="2644">
                  <c:v>40312.470138888886</c:v>
                </c:pt>
                <c:pt idx="2645">
                  <c:v>40312.470833333333</c:v>
                </c:pt>
                <c:pt idx="2646">
                  <c:v>40312.47152777778</c:v>
                </c:pt>
                <c:pt idx="2647">
                  <c:v>40312.472222222219</c:v>
                </c:pt>
                <c:pt idx="2648">
                  <c:v>40312.472916666666</c:v>
                </c:pt>
                <c:pt idx="2649">
                  <c:v>40312.473611111112</c:v>
                </c:pt>
                <c:pt idx="2650">
                  <c:v>40312.474305555559</c:v>
                </c:pt>
                <c:pt idx="2651">
                  <c:v>40312.474999999999</c:v>
                </c:pt>
                <c:pt idx="2652">
                  <c:v>40312.475694444445</c:v>
                </c:pt>
                <c:pt idx="2653">
                  <c:v>40312.476388888892</c:v>
                </c:pt>
                <c:pt idx="2654">
                  <c:v>40312.477083333331</c:v>
                </c:pt>
                <c:pt idx="2655">
                  <c:v>40312.477777777778</c:v>
                </c:pt>
                <c:pt idx="2656">
                  <c:v>40312.478472222225</c:v>
                </c:pt>
                <c:pt idx="2657">
                  <c:v>40312.479166666664</c:v>
                </c:pt>
                <c:pt idx="2658">
                  <c:v>40312.479861111111</c:v>
                </c:pt>
                <c:pt idx="2659">
                  <c:v>40312.480555555558</c:v>
                </c:pt>
                <c:pt idx="2660">
                  <c:v>40312.481249999997</c:v>
                </c:pt>
                <c:pt idx="2661">
                  <c:v>40312.481944444444</c:v>
                </c:pt>
                <c:pt idx="2662">
                  <c:v>40312.482638888891</c:v>
                </c:pt>
                <c:pt idx="2663">
                  <c:v>40312.48333333333</c:v>
                </c:pt>
                <c:pt idx="2664">
                  <c:v>40312.484027777777</c:v>
                </c:pt>
                <c:pt idx="2665">
                  <c:v>40312.484722222223</c:v>
                </c:pt>
                <c:pt idx="2666">
                  <c:v>40312.48541666667</c:v>
                </c:pt>
                <c:pt idx="2667">
                  <c:v>40312.486111111109</c:v>
                </c:pt>
                <c:pt idx="2668">
                  <c:v>40312.486805555556</c:v>
                </c:pt>
                <c:pt idx="2669">
                  <c:v>40312.487500000003</c:v>
                </c:pt>
                <c:pt idx="2670">
                  <c:v>40312.488194444442</c:v>
                </c:pt>
                <c:pt idx="2671">
                  <c:v>40312.488888888889</c:v>
                </c:pt>
                <c:pt idx="2672">
                  <c:v>40312.489583333336</c:v>
                </c:pt>
                <c:pt idx="2673">
                  <c:v>40312.490277777775</c:v>
                </c:pt>
                <c:pt idx="2674">
                  <c:v>40312.490972222222</c:v>
                </c:pt>
                <c:pt idx="2675">
                  <c:v>40312.491666666669</c:v>
                </c:pt>
                <c:pt idx="2676">
                  <c:v>40312.492361111108</c:v>
                </c:pt>
                <c:pt idx="2677">
                  <c:v>40312.493055555555</c:v>
                </c:pt>
                <c:pt idx="2678">
                  <c:v>40312.493750000001</c:v>
                </c:pt>
                <c:pt idx="2679">
                  <c:v>40312.494444444441</c:v>
                </c:pt>
                <c:pt idx="2680">
                  <c:v>40312.495138888888</c:v>
                </c:pt>
                <c:pt idx="2681">
                  <c:v>40312.495833333334</c:v>
                </c:pt>
                <c:pt idx="2682">
                  <c:v>40312.496527777781</c:v>
                </c:pt>
                <c:pt idx="2683">
                  <c:v>40312.49722222222</c:v>
                </c:pt>
                <c:pt idx="2684">
                  <c:v>40312.497916666667</c:v>
                </c:pt>
                <c:pt idx="2685">
                  <c:v>40312.498611111114</c:v>
                </c:pt>
                <c:pt idx="2686">
                  <c:v>40312.499305555553</c:v>
                </c:pt>
                <c:pt idx="2687">
                  <c:v>40312.5</c:v>
                </c:pt>
                <c:pt idx="2688">
                  <c:v>40312.500694444447</c:v>
                </c:pt>
                <c:pt idx="2689">
                  <c:v>40312.501388888886</c:v>
                </c:pt>
                <c:pt idx="2690">
                  <c:v>40312.502083333333</c:v>
                </c:pt>
                <c:pt idx="2691">
                  <c:v>40312.50277777778</c:v>
                </c:pt>
                <c:pt idx="2692">
                  <c:v>40312.503472222219</c:v>
                </c:pt>
                <c:pt idx="2693">
                  <c:v>40312.504166666666</c:v>
                </c:pt>
                <c:pt idx="2694">
                  <c:v>40312.504861111112</c:v>
                </c:pt>
                <c:pt idx="2695">
                  <c:v>40312.505555555559</c:v>
                </c:pt>
                <c:pt idx="2696">
                  <c:v>40312.506249999999</c:v>
                </c:pt>
                <c:pt idx="2697">
                  <c:v>40312.506944444445</c:v>
                </c:pt>
                <c:pt idx="2698">
                  <c:v>40312.507638888892</c:v>
                </c:pt>
                <c:pt idx="2699">
                  <c:v>40312.508333333331</c:v>
                </c:pt>
                <c:pt idx="2700">
                  <c:v>40312.509027777778</c:v>
                </c:pt>
                <c:pt idx="2701">
                  <c:v>40312.509722222225</c:v>
                </c:pt>
                <c:pt idx="2702">
                  <c:v>40312.510416666664</c:v>
                </c:pt>
                <c:pt idx="2703">
                  <c:v>40312.511111111111</c:v>
                </c:pt>
                <c:pt idx="2704">
                  <c:v>40312.511805555558</c:v>
                </c:pt>
                <c:pt idx="2705">
                  <c:v>40312.512499999997</c:v>
                </c:pt>
                <c:pt idx="2706">
                  <c:v>40312.513194444444</c:v>
                </c:pt>
                <c:pt idx="2707">
                  <c:v>40312.513888888891</c:v>
                </c:pt>
                <c:pt idx="2708">
                  <c:v>40312.51458333333</c:v>
                </c:pt>
                <c:pt idx="2709">
                  <c:v>40312.515277777777</c:v>
                </c:pt>
                <c:pt idx="2710">
                  <c:v>40312.515972222223</c:v>
                </c:pt>
                <c:pt idx="2711">
                  <c:v>40312.51666666667</c:v>
                </c:pt>
                <c:pt idx="2712">
                  <c:v>40312.517361111109</c:v>
                </c:pt>
                <c:pt idx="2713">
                  <c:v>40312.518055555556</c:v>
                </c:pt>
                <c:pt idx="2714">
                  <c:v>40312.518750000003</c:v>
                </c:pt>
                <c:pt idx="2715">
                  <c:v>40312.519444444442</c:v>
                </c:pt>
                <c:pt idx="2716">
                  <c:v>40312.520138888889</c:v>
                </c:pt>
                <c:pt idx="2717">
                  <c:v>40312.520833333336</c:v>
                </c:pt>
                <c:pt idx="2718">
                  <c:v>40312.521527777775</c:v>
                </c:pt>
                <c:pt idx="2719">
                  <c:v>40312.522222222222</c:v>
                </c:pt>
                <c:pt idx="2720">
                  <c:v>40312.522916666669</c:v>
                </c:pt>
                <c:pt idx="2721">
                  <c:v>40312.523611111108</c:v>
                </c:pt>
                <c:pt idx="2722">
                  <c:v>40312.524305555555</c:v>
                </c:pt>
                <c:pt idx="2723">
                  <c:v>40312.525000000001</c:v>
                </c:pt>
                <c:pt idx="2724">
                  <c:v>40312.525694444441</c:v>
                </c:pt>
                <c:pt idx="2725">
                  <c:v>40312.526388888888</c:v>
                </c:pt>
                <c:pt idx="2726">
                  <c:v>40312.527083333334</c:v>
                </c:pt>
                <c:pt idx="2727">
                  <c:v>40312.527777777781</c:v>
                </c:pt>
                <c:pt idx="2728">
                  <c:v>40312.52847222222</c:v>
                </c:pt>
                <c:pt idx="2729">
                  <c:v>40312.529166666667</c:v>
                </c:pt>
                <c:pt idx="2730">
                  <c:v>40312.529861111114</c:v>
                </c:pt>
                <c:pt idx="2731">
                  <c:v>40312.530555555553</c:v>
                </c:pt>
                <c:pt idx="2732">
                  <c:v>40312.53125</c:v>
                </c:pt>
                <c:pt idx="2733">
                  <c:v>40312.531944444447</c:v>
                </c:pt>
                <c:pt idx="2734">
                  <c:v>40312.532638888886</c:v>
                </c:pt>
                <c:pt idx="2735">
                  <c:v>40312.533333333333</c:v>
                </c:pt>
                <c:pt idx="2736">
                  <c:v>40312.53402777778</c:v>
                </c:pt>
                <c:pt idx="2737">
                  <c:v>40312.534722222219</c:v>
                </c:pt>
                <c:pt idx="2738">
                  <c:v>40312.535416666666</c:v>
                </c:pt>
                <c:pt idx="2739">
                  <c:v>40312.536111111112</c:v>
                </c:pt>
                <c:pt idx="2740">
                  <c:v>40312.536805555559</c:v>
                </c:pt>
                <c:pt idx="2741">
                  <c:v>40312.537499999999</c:v>
                </c:pt>
                <c:pt idx="2742">
                  <c:v>40312.538194444445</c:v>
                </c:pt>
                <c:pt idx="2743">
                  <c:v>40312.538888888892</c:v>
                </c:pt>
                <c:pt idx="2744">
                  <c:v>40312.539583333331</c:v>
                </c:pt>
                <c:pt idx="2745">
                  <c:v>40312.540277777778</c:v>
                </c:pt>
                <c:pt idx="2746">
                  <c:v>40312.540972222225</c:v>
                </c:pt>
                <c:pt idx="2747">
                  <c:v>40312.541666666664</c:v>
                </c:pt>
                <c:pt idx="2748">
                  <c:v>40312.542361111111</c:v>
                </c:pt>
                <c:pt idx="2749">
                  <c:v>40312.543055555558</c:v>
                </c:pt>
                <c:pt idx="2750">
                  <c:v>40312.543749999997</c:v>
                </c:pt>
                <c:pt idx="2751">
                  <c:v>40312.544444444444</c:v>
                </c:pt>
                <c:pt idx="2752">
                  <c:v>40312.545138888891</c:v>
                </c:pt>
                <c:pt idx="2753">
                  <c:v>40312.54583333333</c:v>
                </c:pt>
                <c:pt idx="2754">
                  <c:v>40312.546527777777</c:v>
                </c:pt>
                <c:pt idx="2755">
                  <c:v>40312.547222222223</c:v>
                </c:pt>
                <c:pt idx="2756">
                  <c:v>40312.54791666667</c:v>
                </c:pt>
                <c:pt idx="2757">
                  <c:v>40312.548611111109</c:v>
                </c:pt>
                <c:pt idx="2758">
                  <c:v>40312.549305555556</c:v>
                </c:pt>
                <c:pt idx="2759">
                  <c:v>40312.550000000003</c:v>
                </c:pt>
                <c:pt idx="2760">
                  <c:v>40312.550694444442</c:v>
                </c:pt>
                <c:pt idx="2761">
                  <c:v>40312.551388888889</c:v>
                </c:pt>
                <c:pt idx="2762">
                  <c:v>40312.552083333336</c:v>
                </c:pt>
                <c:pt idx="2763">
                  <c:v>40312.552777777775</c:v>
                </c:pt>
                <c:pt idx="2764">
                  <c:v>40312.553472222222</c:v>
                </c:pt>
                <c:pt idx="2765">
                  <c:v>40312.554166666669</c:v>
                </c:pt>
                <c:pt idx="2766">
                  <c:v>40312.554861111108</c:v>
                </c:pt>
                <c:pt idx="2767">
                  <c:v>40312.555555555555</c:v>
                </c:pt>
                <c:pt idx="2768">
                  <c:v>40312.556250000001</c:v>
                </c:pt>
                <c:pt idx="2769">
                  <c:v>40312.556944444441</c:v>
                </c:pt>
                <c:pt idx="2770">
                  <c:v>40312.557638888888</c:v>
                </c:pt>
                <c:pt idx="2771">
                  <c:v>40312.558333333334</c:v>
                </c:pt>
                <c:pt idx="2772">
                  <c:v>40312.559027777781</c:v>
                </c:pt>
                <c:pt idx="2773">
                  <c:v>40312.55972222222</c:v>
                </c:pt>
                <c:pt idx="2774">
                  <c:v>40312.560416666667</c:v>
                </c:pt>
                <c:pt idx="2775">
                  <c:v>40312.561111111114</c:v>
                </c:pt>
                <c:pt idx="2776">
                  <c:v>40312.561805555553</c:v>
                </c:pt>
                <c:pt idx="2777">
                  <c:v>40312.5625</c:v>
                </c:pt>
                <c:pt idx="2778">
                  <c:v>40312.563194444447</c:v>
                </c:pt>
                <c:pt idx="2779">
                  <c:v>40312.563888888886</c:v>
                </c:pt>
                <c:pt idx="2780">
                  <c:v>40312.564583333333</c:v>
                </c:pt>
                <c:pt idx="2781">
                  <c:v>40312.56527777778</c:v>
                </c:pt>
                <c:pt idx="2782">
                  <c:v>40312.565972222219</c:v>
                </c:pt>
                <c:pt idx="2783">
                  <c:v>40312.566666666666</c:v>
                </c:pt>
                <c:pt idx="2784">
                  <c:v>40312.567361111112</c:v>
                </c:pt>
                <c:pt idx="2785">
                  <c:v>40312.568055555559</c:v>
                </c:pt>
                <c:pt idx="2786">
                  <c:v>40312.568749999999</c:v>
                </c:pt>
                <c:pt idx="2787">
                  <c:v>40312.569444444445</c:v>
                </c:pt>
                <c:pt idx="2788">
                  <c:v>40312.570138888892</c:v>
                </c:pt>
                <c:pt idx="2789">
                  <c:v>40312.570833333331</c:v>
                </c:pt>
                <c:pt idx="2790">
                  <c:v>40312.571527777778</c:v>
                </c:pt>
                <c:pt idx="2791">
                  <c:v>40312.572222222225</c:v>
                </c:pt>
                <c:pt idx="2792">
                  <c:v>40312.572916666664</c:v>
                </c:pt>
                <c:pt idx="2793">
                  <c:v>40312.573611111111</c:v>
                </c:pt>
                <c:pt idx="2794">
                  <c:v>40312.574305555558</c:v>
                </c:pt>
                <c:pt idx="2795">
                  <c:v>40312.574999999997</c:v>
                </c:pt>
                <c:pt idx="2796">
                  <c:v>40312.575694444444</c:v>
                </c:pt>
                <c:pt idx="2797">
                  <c:v>40312.576388888891</c:v>
                </c:pt>
                <c:pt idx="2798">
                  <c:v>40312.57708333333</c:v>
                </c:pt>
                <c:pt idx="2799">
                  <c:v>40312.577777777777</c:v>
                </c:pt>
                <c:pt idx="2800">
                  <c:v>40312.578472222223</c:v>
                </c:pt>
                <c:pt idx="2801">
                  <c:v>40312.57916666667</c:v>
                </c:pt>
                <c:pt idx="2802">
                  <c:v>40312.579861111109</c:v>
                </c:pt>
                <c:pt idx="2803">
                  <c:v>40312.580555555556</c:v>
                </c:pt>
                <c:pt idx="2804">
                  <c:v>40312.581250000003</c:v>
                </c:pt>
                <c:pt idx="2805">
                  <c:v>40312.581944444442</c:v>
                </c:pt>
                <c:pt idx="2806">
                  <c:v>40312.582638888889</c:v>
                </c:pt>
                <c:pt idx="2807">
                  <c:v>40312.583333333336</c:v>
                </c:pt>
                <c:pt idx="2808">
                  <c:v>40312.584027777775</c:v>
                </c:pt>
                <c:pt idx="2809">
                  <c:v>40312.584722222222</c:v>
                </c:pt>
                <c:pt idx="2810">
                  <c:v>40312.585416666669</c:v>
                </c:pt>
                <c:pt idx="2811">
                  <c:v>40312.586111111108</c:v>
                </c:pt>
                <c:pt idx="2812">
                  <c:v>40312.586805555555</c:v>
                </c:pt>
                <c:pt idx="2813">
                  <c:v>40312.587500000001</c:v>
                </c:pt>
                <c:pt idx="2814">
                  <c:v>40312.588194444441</c:v>
                </c:pt>
                <c:pt idx="2815">
                  <c:v>40312.588888888888</c:v>
                </c:pt>
                <c:pt idx="2816">
                  <c:v>40312.589583333334</c:v>
                </c:pt>
                <c:pt idx="2817">
                  <c:v>40312.590277777781</c:v>
                </c:pt>
                <c:pt idx="2818">
                  <c:v>40312.59097222222</c:v>
                </c:pt>
                <c:pt idx="2819">
                  <c:v>40312.591666666667</c:v>
                </c:pt>
                <c:pt idx="2820">
                  <c:v>40312.592361111114</c:v>
                </c:pt>
                <c:pt idx="2821">
                  <c:v>40312.593055555553</c:v>
                </c:pt>
                <c:pt idx="2822">
                  <c:v>40312.59375</c:v>
                </c:pt>
                <c:pt idx="2823">
                  <c:v>40312.594444444447</c:v>
                </c:pt>
                <c:pt idx="2824">
                  <c:v>40312.595138888886</c:v>
                </c:pt>
                <c:pt idx="2825">
                  <c:v>40312.595833333333</c:v>
                </c:pt>
                <c:pt idx="2826">
                  <c:v>40312.59652777778</c:v>
                </c:pt>
                <c:pt idx="2827">
                  <c:v>40312.597222222219</c:v>
                </c:pt>
                <c:pt idx="2828">
                  <c:v>40312.597916666666</c:v>
                </c:pt>
                <c:pt idx="2829">
                  <c:v>40312.598611111112</c:v>
                </c:pt>
                <c:pt idx="2830">
                  <c:v>40312.599305555559</c:v>
                </c:pt>
                <c:pt idx="2831">
                  <c:v>40312.6</c:v>
                </c:pt>
                <c:pt idx="2832">
                  <c:v>40312.600694444445</c:v>
                </c:pt>
                <c:pt idx="2833">
                  <c:v>40312.601388888892</c:v>
                </c:pt>
                <c:pt idx="2834">
                  <c:v>40312.602083333331</c:v>
                </c:pt>
                <c:pt idx="2835">
                  <c:v>40312.602777777778</c:v>
                </c:pt>
                <c:pt idx="2836">
                  <c:v>40312.603472222225</c:v>
                </c:pt>
                <c:pt idx="2837">
                  <c:v>40312.604166666664</c:v>
                </c:pt>
                <c:pt idx="2838">
                  <c:v>40312.604861111111</c:v>
                </c:pt>
                <c:pt idx="2839">
                  <c:v>40312.605555555558</c:v>
                </c:pt>
                <c:pt idx="2840">
                  <c:v>40312.606249999997</c:v>
                </c:pt>
                <c:pt idx="2841">
                  <c:v>40312.606944444444</c:v>
                </c:pt>
                <c:pt idx="2842">
                  <c:v>40312.607638888891</c:v>
                </c:pt>
                <c:pt idx="2843">
                  <c:v>40312.60833333333</c:v>
                </c:pt>
                <c:pt idx="2844">
                  <c:v>40312.609027777777</c:v>
                </c:pt>
                <c:pt idx="2845">
                  <c:v>40312.609722222223</c:v>
                </c:pt>
                <c:pt idx="2846">
                  <c:v>40312.61041666667</c:v>
                </c:pt>
                <c:pt idx="2847">
                  <c:v>40312.611111111109</c:v>
                </c:pt>
                <c:pt idx="2848">
                  <c:v>40312.611805555556</c:v>
                </c:pt>
                <c:pt idx="2849">
                  <c:v>40312.612500000003</c:v>
                </c:pt>
                <c:pt idx="2850">
                  <c:v>40312.613194444442</c:v>
                </c:pt>
                <c:pt idx="2851">
                  <c:v>40312.613888888889</c:v>
                </c:pt>
                <c:pt idx="2852">
                  <c:v>40312.614583333336</c:v>
                </c:pt>
                <c:pt idx="2853">
                  <c:v>40312.615277777775</c:v>
                </c:pt>
                <c:pt idx="2854">
                  <c:v>40312.615972222222</c:v>
                </c:pt>
                <c:pt idx="2855">
                  <c:v>40312.616666666669</c:v>
                </c:pt>
                <c:pt idx="2856">
                  <c:v>40312.617361111108</c:v>
                </c:pt>
                <c:pt idx="2857">
                  <c:v>40312.618055555555</c:v>
                </c:pt>
                <c:pt idx="2858">
                  <c:v>40312.618750000001</c:v>
                </c:pt>
                <c:pt idx="2859">
                  <c:v>40312.619444444441</c:v>
                </c:pt>
                <c:pt idx="2860">
                  <c:v>40312.620138888888</c:v>
                </c:pt>
                <c:pt idx="2861">
                  <c:v>40312.620833333334</c:v>
                </c:pt>
                <c:pt idx="2862">
                  <c:v>40312.621527777781</c:v>
                </c:pt>
                <c:pt idx="2863">
                  <c:v>40312.62222222222</c:v>
                </c:pt>
                <c:pt idx="2864">
                  <c:v>40312.622916666667</c:v>
                </c:pt>
                <c:pt idx="2865">
                  <c:v>40312.623611111114</c:v>
                </c:pt>
                <c:pt idx="2866">
                  <c:v>40312.624305555553</c:v>
                </c:pt>
                <c:pt idx="2867">
                  <c:v>40312.625</c:v>
                </c:pt>
                <c:pt idx="2868">
                  <c:v>40312.625694444447</c:v>
                </c:pt>
                <c:pt idx="2869">
                  <c:v>40312.626388888886</c:v>
                </c:pt>
                <c:pt idx="2870">
                  <c:v>40312.627083333333</c:v>
                </c:pt>
                <c:pt idx="2871">
                  <c:v>40312.62777777778</c:v>
                </c:pt>
                <c:pt idx="2872">
                  <c:v>40312.628472222219</c:v>
                </c:pt>
                <c:pt idx="2873">
                  <c:v>40312.629166666666</c:v>
                </c:pt>
                <c:pt idx="2874">
                  <c:v>40312.629861111112</c:v>
                </c:pt>
                <c:pt idx="2875">
                  <c:v>40312.630555555559</c:v>
                </c:pt>
                <c:pt idx="2876">
                  <c:v>40312.631249999999</c:v>
                </c:pt>
                <c:pt idx="2877">
                  <c:v>40312.631944444445</c:v>
                </c:pt>
                <c:pt idx="2878">
                  <c:v>40312.632638888892</c:v>
                </c:pt>
                <c:pt idx="2879">
                  <c:v>40312.633333333331</c:v>
                </c:pt>
                <c:pt idx="2880">
                  <c:v>40312.634027777778</c:v>
                </c:pt>
                <c:pt idx="2881">
                  <c:v>40312.634722222225</c:v>
                </c:pt>
                <c:pt idx="2882">
                  <c:v>40312.635416666664</c:v>
                </c:pt>
                <c:pt idx="2883">
                  <c:v>40312.636111111111</c:v>
                </c:pt>
                <c:pt idx="2884">
                  <c:v>40312.636805555558</c:v>
                </c:pt>
                <c:pt idx="2885">
                  <c:v>40312.637499999997</c:v>
                </c:pt>
                <c:pt idx="2886">
                  <c:v>40312.638194444444</c:v>
                </c:pt>
                <c:pt idx="2887">
                  <c:v>40312.638888888891</c:v>
                </c:pt>
                <c:pt idx="2888">
                  <c:v>40312.63958333333</c:v>
                </c:pt>
                <c:pt idx="2889">
                  <c:v>40312.640277777777</c:v>
                </c:pt>
                <c:pt idx="2890">
                  <c:v>40312.640972222223</c:v>
                </c:pt>
                <c:pt idx="2891">
                  <c:v>40312.64166666667</c:v>
                </c:pt>
                <c:pt idx="2892">
                  <c:v>40312.642361111109</c:v>
                </c:pt>
                <c:pt idx="2893">
                  <c:v>40312.643055555556</c:v>
                </c:pt>
                <c:pt idx="2894">
                  <c:v>40312.643750000003</c:v>
                </c:pt>
                <c:pt idx="2895">
                  <c:v>40312.644444444442</c:v>
                </c:pt>
                <c:pt idx="2896">
                  <c:v>40312.645138888889</c:v>
                </c:pt>
                <c:pt idx="2897">
                  <c:v>40312.645833333336</c:v>
                </c:pt>
                <c:pt idx="2898">
                  <c:v>40312.646527777775</c:v>
                </c:pt>
                <c:pt idx="2899">
                  <c:v>40312.647222222222</c:v>
                </c:pt>
                <c:pt idx="2900">
                  <c:v>40312.647916666669</c:v>
                </c:pt>
                <c:pt idx="2901">
                  <c:v>40312.648611111108</c:v>
                </c:pt>
                <c:pt idx="2902">
                  <c:v>40312.649305555555</c:v>
                </c:pt>
                <c:pt idx="2903">
                  <c:v>40312.65</c:v>
                </c:pt>
                <c:pt idx="2904">
                  <c:v>40312.650694444441</c:v>
                </c:pt>
                <c:pt idx="2905">
                  <c:v>40312.651388888888</c:v>
                </c:pt>
                <c:pt idx="2906">
                  <c:v>40312.652083333334</c:v>
                </c:pt>
                <c:pt idx="2907">
                  <c:v>40312.652777777781</c:v>
                </c:pt>
                <c:pt idx="2908">
                  <c:v>40312.65347222222</c:v>
                </c:pt>
                <c:pt idx="2909">
                  <c:v>40312.654166666667</c:v>
                </c:pt>
                <c:pt idx="2910">
                  <c:v>40312.654861111114</c:v>
                </c:pt>
                <c:pt idx="2911">
                  <c:v>40312.655555555553</c:v>
                </c:pt>
                <c:pt idx="2912">
                  <c:v>40312.65625</c:v>
                </c:pt>
                <c:pt idx="2913">
                  <c:v>40312.656944444447</c:v>
                </c:pt>
                <c:pt idx="2914">
                  <c:v>40312.657638888886</c:v>
                </c:pt>
                <c:pt idx="2915">
                  <c:v>40312.658333333333</c:v>
                </c:pt>
                <c:pt idx="2916">
                  <c:v>40312.65902777778</c:v>
                </c:pt>
                <c:pt idx="2917">
                  <c:v>40312.659722222219</c:v>
                </c:pt>
                <c:pt idx="2918">
                  <c:v>40312.660416666666</c:v>
                </c:pt>
                <c:pt idx="2919">
                  <c:v>40312.661111111112</c:v>
                </c:pt>
                <c:pt idx="2920">
                  <c:v>40312.661805555559</c:v>
                </c:pt>
                <c:pt idx="2921">
                  <c:v>40312.662499999999</c:v>
                </c:pt>
                <c:pt idx="2922">
                  <c:v>40312.663194444445</c:v>
                </c:pt>
                <c:pt idx="2923">
                  <c:v>40312.663888888892</c:v>
                </c:pt>
                <c:pt idx="2924">
                  <c:v>40312.664583333331</c:v>
                </c:pt>
                <c:pt idx="2925">
                  <c:v>40312.665277777778</c:v>
                </c:pt>
                <c:pt idx="2926">
                  <c:v>40312.665972222225</c:v>
                </c:pt>
                <c:pt idx="2927">
                  <c:v>40312.666666666664</c:v>
                </c:pt>
                <c:pt idx="2928">
                  <c:v>40312.667361111111</c:v>
                </c:pt>
                <c:pt idx="2929">
                  <c:v>40312.668055555558</c:v>
                </c:pt>
                <c:pt idx="2930">
                  <c:v>40312.668749999997</c:v>
                </c:pt>
                <c:pt idx="2931">
                  <c:v>40312.669444444444</c:v>
                </c:pt>
                <c:pt idx="2932">
                  <c:v>40312.670138888891</c:v>
                </c:pt>
                <c:pt idx="2933">
                  <c:v>40312.67083333333</c:v>
                </c:pt>
                <c:pt idx="2934">
                  <c:v>40312.671527777777</c:v>
                </c:pt>
                <c:pt idx="2935">
                  <c:v>40312.672222222223</c:v>
                </c:pt>
                <c:pt idx="2936">
                  <c:v>40312.67291666667</c:v>
                </c:pt>
                <c:pt idx="2937">
                  <c:v>40312.673611111109</c:v>
                </c:pt>
                <c:pt idx="2938">
                  <c:v>40312.674305555556</c:v>
                </c:pt>
                <c:pt idx="2939">
                  <c:v>40312.675000000003</c:v>
                </c:pt>
                <c:pt idx="2940">
                  <c:v>40312.675694444442</c:v>
                </c:pt>
                <c:pt idx="2941">
                  <c:v>40312.676388888889</c:v>
                </c:pt>
                <c:pt idx="2942">
                  <c:v>40312.677083333336</c:v>
                </c:pt>
                <c:pt idx="2943">
                  <c:v>40312.677777777775</c:v>
                </c:pt>
                <c:pt idx="2944">
                  <c:v>40312.678472222222</c:v>
                </c:pt>
                <c:pt idx="2945">
                  <c:v>40312.679166666669</c:v>
                </c:pt>
                <c:pt idx="2946">
                  <c:v>40312.679861111108</c:v>
                </c:pt>
                <c:pt idx="2947">
                  <c:v>40312.680555555555</c:v>
                </c:pt>
                <c:pt idx="2948">
                  <c:v>40312.681250000001</c:v>
                </c:pt>
                <c:pt idx="2949">
                  <c:v>40312.681944444441</c:v>
                </c:pt>
                <c:pt idx="2950">
                  <c:v>40312.682638888888</c:v>
                </c:pt>
                <c:pt idx="2951">
                  <c:v>40312.683333333334</c:v>
                </c:pt>
                <c:pt idx="2952">
                  <c:v>40312.684027777781</c:v>
                </c:pt>
                <c:pt idx="2953">
                  <c:v>40312.68472222222</c:v>
                </c:pt>
                <c:pt idx="2954">
                  <c:v>40312.685416666667</c:v>
                </c:pt>
                <c:pt idx="2955">
                  <c:v>40312.686111111114</c:v>
                </c:pt>
                <c:pt idx="2956">
                  <c:v>40312.686805555553</c:v>
                </c:pt>
                <c:pt idx="2957">
                  <c:v>40312.6875</c:v>
                </c:pt>
                <c:pt idx="2958">
                  <c:v>40312.688194444447</c:v>
                </c:pt>
                <c:pt idx="2959">
                  <c:v>40312.688888888886</c:v>
                </c:pt>
                <c:pt idx="2960">
                  <c:v>40312.689583333333</c:v>
                </c:pt>
                <c:pt idx="2961">
                  <c:v>40312.69027777778</c:v>
                </c:pt>
                <c:pt idx="2962">
                  <c:v>40312.690972222219</c:v>
                </c:pt>
                <c:pt idx="2963">
                  <c:v>40312.691666666666</c:v>
                </c:pt>
                <c:pt idx="2964">
                  <c:v>40312.692361111112</c:v>
                </c:pt>
                <c:pt idx="2965">
                  <c:v>40312.693055555559</c:v>
                </c:pt>
                <c:pt idx="2966">
                  <c:v>40312.693749999999</c:v>
                </c:pt>
                <c:pt idx="2967">
                  <c:v>40312.694444444445</c:v>
                </c:pt>
                <c:pt idx="2968">
                  <c:v>40312.695138888892</c:v>
                </c:pt>
                <c:pt idx="2969">
                  <c:v>40312.695833333331</c:v>
                </c:pt>
                <c:pt idx="2970">
                  <c:v>40312.696527777778</c:v>
                </c:pt>
                <c:pt idx="2971">
                  <c:v>40312.697222222225</c:v>
                </c:pt>
                <c:pt idx="2972">
                  <c:v>40312.697916666664</c:v>
                </c:pt>
                <c:pt idx="2973">
                  <c:v>40312.698611111111</c:v>
                </c:pt>
                <c:pt idx="2974">
                  <c:v>40312.699305555558</c:v>
                </c:pt>
                <c:pt idx="2975">
                  <c:v>40312.699999999997</c:v>
                </c:pt>
                <c:pt idx="2976">
                  <c:v>40312.700694444444</c:v>
                </c:pt>
                <c:pt idx="2977">
                  <c:v>40312.701388888891</c:v>
                </c:pt>
                <c:pt idx="2978">
                  <c:v>40312.70208333333</c:v>
                </c:pt>
                <c:pt idx="2979">
                  <c:v>40312.702777777777</c:v>
                </c:pt>
                <c:pt idx="2980">
                  <c:v>40312.703472222223</c:v>
                </c:pt>
                <c:pt idx="2981">
                  <c:v>40312.70416666667</c:v>
                </c:pt>
                <c:pt idx="2982">
                  <c:v>40312.704861111109</c:v>
                </c:pt>
                <c:pt idx="2983">
                  <c:v>40312.705555555556</c:v>
                </c:pt>
                <c:pt idx="2984">
                  <c:v>40312.706250000003</c:v>
                </c:pt>
                <c:pt idx="2985">
                  <c:v>40312.706944444442</c:v>
                </c:pt>
                <c:pt idx="2986">
                  <c:v>40312.707638888889</c:v>
                </c:pt>
                <c:pt idx="2987">
                  <c:v>40312.708333333336</c:v>
                </c:pt>
                <c:pt idx="2988">
                  <c:v>40312.709027777775</c:v>
                </c:pt>
                <c:pt idx="2989">
                  <c:v>40312.709722222222</c:v>
                </c:pt>
                <c:pt idx="2990">
                  <c:v>40312.710416666669</c:v>
                </c:pt>
                <c:pt idx="2991">
                  <c:v>40312.711111111108</c:v>
                </c:pt>
                <c:pt idx="2992">
                  <c:v>40312.711805555555</c:v>
                </c:pt>
                <c:pt idx="2993">
                  <c:v>40312.712500000001</c:v>
                </c:pt>
                <c:pt idx="2994">
                  <c:v>40312.713194444441</c:v>
                </c:pt>
                <c:pt idx="2995">
                  <c:v>40312.713888888888</c:v>
                </c:pt>
                <c:pt idx="2996">
                  <c:v>40312.714583333334</c:v>
                </c:pt>
                <c:pt idx="2997">
                  <c:v>40312.715277777781</c:v>
                </c:pt>
                <c:pt idx="2998">
                  <c:v>40312.71597222222</c:v>
                </c:pt>
                <c:pt idx="2999">
                  <c:v>40312.716666666667</c:v>
                </c:pt>
                <c:pt idx="3000">
                  <c:v>40312.717361111114</c:v>
                </c:pt>
                <c:pt idx="3001">
                  <c:v>40312.718055555553</c:v>
                </c:pt>
                <c:pt idx="3002">
                  <c:v>40312.71875</c:v>
                </c:pt>
                <c:pt idx="3003">
                  <c:v>40312.719444444447</c:v>
                </c:pt>
                <c:pt idx="3004">
                  <c:v>40312.720138888886</c:v>
                </c:pt>
                <c:pt idx="3005">
                  <c:v>40312.720833333333</c:v>
                </c:pt>
                <c:pt idx="3006">
                  <c:v>40312.72152777778</c:v>
                </c:pt>
                <c:pt idx="3007">
                  <c:v>40312.722222222219</c:v>
                </c:pt>
                <c:pt idx="3008">
                  <c:v>40312.722916666666</c:v>
                </c:pt>
                <c:pt idx="3009">
                  <c:v>40312.723611111112</c:v>
                </c:pt>
                <c:pt idx="3010">
                  <c:v>40312.724305555559</c:v>
                </c:pt>
                <c:pt idx="3011">
                  <c:v>40312.724999999999</c:v>
                </c:pt>
                <c:pt idx="3012">
                  <c:v>40312.725694444445</c:v>
                </c:pt>
                <c:pt idx="3013">
                  <c:v>40312.726388888892</c:v>
                </c:pt>
                <c:pt idx="3014">
                  <c:v>40312.727083333331</c:v>
                </c:pt>
                <c:pt idx="3015">
                  <c:v>40312.727777777778</c:v>
                </c:pt>
                <c:pt idx="3016">
                  <c:v>40312.728472222225</c:v>
                </c:pt>
                <c:pt idx="3017">
                  <c:v>40312.729166666664</c:v>
                </c:pt>
                <c:pt idx="3018">
                  <c:v>40312.729861111111</c:v>
                </c:pt>
                <c:pt idx="3019">
                  <c:v>40312.730555555558</c:v>
                </c:pt>
                <c:pt idx="3020">
                  <c:v>40312.731249999997</c:v>
                </c:pt>
                <c:pt idx="3021">
                  <c:v>40312.731944444444</c:v>
                </c:pt>
                <c:pt idx="3022">
                  <c:v>40312.732638888891</c:v>
                </c:pt>
                <c:pt idx="3023">
                  <c:v>40312.73333333333</c:v>
                </c:pt>
                <c:pt idx="3024">
                  <c:v>40312.734027777777</c:v>
                </c:pt>
                <c:pt idx="3025">
                  <c:v>40312.734722222223</c:v>
                </c:pt>
                <c:pt idx="3026">
                  <c:v>40312.73541666667</c:v>
                </c:pt>
                <c:pt idx="3027">
                  <c:v>40312.736111111109</c:v>
                </c:pt>
                <c:pt idx="3028">
                  <c:v>40312.736805555556</c:v>
                </c:pt>
                <c:pt idx="3029">
                  <c:v>40312.737500000003</c:v>
                </c:pt>
                <c:pt idx="3030">
                  <c:v>40312.738194444442</c:v>
                </c:pt>
                <c:pt idx="3031">
                  <c:v>40312.738888888889</c:v>
                </c:pt>
                <c:pt idx="3032">
                  <c:v>40312.739583333336</c:v>
                </c:pt>
                <c:pt idx="3033">
                  <c:v>40312.740277777775</c:v>
                </c:pt>
                <c:pt idx="3034">
                  <c:v>40312.740972222222</c:v>
                </c:pt>
                <c:pt idx="3035">
                  <c:v>40312.741666666669</c:v>
                </c:pt>
                <c:pt idx="3036">
                  <c:v>40312.742361111108</c:v>
                </c:pt>
                <c:pt idx="3037">
                  <c:v>40312.743055555555</c:v>
                </c:pt>
                <c:pt idx="3038">
                  <c:v>40312.743750000001</c:v>
                </c:pt>
                <c:pt idx="3039">
                  <c:v>40312.744444444441</c:v>
                </c:pt>
                <c:pt idx="3040">
                  <c:v>40312.745138888888</c:v>
                </c:pt>
                <c:pt idx="3041">
                  <c:v>40312.745833333334</c:v>
                </c:pt>
                <c:pt idx="3042">
                  <c:v>40312.746527777781</c:v>
                </c:pt>
                <c:pt idx="3043">
                  <c:v>40312.74722222222</c:v>
                </c:pt>
                <c:pt idx="3044">
                  <c:v>40312.747916666667</c:v>
                </c:pt>
                <c:pt idx="3045">
                  <c:v>40312.748611111114</c:v>
                </c:pt>
                <c:pt idx="3046">
                  <c:v>40312.749305555553</c:v>
                </c:pt>
                <c:pt idx="3047">
                  <c:v>40312.75</c:v>
                </c:pt>
                <c:pt idx="3048">
                  <c:v>40312.750694444447</c:v>
                </c:pt>
                <c:pt idx="3049">
                  <c:v>40312.751388888886</c:v>
                </c:pt>
                <c:pt idx="3050">
                  <c:v>40312.752083333333</c:v>
                </c:pt>
                <c:pt idx="3051">
                  <c:v>40312.75277777778</c:v>
                </c:pt>
                <c:pt idx="3052">
                  <c:v>40312.753472222219</c:v>
                </c:pt>
                <c:pt idx="3053">
                  <c:v>40312.754166666666</c:v>
                </c:pt>
                <c:pt idx="3054">
                  <c:v>40312.754861111112</c:v>
                </c:pt>
                <c:pt idx="3055">
                  <c:v>40312.755555555559</c:v>
                </c:pt>
                <c:pt idx="3056">
                  <c:v>40312.756249999999</c:v>
                </c:pt>
                <c:pt idx="3057">
                  <c:v>40312.756944444445</c:v>
                </c:pt>
                <c:pt idx="3058">
                  <c:v>40312.757638888892</c:v>
                </c:pt>
                <c:pt idx="3059">
                  <c:v>40312.758333333331</c:v>
                </c:pt>
                <c:pt idx="3060">
                  <c:v>40312.759027777778</c:v>
                </c:pt>
                <c:pt idx="3061">
                  <c:v>40312.759722222225</c:v>
                </c:pt>
                <c:pt idx="3062">
                  <c:v>40312.760416666664</c:v>
                </c:pt>
                <c:pt idx="3063">
                  <c:v>40312.761111111111</c:v>
                </c:pt>
                <c:pt idx="3064">
                  <c:v>40312.761805555558</c:v>
                </c:pt>
                <c:pt idx="3065">
                  <c:v>40312.762499999997</c:v>
                </c:pt>
                <c:pt idx="3066">
                  <c:v>40312.763194444444</c:v>
                </c:pt>
                <c:pt idx="3067">
                  <c:v>40312.763888888891</c:v>
                </c:pt>
                <c:pt idx="3068">
                  <c:v>40312.76458333333</c:v>
                </c:pt>
                <c:pt idx="3069">
                  <c:v>40312.765277777777</c:v>
                </c:pt>
                <c:pt idx="3070">
                  <c:v>40312.765972222223</c:v>
                </c:pt>
                <c:pt idx="3071">
                  <c:v>40312.76666666667</c:v>
                </c:pt>
                <c:pt idx="3072">
                  <c:v>40312.767361111109</c:v>
                </c:pt>
                <c:pt idx="3073">
                  <c:v>40312.768055555556</c:v>
                </c:pt>
                <c:pt idx="3074">
                  <c:v>40312.768750000003</c:v>
                </c:pt>
                <c:pt idx="3075">
                  <c:v>40312.769444444442</c:v>
                </c:pt>
                <c:pt idx="3076">
                  <c:v>40312.770138888889</c:v>
                </c:pt>
                <c:pt idx="3077">
                  <c:v>40312.770833333336</c:v>
                </c:pt>
                <c:pt idx="3078">
                  <c:v>40312.771527777775</c:v>
                </c:pt>
                <c:pt idx="3079">
                  <c:v>40312.772222222222</c:v>
                </c:pt>
                <c:pt idx="3080">
                  <c:v>40312.772916666669</c:v>
                </c:pt>
                <c:pt idx="3081">
                  <c:v>40312.773611111108</c:v>
                </c:pt>
                <c:pt idx="3082">
                  <c:v>40312.774305555555</c:v>
                </c:pt>
                <c:pt idx="3083">
                  <c:v>40312.775000000001</c:v>
                </c:pt>
                <c:pt idx="3084">
                  <c:v>40312.775694444441</c:v>
                </c:pt>
                <c:pt idx="3085">
                  <c:v>40312.776388888888</c:v>
                </c:pt>
                <c:pt idx="3086">
                  <c:v>40312.777083333334</c:v>
                </c:pt>
                <c:pt idx="3087">
                  <c:v>40312.777777777781</c:v>
                </c:pt>
                <c:pt idx="3088">
                  <c:v>40312.77847222222</c:v>
                </c:pt>
                <c:pt idx="3089">
                  <c:v>40312.779166666667</c:v>
                </c:pt>
                <c:pt idx="3090">
                  <c:v>40312.779861111114</c:v>
                </c:pt>
                <c:pt idx="3091">
                  <c:v>40312.780555555553</c:v>
                </c:pt>
                <c:pt idx="3092">
                  <c:v>40312.78125</c:v>
                </c:pt>
                <c:pt idx="3093">
                  <c:v>40312.781944444447</c:v>
                </c:pt>
                <c:pt idx="3094">
                  <c:v>40312.782638888886</c:v>
                </c:pt>
                <c:pt idx="3095">
                  <c:v>40312.783333333333</c:v>
                </c:pt>
                <c:pt idx="3096">
                  <c:v>40312.78402777778</c:v>
                </c:pt>
                <c:pt idx="3097">
                  <c:v>40312.784722222219</c:v>
                </c:pt>
                <c:pt idx="3098">
                  <c:v>40312.785416666666</c:v>
                </c:pt>
                <c:pt idx="3099">
                  <c:v>40312.786111111112</c:v>
                </c:pt>
                <c:pt idx="3100">
                  <c:v>40312.786805555559</c:v>
                </c:pt>
                <c:pt idx="3101">
                  <c:v>40312.787499999999</c:v>
                </c:pt>
                <c:pt idx="3102">
                  <c:v>40312.788194444445</c:v>
                </c:pt>
                <c:pt idx="3103">
                  <c:v>40312.788888888892</c:v>
                </c:pt>
                <c:pt idx="3104">
                  <c:v>40312.789583333331</c:v>
                </c:pt>
                <c:pt idx="3105">
                  <c:v>40312.790277777778</c:v>
                </c:pt>
                <c:pt idx="3106">
                  <c:v>40312.790972222225</c:v>
                </c:pt>
                <c:pt idx="3107">
                  <c:v>40312.791666666664</c:v>
                </c:pt>
                <c:pt idx="3108">
                  <c:v>40312.792361111111</c:v>
                </c:pt>
                <c:pt idx="3109">
                  <c:v>40312.793055555558</c:v>
                </c:pt>
                <c:pt idx="3110">
                  <c:v>40312.793749999997</c:v>
                </c:pt>
                <c:pt idx="3111">
                  <c:v>40312.794444444444</c:v>
                </c:pt>
                <c:pt idx="3112">
                  <c:v>40312.795138888891</c:v>
                </c:pt>
                <c:pt idx="3113">
                  <c:v>40312.79583333333</c:v>
                </c:pt>
                <c:pt idx="3114">
                  <c:v>40312.796527777777</c:v>
                </c:pt>
                <c:pt idx="3115">
                  <c:v>40312.797222222223</c:v>
                </c:pt>
                <c:pt idx="3116">
                  <c:v>40312.79791666667</c:v>
                </c:pt>
                <c:pt idx="3117">
                  <c:v>40312.798611111109</c:v>
                </c:pt>
                <c:pt idx="3118">
                  <c:v>40312.799305555556</c:v>
                </c:pt>
                <c:pt idx="3119">
                  <c:v>40312.800000000003</c:v>
                </c:pt>
                <c:pt idx="3120">
                  <c:v>40312.800694444442</c:v>
                </c:pt>
                <c:pt idx="3121">
                  <c:v>40312.801388888889</c:v>
                </c:pt>
                <c:pt idx="3122">
                  <c:v>40312.802083333336</c:v>
                </c:pt>
                <c:pt idx="3123">
                  <c:v>40312.802777777775</c:v>
                </c:pt>
                <c:pt idx="3124">
                  <c:v>40312.803472222222</c:v>
                </c:pt>
                <c:pt idx="3125">
                  <c:v>40312.804166666669</c:v>
                </c:pt>
                <c:pt idx="3126">
                  <c:v>40312.804861111108</c:v>
                </c:pt>
                <c:pt idx="3127">
                  <c:v>40312.805555555555</c:v>
                </c:pt>
                <c:pt idx="3128">
                  <c:v>40312.806250000001</c:v>
                </c:pt>
                <c:pt idx="3129">
                  <c:v>40312.806944444441</c:v>
                </c:pt>
                <c:pt idx="3130">
                  <c:v>40312.807638888888</c:v>
                </c:pt>
                <c:pt idx="3131">
                  <c:v>40312.808333333334</c:v>
                </c:pt>
                <c:pt idx="3132">
                  <c:v>40312.809027777781</c:v>
                </c:pt>
                <c:pt idx="3133">
                  <c:v>40312.80972222222</c:v>
                </c:pt>
                <c:pt idx="3134">
                  <c:v>40312.810416666667</c:v>
                </c:pt>
                <c:pt idx="3135">
                  <c:v>40312.811111111114</c:v>
                </c:pt>
                <c:pt idx="3136">
                  <c:v>40312.811805555553</c:v>
                </c:pt>
                <c:pt idx="3137">
                  <c:v>40312.8125</c:v>
                </c:pt>
                <c:pt idx="3138">
                  <c:v>40312.813194444447</c:v>
                </c:pt>
                <c:pt idx="3139">
                  <c:v>40312.813888888886</c:v>
                </c:pt>
                <c:pt idx="3140">
                  <c:v>40312.814583333333</c:v>
                </c:pt>
                <c:pt idx="3141">
                  <c:v>40312.81527777778</c:v>
                </c:pt>
                <c:pt idx="3142">
                  <c:v>40312.815972222219</c:v>
                </c:pt>
                <c:pt idx="3143">
                  <c:v>40312.816666666666</c:v>
                </c:pt>
                <c:pt idx="3144">
                  <c:v>40312.817361111112</c:v>
                </c:pt>
                <c:pt idx="3145">
                  <c:v>40312.818055555559</c:v>
                </c:pt>
                <c:pt idx="3146">
                  <c:v>40312.818749999999</c:v>
                </c:pt>
                <c:pt idx="3147">
                  <c:v>40312.819444444445</c:v>
                </c:pt>
                <c:pt idx="3148">
                  <c:v>40312.820138888892</c:v>
                </c:pt>
                <c:pt idx="3149">
                  <c:v>40312.820833333331</c:v>
                </c:pt>
                <c:pt idx="3150">
                  <c:v>40312.821527777778</c:v>
                </c:pt>
                <c:pt idx="3151">
                  <c:v>40312.822222222225</c:v>
                </c:pt>
                <c:pt idx="3152">
                  <c:v>40312.822916666664</c:v>
                </c:pt>
                <c:pt idx="3153">
                  <c:v>40312.823611111111</c:v>
                </c:pt>
                <c:pt idx="3154">
                  <c:v>40312.824305555558</c:v>
                </c:pt>
                <c:pt idx="3155">
                  <c:v>40312.824999999997</c:v>
                </c:pt>
                <c:pt idx="3156">
                  <c:v>40312.825694444444</c:v>
                </c:pt>
                <c:pt idx="3157">
                  <c:v>40312.826388888891</c:v>
                </c:pt>
                <c:pt idx="3158">
                  <c:v>40312.82708333333</c:v>
                </c:pt>
                <c:pt idx="3159">
                  <c:v>40312.827777777777</c:v>
                </c:pt>
                <c:pt idx="3160">
                  <c:v>40312.828472222223</c:v>
                </c:pt>
                <c:pt idx="3161">
                  <c:v>40312.82916666667</c:v>
                </c:pt>
                <c:pt idx="3162">
                  <c:v>40312.829861111109</c:v>
                </c:pt>
                <c:pt idx="3163">
                  <c:v>40312.830555555556</c:v>
                </c:pt>
                <c:pt idx="3164">
                  <c:v>40312.831250000003</c:v>
                </c:pt>
                <c:pt idx="3165">
                  <c:v>40312.831944444442</c:v>
                </c:pt>
                <c:pt idx="3166">
                  <c:v>40312.832638888889</c:v>
                </c:pt>
                <c:pt idx="3167">
                  <c:v>40312.833333333336</c:v>
                </c:pt>
                <c:pt idx="3168">
                  <c:v>40312.834027777775</c:v>
                </c:pt>
                <c:pt idx="3169">
                  <c:v>40312.834722222222</c:v>
                </c:pt>
                <c:pt idx="3170">
                  <c:v>40312.835416666669</c:v>
                </c:pt>
                <c:pt idx="3171">
                  <c:v>40312.836111111108</c:v>
                </c:pt>
                <c:pt idx="3172">
                  <c:v>40312.836805555555</c:v>
                </c:pt>
                <c:pt idx="3173">
                  <c:v>40312.837500000001</c:v>
                </c:pt>
                <c:pt idx="3174">
                  <c:v>40312.838194444441</c:v>
                </c:pt>
                <c:pt idx="3175">
                  <c:v>40312.838888888888</c:v>
                </c:pt>
                <c:pt idx="3176">
                  <c:v>40312.839583333334</c:v>
                </c:pt>
                <c:pt idx="3177">
                  <c:v>40312.840277777781</c:v>
                </c:pt>
                <c:pt idx="3178">
                  <c:v>40312.84097222222</c:v>
                </c:pt>
                <c:pt idx="3179">
                  <c:v>40312.841666666667</c:v>
                </c:pt>
                <c:pt idx="3180">
                  <c:v>40312.842361111114</c:v>
                </c:pt>
                <c:pt idx="3181">
                  <c:v>40312.843055555553</c:v>
                </c:pt>
                <c:pt idx="3182">
                  <c:v>40312.84375</c:v>
                </c:pt>
                <c:pt idx="3183">
                  <c:v>40312.844444444447</c:v>
                </c:pt>
                <c:pt idx="3184">
                  <c:v>40312.845138888886</c:v>
                </c:pt>
                <c:pt idx="3185">
                  <c:v>40312.845833333333</c:v>
                </c:pt>
                <c:pt idx="3186">
                  <c:v>40312.84652777778</c:v>
                </c:pt>
                <c:pt idx="3187">
                  <c:v>40312.847222222219</c:v>
                </c:pt>
                <c:pt idx="3188">
                  <c:v>40312.847916666666</c:v>
                </c:pt>
                <c:pt idx="3189">
                  <c:v>40312.848611111112</c:v>
                </c:pt>
                <c:pt idx="3190">
                  <c:v>40312.849305555559</c:v>
                </c:pt>
                <c:pt idx="3191">
                  <c:v>40312.85</c:v>
                </c:pt>
                <c:pt idx="3192">
                  <c:v>40312.850694444445</c:v>
                </c:pt>
                <c:pt idx="3193">
                  <c:v>40312.851388888892</c:v>
                </c:pt>
                <c:pt idx="3194">
                  <c:v>40312.852083333331</c:v>
                </c:pt>
                <c:pt idx="3195">
                  <c:v>40312.852777777778</c:v>
                </c:pt>
                <c:pt idx="3196">
                  <c:v>40312.853472222225</c:v>
                </c:pt>
                <c:pt idx="3197">
                  <c:v>40312.854166666664</c:v>
                </c:pt>
                <c:pt idx="3198">
                  <c:v>40312.854861111111</c:v>
                </c:pt>
                <c:pt idx="3199">
                  <c:v>40312.855555555558</c:v>
                </c:pt>
                <c:pt idx="3200">
                  <c:v>40312.856249999997</c:v>
                </c:pt>
                <c:pt idx="3201">
                  <c:v>40312.856944444444</c:v>
                </c:pt>
                <c:pt idx="3202">
                  <c:v>40312.857638888891</c:v>
                </c:pt>
                <c:pt idx="3203">
                  <c:v>40312.85833333333</c:v>
                </c:pt>
                <c:pt idx="3204">
                  <c:v>40312.859027777777</c:v>
                </c:pt>
                <c:pt idx="3205">
                  <c:v>40312.859722222223</c:v>
                </c:pt>
                <c:pt idx="3206">
                  <c:v>40312.86041666667</c:v>
                </c:pt>
                <c:pt idx="3207">
                  <c:v>40312.861111111109</c:v>
                </c:pt>
                <c:pt idx="3208">
                  <c:v>40312.861805555556</c:v>
                </c:pt>
                <c:pt idx="3209">
                  <c:v>40312.862500000003</c:v>
                </c:pt>
                <c:pt idx="3210">
                  <c:v>40312.863194444442</c:v>
                </c:pt>
                <c:pt idx="3211">
                  <c:v>40312.863888888889</c:v>
                </c:pt>
                <c:pt idx="3212">
                  <c:v>40312.864583333336</c:v>
                </c:pt>
                <c:pt idx="3213">
                  <c:v>40312.865277777775</c:v>
                </c:pt>
                <c:pt idx="3214">
                  <c:v>40312.865972222222</c:v>
                </c:pt>
                <c:pt idx="3215">
                  <c:v>40312.866666666669</c:v>
                </c:pt>
                <c:pt idx="3216">
                  <c:v>40312.867361111108</c:v>
                </c:pt>
                <c:pt idx="3217">
                  <c:v>40312.868055555555</c:v>
                </c:pt>
                <c:pt idx="3218">
                  <c:v>40312.868750000001</c:v>
                </c:pt>
                <c:pt idx="3219">
                  <c:v>40312.869444444441</c:v>
                </c:pt>
                <c:pt idx="3220">
                  <c:v>40312.870138888888</c:v>
                </c:pt>
                <c:pt idx="3221">
                  <c:v>40312.870833333334</c:v>
                </c:pt>
                <c:pt idx="3222">
                  <c:v>40312.871527777781</c:v>
                </c:pt>
                <c:pt idx="3223">
                  <c:v>40312.87222222222</c:v>
                </c:pt>
                <c:pt idx="3224">
                  <c:v>40312.872916666667</c:v>
                </c:pt>
                <c:pt idx="3225">
                  <c:v>40312.873611111114</c:v>
                </c:pt>
                <c:pt idx="3226">
                  <c:v>40312.874305555553</c:v>
                </c:pt>
                <c:pt idx="3227">
                  <c:v>40312.875</c:v>
                </c:pt>
                <c:pt idx="3228">
                  <c:v>40312.875694444447</c:v>
                </c:pt>
                <c:pt idx="3229">
                  <c:v>40312.876388888886</c:v>
                </c:pt>
                <c:pt idx="3230">
                  <c:v>40312.877083333333</c:v>
                </c:pt>
                <c:pt idx="3231">
                  <c:v>40312.87777777778</c:v>
                </c:pt>
                <c:pt idx="3232">
                  <c:v>40312.878472222219</c:v>
                </c:pt>
                <c:pt idx="3233">
                  <c:v>40312.879166666666</c:v>
                </c:pt>
                <c:pt idx="3234">
                  <c:v>40312.879861111112</c:v>
                </c:pt>
                <c:pt idx="3235">
                  <c:v>40312.880555555559</c:v>
                </c:pt>
                <c:pt idx="3236">
                  <c:v>40312.881249999999</c:v>
                </c:pt>
                <c:pt idx="3237">
                  <c:v>40312.881944444445</c:v>
                </c:pt>
                <c:pt idx="3238">
                  <c:v>40312.882638888892</c:v>
                </c:pt>
                <c:pt idx="3239">
                  <c:v>40312.883333333331</c:v>
                </c:pt>
                <c:pt idx="3240">
                  <c:v>40312.884027777778</c:v>
                </c:pt>
                <c:pt idx="3241">
                  <c:v>40312.884722222225</c:v>
                </c:pt>
                <c:pt idx="3242">
                  <c:v>40312.885416666664</c:v>
                </c:pt>
                <c:pt idx="3243">
                  <c:v>40312.886111111111</c:v>
                </c:pt>
                <c:pt idx="3244">
                  <c:v>40312.886805555558</c:v>
                </c:pt>
                <c:pt idx="3245">
                  <c:v>40312.887499999997</c:v>
                </c:pt>
                <c:pt idx="3246">
                  <c:v>40312.888194444444</c:v>
                </c:pt>
                <c:pt idx="3247">
                  <c:v>40312.888888888891</c:v>
                </c:pt>
                <c:pt idx="3248">
                  <c:v>40312.88958333333</c:v>
                </c:pt>
                <c:pt idx="3249">
                  <c:v>40312.890277777777</c:v>
                </c:pt>
                <c:pt idx="3250">
                  <c:v>40312.890972222223</c:v>
                </c:pt>
                <c:pt idx="3251">
                  <c:v>40312.89166666667</c:v>
                </c:pt>
                <c:pt idx="3252">
                  <c:v>40312.892361111109</c:v>
                </c:pt>
                <c:pt idx="3253">
                  <c:v>40312.893055555556</c:v>
                </c:pt>
                <c:pt idx="3254">
                  <c:v>40312.893750000003</c:v>
                </c:pt>
                <c:pt idx="3255">
                  <c:v>40312.894444444442</c:v>
                </c:pt>
                <c:pt idx="3256">
                  <c:v>40312.895138888889</c:v>
                </c:pt>
                <c:pt idx="3257">
                  <c:v>40312.895833333336</c:v>
                </c:pt>
                <c:pt idx="3258">
                  <c:v>40312.896527777775</c:v>
                </c:pt>
                <c:pt idx="3259">
                  <c:v>40312.897222222222</c:v>
                </c:pt>
                <c:pt idx="3260">
                  <c:v>40312.897916666669</c:v>
                </c:pt>
                <c:pt idx="3261">
                  <c:v>40312.898611111108</c:v>
                </c:pt>
                <c:pt idx="3262">
                  <c:v>40312.899305555555</c:v>
                </c:pt>
                <c:pt idx="3263">
                  <c:v>40312.9</c:v>
                </c:pt>
                <c:pt idx="3264">
                  <c:v>40312.900694444441</c:v>
                </c:pt>
                <c:pt idx="3265">
                  <c:v>40312.901388888888</c:v>
                </c:pt>
                <c:pt idx="3266">
                  <c:v>40312.902083333334</c:v>
                </c:pt>
                <c:pt idx="3267">
                  <c:v>40312.902777777781</c:v>
                </c:pt>
                <c:pt idx="3268">
                  <c:v>40312.90347222222</c:v>
                </c:pt>
                <c:pt idx="3269">
                  <c:v>40312.904166666667</c:v>
                </c:pt>
                <c:pt idx="3270">
                  <c:v>40312.904861111114</c:v>
                </c:pt>
                <c:pt idx="3271">
                  <c:v>40312.905555555553</c:v>
                </c:pt>
                <c:pt idx="3272">
                  <c:v>40312.90625</c:v>
                </c:pt>
                <c:pt idx="3273">
                  <c:v>40312.906944444447</c:v>
                </c:pt>
                <c:pt idx="3274">
                  <c:v>40312.907638888886</c:v>
                </c:pt>
                <c:pt idx="3275">
                  <c:v>40312.908333333333</c:v>
                </c:pt>
                <c:pt idx="3276">
                  <c:v>40312.90902777778</c:v>
                </c:pt>
                <c:pt idx="3277">
                  <c:v>40312.909722222219</c:v>
                </c:pt>
                <c:pt idx="3278">
                  <c:v>40312.910416666666</c:v>
                </c:pt>
                <c:pt idx="3279">
                  <c:v>40312.911111111112</c:v>
                </c:pt>
                <c:pt idx="3280">
                  <c:v>40312.911805555559</c:v>
                </c:pt>
                <c:pt idx="3281">
                  <c:v>40312.912499999999</c:v>
                </c:pt>
                <c:pt idx="3282">
                  <c:v>40312.913194444445</c:v>
                </c:pt>
                <c:pt idx="3283">
                  <c:v>40312.913888888892</c:v>
                </c:pt>
                <c:pt idx="3284">
                  <c:v>40312.914583333331</c:v>
                </c:pt>
                <c:pt idx="3285">
                  <c:v>40312.915277777778</c:v>
                </c:pt>
                <c:pt idx="3286">
                  <c:v>40312.915972222225</c:v>
                </c:pt>
                <c:pt idx="3287">
                  <c:v>40312.916666666664</c:v>
                </c:pt>
                <c:pt idx="3288">
                  <c:v>40312.917361111111</c:v>
                </c:pt>
                <c:pt idx="3289">
                  <c:v>40312.918055555558</c:v>
                </c:pt>
                <c:pt idx="3290">
                  <c:v>40312.918749999997</c:v>
                </c:pt>
                <c:pt idx="3291">
                  <c:v>40312.919444444444</c:v>
                </c:pt>
                <c:pt idx="3292">
                  <c:v>40312.920138888891</c:v>
                </c:pt>
                <c:pt idx="3293">
                  <c:v>40312.92083333333</c:v>
                </c:pt>
                <c:pt idx="3294">
                  <c:v>40312.921527777777</c:v>
                </c:pt>
                <c:pt idx="3295">
                  <c:v>40312.922222222223</c:v>
                </c:pt>
                <c:pt idx="3296">
                  <c:v>40312.92291666667</c:v>
                </c:pt>
                <c:pt idx="3297">
                  <c:v>40312.923611111109</c:v>
                </c:pt>
                <c:pt idx="3298">
                  <c:v>40312.924305555556</c:v>
                </c:pt>
                <c:pt idx="3299">
                  <c:v>40312.925000000003</c:v>
                </c:pt>
                <c:pt idx="3300">
                  <c:v>40312.925694444442</c:v>
                </c:pt>
                <c:pt idx="3301">
                  <c:v>40312.926388888889</c:v>
                </c:pt>
                <c:pt idx="3302">
                  <c:v>40312.927083333336</c:v>
                </c:pt>
                <c:pt idx="3303">
                  <c:v>40312.927777777775</c:v>
                </c:pt>
                <c:pt idx="3304">
                  <c:v>40312.928472222222</c:v>
                </c:pt>
                <c:pt idx="3305">
                  <c:v>40312.929166666669</c:v>
                </c:pt>
                <c:pt idx="3306">
                  <c:v>40312.929861111108</c:v>
                </c:pt>
                <c:pt idx="3307">
                  <c:v>40312.930555555555</c:v>
                </c:pt>
                <c:pt idx="3308">
                  <c:v>40312.931250000001</c:v>
                </c:pt>
                <c:pt idx="3309">
                  <c:v>40312.931944444441</c:v>
                </c:pt>
                <c:pt idx="3310">
                  <c:v>40312.932638888888</c:v>
                </c:pt>
                <c:pt idx="3311">
                  <c:v>40312.933333333334</c:v>
                </c:pt>
                <c:pt idx="3312">
                  <c:v>40312.934027777781</c:v>
                </c:pt>
                <c:pt idx="3313">
                  <c:v>40312.93472222222</c:v>
                </c:pt>
                <c:pt idx="3314">
                  <c:v>40312.935416666667</c:v>
                </c:pt>
                <c:pt idx="3315">
                  <c:v>40312.936111111114</c:v>
                </c:pt>
                <c:pt idx="3316">
                  <c:v>40312.936805555553</c:v>
                </c:pt>
                <c:pt idx="3317">
                  <c:v>40312.9375</c:v>
                </c:pt>
                <c:pt idx="3318">
                  <c:v>40312.938194444447</c:v>
                </c:pt>
                <c:pt idx="3319">
                  <c:v>40312.938888888886</c:v>
                </c:pt>
                <c:pt idx="3320">
                  <c:v>40312.939583333333</c:v>
                </c:pt>
                <c:pt idx="3321">
                  <c:v>40312.94027777778</c:v>
                </c:pt>
                <c:pt idx="3322">
                  <c:v>40312.940972222219</c:v>
                </c:pt>
                <c:pt idx="3323">
                  <c:v>40312.941666666666</c:v>
                </c:pt>
                <c:pt idx="3324">
                  <c:v>40312.942361111112</c:v>
                </c:pt>
                <c:pt idx="3325">
                  <c:v>40312.943055555559</c:v>
                </c:pt>
                <c:pt idx="3326">
                  <c:v>40312.943749999999</c:v>
                </c:pt>
                <c:pt idx="3327">
                  <c:v>40312.944444444445</c:v>
                </c:pt>
                <c:pt idx="3328">
                  <c:v>40312.945138888892</c:v>
                </c:pt>
                <c:pt idx="3329">
                  <c:v>40312.945833333331</c:v>
                </c:pt>
                <c:pt idx="3330">
                  <c:v>40312.946527777778</c:v>
                </c:pt>
                <c:pt idx="3331">
                  <c:v>40312.947222222225</c:v>
                </c:pt>
                <c:pt idx="3332">
                  <c:v>40312.947916666664</c:v>
                </c:pt>
                <c:pt idx="3333">
                  <c:v>40312.948611111111</c:v>
                </c:pt>
                <c:pt idx="3334">
                  <c:v>40312.949305555558</c:v>
                </c:pt>
                <c:pt idx="3335">
                  <c:v>40312.949999999997</c:v>
                </c:pt>
                <c:pt idx="3336">
                  <c:v>40312.950694444444</c:v>
                </c:pt>
                <c:pt idx="3337">
                  <c:v>40312.951388888891</c:v>
                </c:pt>
                <c:pt idx="3338">
                  <c:v>40312.95208333333</c:v>
                </c:pt>
                <c:pt idx="3339">
                  <c:v>40312.952777777777</c:v>
                </c:pt>
                <c:pt idx="3340">
                  <c:v>40312.953472222223</c:v>
                </c:pt>
                <c:pt idx="3341">
                  <c:v>40312.95416666667</c:v>
                </c:pt>
                <c:pt idx="3342">
                  <c:v>40312.954861111109</c:v>
                </c:pt>
                <c:pt idx="3343">
                  <c:v>40312.955555555556</c:v>
                </c:pt>
                <c:pt idx="3344">
                  <c:v>40312.956250000003</c:v>
                </c:pt>
                <c:pt idx="3345">
                  <c:v>40312.956944444442</c:v>
                </c:pt>
                <c:pt idx="3346">
                  <c:v>40312.957638888889</c:v>
                </c:pt>
                <c:pt idx="3347">
                  <c:v>40312.958333333336</c:v>
                </c:pt>
                <c:pt idx="3348">
                  <c:v>40312.959027777775</c:v>
                </c:pt>
                <c:pt idx="3349">
                  <c:v>40312.959722222222</c:v>
                </c:pt>
                <c:pt idx="3350">
                  <c:v>40312.960416666669</c:v>
                </c:pt>
                <c:pt idx="3351">
                  <c:v>40312.961111111108</c:v>
                </c:pt>
                <c:pt idx="3352">
                  <c:v>40312.961805555555</c:v>
                </c:pt>
                <c:pt idx="3353">
                  <c:v>40312.962500000001</c:v>
                </c:pt>
                <c:pt idx="3354">
                  <c:v>40312.963194444441</c:v>
                </c:pt>
                <c:pt idx="3355">
                  <c:v>40312.963888888888</c:v>
                </c:pt>
                <c:pt idx="3356">
                  <c:v>40312.964583333334</c:v>
                </c:pt>
                <c:pt idx="3357">
                  <c:v>40312.965277777781</c:v>
                </c:pt>
                <c:pt idx="3358">
                  <c:v>40312.96597222222</c:v>
                </c:pt>
                <c:pt idx="3359">
                  <c:v>40312.966666666667</c:v>
                </c:pt>
                <c:pt idx="3360">
                  <c:v>40312.967361111114</c:v>
                </c:pt>
                <c:pt idx="3361">
                  <c:v>40312.968055555553</c:v>
                </c:pt>
                <c:pt idx="3362">
                  <c:v>40312.96875</c:v>
                </c:pt>
                <c:pt idx="3363">
                  <c:v>40312.969444444447</c:v>
                </c:pt>
                <c:pt idx="3364">
                  <c:v>40312.970138888886</c:v>
                </c:pt>
                <c:pt idx="3365">
                  <c:v>40312.970833333333</c:v>
                </c:pt>
                <c:pt idx="3366">
                  <c:v>40312.97152777778</c:v>
                </c:pt>
                <c:pt idx="3367">
                  <c:v>40312.972222222219</c:v>
                </c:pt>
                <c:pt idx="3368">
                  <c:v>40312.972916666666</c:v>
                </c:pt>
                <c:pt idx="3369">
                  <c:v>40312.973611111112</c:v>
                </c:pt>
                <c:pt idx="3370">
                  <c:v>40312.974305555559</c:v>
                </c:pt>
                <c:pt idx="3371">
                  <c:v>40312.974999999999</c:v>
                </c:pt>
                <c:pt idx="3372">
                  <c:v>40312.975694444445</c:v>
                </c:pt>
                <c:pt idx="3373">
                  <c:v>40312.976388888892</c:v>
                </c:pt>
                <c:pt idx="3374">
                  <c:v>40312.977083333331</c:v>
                </c:pt>
                <c:pt idx="3375">
                  <c:v>40312.977777777778</c:v>
                </c:pt>
                <c:pt idx="3376">
                  <c:v>40312.978472222225</c:v>
                </c:pt>
                <c:pt idx="3377">
                  <c:v>40312.979166666664</c:v>
                </c:pt>
                <c:pt idx="3378">
                  <c:v>40312.979861111111</c:v>
                </c:pt>
                <c:pt idx="3379">
                  <c:v>40312.980555555558</c:v>
                </c:pt>
                <c:pt idx="3380">
                  <c:v>40312.981249999997</c:v>
                </c:pt>
                <c:pt idx="3381">
                  <c:v>40312.981944444444</c:v>
                </c:pt>
                <c:pt idx="3382">
                  <c:v>40312.982638888891</c:v>
                </c:pt>
                <c:pt idx="3383">
                  <c:v>40312.98333333333</c:v>
                </c:pt>
                <c:pt idx="3384">
                  <c:v>40312.984027777777</c:v>
                </c:pt>
                <c:pt idx="3385">
                  <c:v>40312.984722222223</c:v>
                </c:pt>
                <c:pt idx="3386">
                  <c:v>40312.98541666667</c:v>
                </c:pt>
                <c:pt idx="3387">
                  <c:v>40312.986111111109</c:v>
                </c:pt>
                <c:pt idx="3388">
                  <c:v>40312.986805555556</c:v>
                </c:pt>
                <c:pt idx="3389">
                  <c:v>40312.987500000003</c:v>
                </c:pt>
                <c:pt idx="3390">
                  <c:v>40312.988194444442</c:v>
                </c:pt>
                <c:pt idx="3391">
                  <c:v>40312.988888888889</c:v>
                </c:pt>
                <c:pt idx="3392">
                  <c:v>40312.989583333336</c:v>
                </c:pt>
                <c:pt idx="3393">
                  <c:v>40312.990277777775</c:v>
                </c:pt>
                <c:pt idx="3394">
                  <c:v>40312.990972222222</c:v>
                </c:pt>
                <c:pt idx="3395">
                  <c:v>40312.991666666669</c:v>
                </c:pt>
                <c:pt idx="3396">
                  <c:v>40312.992361111108</c:v>
                </c:pt>
                <c:pt idx="3397">
                  <c:v>40312.993055555555</c:v>
                </c:pt>
                <c:pt idx="3398">
                  <c:v>40312.993750000001</c:v>
                </c:pt>
                <c:pt idx="3399">
                  <c:v>40312.994444444441</c:v>
                </c:pt>
                <c:pt idx="3400">
                  <c:v>40312.995138888888</c:v>
                </c:pt>
                <c:pt idx="3401">
                  <c:v>40312.995833333334</c:v>
                </c:pt>
                <c:pt idx="3402">
                  <c:v>40312.996527777781</c:v>
                </c:pt>
                <c:pt idx="3403">
                  <c:v>40312.99722222222</c:v>
                </c:pt>
                <c:pt idx="3404">
                  <c:v>40312.997916666667</c:v>
                </c:pt>
                <c:pt idx="3405">
                  <c:v>40312.998611111114</c:v>
                </c:pt>
                <c:pt idx="3406">
                  <c:v>40312.999305555553</c:v>
                </c:pt>
                <c:pt idx="3407">
                  <c:v>40313</c:v>
                </c:pt>
                <c:pt idx="3408">
                  <c:v>40313.000694444447</c:v>
                </c:pt>
                <c:pt idx="3409">
                  <c:v>40313.001388888886</c:v>
                </c:pt>
                <c:pt idx="3410">
                  <c:v>40313.002083333333</c:v>
                </c:pt>
                <c:pt idx="3411">
                  <c:v>40313.00277777778</c:v>
                </c:pt>
                <c:pt idx="3412">
                  <c:v>40313.003472222219</c:v>
                </c:pt>
                <c:pt idx="3413">
                  <c:v>40313.004166666666</c:v>
                </c:pt>
                <c:pt idx="3414">
                  <c:v>40313.004861111112</c:v>
                </c:pt>
                <c:pt idx="3415">
                  <c:v>40313.005555555559</c:v>
                </c:pt>
                <c:pt idx="3416">
                  <c:v>40313.006249999999</c:v>
                </c:pt>
                <c:pt idx="3417">
                  <c:v>40313.006944444445</c:v>
                </c:pt>
                <c:pt idx="3418">
                  <c:v>40313.007638888892</c:v>
                </c:pt>
                <c:pt idx="3419">
                  <c:v>40313.008333333331</c:v>
                </c:pt>
                <c:pt idx="3420">
                  <c:v>40313.009027777778</c:v>
                </c:pt>
                <c:pt idx="3421">
                  <c:v>40313.009722222225</c:v>
                </c:pt>
                <c:pt idx="3422">
                  <c:v>40313.010416666664</c:v>
                </c:pt>
                <c:pt idx="3423">
                  <c:v>40313.011111111111</c:v>
                </c:pt>
                <c:pt idx="3424">
                  <c:v>40313.011805555558</c:v>
                </c:pt>
                <c:pt idx="3425">
                  <c:v>40313.012499999997</c:v>
                </c:pt>
                <c:pt idx="3426">
                  <c:v>40313.013194444444</c:v>
                </c:pt>
                <c:pt idx="3427">
                  <c:v>40313.013888888891</c:v>
                </c:pt>
                <c:pt idx="3428">
                  <c:v>40313.01458333333</c:v>
                </c:pt>
                <c:pt idx="3429">
                  <c:v>40313.015277777777</c:v>
                </c:pt>
                <c:pt idx="3430">
                  <c:v>40313.015972222223</c:v>
                </c:pt>
                <c:pt idx="3431">
                  <c:v>40313.01666666667</c:v>
                </c:pt>
                <c:pt idx="3432">
                  <c:v>40313.017361111109</c:v>
                </c:pt>
                <c:pt idx="3433">
                  <c:v>40313.018055555556</c:v>
                </c:pt>
                <c:pt idx="3434">
                  <c:v>40313.018750000003</c:v>
                </c:pt>
                <c:pt idx="3435">
                  <c:v>40313.019444444442</c:v>
                </c:pt>
                <c:pt idx="3436">
                  <c:v>40313.020138888889</c:v>
                </c:pt>
                <c:pt idx="3437">
                  <c:v>40313.020833333336</c:v>
                </c:pt>
                <c:pt idx="3438">
                  <c:v>40313.021527777775</c:v>
                </c:pt>
                <c:pt idx="3439">
                  <c:v>40313.022222222222</c:v>
                </c:pt>
                <c:pt idx="3440">
                  <c:v>40313.022916666669</c:v>
                </c:pt>
                <c:pt idx="3441">
                  <c:v>40313.023611111108</c:v>
                </c:pt>
                <c:pt idx="3442">
                  <c:v>40313.024305555555</c:v>
                </c:pt>
                <c:pt idx="3443">
                  <c:v>40313.025000000001</c:v>
                </c:pt>
                <c:pt idx="3444">
                  <c:v>40313.025694444441</c:v>
                </c:pt>
                <c:pt idx="3445">
                  <c:v>40313.026388888888</c:v>
                </c:pt>
                <c:pt idx="3446">
                  <c:v>40313.027083333334</c:v>
                </c:pt>
                <c:pt idx="3447">
                  <c:v>40313.027777777781</c:v>
                </c:pt>
                <c:pt idx="3448">
                  <c:v>40313.02847222222</c:v>
                </c:pt>
                <c:pt idx="3449">
                  <c:v>40313.029166666667</c:v>
                </c:pt>
                <c:pt idx="3450">
                  <c:v>40313.029861111114</c:v>
                </c:pt>
                <c:pt idx="3451">
                  <c:v>40313.030555555553</c:v>
                </c:pt>
                <c:pt idx="3452">
                  <c:v>40313.03125</c:v>
                </c:pt>
                <c:pt idx="3453">
                  <c:v>40313.031944444447</c:v>
                </c:pt>
                <c:pt idx="3454">
                  <c:v>40313.032638888886</c:v>
                </c:pt>
                <c:pt idx="3455">
                  <c:v>40313.033333333333</c:v>
                </c:pt>
                <c:pt idx="3456">
                  <c:v>40313.03402777778</c:v>
                </c:pt>
                <c:pt idx="3457">
                  <c:v>40313.034722222219</c:v>
                </c:pt>
                <c:pt idx="3458">
                  <c:v>40313.035416666666</c:v>
                </c:pt>
                <c:pt idx="3459">
                  <c:v>40313.036111111112</c:v>
                </c:pt>
                <c:pt idx="3460">
                  <c:v>40313.036805555559</c:v>
                </c:pt>
                <c:pt idx="3461">
                  <c:v>40313.037499999999</c:v>
                </c:pt>
                <c:pt idx="3462">
                  <c:v>40313.038194444445</c:v>
                </c:pt>
                <c:pt idx="3463">
                  <c:v>40313.038888888892</c:v>
                </c:pt>
                <c:pt idx="3464">
                  <c:v>40313.039583333331</c:v>
                </c:pt>
                <c:pt idx="3465">
                  <c:v>40313.040277777778</c:v>
                </c:pt>
                <c:pt idx="3466">
                  <c:v>40313.040972222225</c:v>
                </c:pt>
                <c:pt idx="3467">
                  <c:v>40313.041666666664</c:v>
                </c:pt>
                <c:pt idx="3468">
                  <c:v>40313.042361111111</c:v>
                </c:pt>
                <c:pt idx="3469">
                  <c:v>40313.043055555558</c:v>
                </c:pt>
                <c:pt idx="3470">
                  <c:v>40313.043749999997</c:v>
                </c:pt>
                <c:pt idx="3471">
                  <c:v>40313.044444444444</c:v>
                </c:pt>
                <c:pt idx="3472">
                  <c:v>40313.045138888891</c:v>
                </c:pt>
                <c:pt idx="3473">
                  <c:v>40313.04583333333</c:v>
                </c:pt>
                <c:pt idx="3474">
                  <c:v>40313.046527777777</c:v>
                </c:pt>
                <c:pt idx="3475">
                  <c:v>40313.047222222223</c:v>
                </c:pt>
                <c:pt idx="3476">
                  <c:v>40313.04791666667</c:v>
                </c:pt>
                <c:pt idx="3477">
                  <c:v>40313.048611111109</c:v>
                </c:pt>
                <c:pt idx="3478">
                  <c:v>40313.049305555556</c:v>
                </c:pt>
                <c:pt idx="3479">
                  <c:v>40313.050000000003</c:v>
                </c:pt>
                <c:pt idx="3480">
                  <c:v>40313.050694444442</c:v>
                </c:pt>
                <c:pt idx="3481">
                  <c:v>40313.051388888889</c:v>
                </c:pt>
                <c:pt idx="3482">
                  <c:v>40313.052083333336</c:v>
                </c:pt>
                <c:pt idx="3483">
                  <c:v>40313.052777777775</c:v>
                </c:pt>
                <c:pt idx="3484">
                  <c:v>40313.053472222222</c:v>
                </c:pt>
                <c:pt idx="3485">
                  <c:v>40313.054166666669</c:v>
                </c:pt>
                <c:pt idx="3486">
                  <c:v>40313.054861111108</c:v>
                </c:pt>
                <c:pt idx="3487">
                  <c:v>40313.055555555555</c:v>
                </c:pt>
                <c:pt idx="3488">
                  <c:v>40313.056250000001</c:v>
                </c:pt>
                <c:pt idx="3489">
                  <c:v>40313.056944444441</c:v>
                </c:pt>
                <c:pt idx="3490">
                  <c:v>40313.057638888888</c:v>
                </c:pt>
                <c:pt idx="3491">
                  <c:v>40313.058333333334</c:v>
                </c:pt>
                <c:pt idx="3492">
                  <c:v>40313.059027777781</c:v>
                </c:pt>
                <c:pt idx="3493">
                  <c:v>40313.05972222222</c:v>
                </c:pt>
                <c:pt idx="3494">
                  <c:v>40313.060416666667</c:v>
                </c:pt>
                <c:pt idx="3495">
                  <c:v>40313.061111111114</c:v>
                </c:pt>
                <c:pt idx="3496">
                  <c:v>40313.061805555553</c:v>
                </c:pt>
                <c:pt idx="3497">
                  <c:v>40313.0625</c:v>
                </c:pt>
                <c:pt idx="3498">
                  <c:v>40313.063194444447</c:v>
                </c:pt>
                <c:pt idx="3499">
                  <c:v>40313.063888888886</c:v>
                </c:pt>
                <c:pt idx="3500">
                  <c:v>40313.064583333333</c:v>
                </c:pt>
                <c:pt idx="3501">
                  <c:v>40313.06527777778</c:v>
                </c:pt>
                <c:pt idx="3502">
                  <c:v>40313.065972222219</c:v>
                </c:pt>
                <c:pt idx="3503">
                  <c:v>40313.066666666666</c:v>
                </c:pt>
                <c:pt idx="3504">
                  <c:v>40313.067361111112</c:v>
                </c:pt>
                <c:pt idx="3505">
                  <c:v>40313.068055555559</c:v>
                </c:pt>
                <c:pt idx="3506">
                  <c:v>40313.068749999999</c:v>
                </c:pt>
                <c:pt idx="3507">
                  <c:v>40313.069444444445</c:v>
                </c:pt>
                <c:pt idx="3508">
                  <c:v>40313.070138888892</c:v>
                </c:pt>
                <c:pt idx="3509">
                  <c:v>40313.070833333331</c:v>
                </c:pt>
                <c:pt idx="3510">
                  <c:v>40313.071527777778</c:v>
                </c:pt>
                <c:pt idx="3511">
                  <c:v>40313.072222222225</c:v>
                </c:pt>
                <c:pt idx="3512">
                  <c:v>40313.072916666664</c:v>
                </c:pt>
                <c:pt idx="3513">
                  <c:v>40313.073611111111</c:v>
                </c:pt>
                <c:pt idx="3514">
                  <c:v>40313.074305555558</c:v>
                </c:pt>
                <c:pt idx="3515">
                  <c:v>40313.074999999997</c:v>
                </c:pt>
                <c:pt idx="3516">
                  <c:v>40313.075694444444</c:v>
                </c:pt>
                <c:pt idx="3517">
                  <c:v>40313.076388888891</c:v>
                </c:pt>
                <c:pt idx="3518">
                  <c:v>40313.07708333333</c:v>
                </c:pt>
                <c:pt idx="3519">
                  <c:v>40313.077777777777</c:v>
                </c:pt>
                <c:pt idx="3520">
                  <c:v>40313.078472222223</c:v>
                </c:pt>
                <c:pt idx="3521">
                  <c:v>40313.07916666667</c:v>
                </c:pt>
                <c:pt idx="3522">
                  <c:v>40313.079861111109</c:v>
                </c:pt>
                <c:pt idx="3523">
                  <c:v>40313.080555555556</c:v>
                </c:pt>
                <c:pt idx="3524">
                  <c:v>40313.081250000003</c:v>
                </c:pt>
                <c:pt idx="3525">
                  <c:v>40313.081944444442</c:v>
                </c:pt>
                <c:pt idx="3526">
                  <c:v>40313.082638888889</c:v>
                </c:pt>
                <c:pt idx="3527">
                  <c:v>40313.083333333336</c:v>
                </c:pt>
                <c:pt idx="3528">
                  <c:v>40313.084027777775</c:v>
                </c:pt>
                <c:pt idx="3529">
                  <c:v>40313.084722222222</c:v>
                </c:pt>
                <c:pt idx="3530">
                  <c:v>40313.085416666669</c:v>
                </c:pt>
                <c:pt idx="3531">
                  <c:v>40313.086111111108</c:v>
                </c:pt>
                <c:pt idx="3532">
                  <c:v>40313.086805555555</c:v>
                </c:pt>
                <c:pt idx="3533">
                  <c:v>40313.087500000001</c:v>
                </c:pt>
                <c:pt idx="3534">
                  <c:v>40313.088194444441</c:v>
                </c:pt>
                <c:pt idx="3535">
                  <c:v>40313.088888888888</c:v>
                </c:pt>
                <c:pt idx="3536">
                  <c:v>40313.089583333334</c:v>
                </c:pt>
                <c:pt idx="3537">
                  <c:v>40313.090277777781</c:v>
                </c:pt>
                <c:pt idx="3538">
                  <c:v>40313.09097222222</c:v>
                </c:pt>
                <c:pt idx="3539">
                  <c:v>40313.091666666667</c:v>
                </c:pt>
                <c:pt idx="3540">
                  <c:v>40313.092361111114</c:v>
                </c:pt>
                <c:pt idx="3541">
                  <c:v>40313.093055555553</c:v>
                </c:pt>
                <c:pt idx="3542">
                  <c:v>40313.09375</c:v>
                </c:pt>
                <c:pt idx="3543">
                  <c:v>40313.094444444447</c:v>
                </c:pt>
                <c:pt idx="3544">
                  <c:v>40313.095138888886</c:v>
                </c:pt>
                <c:pt idx="3545">
                  <c:v>40313.095833333333</c:v>
                </c:pt>
                <c:pt idx="3546">
                  <c:v>40313.09652777778</c:v>
                </c:pt>
                <c:pt idx="3547">
                  <c:v>40313.097222222219</c:v>
                </c:pt>
                <c:pt idx="3548">
                  <c:v>40313.097916666666</c:v>
                </c:pt>
                <c:pt idx="3549">
                  <c:v>40313.098611111112</c:v>
                </c:pt>
                <c:pt idx="3550">
                  <c:v>40313.099305555559</c:v>
                </c:pt>
                <c:pt idx="3551">
                  <c:v>40313.1</c:v>
                </c:pt>
                <c:pt idx="3552">
                  <c:v>40313.100694444445</c:v>
                </c:pt>
                <c:pt idx="3553">
                  <c:v>40313.101388888892</c:v>
                </c:pt>
                <c:pt idx="3554">
                  <c:v>40313.102083333331</c:v>
                </c:pt>
                <c:pt idx="3555">
                  <c:v>40313.102777777778</c:v>
                </c:pt>
                <c:pt idx="3556">
                  <c:v>40313.103472222225</c:v>
                </c:pt>
                <c:pt idx="3557">
                  <c:v>40313.104166666664</c:v>
                </c:pt>
                <c:pt idx="3558">
                  <c:v>40313.104861111111</c:v>
                </c:pt>
                <c:pt idx="3559">
                  <c:v>40313.105555555558</c:v>
                </c:pt>
                <c:pt idx="3560">
                  <c:v>40313.106249999997</c:v>
                </c:pt>
                <c:pt idx="3561">
                  <c:v>40313.106944444444</c:v>
                </c:pt>
                <c:pt idx="3562">
                  <c:v>40313.107638888891</c:v>
                </c:pt>
                <c:pt idx="3563">
                  <c:v>40313.10833333333</c:v>
                </c:pt>
                <c:pt idx="3564">
                  <c:v>40313.109027777777</c:v>
                </c:pt>
                <c:pt idx="3565">
                  <c:v>40313.109722222223</c:v>
                </c:pt>
                <c:pt idx="3566">
                  <c:v>40313.11041666667</c:v>
                </c:pt>
                <c:pt idx="3567">
                  <c:v>40313.111111111109</c:v>
                </c:pt>
                <c:pt idx="3568">
                  <c:v>40313.111805555556</c:v>
                </c:pt>
                <c:pt idx="3569">
                  <c:v>40313.112500000003</c:v>
                </c:pt>
                <c:pt idx="3570">
                  <c:v>40313.113194444442</c:v>
                </c:pt>
                <c:pt idx="3571">
                  <c:v>40313.113888888889</c:v>
                </c:pt>
                <c:pt idx="3572">
                  <c:v>40313.114583333336</c:v>
                </c:pt>
                <c:pt idx="3573">
                  <c:v>40313.115277777775</c:v>
                </c:pt>
                <c:pt idx="3574">
                  <c:v>40313.115972222222</c:v>
                </c:pt>
                <c:pt idx="3575">
                  <c:v>40313.116666666669</c:v>
                </c:pt>
                <c:pt idx="3576">
                  <c:v>40313.117361111108</c:v>
                </c:pt>
                <c:pt idx="3577">
                  <c:v>40313.118055555555</c:v>
                </c:pt>
                <c:pt idx="3578">
                  <c:v>40313.118750000001</c:v>
                </c:pt>
                <c:pt idx="3579">
                  <c:v>40313.119444444441</c:v>
                </c:pt>
                <c:pt idx="3580">
                  <c:v>40313.120138888888</c:v>
                </c:pt>
                <c:pt idx="3581">
                  <c:v>40313.120833333334</c:v>
                </c:pt>
                <c:pt idx="3582">
                  <c:v>40313.121527777781</c:v>
                </c:pt>
                <c:pt idx="3583">
                  <c:v>40313.12222222222</c:v>
                </c:pt>
                <c:pt idx="3584">
                  <c:v>40313.122916666667</c:v>
                </c:pt>
                <c:pt idx="3585">
                  <c:v>40313.123611111114</c:v>
                </c:pt>
                <c:pt idx="3586">
                  <c:v>40313.124305555553</c:v>
                </c:pt>
                <c:pt idx="3587">
                  <c:v>40313.125</c:v>
                </c:pt>
                <c:pt idx="3588">
                  <c:v>40313.125694444447</c:v>
                </c:pt>
                <c:pt idx="3589">
                  <c:v>40313.126388888886</c:v>
                </c:pt>
                <c:pt idx="3590">
                  <c:v>40313.127083333333</c:v>
                </c:pt>
                <c:pt idx="3591">
                  <c:v>40313.12777777778</c:v>
                </c:pt>
                <c:pt idx="3592">
                  <c:v>40313.128472222219</c:v>
                </c:pt>
                <c:pt idx="3593">
                  <c:v>40313.129166666666</c:v>
                </c:pt>
                <c:pt idx="3594">
                  <c:v>40313.129861111112</c:v>
                </c:pt>
                <c:pt idx="3595">
                  <c:v>40313.130555555559</c:v>
                </c:pt>
                <c:pt idx="3596">
                  <c:v>40313.131249999999</c:v>
                </c:pt>
                <c:pt idx="3597">
                  <c:v>40313.131944444445</c:v>
                </c:pt>
                <c:pt idx="3598">
                  <c:v>40313.132638888892</c:v>
                </c:pt>
                <c:pt idx="3599">
                  <c:v>40313.133333333331</c:v>
                </c:pt>
                <c:pt idx="3600">
                  <c:v>40313.134027777778</c:v>
                </c:pt>
                <c:pt idx="3601">
                  <c:v>40313.134722222225</c:v>
                </c:pt>
                <c:pt idx="3602">
                  <c:v>40313.135416666664</c:v>
                </c:pt>
                <c:pt idx="3603">
                  <c:v>40313.136111111111</c:v>
                </c:pt>
                <c:pt idx="3604">
                  <c:v>40313.136805555558</c:v>
                </c:pt>
                <c:pt idx="3605">
                  <c:v>40313.137499999997</c:v>
                </c:pt>
                <c:pt idx="3606">
                  <c:v>40313.138194444444</c:v>
                </c:pt>
                <c:pt idx="3607">
                  <c:v>40313.138888888891</c:v>
                </c:pt>
                <c:pt idx="3608">
                  <c:v>40313.13958333333</c:v>
                </c:pt>
                <c:pt idx="3609">
                  <c:v>40313.140277777777</c:v>
                </c:pt>
                <c:pt idx="3610">
                  <c:v>40313.140972222223</c:v>
                </c:pt>
                <c:pt idx="3611">
                  <c:v>40313.14166666667</c:v>
                </c:pt>
                <c:pt idx="3612">
                  <c:v>40313.142361111109</c:v>
                </c:pt>
                <c:pt idx="3613">
                  <c:v>40313.143055555556</c:v>
                </c:pt>
                <c:pt idx="3614">
                  <c:v>40313.143750000003</c:v>
                </c:pt>
                <c:pt idx="3615">
                  <c:v>40313.144444444442</c:v>
                </c:pt>
                <c:pt idx="3616">
                  <c:v>40313.145138888889</c:v>
                </c:pt>
                <c:pt idx="3617">
                  <c:v>40313.145833333336</c:v>
                </c:pt>
                <c:pt idx="3618">
                  <c:v>40313.146527777775</c:v>
                </c:pt>
                <c:pt idx="3619">
                  <c:v>40313.147222222222</c:v>
                </c:pt>
                <c:pt idx="3620">
                  <c:v>40313.147916666669</c:v>
                </c:pt>
                <c:pt idx="3621">
                  <c:v>40313.148611111108</c:v>
                </c:pt>
                <c:pt idx="3622">
                  <c:v>40313.149305555555</c:v>
                </c:pt>
                <c:pt idx="3623">
                  <c:v>40313.15</c:v>
                </c:pt>
                <c:pt idx="3624">
                  <c:v>40313.150694444441</c:v>
                </c:pt>
                <c:pt idx="3625">
                  <c:v>40313.151388888888</c:v>
                </c:pt>
                <c:pt idx="3626">
                  <c:v>40313.152083333334</c:v>
                </c:pt>
                <c:pt idx="3627">
                  <c:v>40313.152777777781</c:v>
                </c:pt>
                <c:pt idx="3628">
                  <c:v>40313.15347222222</c:v>
                </c:pt>
                <c:pt idx="3629">
                  <c:v>40313.154166666667</c:v>
                </c:pt>
                <c:pt idx="3630">
                  <c:v>40313.154861111114</c:v>
                </c:pt>
                <c:pt idx="3631">
                  <c:v>40313.155555555553</c:v>
                </c:pt>
                <c:pt idx="3632">
                  <c:v>40313.15625</c:v>
                </c:pt>
                <c:pt idx="3633">
                  <c:v>40313.156944444447</c:v>
                </c:pt>
                <c:pt idx="3634">
                  <c:v>40313.157638888886</c:v>
                </c:pt>
                <c:pt idx="3635">
                  <c:v>40313.158333333333</c:v>
                </c:pt>
                <c:pt idx="3636">
                  <c:v>40313.15902777778</c:v>
                </c:pt>
                <c:pt idx="3637">
                  <c:v>40313.159722222219</c:v>
                </c:pt>
                <c:pt idx="3638">
                  <c:v>40313.160416666666</c:v>
                </c:pt>
                <c:pt idx="3639">
                  <c:v>40313.161111111112</c:v>
                </c:pt>
                <c:pt idx="3640">
                  <c:v>40313.161805555559</c:v>
                </c:pt>
                <c:pt idx="3641">
                  <c:v>40313.162499999999</c:v>
                </c:pt>
                <c:pt idx="3642">
                  <c:v>40313.163194444445</c:v>
                </c:pt>
                <c:pt idx="3643">
                  <c:v>40313.163888888892</c:v>
                </c:pt>
                <c:pt idx="3644">
                  <c:v>40313.164583333331</c:v>
                </c:pt>
                <c:pt idx="3645">
                  <c:v>40313.165277777778</c:v>
                </c:pt>
                <c:pt idx="3646">
                  <c:v>40313.165972222225</c:v>
                </c:pt>
                <c:pt idx="3647">
                  <c:v>40313.166666666664</c:v>
                </c:pt>
                <c:pt idx="3648">
                  <c:v>40313.167361111111</c:v>
                </c:pt>
                <c:pt idx="3649">
                  <c:v>40313.168055555558</c:v>
                </c:pt>
                <c:pt idx="3650">
                  <c:v>40313.168749999997</c:v>
                </c:pt>
                <c:pt idx="3651">
                  <c:v>40313.169444444444</c:v>
                </c:pt>
                <c:pt idx="3652">
                  <c:v>40313.170138888891</c:v>
                </c:pt>
                <c:pt idx="3653">
                  <c:v>40313.17083333333</c:v>
                </c:pt>
                <c:pt idx="3654">
                  <c:v>40313.171527777777</c:v>
                </c:pt>
                <c:pt idx="3655">
                  <c:v>40313.172222222223</c:v>
                </c:pt>
                <c:pt idx="3656">
                  <c:v>40313.17291666667</c:v>
                </c:pt>
                <c:pt idx="3657">
                  <c:v>40313.173611111109</c:v>
                </c:pt>
                <c:pt idx="3658">
                  <c:v>40313.174305555556</c:v>
                </c:pt>
                <c:pt idx="3659">
                  <c:v>40313.175000000003</c:v>
                </c:pt>
                <c:pt idx="3660">
                  <c:v>40313.175694444442</c:v>
                </c:pt>
                <c:pt idx="3661">
                  <c:v>40313.176388888889</c:v>
                </c:pt>
                <c:pt idx="3662">
                  <c:v>40313.177083333336</c:v>
                </c:pt>
                <c:pt idx="3663">
                  <c:v>40313.177777777775</c:v>
                </c:pt>
                <c:pt idx="3664">
                  <c:v>40313.178472222222</c:v>
                </c:pt>
                <c:pt idx="3665">
                  <c:v>40313.179166666669</c:v>
                </c:pt>
                <c:pt idx="3666">
                  <c:v>40313.179861111108</c:v>
                </c:pt>
                <c:pt idx="3667">
                  <c:v>40313.180555555555</c:v>
                </c:pt>
                <c:pt idx="3668">
                  <c:v>40313.181250000001</c:v>
                </c:pt>
                <c:pt idx="3669">
                  <c:v>40313.181944444441</c:v>
                </c:pt>
                <c:pt idx="3670">
                  <c:v>40313.182638888888</c:v>
                </c:pt>
                <c:pt idx="3671">
                  <c:v>40313.183333333334</c:v>
                </c:pt>
                <c:pt idx="3672">
                  <c:v>40313.184027777781</c:v>
                </c:pt>
                <c:pt idx="3673">
                  <c:v>40313.18472222222</c:v>
                </c:pt>
                <c:pt idx="3674">
                  <c:v>40313.185416666667</c:v>
                </c:pt>
                <c:pt idx="3675">
                  <c:v>40313.186111111114</c:v>
                </c:pt>
                <c:pt idx="3676">
                  <c:v>40313.186805555553</c:v>
                </c:pt>
                <c:pt idx="3677">
                  <c:v>40313.1875</c:v>
                </c:pt>
                <c:pt idx="3678">
                  <c:v>40313.188194444447</c:v>
                </c:pt>
                <c:pt idx="3679">
                  <c:v>40313.188888888886</c:v>
                </c:pt>
                <c:pt idx="3680">
                  <c:v>40313.189583333333</c:v>
                </c:pt>
                <c:pt idx="3681">
                  <c:v>40313.19027777778</c:v>
                </c:pt>
                <c:pt idx="3682">
                  <c:v>40313.190972222219</c:v>
                </c:pt>
                <c:pt idx="3683">
                  <c:v>40313.191666666666</c:v>
                </c:pt>
                <c:pt idx="3684">
                  <c:v>40313.192361111112</c:v>
                </c:pt>
                <c:pt idx="3685">
                  <c:v>40313.193055555559</c:v>
                </c:pt>
                <c:pt idx="3686">
                  <c:v>40313.193749999999</c:v>
                </c:pt>
                <c:pt idx="3687">
                  <c:v>40313.194444444445</c:v>
                </c:pt>
                <c:pt idx="3688">
                  <c:v>40313.195138888892</c:v>
                </c:pt>
                <c:pt idx="3689">
                  <c:v>40313.195833333331</c:v>
                </c:pt>
                <c:pt idx="3690">
                  <c:v>40313.196527777778</c:v>
                </c:pt>
                <c:pt idx="3691">
                  <c:v>40313.197222222225</c:v>
                </c:pt>
                <c:pt idx="3692">
                  <c:v>40313.197916666664</c:v>
                </c:pt>
                <c:pt idx="3693">
                  <c:v>40313.198611111111</c:v>
                </c:pt>
                <c:pt idx="3694">
                  <c:v>40313.199305555558</c:v>
                </c:pt>
                <c:pt idx="3695">
                  <c:v>40313.199999999997</c:v>
                </c:pt>
                <c:pt idx="3696">
                  <c:v>40313.200694444444</c:v>
                </c:pt>
                <c:pt idx="3697">
                  <c:v>40313.201388888891</c:v>
                </c:pt>
                <c:pt idx="3698">
                  <c:v>40313.20208333333</c:v>
                </c:pt>
                <c:pt idx="3699">
                  <c:v>40313.202777777777</c:v>
                </c:pt>
                <c:pt idx="3700">
                  <c:v>40313.203472222223</c:v>
                </c:pt>
                <c:pt idx="3701">
                  <c:v>40313.20416666667</c:v>
                </c:pt>
                <c:pt idx="3702">
                  <c:v>40313.204861111109</c:v>
                </c:pt>
                <c:pt idx="3703">
                  <c:v>40313.205555555556</c:v>
                </c:pt>
                <c:pt idx="3704">
                  <c:v>40313.206250000003</c:v>
                </c:pt>
                <c:pt idx="3705">
                  <c:v>40313.206944444442</c:v>
                </c:pt>
                <c:pt idx="3706">
                  <c:v>40313.207638888889</c:v>
                </c:pt>
                <c:pt idx="3707">
                  <c:v>40313.208333333336</c:v>
                </c:pt>
                <c:pt idx="3708">
                  <c:v>40313.209027777775</c:v>
                </c:pt>
                <c:pt idx="3709">
                  <c:v>40313.209722222222</c:v>
                </c:pt>
                <c:pt idx="3710">
                  <c:v>40313.210416666669</c:v>
                </c:pt>
                <c:pt idx="3711">
                  <c:v>40313.211111111108</c:v>
                </c:pt>
                <c:pt idx="3712">
                  <c:v>40313.211805555555</c:v>
                </c:pt>
                <c:pt idx="3713">
                  <c:v>40313.212500000001</c:v>
                </c:pt>
                <c:pt idx="3714">
                  <c:v>40313.213194444441</c:v>
                </c:pt>
                <c:pt idx="3715">
                  <c:v>40313.213888888888</c:v>
                </c:pt>
                <c:pt idx="3716">
                  <c:v>40313.214583333334</c:v>
                </c:pt>
                <c:pt idx="3717">
                  <c:v>40313.215277777781</c:v>
                </c:pt>
                <c:pt idx="3718">
                  <c:v>40313.21597222222</c:v>
                </c:pt>
                <c:pt idx="3719">
                  <c:v>40313.216666666667</c:v>
                </c:pt>
                <c:pt idx="3720">
                  <c:v>40313.217361111114</c:v>
                </c:pt>
                <c:pt idx="3721">
                  <c:v>40313.218055555553</c:v>
                </c:pt>
                <c:pt idx="3722">
                  <c:v>40313.21875</c:v>
                </c:pt>
                <c:pt idx="3723">
                  <c:v>40313.219444444447</c:v>
                </c:pt>
                <c:pt idx="3724">
                  <c:v>40313.220138888886</c:v>
                </c:pt>
                <c:pt idx="3725">
                  <c:v>40313.220833333333</c:v>
                </c:pt>
                <c:pt idx="3726">
                  <c:v>40313.22152777778</c:v>
                </c:pt>
                <c:pt idx="3727">
                  <c:v>40313.222222222219</c:v>
                </c:pt>
                <c:pt idx="3728">
                  <c:v>40313.222916666666</c:v>
                </c:pt>
                <c:pt idx="3729">
                  <c:v>40313.223611111112</c:v>
                </c:pt>
                <c:pt idx="3730">
                  <c:v>40313.224305555559</c:v>
                </c:pt>
                <c:pt idx="3731">
                  <c:v>40313.224999999999</c:v>
                </c:pt>
                <c:pt idx="3732">
                  <c:v>40313.225694444445</c:v>
                </c:pt>
                <c:pt idx="3733">
                  <c:v>40313.226388888892</c:v>
                </c:pt>
                <c:pt idx="3734">
                  <c:v>40313.227083333331</c:v>
                </c:pt>
                <c:pt idx="3735">
                  <c:v>40313.227777777778</c:v>
                </c:pt>
                <c:pt idx="3736">
                  <c:v>40313.228472222225</c:v>
                </c:pt>
                <c:pt idx="3737">
                  <c:v>40313.229166666664</c:v>
                </c:pt>
                <c:pt idx="3738">
                  <c:v>40313.229861111111</c:v>
                </c:pt>
                <c:pt idx="3739">
                  <c:v>40313.230555555558</c:v>
                </c:pt>
                <c:pt idx="3740">
                  <c:v>40313.231249999997</c:v>
                </c:pt>
                <c:pt idx="3741">
                  <c:v>40313.231944444444</c:v>
                </c:pt>
                <c:pt idx="3742">
                  <c:v>40313.232638888891</c:v>
                </c:pt>
                <c:pt idx="3743">
                  <c:v>40313.23333333333</c:v>
                </c:pt>
                <c:pt idx="3744">
                  <c:v>40313.234027777777</c:v>
                </c:pt>
                <c:pt idx="3745">
                  <c:v>40313.234722222223</c:v>
                </c:pt>
                <c:pt idx="3746">
                  <c:v>40313.23541666667</c:v>
                </c:pt>
                <c:pt idx="3747">
                  <c:v>40313.236111111109</c:v>
                </c:pt>
                <c:pt idx="3748">
                  <c:v>40313.236805555556</c:v>
                </c:pt>
                <c:pt idx="3749">
                  <c:v>40313.237500000003</c:v>
                </c:pt>
                <c:pt idx="3750">
                  <c:v>40313.238194444442</c:v>
                </c:pt>
                <c:pt idx="3751">
                  <c:v>40313.238888888889</c:v>
                </c:pt>
                <c:pt idx="3752">
                  <c:v>40313.239583333336</c:v>
                </c:pt>
                <c:pt idx="3753">
                  <c:v>40313.240277777775</c:v>
                </c:pt>
                <c:pt idx="3754">
                  <c:v>40313.240972222222</c:v>
                </c:pt>
                <c:pt idx="3755">
                  <c:v>40313.241666666669</c:v>
                </c:pt>
                <c:pt idx="3756">
                  <c:v>40313.242361111108</c:v>
                </c:pt>
                <c:pt idx="3757">
                  <c:v>40313.243055555555</c:v>
                </c:pt>
                <c:pt idx="3758">
                  <c:v>40313.243750000001</c:v>
                </c:pt>
                <c:pt idx="3759">
                  <c:v>40313.244444444441</c:v>
                </c:pt>
                <c:pt idx="3760">
                  <c:v>40313.245138888888</c:v>
                </c:pt>
                <c:pt idx="3761">
                  <c:v>40313.245833333334</c:v>
                </c:pt>
                <c:pt idx="3762">
                  <c:v>40313.246527777781</c:v>
                </c:pt>
                <c:pt idx="3763">
                  <c:v>40313.24722222222</c:v>
                </c:pt>
                <c:pt idx="3764">
                  <c:v>40313.247916666667</c:v>
                </c:pt>
                <c:pt idx="3765">
                  <c:v>40313.248611111114</c:v>
                </c:pt>
                <c:pt idx="3766">
                  <c:v>40313.249305555553</c:v>
                </c:pt>
                <c:pt idx="3767">
                  <c:v>40313.25</c:v>
                </c:pt>
                <c:pt idx="3768">
                  <c:v>40313.250694444447</c:v>
                </c:pt>
                <c:pt idx="3769">
                  <c:v>40313.251388888886</c:v>
                </c:pt>
                <c:pt idx="3770">
                  <c:v>40313.252083333333</c:v>
                </c:pt>
                <c:pt idx="3771">
                  <c:v>40313.25277777778</c:v>
                </c:pt>
                <c:pt idx="3772">
                  <c:v>40313.253472222219</c:v>
                </c:pt>
                <c:pt idx="3773">
                  <c:v>40313.254166666666</c:v>
                </c:pt>
                <c:pt idx="3774">
                  <c:v>40313.254861111112</c:v>
                </c:pt>
                <c:pt idx="3775">
                  <c:v>40313.255555555559</c:v>
                </c:pt>
                <c:pt idx="3776">
                  <c:v>40313.256249999999</c:v>
                </c:pt>
                <c:pt idx="3777">
                  <c:v>40313.256944444445</c:v>
                </c:pt>
                <c:pt idx="3778">
                  <c:v>40313.257638888892</c:v>
                </c:pt>
                <c:pt idx="3779">
                  <c:v>40313.258333333331</c:v>
                </c:pt>
                <c:pt idx="3780">
                  <c:v>40313.259027777778</c:v>
                </c:pt>
                <c:pt idx="3781">
                  <c:v>40313.259722222225</c:v>
                </c:pt>
                <c:pt idx="3782">
                  <c:v>40313.260416666664</c:v>
                </c:pt>
                <c:pt idx="3783">
                  <c:v>40313.261111111111</c:v>
                </c:pt>
                <c:pt idx="3784">
                  <c:v>40313.261805555558</c:v>
                </c:pt>
                <c:pt idx="3785">
                  <c:v>40313.262499999997</c:v>
                </c:pt>
                <c:pt idx="3786">
                  <c:v>40313.263194444444</c:v>
                </c:pt>
                <c:pt idx="3787">
                  <c:v>40313.263888888891</c:v>
                </c:pt>
                <c:pt idx="3788">
                  <c:v>40313.26458333333</c:v>
                </c:pt>
                <c:pt idx="3789">
                  <c:v>40313.265277777777</c:v>
                </c:pt>
                <c:pt idx="3790">
                  <c:v>40313.265972222223</c:v>
                </c:pt>
                <c:pt idx="3791">
                  <c:v>40313.26666666667</c:v>
                </c:pt>
                <c:pt idx="3792">
                  <c:v>40313.267361111109</c:v>
                </c:pt>
                <c:pt idx="3793">
                  <c:v>40313.268055555556</c:v>
                </c:pt>
                <c:pt idx="3794">
                  <c:v>40313.268750000003</c:v>
                </c:pt>
                <c:pt idx="3795">
                  <c:v>40313.269444444442</c:v>
                </c:pt>
                <c:pt idx="3796">
                  <c:v>40313.270138888889</c:v>
                </c:pt>
                <c:pt idx="3797">
                  <c:v>40313.270833333336</c:v>
                </c:pt>
                <c:pt idx="3798">
                  <c:v>40313.271527777775</c:v>
                </c:pt>
                <c:pt idx="3799">
                  <c:v>40313.272222222222</c:v>
                </c:pt>
                <c:pt idx="3800">
                  <c:v>40313.272916666669</c:v>
                </c:pt>
                <c:pt idx="3801">
                  <c:v>40313.273611111108</c:v>
                </c:pt>
                <c:pt idx="3802">
                  <c:v>40313.274305555555</c:v>
                </c:pt>
                <c:pt idx="3803">
                  <c:v>40313.275000000001</c:v>
                </c:pt>
                <c:pt idx="3804">
                  <c:v>40313.275694444441</c:v>
                </c:pt>
                <c:pt idx="3805">
                  <c:v>40313.276388888888</c:v>
                </c:pt>
                <c:pt idx="3806">
                  <c:v>40313.277083333334</c:v>
                </c:pt>
                <c:pt idx="3807">
                  <c:v>40313.277777777781</c:v>
                </c:pt>
                <c:pt idx="3808">
                  <c:v>40313.27847222222</c:v>
                </c:pt>
                <c:pt idx="3809">
                  <c:v>40313.279166666667</c:v>
                </c:pt>
                <c:pt idx="3810">
                  <c:v>40313.279861111114</c:v>
                </c:pt>
                <c:pt idx="3811">
                  <c:v>40313.280555555553</c:v>
                </c:pt>
                <c:pt idx="3812">
                  <c:v>40313.28125</c:v>
                </c:pt>
                <c:pt idx="3813">
                  <c:v>40313.281944444447</c:v>
                </c:pt>
                <c:pt idx="3814">
                  <c:v>40313.282638888886</c:v>
                </c:pt>
                <c:pt idx="3815">
                  <c:v>40313.283333333333</c:v>
                </c:pt>
                <c:pt idx="3816">
                  <c:v>40313.28402777778</c:v>
                </c:pt>
                <c:pt idx="3817">
                  <c:v>40313.284722222219</c:v>
                </c:pt>
                <c:pt idx="3818">
                  <c:v>40313.285416666666</c:v>
                </c:pt>
                <c:pt idx="3819">
                  <c:v>40313.286111111112</c:v>
                </c:pt>
                <c:pt idx="3820">
                  <c:v>40313.286805555559</c:v>
                </c:pt>
                <c:pt idx="3821">
                  <c:v>40313.287499999999</c:v>
                </c:pt>
                <c:pt idx="3822">
                  <c:v>40313.288194444445</c:v>
                </c:pt>
                <c:pt idx="3823">
                  <c:v>40313.288888888892</c:v>
                </c:pt>
                <c:pt idx="3824">
                  <c:v>40313.289583333331</c:v>
                </c:pt>
                <c:pt idx="3825">
                  <c:v>40313.290277777778</c:v>
                </c:pt>
                <c:pt idx="3826">
                  <c:v>40313.290972222225</c:v>
                </c:pt>
                <c:pt idx="3827">
                  <c:v>40313.291666666664</c:v>
                </c:pt>
                <c:pt idx="3828">
                  <c:v>40313.292361111111</c:v>
                </c:pt>
                <c:pt idx="3829">
                  <c:v>40313.293055555558</c:v>
                </c:pt>
                <c:pt idx="3830">
                  <c:v>40313.293749999997</c:v>
                </c:pt>
                <c:pt idx="3831">
                  <c:v>40313.294444444444</c:v>
                </c:pt>
                <c:pt idx="3832">
                  <c:v>40313.295138888891</c:v>
                </c:pt>
                <c:pt idx="3833">
                  <c:v>40313.29583333333</c:v>
                </c:pt>
                <c:pt idx="3834">
                  <c:v>40313.296527777777</c:v>
                </c:pt>
                <c:pt idx="3835">
                  <c:v>40313.297222222223</c:v>
                </c:pt>
                <c:pt idx="3836">
                  <c:v>40313.29791666667</c:v>
                </c:pt>
                <c:pt idx="3837">
                  <c:v>40313.298611111109</c:v>
                </c:pt>
                <c:pt idx="3838">
                  <c:v>40313.299305555556</c:v>
                </c:pt>
                <c:pt idx="3839">
                  <c:v>40313.300000000003</c:v>
                </c:pt>
                <c:pt idx="3840">
                  <c:v>40313.300694444442</c:v>
                </c:pt>
                <c:pt idx="3841">
                  <c:v>40313.301388888889</c:v>
                </c:pt>
                <c:pt idx="3842">
                  <c:v>40313.302083333336</c:v>
                </c:pt>
                <c:pt idx="3843">
                  <c:v>40313.302777777775</c:v>
                </c:pt>
                <c:pt idx="3844">
                  <c:v>40313.303472222222</c:v>
                </c:pt>
                <c:pt idx="3845">
                  <c:v>40313.304166666669</c:v>
                </c:pt>
                <c:pt idx="3846">
                  <c:v>40313.304861111108</c:v>
                </c:pt>
                <c:pt idx="3847">
                  <c:v>40313.305555555555</c:v>
                </c:pt>
                <c:pt idx="3848">
                  <c:v>40313.306250000001</c:v>
                </c:pt>
                <c:pt idx="3849">
                  <c:v>40313.306944444441</c:v>
                </c:pt>
                <c:pt idx="3850">
                  <c:v>40313.307638888888</c:v>
                </c:pt>
                <c:pt idx="3851">
                  <c:v>40313.308333333334</c:v>
                </c:pt>
                <c:pt idx="3852">
                  <c:v>40313.309027777781</c:v>
                </c:pt>
                <c:pt idx="3853">
                  <c:v>40313.30972222222</c:v>
                </c:pt>
                <c:pt idx="3854">
                  <c:v>40313.310416666667</c:v>
                </c:pt>
                <c:pt idx="3855">
                  <c:v>40313.311111111114</c:v>
                </c:pt>
                <c:pt idx="3856">
                  <c:v>40313.311805555553</c:v>
                </c:pt>
                <c:pt idx="3857">
                  <c:v>40313.3125</c:v>
                </c:pt>
                <c:pt idx="3858">
                  <c:v>40313.313194444447</c:v>
                </c:pt>
                <c:pt idx="3859">
                  <c:v>40313.313888888886</c:v>
                </c:pt>
                <c:pt idx="3860">
                  <c:v>40313.314583333333</c:v>
                </c:pt>
                <c:pt idx="3861">
                  <c:v>40313.31527777778</c:v>
                </c:pt>
                <c:pt idx="3862">
                  <c:v>40313.315972222219</c:v>
                </c:pt>
                <c:pt idx="3863">
                  <c:v>40313.316666666666</c:v>
                </c:pt>
                <c:pt idx="3864">
                  <c:v>40313.317361111112</c:v>
                </c:pt>
                <c:pt idx="3865">
                  <c:v>40313.318055555559</c:v>
                </c:pt>
                <c:pt idx="3866">
                  <c:v>40313.318749999999</c:v>
                </c:pt>
                <c:pt idx="3867">
                  <c:v>40313.319444444445</c:v>
                </c:pt>
                <c:pt idx="3868">
                  <c:v>40313.320138888892</c:v>
                </c:pt>
                <c:pt idx="3869">
                  <c:v>40313.320833333331</c:v>
                </c:pt>
                <c:pt idx="3870">
                  <c:v>40313.321527777778</c:v>
                </c:pt>
                <c:pt idx="3871">
                  <c:v>40313.322222222225</c:v>
                </c:pt>
                <c:pt idx="3872">
                  <c:v>40313.322916666664</c:v>
                </c:pt>
                <c:pt idx="3873">
                  <c:v>40313.323611111111</c:v>
                </c:pt>
                <c:pt idx="3874">
                  <c:v>40313.324305555558</c:v>
                </c:pt>
                <c:pt idx="3875">
                  <c:v>40313.324999999997</c:v>
                </c:pt>
                <c:pt idx="3876">
                  <c:v>40313.325694444444</c:v>
                </c:pt>
                <c:pt idx="3877">
                  <c:v>40313.326388888891</c:v>
                </c:pt>
                <c:pt idx="3878">
                  <c:v>40313.32708333333</c:v>
                </c:pt>
                <c:pt idx="3879">
                  <c:v>40313.327777777777</c:v>
                </c:pt>
                <c:pt idx="3880">
                  <c:v>40313.328472222223</c:v>
                </c:pt>
                <c:pt idx="3881">
                  <c:v>40313.32916666667</c:v>
                </c:pt>
                <c:pt idx="3882">
                  <c:v>40313.329861111109</c:v>
                </c:pt>
                <c:pt idx="3883">
                  <c:v>40313.330555555556</c:v>
                </c:pt>
                <c:pt idx="3884">
                  <c:v>40313.331250000003</c:v>
                </c:pt>
                <c:pt idx="3885">
                  <c:v>40313.331944444442</c:v>
                </c:pt>
                <c:pt idx="3886">
                  <c:v>40313.332638888889</c:v>
                </c:pt>
                <c:pt idx="3887">
                  <c:v>40313.333333333336</c:v>
                </c:pt>
                <c:pt idx="3888">
                  <c:v>40313.334027777775</c:v>
                </c:pt>
                <c:pt idx="3889">
                  <c:v>40313.334722222222</c:v>
                </c:pt>
                <c:pt idx="3890">
                  <c:v>40313.335416666669</c:v>
                </c:pt>
                <c:pt idx="3891">
                  <c:v>40313.336111111108</c:v>
                </c:pt>
                <c:pt idx="3892">
                  <c:v>40313.336805555555</c:v>
                </c:pt>
                <c:pt idx="3893">
                  <c:v>40313.337500000001</c:v>
                </c:pt>
                <c:pt idx="3894">
                  <c:v>40313.338194444441</c:v>
                </c:pt>
                <c:pt idx="3895">
                  <c:v>40313.338888888888</c:v>
                </c:pt>
                <c:pt idx="3896">
                  <c:v>40313.339583333334</c:v>
                </c:pt>
                <c:pt idx="3897">
                  <c:v>40313.340277777781</c:v>
                </c:pt>
                <c:pt idx="3898">
                  <c:v>40313.34097222222</c:v>
                </c:pt>
                <c:pt idx="3899">
                  <c:v>40313.341666666667</c:v>
                </c:pt>
                <c:pt idx="3900">
                  <c:v>40313.342361111114</c:v>
                </c:pt>
                <c:pt idx="3901">
                  <c:v>40313.343055555553</c:v>
                </c:pt>
                <c:pt idx="3902">
                  <c:v>40313.34375</c:v>
                </c:pt>
                <c:pt idx="3903">
                  <c:v>40313.344444444447</c:v>
                </c:pt>
                <c:pt idx="3904">
                  <c:v>40313.345138888886</c:v>
                </c:pt>
                <c:pt idx="3905">
                  <c:v>40313.345833333333</c:v>
                </c:pt>
                <c:pt idx="3906">
                  <c:v>40313.34652777778</c:v>
                </c:pt>
                <c:pt idx="3907">
                  <c:v>40313.347222222219</c:v>
                </c:pt>
                <c:pt idx="3908">
                  <c:v>40313.347916666666</c:v>
                </c:pt>
                <c:pt idx="3909">
                  <c:v>40313.348611111112</c:v>
                </c:pt>
                <c:pt idx="3910">
                  <c:v>40313.349305555559</c:v>
                </c:pt>
                <c:pt idx="3911">
                  <c:v>40313.35</c:v>
                </c:pt>
                <c:pt idx="3912">
                  <c:v>40313.350694444445</c:v>
                </c:pt>
                <c:pt idx="3913">
                  <c:v>40313.351388888892</c:v>
                </c:pt>
                <c:pt idx="3914">
                  <c:v>40313.352083333331</c:v>
                </c:pt>
                <c:pt idx="3915">
                  <c:v>40313.352777777778</c:v>
                </c:pt>
                <c:pt idx="3916">
                  <c:v>40313.353472222225</c:v>
                </c:pt>
                <c:pt idx="3917">
                  <c:v>40313.354166666664</c:v>
                </c:pt>
                <c:pt idx="3918">
                  <c:v>40313.354861111111</c:v>
                </c:pt>
                <c:pt idx="3919">
                  <c:v>40313.355555555558</c:v>
                </c:pt>
                <c:pt idx="3920">
                  <c:v>40313.356249999997</c:v>
                </c:pt>
                <c:pt idx="3921">
                  <c:v>40313.356944444444</c:v>
                </c:pt>
                <c:pt idx="3922">
                  <c:v>40313.357638888891</c:v>
                </c:pt>
                <c:pt idx="3923">
                  <c:v>40313.35833333333</c:v>
                </c:pt>
                <c:pt idx="3924">
                  <c:v>40313.359027777777</c:v>
                </c:pt>
                <c:pt idx="3925">
                  <c:v>40313.359722222223</c:v>
                </c:pt>
                <c:pt idx="3926">
                  <c:v>40313.36041666667</c:v>
                </c:pt>
                <c:pt idx="3927">
                  <c:v>40313.361111111109</c:v>
                </c:pt>
                <c:pt idx="3928">
                  <c:v>40313.361805555556</c:v>
                </c:pt>
                <c:pt idx="3929">
                  <c:v>40313.362500000003</c:v>
                </c:pt>
                <c:pt idx="3930">
                  <c:v>40313.363194444442</c:v>
                </c:pt>
                <c:pt idx="3931">
                  <c:v>40313.363888888889</c:v>
                </c:pt>
                <c:pt idx="3932">
                  <c:v>40313.364583333336</c:v>
                </c:pt>
                <c:pt idx="3933">
                  <c:v>40313.365277777775</c:v>
                </c:pt>
                <c:pt idx="3934">
                  <c:v>40313.365972222222</c:v>
                </c:pt>
                <c:pt idx="3935">
                  <c:v>40313.366666666669</c:v>
                </c:pt>
                <c:pt idx="3936">
                  <c:v>40313.367361111108</c:v>
                </c:pt>
                <c:pt idx="3937">
                  <c:v>40313.368055555555</c:v>
                </c:pt>
                <c:pt idx="3938">
                  <c:v>40313.368750000001</c:v>
                </c:pt>
                <c:pt idx="3939">
                  <c:v>40313.369444444441</c:v>
                </c:pt>
                <c:pt idx="3940">
                  <c:v>40313.370138888888</c:v>
                </c:pt>
                <c:pt idx="3941">
                  <c:v>40313.370833333334</c:v>
                </c:pt>
                <c:pt idx="3942">
                  <c:v>40313.371527777781</c:v>
                </c:pt>
                <c:pt idx="3943">
                  <c:v>40313.37222222222</c:v>
                </c:pt>
                <c:pt idx="3944">
                  <c:v>40313.372916666667</c:v>
                </c:pt>
                <c:pt idx="3945">
                  <c:v>40313.373611111114</c:v>
                </c:pt>
                <c:pt idx="3946">
                  <c:v>40313.374305555553</c:v>
                </c:pt>
                <c:pt idx="3947">
                  <c:v>40313.375</c:v>
                </c:pt>
                <c:pt idx="3948">
                  <c:v>40313.375694444447</c:v>
                </c:pt>
                <c:pt idx="3949">
                  <c:v>40313.376388888886</c:v>
                </c:pt>
                <c:pt idx="3950">
                  <c:v>40313.377083333333</c:v>
                </c:pt>
                <c:pt idx="3951">
                  <c:v>40313.37777777778</c:v>
                </c:pt>
                <c:pt idx="3952">
                  <c:v>40313.378472222219</c:v>
                </c:pt>
                <c:pt idx="3953">
                  <c:v>40313.379166666666</c:v>
                </c:pt>
                <c:pt idx="3954">
                  <c:v>40313.379861111112</c:v>
                </c:pt>
                <c:pt idx="3955">
                  <c:v>40313.380555555559</c:v>
                </c:pt>
                <c:pt idx="3956">
                  <c:v>40313.381249999999</c:v>
                </c:pt>
                <c:pt idx="3957">
                  <c:v>40313.381944444445</c:v>
                </c:pt>
                <c:pt idx="3958">
                  <c:v>40313.382638888892</c:v>
                </c:pt>
                <c:pt idx="3959">
                  <c:v>40313.383333333331</c:v>
                </c:pt>
                <c:pt idx="3960">
                  <c:v>40313.384027777778</c:v>
                </c:pt>
                <c:pt idx="3961">
                  <c:v>40313.384722222225</c:v>
                </c:pt>
                <c:pt idx="3962">
                  <c:v>40313.385416666664</c:v>
                </c:pt>
                <c:pt idx="3963">
                  <c:v>40313.386111111111</c:v>
                </c:pt>
                <c:pt idx="3964">
                  <c:v>40313.386805555558</c:v>
                </c:pt>
                <c:pt idx="3965">
                  <c:v>40313.387499999997</c:v>
                </c:pt>
                <c:pt idx="3966">
                  <c:v>40313.388194444444</c:v>
                </c:pt>
                <c:pt idx="3967">
                  <c:v>40313.388888888891</c:v>
                </c:pt>
                <c:pt idx="3968">
                  <c:v>40313.38958333333</c:v>
                </c:pt>
                <c:pt idx="3969">
                  <c:v>40313.390277777777</c:v>
                </c:pt>
                <c:pt idx="3970">
                  <c:v>40313.390972222223</c:v>
                </c:pt>
                <c:pt idx="3971">
                  <c:v>40313.39166666667</c:v>
                </c:pt>
                <c:pt idx="3972">
                  <c:v>40313.392361111109</c:v>
                </c:pt>
                <c:pt idx="3973">
                  <c:v>40313.393055555556</c:v>
                </c:pt>
                <c:pt idx="3974">
                  <c:v>40313.393750000003</c:v>
                </c:pt>
                <c:pt idx="3975">
                  <c:v>40313.394444444442</c:v>
                </c:pt>
                <c:pt idx="3976">
                  <c:v>40313.395138888889</c:v>
                </c:pt>
                <c:pt idx="3977">
                  <c:v>40313.395833333336</c:v>
                </c:pt>
                <c:pt idx="3978">
                  <c:v>40313.396527777775</c:v>
                </c:pt>
                <c:pt idx="3979">
                  <c:v>40313.397222222222</c:v>
                </c:pt>
                <c:pt idx="3980">
                  <c:v>40313.397916666669</c:v>
                </c:pt>
                <c:pt idx="3981">
                  <c:v>40313.398611111108</c:v>
                </c:pt>
                <c:pt idx="3982">
                  <c:v>40313.399305555555</c:v>
                </c:pt>
                <c:pt idx="3983">
                  <c:v>40313.4</c:v>
                </c:pt>
                <c:pt idx="3984">
                  <c:v>40313.400694444441</c:v>
                </c:pt>
                <c:pt idx="3985">
                  <c:v>40313.401388888888</c:v>
                </c:pt>
                <c:pt idx="3986">
                  <c:v>40313.402083333334</c:v>
                </c:pt>
                <c:pt idx="3987">
                  <c:v>40313.402777777781</c:v>
                </c:pt>
                <c:pt idx="3988">
                  <c:v>40313.40347222222</c:v>
                </c:pt>
                <c:pt idx="3989">
                  <c:v>40313.404166666667</c:v>
                </c:pt>
                <c:pt idx="3990">
                  <c:v>40313.404861111114</c:v>
                </c:pt>
                <c:pt idx="3991">
                  <c:v>40313.405555555553</c:v>
                </c:pt>
                <c:pt idx="3992">
                  <c:v>40313.40625</c:v>
                </c:pt>
                <c:pt idx="3993">
                  <c:v>40313.406944444447</c:v>
                </c:pt>
                <c:pt idx="3994">
                  <c:v>40313.407638888886</c:v>
                </c:pt>
                <c:pt idx="3995">
                  <c:v>40313.408333333333</c:v>
                </c:pt>
                <c:pt idx="3996">
                  <c:v>40313.40902777778</c:v>
                </c:pt>
                <c:pt idx="3997">
                  <c:v>40313.409722222219</c:v>
                </c:pt>
                <c:pt idx="3998">
                  <c:v>40313.410416666666</c:v>
                </c:pt>
                <c:pt idx="3999">
                  <c:v>40313.411111111112</c:v>
                </c:pt>
                <c:pt idx="4000">
                  <c:v>40313.411805555559</c:v>
                </c:pt>
                <c:pt idx="4001">
                  <c:v>40313.412499999999</c:v>
                </c:pt>
                <c:pt idx="4002">
                  <c:v>40313.413194444445</c:v>
                </c:pt>
                <c:pt idx="4003">
                  <c:v>40313.413888888892</c:v>
                </c:pt>
                <c:pt idx="4004">
                  <c:v>40313.414583333331</c:v>
                </c:pt>
                <c:pt idx="4005">
                  <c:v>40313.415277777778</c:v>
                </c:pt>
                <c:pt idx="4006">
                  <c:v>40313.415972222225</c:v>
                </c:pt>
                <c:pt idx="4007">
                  <c:v>40313.416666666664</c:v>
                </c:pt>
                <c:pt idx="4008">
                  <c:v>40313.417361111111</c:v>
                </c:pt>
                <c:pt idx="4009">
                  <c:v>40313.418055555558</c:v>
                </c:pt>
                <c:pt idx="4010">
                  <c:v>40313.418749999997</c:v>
                </c:pt>
                <c:pt idx="4011">
                  <c:v>40313.419444444444</c:v>
                </c:pt>
                <c:pt idx="4012">
                  <c:v>40313.420138888891</c:v>
                </c:pt>
                <c:pt idx="4013">
                  <c:v>40313.42083333333</c:v>
                </c:pt>
                <c:pt idx="4014">
                  <c:v>40313.421527777777</c:v>
                </c:pt>
                <c:pt idx="4015">
                  <c:v>40313.422222222223</c:v>
                </c:pt>
                <c:pt idx="4016">
                  <c:v>40313.42291666667</c:v>
                </c:pt>
                <c:pt idx="4017">
                  <c:v>40313.423611111109</c:v>
                </c:pt>
                <c:pt idx="4018">
                  <c:v>40313.424305555556</c:v>
                </c:pt>
                <c:pt idx="4019">
                  <c:v>40313.425000000003</c:v>
                </c:pt>
                <c:pt idx="4020">
                  <c:v>40313.425694444442</c:v>
                </c:pt>
                <c:pt idx="4021">
                  <c:v>40313.426388888889</c:v>
                </c:pt>
                <c:pt idx="4022">
                  <c:v>40313.427083333336</c:v>
                </c:pt>
                <c:pt idx="4023">
                  <c:v>40313.427777777775</c:v>
                </c:pt>
                <c:pt idx="4024">
                  <c:v>40313.428472222222</c:v>
                </c:pt>
                <c:pt idx="4025">
                  <c:v>40313.429166666669</c:v>
                </c:pt>
                <c:pt idx="4026">
                  <c:v>40313.429861111108</c:v>
                </c:pt>
                <c:pt idx="4027">
                  <c:v>40313.430555555555</c:v>
                </c:pt>
                <c:pt idx="4028">
                  <c:v>40313.431250000001</c:v>
                </c:pt>
                <c:pt idx="4029">
                  <c:v>40313.431944444441</c:v>
                </c:pt>
                <c:pt idx="4030">
                  <c:v>40313.432638888888</c:v>
                </c:pt>
                <c:pt idx="4031">
                  <c:v>40313.433333333334</c:v>
                </c:pt>
                <c:pt idx="4032">
                  <c:v>40313.434027777781</c:v>
                </c:pt>
                <c:pt idx="4033">
                  <c:v>40313.43472222222</c:v>
                </c:pt>
                <c:pt idx="4034">
                  <c:v>40313.435416666667</c:v>
                </c:pt>
                <c:pt idx="4035">
                  <c:v>40313.436111111114</c:v>
                </c:pt>
                <c:pt idx="4036">
                  <c:v>40313.436805555553</c:v>
                </c:pt>
                <c:pt idx="4037">
                  <c:v>40313.4375</c:v>
                </c:pt>
                <c:pt idx="4038">
                  <c:v>40313.438194444447</c:v>
                </c:pt>
                <c:pt idx="4039">
                  <c:v>40313.438888888886</c:v>
                </c:pt>
                <c:pt idx="4040">
                  <c:v>40313.439583333333</c:v>
                </c:pt>
                <c:pt idx="4041">
                  <c:v>40313.44027777778</c:v>
                </c:pt>
                <c:pt idx="4042">
                  <c:v>40313.440972222219</c:v>
                </c:pt>
                <c:pt idx="4043">
                  <c:v>40313.441666666666</c:v>
                </c:pt>
                <c:pt idx="4044">
                  <c:v>40313.442361111112</c:v>
                </c:pt>
                <c:pt idx="4045">
                  <c:v>40313.443055555559</c:v>
                </c:pt>
                <c:pt idx="4046">
                  <c:v>40313.443749999999</c:v>
                </c:pt>
                <c:pt idx="4047">
                  <c:v>40313.444444444445</c:v>
                </c:pt>
                <c:pt idx="4048">
                  <c:v>40313.445138888892</c:v>
                </c:pt>
                <c:pt idx="4049">
                  <c:v>40313.445833333331</c:v>
                </c:pt>
                <c:pt idx="4050">
                  <c:v>40313.446527777778</c:v>
                </c:pt>
                <c:pt idx="4051">
                  <c:v>40313.447222222225</c:v>
                </c:pt>
                <c:pt idx="4052">
                  <c:v>40313.447916666664</c:v>
                </c:pt>
                <c:pt idx="4053">
                  <c:v>40313.448611111111</c:v>
                </c:pt>
                <c:pt idx="4054">
                  <c:v>40313.449305555558</c:v>
                </c:pt>
                <c:pt idx="4055">
                  <c:v>40313.449999999997</c:v>
                </c:pt>
                <c:pt idx="4056">
                  <c:v>40313.450694444444</c:v>
                </c:pt>
                <c:pt idx="4057">
                  <c:v>40313.451388888891</c:v>
                </c:pt>
                <c:pt idx="4058">
                  <c:v>40313.45208333333</c:v>
                </c:pt>
                <c:pt idx="4059">
                  <c:v>40313.452777777777</c:v>
                </c:pt>
                <c:pt idx="4060">
                  <c:v>40313.453472222223</c:v>
                </c:pt>
                <c:pt idx="4061">
                  <c:v>40313.45416666667</c:v>
                </c:pt>
                <c:pt idx="4062">
                  <c:v>40313.454861111109</c:v>
                </c:pt>
                <c:pt idx="4063">
                  <c:v>40313.455555555556</c:v>
                </c:pt>
                <c:pt idx="4064">
                  <c:v>40313.456250000003</c:v>
                </c:pt>
                <c:pt idx="4065">
                  <c:v>40313.456944444442</c:v>
                </c:pt>
                <c:pt idx="4066">
                  <c:v>40313.457638888889</c:v>
                </c:pt>
                <c:pt idx="4067">
                  <c:v>40313.458333333336</c:v>
                </c:pt>
                <c:pt idx="4068">
                  <c:v>40313.459027777775</c:v>
                </c:pt>
                <c:pt idx="4069">
                  <c:v>40313.459722222222</c:v>
                </c:pt>
                <c:pt idx="4070">
                  <c:v>40313.460416666669</c:v>
                </c:pt>
                <c:pt idx="4071">
                  <c:v>40313.461111111108</c:v>
                </c:pt>
                <c:pt idx="4072">
                  <c:v>40313.461805555555</c:v>
                </c:pt>
                <c:pt idx="4073">
                  <c:v>40313.462500000001</c:v>
                </c:pt>
                <c:pt idx="4074">
                  <c:v>40313.463194444441</c:v>
                </c:pt>
                <c:pt idx="4075">
                  <c:v>40313.463888888888</c:v>
                </c:pt>
                <c:pt idx="4076">
                  <c:v>40313.464583333334</c:v>
                </c:pt>
                <c:pt idx="4077">
                  <c:v>40313.465277777781</c:v>
                </c:pt>
                <c:pt idx="4078">
                  <c:v>40313.46597222222</c:v>
                </c:pt>
                <c:pt idx="4079">
                  <c:v>40313.466666666667</c:v>
                </c:pt>
                <c:pt idx="4080">
                  <c:v>40313.467361111114</c:v>
                </c:pt>
                <c:pt idx="4081">
                  <c:v>40313.468055555553</c:v>
                </c:pt>
                <c:pt idx="4082">
                  <c:v>40313.46875</c:v>
                </c:pt>
                <c:pt idx="4083">
                  <c:v>40313.469444444447</c:v>
                </c:pt>
                <c:pt idx="4084">
                  <c:v>40313.470138888886</c:v>
                </c:pt>
                <c:pt idx="4085">
                  <c:v>40313.470833333333</c:v>
                </c:pt>
                <c:pt idx="4086">
                  <c:v>40313.47152777778</c:v>
                </c:pt>
                <c:pt idx="4087">
                  <c:v>40313.472222222219</c:v>
                </c:pt>
                <c:pt idx="4088">
                  <c:v>40313.472916666666</c:v>
                </c:pt>
                <c:pt idx="4089">
                  <c:v>40313.473611111112</c:v>
                </c:pt>
                <c:pt idx="4090">
                  <c:v>40313.474305555559</c:v>
                </c:pt>
                <c:pt idx="4091">
                  <c:v>40313.474999999999</c:v>
                </c:pt>
                <c:pt idx="4092">
                  <c:v>40313.475694444445</c:v>
                </c:pt>
                <c:pt idx="4093">
                  <c:v>40313.476388888892</c:v>
                </c:pt>
                <c:pt idx="4094">
                  <c:v>40313.477083333331</c:v>
                </c:pt>
                <c:pt idx="4095">
                  <c:v>40313.477777777778</c:v>
                </c:pt>
                <c:pt idx="4096">
                  <c:v>40313.478472222225</c:v>
                </c:pt>
                <c:pt idx="4097">
                  <c:v>40313.479166666664</c:v>
                </c:pt>
                <c:pt idx="4098">
                  <c:v>40313.479861111111</c:v>
                </c:pt>
                <c:pt idx="4099">
                  <c:v>40313.480555555558</c:v>
                </c:pt>
                <c:pt idx="4100">
                  <c:v>40313.481249999997</c:v>
                </c:pt>
                <c:pt idx="4101">
                  <c:v>40313.481944444444</c:v>
                </c:pt>
                <c:pt idx="4102">
                  <c:v>40313.482638888891</c:v>
                </c:pt>
                <c:pt idx="4103">
                  <c:v>40313.48333333333</c:v>
                </c:pt>
                <c:pt idx="4104">
                  <c:v>40313.484027777777</c:v>
                </c:pt>
                <c:pt idx="4105">
                  <c:v>40313.484722222223</c:v>
                </c:pt>
                <c:pt idx="4106">
                  <c:v>40313.48541666667</c:v>
                </c:pt>
                <c:pt idx="4107">
                  <c:v>40313.486111111109</c:v>
                </c:pt>
                <c:pt idx="4108">
                  <c:v>40313.486805555556</c:v>
                </c:pt>
                <c:pt idx="4109">
                  <c:v>40313.487500000003</c:v>
                </c:pt>
                <c:pt idx="4110">
                  <c:v>40313.488194444442</c:v>
                </c:pt>
                <c:pt idx="4111">
                  <c:v>40313.488888888889</c:v>
                </c:pt>
                <c:pt idx="4112">
                  <c:v>40313.489583333336</c:v>
                </c:pt>
                <c:pt idx="4113">
                  <c:v>40313.490277777775</c:v>
                </c:pt>
                <c:pt idx="4114">
                  <c:v>40313.490972222222</c:v>
                </c:pt>
                <c:pt idx="4115">
                  <c:v>40313.491666666669</c:v>
                </c:pt>
                <c:pt idx="4116">
                  <c:v>40313.492361111108</c:v>
                </c:pt>
                <c:pt idx="4117">
                  <c:v>40313.493055555555</c:v>
                </c:pt>
                <c:pt idx="4118">
                  <c:v>40313.493750000001</c:v>
                </c:pt>
                <c:pt idx="4119">
                  <c:v>40313.494444444441</c:v>
                </c:pt>
                <c:pt idx="4120">
                  <c:v>40313.495138888888</c:v>
                </c:pt>
                <c:pt idx="4121">
                  <c:v>40313.495833333334</c:v>
                </c:pt>
                <c:pt idx="4122">
                  <c:v>40313.496527777781</c:v>
                </c:pt>
                <c:pt idx="4123">
                  <c:v>40313.49722222222</c:v>
                </c:pt>
                <c:pt idx="4124">
                  <c:v>40313.497916666667</c:v>
                </c:pt>
                <c:pt idx="4125">
                  <c:v>40313.498611111114</c:v>
                </c:pt>
                <c:pt idx="4126">
                  <c:v>40313.499305555553</c:v>
                </c:pt>
                <c:pt idx="4127">
                  <c:v>40313.5</c:v>
                </c:pt>
                <c:pt idx="4128">
                  <c:v>40313.500694444447</c:v>
                </c:pt>
                <c:pt idx="4129">
                  <c:v>40313.501388888886</c:v>
                </c:pt>
                <c:pt idx="4130">
                  <c:v>40313.502083333333</c:v>
                </c:pt>
                <c:pt idx="4131">
                  <c:v>40313.50277777778</c:v>
                </c:pt>
                <c:pt idx="4132">
                  <c:v>40313.503472222219</c:v>
                </c:pt>
                <c:pt idx="4133">
                  <c:v>40313.504166666666</c:v>
                </c:pt>
                <c:pt idx="4134">
                  <c:v>40313.504861111112</c:v>
                </c:pt>
                <c:pt idx="4135">
                  <c:v>40313.505555555559</c:v>
                </c:pt>
                <c:pt idx="4136">
                  <c:v>40313.506249999999</c:v>
                </c:pt>
                <c:pt idx="4137">
                  <c:v>40313.506944444445</c:v>
                </c:pt>
                <c:pt idx="4138">
                  <c:v>40313.507638888892</c:v>
                </c:pt>
                <c:pt idx="4139">
                  <c:v>40313.508333333331</c:v>
                </c:pt>
                <c:pt idx="4140">
                  <c:v>40313.509027777778</c:v>
                </c:pt>
                <c:pt idx="4141">
                  <c:v>40313.509722222225</c:v>
                </c:pt>
                <c:pt idx="4142">
                  <c:v>40313.510416666664</c:v>
                </c:pt>
                <c:pt idx="4143">
                  <c:v>40313.511111111111</c:v>
                </c:pt>
                <c:pt idx="4144">
                  <c:v>40313.511805555558</c:v>
                </c:pt>
                <c:pt idx="4145">
                  <c:v>40313.512499999997</c:v>
                </c:pt>
                <c:pt idx="4146">
                  <c:v>40313.513194444444</c:v>
                </c:pt>
                <c:pt idx="4147">
                  <c:v>40313.513888888891</c:v>
                </c:pt>
                <c:pt idx="4148">
                  <c:v>40313.51458333333</c:v>
                </c:pt>
                <c:pt idx="4149">
                  <c:v>40313.515277777777</c:v>
                </c:pt>
                <c:pt idx="4150">
                  <c:v>40313.515972222223</c:v>
                </c:pt>
                <c:pt idx="4151">
                  <c:v>40313.51666666667</c:v>
                </c:pt>
                <c:pt idx="4152">
                  <c:v>40313.517361111109</c:v>
                </c:pt>
                <c:pt idx="4153">
                  <c:v>40313.518055555556</c:v>
                </c:pt>
                <c:pt idx="4154">
                  <c:v>40313.518750000003</c:v>
                </c:pt>
                <c:pt idx="4155">
                  <c:v>40313.519444444442</c:v>
                </c:pt>
                <c:pt idx="4156">
                  <c:v>40313.520138888889</c:v>
                </c:pt>
                <c:pt idx="4157">
                  <c:v>40313.520833333336</c:v>
                </c:pt>
                <c:pt idx="4158">
                  <c:v>40313.521527777775</c:v>
                </c:pt>
                <c:pt idx="4159">
                  <c:v>40313.522222222222</c:v>
                </c:pt>
                <c:pt idx="4160">
                  <c:v>40313.522916666669</c:v>
                </c:pt>
                <c:pt idx="4161">
                  <c:v>40313.523611111108</c:v>
                </c:pt>
                <c:pt idx="4162">
                  <c:v>40313.524305555555</c:v>
                </c:pt>
                <c:pt idx="4163">
                  <c:v>40313.525000000001</c:v>
                </c:pt>
                <c:pt idx="4164">
                  <c:v>40313.525694444441</c:v>
                </c:pt>
                <c:pt idx="4165">
                  <c:v>40313.526388888888</c:v>
                </c:pt>
                <c:pt idx="4166">
                  <c:v>40313.527083333334</c:v>
                </c:pt>
                <c:pt idx="4167">
                  <c:v>40313.527777777781</c:v>
                </c:pt>
                <c:pt idx="4168">
                  <c:v>40313.52847222222</c:v>
                </c:pt>
                <c:pt idx="4169">
                  <c:v>40313.529166666667</c:v>
                </c:pt>
                <c:pt idx="4170">
                  <c:v>40313.529861111114</c:v>
                </c:pt>
                <c:pt idx="4171">
                  <c:v>40313.530555555553</c:v>
                </c:pt>
                <c:pt idx="4172">
                  <c:v>40313.53125</c:v>
                </c:pt>
                <c:pt idx="4173">
                  <c:v>40313.531944444447</c:v>
                </c:pt>
                <c:pt idx="4174">
                  <c:v>40313.532638888886</c:v>
                </c:pt>
                <c:pt idx="4175">
                  <c:v>40313.533333333333</c:v>
                </c:pt>
                <c:pt idx="4176">
                  <c:v>40313.53402777778</c:v>
                </c:pt>
                <c:pt idx="4177">
                  <c:v>40313.534722222219</c:v>
                </c:pt>
                <c:pt idx="4178">
                  <c:v>40313.535416666666</c:v>
                </c:pt>
                <c:pt idx="4179">
                  <c:v>40313.536111111112</c:v>
                </c:pt>
                <c:pt idx="4180">
                  <c:v>40313.536805555559</c:v>
                </c:pt>
                <c:pt idx="4181">
                  <c:v>40313.537499999999</c:v>
                </c:pt>
                <c:pt idx="4182">
                  <c:v>40313.538194444445</c:v>
                </c:pt>
                <c:pt idx="4183">
                  <c:v>40313.538888888892</c:v>
                </c:pt>
                <c:pt idx="4184">
                  <c:v>40313.539583333331</c:v>
                </c:pt>
                <c:pt idx="4185">
                  <c:v>40313.540277777778</c:v>
                </c:pt>
                <c:pt idx="4186">
                  <c:v>40313.540972222225</c:v>
                </c:pt>
                <c:pt idx="4187">
                  <c:v>40313.541666666664</c:v>
                </c:pt>
                <c:pt idx="4188">
                  <c:v>40313.542361111111</c:v>
                </c:pt>
                <c:pt idx="4189">
                  <c:v>40313.543055555558</c:v>
                </c:pt>
                <c:pt idx="4190">
                  <c:v>40313.543749999997</c:v>
                </c:pt>
                <c:pt idx="4191">
                  <c:v>40313.544444444444</c:v>
                </c:pt>
                <c:pt idx="4192">
                  <c:v>40313.545138888891</c:v>
                </c:pt>
                <c:pt idx="4193">
                  <c:v>40313.54583333333</c:v>
                </c:pt>
                <c:pt idx="4194">
                  <c:v>40313.546527777777</c:v>
                </c:pt>
                <c:pt idx="4195">
                  <c:v>40313.547222222223</c:v>
                </c:pt>
                <c:pt idx="4196">
                  <c:v>40313.54791666667</c:v>
                </c:pt>
                <c:pt idx="4197">
                  <c:v>40313.548611111109</c:v>
                </c:pt>
                <c:pt idx="4198">
                  <c:v>40313.549305555556</c:v>
                </c:pt>
                <c:pt idx="4199">
                  <c:v>40313.550000000003</c:v>
                </c:pt>
                <c:pt idx="4200">
                  <c:v>40313.550694444442</c:v>
                </c:pt>
                <c:pt idx="4201">
                  <c:v>40313.551388888889</c:v>
                </c:pt>
                <c:pt idx="4202">
                  <c:v>40313.552083333336</c:v>
                </c:pt>
                <c:pt idx="4203">
                  <c:v>40313.552777777775</c:v>
                </c:pt>
                <c:pt idx="4204">
                  <c:v>40313.553472222222</c:v>
                </c:pt>
                <c:pt idx="4205">
                  <c:v>40313.554166666669</c:v>
                </c:pt>
                <c:pt idx="4206">
                  <c:v>40313.554861111108</c:v>
                </c:pt>
                <c:pt idx="4207">
                  <c:v>40313.555555555555</c:v>
                </c:pt>
                <c:pt idx="4208">
                  <c:v>40313.556250000001</c:v>
                </c:pt>
                <c:pt idx="4209">
                  <c:v>40313.556944444441</c:v>
                </c:pt>
                <c:pt idx="4210">
                  <c:v>40313.557638888888</c:v>
                </c:pt>
                <c:pt idx="4211">
                  <c:v>40313.558333333334</c:v>
                </c:pt>
                <c:pt idx="4212">
                  <c:v>40313.559027777781</c:v>
                </c:pt>
                <c:pt idx="4213">
                  <c:v>40313.55972222222</c:v>
                </c:pt>
                <c:pt idx="4214">
                  <c:v>40313.560416666667</c:v>
                </c:pt>
                <c:pt idx="4215">
                  <c:v>40313.561111111114</c:v>
                </c:pt>
                <c:pt idx="4216">
                  <c:v>40313.561805555553</c:v>
                </c:pt>
                <c:pt idx="4217">
                  <c:v>40313.5625</c:v>
                </c:pt>
                <c:pt idx="4218">
                  <c:v>40313.563194444447</c:v>
                </c:pt>
                <c:pt idx="4219">
                  <c:v>40313.563888888886</c:v>
                </c:pt>
                <c:pt idx="4220">
                  <c:v>40313.564583333333</c:v>
                </c:pt>
                <c:pt idx="4221">
                  <c:v>40313.56527777778</c:v>
                </c:pt>
                <c:pt idx="4222">
                  <c:v>40313.565972222219</c:v>
                </c:pt>
                <c:pt idx="4223">
                  <c:v>40313.566666666666</c:v>
                </c:pt>
                <c:pt idx="4224">
                  <c:v>40313.567361111112</c:v>
                </c:pt>
                <c:pt idx="4225">
                  <c:v>40313.568055555559</c:v>
                </c:pt>
                <c:pt idx="4226">
                  <c:v>40313.568749999999</c:v>
                </c:pt>
                <c:pt idx="4227">
                  <c:v>40313.569444444445</c:v>
                </c:pt>
                <c:pt idx="4228">
                  <c:v>40313.570138888892</c:v>
                </c:pt>
                <c:pt idx="4229">
                  <c:v>40313.570833333331</c:v>
                </c:pt>
                <c:pt idx="4230">
                  <c:v>40313.571527777778</c:v>
                </c:pt>
                <c:pt idx="4231">
                  <c:v>40313.572222222225</c:v>
                </c:pt>
                <c:pt idx="4232">
                  <c:v>40313.572916666664</c:v>
                </c:pt>
                <c:pt idx="4233">
                  <c:v>40313.573611111111</c:v>
                </c:pt>
                <c:pt idx="4234">
                  <c:v>40313.574305555558</c:v>
                </c:pt>
                <c:pt idx="4235">
                  <c:v>40313.574999999997</c:v>
                </c:pt>
                <c:pt idx="4236">
                  <c:v>40313.575694444444</c:v>
                </c:pt>
                <c:pt idx="4237">
                  <c:v>40313.576388888891</c:v>
                </c:pt>
                <c:pt idx="4238">
                  <c:v>40313.57708333333</c:v>
                </c:pt>
                <c:pt idx="4239">
                  <c:v>40313.577777777777</c:v>
                </c:pt>
                <c:pt idx="4240">
                  <c:v>40313.578472222223</c:v>
                </c:pt>
                <c:pt idx="4241">
                  <c:v>40313.57916666667</c:v>
                </c:pt>
                <c:pt idx="4242">
                  <c:v>40313.579861111109</c:v>
                </c:pt>
                <c:pt idx="4243">
                  <c:v>40313.580555555556</c:v>
                </c:pt>
                <c:pt idx="4244">
                  <c:v>40313.581250000003</c:v>
                </c:pt>
                <c:pt idx="4245">
                  <c:v>40313.581944444442</c:v>
                </c:pt>
                <c:pt idx="4246">
                  <c:v>40313.582638888889</c:v>
                </c:pt>
                <c:pt idx="4247">
                  <c:v>40313.583333333336</c:v>
                </c:pt>
                <c:pt idx="4248">
                  <c:v>40313.584027777775</c:v>
                </c:pt>
                <c:pt idx="4249">
                  <c:v>40313.584722222222</c:v>
                </c:pt>
                <c:pt idx="4250">
                  <c:v>40313.585416666669</c:v>
                </c:pt>
                <c:pt idx="4251">
                  <c:v>40313.586111111108</c:v>
                </c:pt>
                <c:pt idx="4252">
                  <c:v>40313.586805555555</c:v>
                </c:pt>
                <c:pt idx="4253">
                  <c:v>40313.587500000001</c:v>
                </c:pt>
                <c:pt idx="4254">
                  <c:v>40313.588194444441</c:v>
                </c:pt>
                <c:pt idx="4255">
                  <c:v>40313.588888888888</c:v>
                </c:pt>
                <c:pt idx="4256">
                  <c:v>40313.589583333334</c:v>
                </c:pt>
                <c:pt idx="4257">
                  <c:v>40313.590277777781</c:v>
                </c:pt>
                <c:pt idx="4258">
                  <c:v>40313.59097222222</c:v>
                </c:pt>
                <c:pt idx="4259">
                  <c:v>40313.591666666667</c:v>
                </c:pt>
                <c:pt idx="4260">
                  <c:v>40313.592361111114</c:v>
                </c:pt>
                <c:pt idx="4261">
                  <c:v>40313.593055555553</c:v>
                </c:pt>
                <c:pt idx="4262">
                  <c:v>40313.59375</c:v>
                </c:pt>
                <c:pt idx="4263">
                  <c:v>40313.594444444447</c:v>
                </c:pt>
                <c:pt idx="4264">
                  <c:v>40313.595138888886</c:v>
                </c:pt>
                <c:pt idx="4265">
                  <c:v>40313.595833333333</c:v>
                </c:pt>
                <c:pt idx="4266">
                  <c:v>40313.59652777778</c:v>
                </c:pt>
                <c:pt idx="4267">
                  <c:v>40313.597222222219</c:v>
                </c:pt>
                <c:pt idx="4268">
                  <c:v>40313.597916666666</c:v>
                </c:pt>
                <c:pt idx="4269">
                  <c:v>40313.598611111112</c:v>
                </c:pt>
                <c:pt idx="4270">
                  <c:v>40313.599305555559</c:v>
                </c:pt>
                <c:pt idx="4271">
                  <c:v>40313.599999999999</c:v>
                </c:pt>
                <c:pt idx="4272">
                  <c:v>40313.600694444445</c:v>
                </c:pt>
                <c:pt idx="4273">
                  <c:v>40313.601388888892</c:v>
                </c:pt>
                <c:pt idx="4274">
                  <c:v>40313.602083333331</c:v>
                </c:pt>
                <c:pt idx="4275">
                  <c:v>40313.602777777778</c:v>
                </c:pt>
                <c:pt idx="4276">
                  <c:v>40313.603472222225</c:v>
                </c:pt>
                <c:pt idx="4277">
                  <c:v>40313.604166666664</c:v>
                </c:pt>
                <c:pt idx="4278">
                  <c:v>40313.604861111111</c:v>
                </c:pt>
                <c:pt idx="4279">
                  <c:v>40313.605555555558</c:v>
                </c:pt>
                <c:pt idx="4280">
                  <c:v>40313.606249999997</c:v>
                </c:pt>
                <c:pt idx="4281">
                  <c:v>40313.606944444444</c:v>
                </c:pt>
                <c:pt idx="4282">
                  <c:v>40313.607638888891</c:v>
                </c:pt>
                <c:pt idx="4283">
                  <c:v>40313.60833333333</c:v>
                </c:pt>
                <c:pt idx="4284">
                  <c:v>40313.609027777777</c:v>
                </c:pt>
                <c:pt idx="4285">
                  <c:v>40313.609722222223</c:v>
                </c:pt>
                <c:pt idx="4286">
                  <c:v>40313.61041666667</c:v>
                </c:pt>
                <c:pt idx="4287">
                  <c:v>40313.611111111109</c:v>
                </c:pt>
                <c:pt idx="4288">
                  <c:v>40313.611805555556</c:v>
                </c:pt>
                <c:pt idx="4289">
                  <c:v>40313.612500000003</c:v>
                </c:pt>
                <c:pt idx="4290">
                  <c:v>40313.613194444442</c:v>
                </c:pt>
                <c:pt idx="4291">
                  <c:v>40313.613888888889</c:v>
                </c:pt>
                <c:pt idx="4292">
                  <c:v>40313.614583333336</c:v>
                </c:pt>
                <c:pt idx="4293">
                  <c:v>40313.615277777775</c:v>
                </c:pt>
                <c:pt idx="4294">
                  <c:v>40313.615972222222</c:v>
                </c:pt>
                <c:pt idx="4295">
                  <c:v>40313.616666666669</c:v>
                </c:pt>
                <c:pt idx="4296">
                  <c:v>40313.617361111108</c:v>
                </c:pt>
                <c:pt idx="4297">
                  <c:v>40313.618055555555</c:v>
                </c:pt>
                <c:pt idx="4298">
                  <c:v>40313.618750000001</c:v>
                </c:pt>
                <c:pt idx="4299">
                  <c:v>40313.619444444441</c:v>
                </c:pt>
                <c:pt idx="4300">
                  <c:v>40313.620138888888</c:v>
                </c:pt>
                <c:pt idx="4301">
                  <c:v>40313.620833333334</c:v>
                </c:pt>
                <c:pt idx="4302">
                  <c:v>40313.621527777781</c:v>
                </c:pt>
                <c:pt idx="4303">
                  <c:v>40313.62222222222</c:v>
                </c:pt>
                <c:pt idx="4304">
                  <c:v>40313.622916666667</c:v>
                </c:pt>
                <c:pt idx="4305">
                  <c:v>40313.623611111114</c:v>
                </c:pt>
                <c:pt idx="4306">
                  <c:v>40313.624305555553</c:v>
                </c:pt>
                <c:pt idx="4307">
                  <c:v>40313.625</c:v>
                </c:pt>
                <c:pt idx="4308">
                  <c:v>40313.625694444447</c:v>
                </c:pt>
                <c:pt idx="4309">
                  <c:v>40313.626388888886</c:v>
                </c:pt>
                <c:pt idx="4310">
                  <c:v>40313.627083333333</c:v>
                </c:pt>
                <c:pt idx="4311">
                  <c:v>40313.62777777778</c:v>
                </c:pt>
                <c:pt idx="4312">
                  <c:v>40313.628472222219</c:v>
                </c:pt>
                <c:pt idx="4313">
                  <c:v>40313.629166666666</c:v>
                </c:pt>
                <c:pt idx="4314">
                  <c:v>40313.629861111112</c:v>
                </c:pt>
                <c:pt idx="4315">
                  <c:v>40313.630555555559</c:v>
                </c:pt>
                <c:pt idx="4316">
                  <c:v>40313.631249999999</c:v>
                </c:pt>
                <c:pt idx="4317">
                  <c:v>40313.631944444445</c:v>
                </c:pt>
                <c:pt idx="4318">
                  <c:v>40313.632638888892</c:v>
                </c:pt>
                <c:pt idx="4319">
                  <c:v>40313.633333333331</c:v>
                </c:pt>
                <c:pt idx="4320">
                  <c:v>40313.634027777778</c:v>
                </c:pt>
                <c:pt idx="4321">
                  <c:v>40313.634722222225</c:v>
                </c:pt>
                <c:pt idx="4322">
                  <c:v>40313.635416666664</c:v>
                </c:pt>
                <c:pt idx="4323">
                  <c:v>40313.636111111111</c:v>
                </c:pt>
                <c:pt idx="4324">
                  <c:v>40313.636805555558</c:v>
                </c:pt>
                <c:pt idx="4325">
                  <c:v>40313.637499999997</c:v>
                </c:pt>
                <c:pt idx="4326">
                  <c:v>40313.638194444444</c:v>
                </c:pt>
                <c:pt idx="4327">
                  <c:v>40313.638888888891</c:v>
                </c:pt>
                <c:pt idx="4328">
                  <c:v>40313.63958333333</c:v>
                </c:pt>
                <c:pt idx="4329">
                  <c:v>40313.640277777777</c:v>
                </c:pt>
                <c:pt idx="4330">
                  <c:v>40313.640972222223</c:v>
                </c:pt>
                <c:pt idx="4331">
                  <c:v>40313.64166666667</c:v>
                </c:pt>
                <c:pt idx="4332">
                  <c:v>40313.642361111109</c:v>
                </c:pt>
                <c:pt idx="4333">
                  <c:v>40313.643055555556</c:v>
                </c:pt>
                <c:pt idx="4334">
                  <c:v>40313.643750000003</c:v>
                </c:pt>
                <c:pt idx="4335">
                  <c:v>40313.644444444442</c:v>
                </c:pt>
                <c:pt idx="4336">
                  <c:v>40313.645138888889</c:v>
                </c:pt>
                <c:pt idx="4337">
                  <c:v>40313.645833333336</c:v>
                </c:pt>
                <c:pt idx="4338">
                  <c:v>40313.646527777775</c:v>
                </c:pt>
                <c:pt idx="4339">
                  <c:v>40313.647222222222</c:v>
                </c:pt>
                <c:pt idx="4340">
                  <c:v>40313.647916666669</c:v>
                </c:pt>
                <c:pt idx="4341">
                  <c:v>40313.648611111108</c:v>
                </c:pt>
                <c:pt idx="4342">
                  <c:v>40313.649305555555</c:v>
                </c:pt>
                <c:pt idx="4343">
                  <c:v>40313.65</c:v>
                </c:pt>
                <c:pt idx="4344">
                  <c:v>40313.650694444441</c:v>
                </c:pt>
                <c:pt idx="4345">
                  <c:v>40313.651388888888</c:v>
                </c:pt>
                <c:pt idx="4346">
                  <c:v>40313.652083333334</c:v>
                </c:pt>
                <c:pt idx="4347">
                  <c:v>40313.652777777781</c:v>
                </c:pt>
                <c:pt idx="4348">
                  <c:v>40313.65347222222</c:v>
                </c:pt>
                <c:pt idx="4349">
                  <c:v>40313.654166666667</c:v>
                </c:pt>
                <c:pt idx="4350">
                  <c:v>40313.654861111114</c:v>
                </c:pt>
                <c:pt idx="4351">
                  <c:v>40313.655555555553</c:v>
                </c:pt>
                <c:pt idx="4352">
                  <c:v>40313.65625</c:v>
                </c:pt>
                <c:pt idx="4353">
                  <c:v>40313.656944444447</c:v>
                </c:pt>
                <c:pt idx="4354">
                  <c:v>40313.657638888886</c:v>
                </c:pt>
                <c:pt idx="4355">
                  <c:v>40313.658333333333</c:v>
                </c:pt>
                <c:pt idx="4356">
                  <c:v>40313.65902777778</c:v>
                </c:pt>
                <c:pt idx="4357">
                  <c:v>40313.659722222219</c:v>
                </c:pt>
                <c:pt idx="4358">
                  <c:v>40313.660416666666</c:v>
                </c:pt>
                <c:pt idx="4359">
                  <c:v>40313.661111111112</c:v>
                </c:pt>
                <c:pt idx="4360">
                  <c:v>40313.661805555559</c:v>
                </c:pt>
                <c:pt idx="4361">
                  <c:v>40313.662499999999</c:v>
                </c:pt>
                <c:pt idx="4362">
                  <c:v>40313.663194444445</c:v>
                </c:pt>
                <c:pt idx="4363">
                  <c:v>40313.663888888892</c:v>
                </c:pt>
                <c:pt idx="4364">
                  <c:v>40313.664583333331</c:v>
                </c:pt>
                <c:pt idx="4365">
                  <c:v>40313.665277777778</c:v>
                </c:pt>
                <c:pt idx="4366">
                  <c:v>40313.665972222225</c:v>
                </c:pt>
                <c:pt idx="4367">
                  <c:v>40313.666666666664</c:v>
                </c:pt>
                <c:pt idx="4368">
                  <c:v>40313.667361111111</c:v>
                </c:pt>
                <c:pt idx="4369">
                  <c:v>40313.668055555558</c:v>
                </c:pt>
                <c:pt idx="4370">
                  <c:v>40313.668749999997</c:v>
                </c:pt>
                <c:pt idx="4371">
                  <c:v>40313.669444444444</c:v>
                </c:pt>
                <c:pt idx="4372">
                  <c:v>40313.670138888891</c:v>
                </c:pt>
                <c:pt idx="4373">
                  <c:v>40313.67083333333</c:v>
                </c:pt>
                <c:pt idx="4374">
                  <c:v>40313.671527777777</c:v>
                </c:pt>
                <c:pt idx="4375">
                  <c:v>40313.672222222223</c:v>
                </c:pt>
                <c:pt idx="4376">
                  <c:v>40313.67291666667</c:v>
                </c:pt>
                <c:pt idx="4377">
                  <c:v>40313.673611111109</c:v>
                </c:pt>
                <c:pt idx="4378">
                  <c:v>40313.674305555556</c:v>
                </c:pt>
                <c:pt idx="4379">
                  <c:v>40313.675000000003</c:v>
                </c:pt>
                <c:pt idx="4380">
                  <c:v>40313.675694444442</c:v>
                </c:pt>
                <c:pt idx="4381">
                  <c:v>40313.676388888889</c:v>
                </c:pt>
                <c:pt idx="4382">
                  <c:v>40313.677083333336</c:v>
                </c:pt>
                <c:pt idx="4383">
                  <c:v>40313.677777777775</c:v>
                </c:pt>
                <c:pt idx="4384">
                  <c:v>40313.678472222222</c:v>
                </c:pt>
                <c:pt idx="4385">
                  <c:v>40313.679166666669</c:v>
                </c:pt>
                <c:pt idx="4386">
                  <c:v>40313.679861111108</c:v>
                </c:pt>
                <c:pt idx="4387">
                  <c:v>40313.680555555555</c:v>
                </c:pt>
                <c:pt idx="4388">
                  <c:v>40313.681250000001</c:v>
                </c:pt>
                <c:pt idx="4389">
                  <c:v>40313.681944444441</c:v>
                </c:pt>
                <c:pt idx="4390">
                  <c:v>40313.682638888888</c:v>
                </c:pt>
                <c:pt idx="4391">
                  <c:v>40313.683333333334</c:v>
                </c:pt>
                <c:pt idx="4392">
                  <c:v>40313.684027777781</c:v>
                </c:pt>
                <c:pt idx="4393">
                  <c:v>40313.68472222222</c:v>
                </c:pt>
                <c:pt idx="4394">
                  <c:v>40313.685416666667</c:v>
                </c:pt>
                <c:pt idx="4395">
                  <c:v>40313.686111111114</c:v>
                </c:pt>
                <c:pt idx="4396">
                  <c:v>40313.686805555553</c:v>
                </c:pt>
                <c:pt idx="4397">
                  <c:v>40313.6875</c:v>
                </c:pt>
                <c:pt idx="4398">
                  <c:v>40313.688194444447</c:v>
                </c:pt>
                <c:pt idx="4399">
                  <c:v>40313.688888888886</c:v>
                </c:pt>
                <c:pt idx="4400">
                  <c:v>40313.689583333333</c:v>
                </c:pt>
                <c:pt idx="4401">
                  <c:v>40313.69027777778</c:v>
                </c:pt>
                <c:pt idx="4402">
                  <c:v>40313.690972222219</c:v>
                </c:pt>
                <c:pt idx="4403">
                  <c:v>40313.691666666666</c:v>
                </c:pt>
                <c:pt idx="4404">
                  <c:v>40313.692361111112</c:v>
                </c:pt>
                <c:pt idx="4405">
                  <c:v>40313.693055555559</c:v>
                </c:pt>
                <c:pt idx="4406">
                  <c:v>40313.693749999999</c:v>
                </c:pt>
                <c:pt idx="4407">
                  <c:v>40313.694444444445</c:v>
                </c:pt>
                <c:pt idx="4408">
                  <c:v>40313.695138888892</c:v>
                </c:pt>
                <c:pt idx="4409">
                  <c:v>40313.695833333331</c:v>
                </c:pt>
                <c:pt idx="4410">
                  <c:v>40313.696527777778</c:v>
                </c:pt>
                <c:pt idx="4411">
                  <c:v>40313.697222222225</c:v>
                </c:pt>
                <c:pt idx="4412">
                  <c:v>40313.697916666664</c:v>
                </c:pt>
                <c:pt idx="4413">
                  <c:v>40313.698611111111</c:v>
                </c:pt>
                <c:pt idx="4414">
                  <c:v>40313.699305555558</c:v>
                </c:pt>
                <c:pt idx="4415">
                  <c:v>40313.699999999997</c:v>
                </c:pt>
                <c:pt idx="4416">
                  <c:v>40313.700694444444</c:v>
                </c:pt>
                <c:pt idx="4417">
                  <c:v>40313.701388888891</c:v>
                </c:pt>
                <c:pt idx="4418">
                  <c:v>40313.70208333333</c:v>
                </c:pt>
                <c:pt idx="4419">
                  <c:v>40313.702777777777</c:v>
                </c:pt>
                <c:pt idx="4420">
                  <c:v>40313.703472222223</c:v>
                </c:pt>
                <c:pt idx="4421">
                  <c:v>40313.70416666667</c:v>
                </c:pt>
                <c:pt idx="4422">
                  <c:v>40313.704861111109</c:v>
                </c:pt>
                <c:pt idx="4423">
                  <c:v>40313.705555555556</c:v>
                </c:pt>
                <c:pt idx="4424">
                  <c:v>40313.706250000003</c:v>
                </c:pt>
                <c:pt idx="4425">
                  <c:v>40313.706944444442</c:v>
                </c:pt>
                <c:pt idx="4426">
                  <c:v>40313.707638888889</c:v>
                </c:pt>
                <c:pt idx="4427">
                  <c:v>40313.708333333336</c:v>
                </c:pt>
                <c:pt idx="4428">
                  <c:v>40313.709027777775</c:v>
                </c:pt>
                <c:pt idx="4429">
                  <c:v>40313.709722222222</c:v>
                </c:pt>
                <c:pt idx="4430">
                  <c:v>40313.710416666669</c:v>
                </c:pt>
                <c:pt idx="4431">
                  <c:v>40313.711111111108</c:v>
                </c:pt>
                <c:pt idx="4432">
                  <c:v>40313.711805555555</c:v>
                </c:pt>
                <c:pt idx="4433">
                  <c:v>40313.712500000001</c:v>
                </c:pt>
                <c:pt idx="4434">
                  <c:v>40313.713194444441</c:v>
                </c:pt>
                <c:pt idx="4435">
                  <c:v>40313.713888888888</c:v>
                </c:pt>
                <c:pt idx="4436">
                  <c:v>40313.714583333334</c:v>
                </c:pt>
                <c:pt idx="4437">
                  <c:v>40313.715277777781</c:v>
                </c:pt>
                <c:pt idx="4438">
                  <c:v>40313.71597222222</c:v>
                </c:pt>
                <c:pt idx="4439">
                  <c:v>40313.716666666667</c:v>
                </c:pt>
                <c:pt idx="4440">
                  <c:v>40313.717361111114</c:v>
                </c:pt>
                <c:pt idx="4441">
                  <c:v>40313.718055555553</c:v>
                </c:pt>
                <c:pt idx="4442">
                  <c:v>40313.71875</c:v>
                </c:pt>
                <c:pt idx="4443">
                  <c:v>40313.719444444447</c:v>
                </c:pt>
                <c:pt idx="4444">
                  <c:v>40313.720138888886</c:v>
                </c:pt>
                <c:pt idx="4445">
                  <c:v>40313.720833333333</c:v>
                </c:pt>
                <c:pt idx="4446">
                  <c:v>40313.72152777778</c:v>
                </c:pt>
                <c:pt idx="4447">
                  <c:v>40313.722222222219</c:v>
                </c:pt>
                <c:pt idx="4448">
                  <c:v>40313.722916666666</c:v>
                </c:pt>
                <c:pt idx="4449">
                  <c:v>40313.723611111112</c:v>
                </c:pt>
                <c:pt idx="4450">
                  <c:v>40313.724305555559</c:v>
                </c:pt>
                <c:pt idx="4451">
                  <c:v>40313.724999999999</c:v>
                </c:pt>
                <c:pt idx="4452">
                  <c:v>40313.725694444445</c:v>
                </c:pt>
                <c:pt idx="4453">
                  <c:v>40313.726388888892</c:v>
                </c:pt>
                <c:pt idx="4454">
                  <c:v>40313.727083333331</c:v>
                </c:pt>
                <c:pt idx="4455">
                  <c:v>40313.727777777778</c:v>
                </c:pt>
                <c:pt idx="4456">
                  <c:v>40313.728472222225</c:v>
                </c:pt>
                <c:pt idx="4457">
                  <c:v>40313.729166666664</c:v>
                </c:pt>
                <c:pt idx="4458">
                  <c:v>40313.729861111111</c:v>
                </c:pt>
                <c:pt idx="4459">
                  <c:v>40313.730555555558</c:v>
                </c:pt>
                <c:pt idx="4460">
                  <c:v>40313.731249999997</c:v>
                </c:pt>
                <c:pt idx="4461">
                  <c:v>40313.731944444444</c:v>
                </c:pt>
                <c:pt idx="4462">
                  <c:v>40313.732638888891</c:v>
                </c:pt>
                <c:pt idx="4463">
                  <c:v>40313.73333333333</c:v>
                </c:pt>
                <c:pt idx="4464">
                  <c:v>40313.734027777777</c:v>
                </c:pt>
                <c:pt idx="4465">
                  <c:v>40313.734722222223</c:v>
                </c:pt>
                <c:pt idx="4466">
                  <c:v>40313.73541666667</c:v>
                </c:pt>
                <c:pt idx="4467">
                  <c:v>40313.736111111109</c:v>
                </c:pt>
                <c:pt idx="4468">
                  <c:v>40313.736805555556</c:v>
                </c:pt>
                <c:pt idx="4469">
                  <c:v>40313.737500000003</c:v>
                </c:pt>
                <c:pt idx="4470">
                  <c:v>40313.738194444442</c:v>
                </c:pt>
                <c:pt idx="4471">
                  <c:v>40313.738888888889</c:v>
                </c:pt>
                <c:pt idx="4472">
                  <c:v>40313.739583333336</c:v>
                </c:pt>
                <c:pt idx="4473">
                  <c:v>40313.740277777775</c:v>
                </c:pt>
                <c:pt idx="4474">
                  <c:v>40313.740972222222</c:v>
                </c:pt>
                <c:pt idx="4475">
                  <c:v>40313.741666666669</c:v>
                </c:pt>
                <c:pt idx="4476">
                  <c:v>40313.742361111108</c:v>
                </c:pt>
                <c:pt idx="4477">
                  <c:v>40313.743055555555</c:v>
                </c:pt>
                <c:pt idx="4478">
                  <c:v>40313.743750000001</c:v>
                </c:pt>
                <c:pt idx="4479">
                  <c:v>40313.744444444441</c:v>
                </c:pt>
                <c:pt idx="4480">
                  <c:v>40313.745138888888</c:v>
                </c:pt>
                <c:pt idx="4481">
                  <c:v>40313.745833333334</c:v>
                </c:pt>
                <c:pt idx="4482">
                  <c:v>40313.746527777781</c:v>
                </c:pt>
                <c:pt idx="4483">
                  <c:v>40313.74722222222</c:v>
                </c:pt>
                <c:pt idx="4484">
                  <c:v>40313.747916666667</c:v>
                </c:pt>
                <c:pt idx="4485">
                  <c:v>40313.748611111114</c:v>
                </c:pt>
                <c:pt idx="4486">
                  <c:v>40313.749305555553</c:v>
                </c:pt>
                <c:pt idx="4487">
                  <c:v>40313.75</c:v>
                </c:pt>
                <c:pt idx="4488">
                  <c:v>40313.750694444447</c:v>
                </c:pt>
                <c:pt idx="4489">
                  <c:v>40313.751388888886</c:v>
                </c:pt>
                <c:pt idx="4490">
                  <c:v>40313.752083333333</c:v>
                </c:pt>
                <c:pt idx="4491">
                  <c:v>40313.75277777778</c:v>
                </c:pt>
                <c:pt idx="4492">
                  <c:v>40313.753472222219</c:v>
                </c:pt>
                <c:pt idx="4493">
                  <c:v>40313.754166666666</c:v>
                </c:pt>
                <c:pt idx="4494">
                  <c:v>40313.754861111112</c:v>
                </c:pt>
                <c:pt idx="4495">
                  <c:v>40313.755555555559</c:v>
                </c:pt>
                <c:pt idx="4496">
                  <c:v>40313.756249999999</c:v>
                </c:pt>
                <c:pt idx="4497">
                  <c:v>40313.756944444445</c:v>
                </c:pt>
                <c:pt idx="4498">
                  <c:v>40313.757638888892</c:v>
                </c:pt>
                <c:pt idx="4499">
                  <c:v>40313.758333333331</c:v>
                </c:pt>
                <c:pt idx="4500">
                  <c:v>40313.759027777778</c:v>
                </c:pt>
                <c:pt idx="4501">
                  <c:v>40313.759722222225</c:v>
                </c:pt>
                <c:pt idx="4502">
                  <c:v>40313.760416666664</c:v>
                </c:pt>
                <c:pt idx="4503">
                  <c:v>40313.761111111111</c:v>
                </c:pt>
                <c:pt idx="4504">
                  <c:v>40313.761805555558</c:v>
                </c:pt>
                <c:pt idx="4505">
                  <c:v>40313.762499999997</c:v>
                </c:pt>
                <c:pt idx="4506">
                  <c:v>40313.763194444444</c:v>
                </c:pt>
                <c:pt idx="4507">
                  <c:v>40313.763888888891</c:v>
                </c:pt>
                <c:pt idx="4508">
                  <c:v>40313.76458333333</c:v>
                </c:pt>
                <c:pt idx="4509">
                  <c:v>40313.765277777777</c:v>
                </c:pt>
                <c:pt idx="4510">
                  <c:v>40313.765972222223</c:v>
                </c:pt>
                <c:pt idx="4511">
                  <c:v>40313.76666666667</c:v>
                </c:pt>
                <c:pt idx="4512">
                  <c:v>40313.767361111109</c:v>
                </c:pt>
                <c:pt idx="4513">
                  <c:v>40313.768055555556</c:v>
                </c:pt>
                <c:pt idx="4514">
                  <c:v>40313.768750000003</c:v>
                </c:pt>
                <c:pt idx="4515">
                  <c:v>40313.769444444442</c:v>
                </c:pt>
                <c:pt idx="4516">
                  <c:v>40313.770138888889</c:v>
                </c:pt>
                <c:pt idx="4517">
                  <c:v>40313.770833333336</c:v>
                </c:pt>
                <c:pt idx="4518">
                  <c:v>40313.771527777775</c:v>
                </c:pt>
                <c:pt idx="4519">
                  <c:v>40313.772222222222</c:v>
                </c:pt>
                <c:pt idx="4520">
                  <c:v>40313.772916666669</c:v>
                </c:pt>
                <c:pt idx="4521">
                  <c:v>40313.773611111108</c:v>
                </c:pt>
                <c:pt idx="4522">
                  <c:v>40313.774305555555</c:v>
                </c:pt>
                <c:pt idx="4523">
                  <c:v>40313.775000000001</c:v>
                </c:pt>
                <c:pt idx="4524">
                  <c:v>40313.775694444441</c:v>
                </c:pt>
                <c:pt idx="4525">
                  <c:v>40313.776388888888</c:v>
                </c:pt>
                <c:pt idx="4526">
                  <c:v>40313.777083333334</c:v>
                </c:pt>
                <c:pt idx="4527">
                  <c:v>40313.777777777781</c:v>
                </c:pt>
                <c:pt idx="4528">
                  <c:v>40313.77847222222</c:v>
                </c:pt>
                <c:pt idx="4529">
                  <c:v>40313.779166666667</c:v>
                </c:pt>
                <c:pt idx="4530">
                  <c:v>40313.779861111114</c:v>
                </c:pt>
                <c:pt idx="4531">
                  <c:v>40313.780555555553</c:v>
                </c:pt>
                <c:pt idx="4532">
                  <c:v>40313.78125</c:v>
                </c:pt>
                <c:pt idx="4533">
                  <c:v>40313.781944444447</c:v>
                </c:pt>
                <c:pt idx="4534">
                  <c:v>40313.782638888886</c:v>
                </c:pt>
                <c:pt idx="4535">
                  <c:v>40313.783333333333</c:v>
                </c:pt>
                <c:pt idx="4536">
                  <c:v>40313.78402777778</c:v>
                </c:pt>
                <c:pt idx="4537">
                  <c:v>40313.784722222219</c:v>
                </c:pt>
                <c:pt idx="4538">
                  <c:v>40313.785416666666</c:v>
                </c:pt>
                <c:pt idx="4539">
                  <c:v>40313.786111111112</c:v>
                </c:pt>
                <c:pt idx="4540">
                  <c:v>40313.786805555559</c:v>
                </c:pt>
                <c:pt idx="4541">
                  <c:v>40313.787499999999</c:v>
                </c:pt>
                <c:pt idx="4542">
                  <c:v>40313.788194444445</c:v>
                </c:pt>
                <c:pt idx="4543">
                  <c:v>40313.788888888892</c:v>
                </c:pt>
                <c:pt idx="4544">
                  <c:v>40313.789583333331</c:v>
                </c:pt>
                <c:pt idx="4545">
                  <c:v>40313.790277777778</c:v>
                </c:pt>
                <c:pt idx="4546">
                  <c:v>40313.790972222225</c:v>
                </c:pt>
                <c:pt idx="4547">
                  <c:v>40313.791666666664</c:v>
                </c:pt>
                <c:pt idx="4548">
                  <c:v>40313.792361111111</c:v>
                </c:pt>
                <c:pt idx="4549">
                  <c:v>40313.793055555558</c:v>
                </c:pt>
                <c:pt idx="4550">
                  <c:v>40313.793749999997</c:v>
                </c:pt>
                <c:pt idx="4551">
                  <c:v>40313.794444444444</c:v>
                </c:pt>
                <c:pt idx="4552">
                  <c:v>40313.795138888891</c:v>
                </c:pt>
                <c:pt idx="4553">
                  <c:v>40313.79583333333</c:v>
                </c:pt>
                <c:pt idx="4554">
                  <c:v>40313.796527777777</c:v>
                </c:pt>
                <c:pt idx="4555">
                  <c:v>40313.797222222223</c:v>
                </c:pt>
                <c:pt idx="4556">
                  <c:v>40313.79791666667</c:v>
                </c:pt>
                <c:pt idx="4557">
                  <c:v>40313.798611111109</c:v>
                </c:pt>
                <c:pt idx="4558">
                  <c:v>40313.799305555556</c:v>
                </c:pt>
                <c:pt idx="4559">
                  <c:v>40313.800000000003</c:v>
                </c:pt>
                <c:pt idx="4560">
                  <c:v>40313.800694444442</c:v>
                </c:pt>
                <c:pt idx="4561">
                  <c:v>40313.801388888889</c:v>
                </c:pt>
                <c:pt idx="4562">
                  <c:v>40313.802083333336</c:v>
                </c:pt>
                <c:pt idx="4563">
                  <c:v>40313.802777777775</c:v>
                </c:pt>
                <c:pt idx="4564">
                  <c:v>40313.803472222222</c:v>
                </c:pt>
                <c:pt idx="4565">
                  <c:v>40313.804166666669</c:v>
                </c:pt>
                <c:pt idx="4566">
                  <c:v>40313.804861111108</c:v>
                </c:pt>
                <c:pt idx="4567">
                  <c:v>40313.805555555555</c:v>
                </c:pt>
                <c:pt idx="4568">
                  <c:v>40313.806250000001</c:v>
                </c:pt>
                <c:pt idx="4569">
                  <c:v>40313.806944444441</c:v>
                </c:pt>
                <c:pt idx="4570">
                  <c:v>40313.807638888888</c:v>
                </c:pt>
                <c:pt idx="4571">
                  <c:v>40313.808333333334</c:v>
                </c:pt>
                <c:pt idx="4572">
                  <c:v>40313.809027777781</c:v>
                </c:pt>
                <c:pt idx="4573">
                  <c:v>40313.80972222222</c:v>
                </c:pt>
                <c:pt idx="4574">
                  <c:v>40313.810416666667</c:v>
                </c:pt>
                <c:pt idx="4575">
                  <c:v>40313.811111111114</c:v>
                </c:pt>
                <c:pt idx="4576">
                  <c:v>40313.811805555553</c:v>
                </c:pt>
                <c:pt idx="4577">
                  <c:v>40313.8125</c:v>
                </c:pt>
                <c:pt idx="4578">
                  <c:v>40313.813194444447</c:v>
                </c:pt>
                <c:pt idx="4579">
                  <c:v>40313.813888888886</c:v>
                </c:pt>
                <c:pt idx="4580">
                  <c:v>40313.814583333333</c:v>
                </c:pt>
                <c:pt idx="4581">
                  <c:v>40313.81527777778</c:v>
                </c:pt>
                <c:pt idx="4582">
                  <c:v>40313.815972222219</c:v>
                </c:pt>
                <c:pt idx="4583">
                  <c:v>40313.816666666666</c:v>
                </c:pt>
                <c:pt idx="4584">
                  <c:v>40313.817361111112</c:v>
                </c:pt>
                <c:pt idx="4585">
                  <c:v>40313.818055555559</c:v>
                </c:pt>
                <c:pt idx="4586">
                  <c:v>40313.818749999999</c:v>
                </c:pt>
                <c:pt idx="4587">
                  <c:v>40313.819444444445</c:v>
                </c:pt>
                <c:pt idx="4588">
                  <c:v>40313.820138888892</c:v>
                </c:pt>
                <c:pt idx="4589">
                  <c:v>40313.820833333331</c:v>
                </c:pt>
                <c:pt idx="4590">
                  <c:v>40313.821527777778</c:v>
                </c:pt>
                <c:pt idx="4591">
                  <c:v>40313.822222222225</c:v>
                </c:pt>
                <c:pt idx="4592">
                  <c:v>40313.822916666664</c:v>
                </c:pt>
                <c:pt idx="4593">
                  <c:v>40313.823611111111</c:v>
                </c:pt>
                <c:pt idx="4594">
                  <c:v>40313.824305555558</c:v>
                </c:pt>
                <c:pt idx="4595">
                  <c:v>40313.824999999997</c:v>
                </c:pt>
                <c:pt idx="4596">
                  <c:v>40313.825694444444</c:v>
                </c:pt>
                <c:pt idx="4597">
                  <c:v>40313.826388888891</c:v>
                </c:pt>
                <c:pt idx="4598">
                  <c:v>40313.82708333333</c:v>
                </c:pt>
                <c:pt idx="4599">
                  <c:v>40313.827777777777</c:v>
                </c:pt>
                <c:pt idx="4600">
                  <c:v>40313.828472222223</c:v>
                </c:pt>
                <c:pt idx="4601">
                  <c:v>40313.82916666667</c:v>
                </c:pt>
                <c:pt idx="4602">
                  <c:v>40313.829861111109</c:v>
                </c:pt>
                <c:pt idx="4603">
                  <c:v>40313.830555555556</c:v>
                </c:pt>
                <c:pt idx="4604">
                  <c:v>40313.831250000003</c:v>
                </c:pt>
                <c:pt idx="4605">
                  <c:v>40313.831944444442</c:v>
                </c:pt>
                <c:pt idx="4606">
                  <c:v>40313.832638888889</c:v>
                </c:pt>
                <c:pt idx="4607">
                  <c:v>40313.833333333336</c:v>
                </c:pt>
                <c:pt idx="4608">
                  <c:v>40313.834027777775</c:v>
                </c:pt>
                <c:pt idx="4609">
                  <c:v>40313.834722222222</c:v>
                </c:pt>
                <c:pt idx="4610">
                  <c:v>40313.835416666669</c:v>
                </c:pt>
                <c:pt idx="4611">
                  <c:v>40313.836111111108</c:v>
                </c:pt>
                <c:pt idx="4612">
                  <c:v>40313.836805555555</c:v>
                </c:pt>
                <c:pt idx="4613">
                  <c:v>40313.837500000001</c:v>
                </c:pt>
                <c:pt idx="4614">
                  <c:v>40313.838194444441</c:v>
                </c:pt>
                <c:pt idx="4615">
                  <c:v>40313.838888888888</c:v>
                </c:pt>
                <c:pt idx="4616">
                  <c:v>40313.839583333334</c:v>
                </c:pt>
                <c:pt idx="4617">
                  <c:v>40313.840277777781</c:v>
                </c:pt>
                <c:pt idx="4618">
                  <c:v>40313.84097222222</c:v>
                </c:pt>
                <c:pt idx="4619">
                  <c:v>40313.841666666667</c:v>
                </c:pt>
                <c:pt idx="4620">
                  <c:v>40313.842361111114</c:v>
                </c:pt>
                <c:pt idx="4621">
                  <c:v>40313.843055555553</c:v>
                </c:pt>
                <c:pt idx="4622">
                  <c:v>40313.84375</c:v>
                </c:pt>
                <c:pt idx="4623">
                  <c:v>40313.844444444447</c:v>
                </c:pt>
                <c:pt idx="4624">
                  <c:v>40313.845138888886</c:v>
                </c:pt>
                <c:pt idx="4625">
                  <c:v>40313.845833333333</c:v>
                </c:pt>
                <c:pt idx="4626">
                  <c:v>40313.84652777778</c:v>
                </c:pt>
                <c:pt idx="4627">
                  <c:v>40313.847222222219</c:v>
                </c:pt>
                <c:pt idx="4628">
                  <c:v>40313.847916666666</c:v>
                </c:pt>
                <c:pt idx="4629">
                  <c:v>40313.848611111112</c:v>
                </c:pt>
                <c:pt idx="4630">
                  <c:v>40313.849305555559</c:v>
                </c:pt>
                <c:pt idx="4631">
                  <c:v>40313.85</c:v>
                </c:pt>
                <c:pt idx="4632">
                  <c:v>40313.850694444445</c:v>
                </c:pt>
                <c:pt idx="4633">
                  <c:v>40313.851388888892</c:v>
                </c:pt>
                <c:pt idx="4634">
                  <c:v>40313.852083333331</c:v>
                </c:pt>
                <c:pt idx="4635">
                  <c:v>40313.852777777778</c:v>
                </c:pt>
                <c:pt idx="4636">
                  <c:v>40313.853472222225</c:v>
                </c:pt>
                <c:pt idx="4637">
                  <c:v>40313.854166666664</c:v>
                </c:pt>
                <c:pt idx="4638">
                  <c:v>40313.854861111111</c:v>
                </c:pt>
                <c:pt idx="4639">
                  <c:v>40313.855555555558</c:v>
                </c:pt>
                <c:pt idx="4640">
                  <c:v>40313.856249999997</c:v>
                </c:pt>
                <c:pt idx="4641">
                  <c:v>40313.856944444444</c:v>
                </c:pt>
                <c:pt idx="4642">
                  <c:v>40313.857638888891</c:v>
                </c:pt>
                <c:pt idx="4643">
                  <c:v>40313.85833333333</c:v>
                </c:pt>
                <c:pt idx="4644">
                  <c:v>40313.859027777777</c:v>
                </c:pt>
                <c:pt idx="4645">
                  <c:v>40313.859722222223</c:v>
                </c:pt>
                <c:pt idx="4646">
                  <c:v>40313.86041666667</c:v>
                </c:pt>
                <c:pt idx="4647">
                  <c:v>40313.861111111109</c:v>
                </c:pt>
                <c:pt idx="4648">
                  <c:v>40313.861805555556</c:v>
                </c:pt>
                <c:pt idx="4649">
                  <c:v>40313.862500000003</c:v>
                </c:pt>
                <c:pt idx="4650">
                  <c:v>40313.863194444442</c:v>
                </c:pt>
                <c:pt idx="4651">
                  <c:v>40313.863888888889</c:v>
                </c:pt>
                <c:pt idx="4652">
                  <c:v>40313.864583333336</c:v>
                </c:pt>
                <c:pt idx="4653">
                  <c:v>40313.865277777775</c:v>
                </c:pt>
                <c:pt idx="4654">
                  <c:v>40313.865972222222</c:v>
                </c:pt>
                <c:pt idx="4655">
                  <c:v>40313.866666666669</c:v>
                </c:pt>
                <c:pt idx="4656">
                  <c:v>40313.867361111108</c:v>
                </c:pt>
                <c:pt idx="4657">
                  <c:v>40313.868055555555</c:v>
                </c:pt>
                <c:pt idx="4658">
                  <c:v>40313.868750000001</c:v>
                </c:pt>
                <c:pt idx="4659">
                  <c:v>40313.869444444441</c:v>
                </c:pt>
                <c:pt idx="4660">
                  <c:v>40313.870138888888</c:v>
                </c:pt>
                <c:pt idx="4661">
                  <c:v>40313.870833333334</c:v>
                </c:pt>
                <c:pt idx="4662">
                  <c:v>40313.871527777781</c:v>
                </c:pt>
                <c:pt idx="4663">
                  <c:v>40313.87222222222</c:v>
                </c:pt>
                <c:pt idx="4664">
                  <c:v>40313.872916666667</c:v>
                </c:pt>
                <c:pt idx="4665">
                  <c:v>40313.873611111114</c:v>
                </c:pt>
                <c:pt idx="4666">
                  <c:v>40313.874305555553</c:v>
                </c:pt>
                <c:pt idx="4667">
                  <c:v>40313.875</c:v>
                </c:pt>
                <c:pt idx="4668">
                  <c:v>40313.875694444447</c:v>
                </c:pt>
                <c:pt idx="4669">
                  <c:v>40313.876388888886</c:v>
                </c:pt>
                <c:pt idx="4670">
                  <c:v>40313.877083333333</c:v>
                </c:pt>
                <c:pt idx="4671">
                  <c:v>40313.87777777778</c:v>
                </c:pt>
                <c:pt idx="4672">
                  <c:v>40313.878472222219</c:v>
                </c:pt>
                <c:pt idx="4673">
                  <c:v>40313.879166666666</c:v>
                </c:pt>
                <c:pt idx="4674">
                  <c:v>40313.879861111112</c:v>
                </c:pt>
                <c:pt idx="4675">
                  <c:v>40313.880555555559</c:v>
                </c:pt>
                <c:pt idx="4676">
                  <c:v>40313.881249999999</c:v>
                </c:pt>
                <c:pt idx="4677">
                  <c:v>40313.881944444445</c:v>
                </c:pt>
                <c:pt idx="4678">
                  <c:v>40313.882638888892</c:v>
                </c:pt>
                <c:pt idx="4679">
                  <c:v>40313.883333333331</c:v>
                </c:pt>
                <c:pt idx="4680">
                  <c:v>40313.884027777778</c:v>
                </c:pt>
                <c:pt idx="4681">
                  <c:v>40313.884722222225</c:v>
                </c:pt>
                <c:pt idx="4682">
                  <c:v>40313.885416666664</c:v>
                </c:pt>
                <c:pt idx="4683">
                  <c:v>40313.886111111111</c:v>
                </c:pt>
                <c:pt idx="4684">
                  <c:v>40313.886805555558</c:v>
                </c:pt>
                <c:pt idx="4685">
                  <c:v>40313.887499999997</c:v>
                </c:pt>
                <c:pt idx="4686">
                  <c:v>40313.888194444444</c:v>
                </c:pt>
                <c:pt idx="4687">
                  <c:v>40313.888888888891</c:v>
                </c:pt>
                <c:pt idx="4688">
                  <c:v>40313.88958333333</c:v>
                </c:pt>
                <c:pt idx="4689">
                  <c:v>40313.890277777777</c:v>
                </c:pt>
                <c:pt idx="4690">
                  <c:v>40313.890972222223</c:v>
                </c:pt>
                <c:pt idx="4691">
                  <c:v>40313.89166666667</c:v>
                </c:pt>
                <c:pt idx="4692">
                  <c:v>40313.892361111109</c:v>
                </c:pt>
                <c:pt idx="4693">
                  <c:v>40313.893055555556</c:v>
                </c:pt>
                <c:pt idx="4694">
                  <c:v>40313.893750000003</c:v>
                </c:pt>
                <c:pt idx="4695">
                  <c:v>40313.894444444442</c:v>
                </c:pt>
                <c:pt idx="4696">
                  <c:v>40313.895138888889</c:v>
                </c:pt>
                <c:pt idx="4697">
                  <c:v>40313.895833333336</c:v>
                </c:pt>
                <c:pt idx="4698">
                  <c:v>40313.896527777775</c:v>
                </c:pt>
                <c:pt idx="4699">
                  <c:v>40313.897222222222</c:v>
                </c:pt>
                <c:pt idx="4700">
                  <c:v>40313.897916666669</c:v>
                </c:pt>
                <c:pt idx="4701">
                  <c:v>40313.898611111108</c:v>
                </c:pt>
                <c:pt idx="4702">
                  <c:v>40313.899305555555</c:v>
                </c:pt>
                <c:pt idx="4703">
                  <c:v>40313.9</c:v>
                </c:pt>
                <c:pt idx="4704">
                  <c:v>40313.900694444441</c:v>
                </c:pt>
                <c:pt idx="4705">
                  <c:v>40313.901388888888</c:v>
                </c:pt>
                <c:pt idx="4706">
                  <c:v>40313.902083333334</c:v>
                </c:pt>
                <c:pt idx="4707">
                  <c:v>40313.902777777781</c:v>
                </c:pt>
                <c:pt idx="4708">
                  <c:v>40313.90347222222</c:v>
                </c:pt>
                <c:pt idx="4709">
                  <c:v>40313.904166666667</c:v>
                </c:pt>
                <c:pt idx="4710">
                  <c:v>40313.904861111114</c:v>
                </c:pt>
                <c:pt idx="4711">
                  <c:v>40313.905555555553</c:v>
                </c:pt>
                <c:pt idx="4712">
                  <c:v>40313.90625</c:v>
                </c:pt>
                <c:pt idx="4713">
                  <c:v>40313.906944444447</c:v>
                </c:pt>
                <c:pt idx="4714">
                  <c:v>40313.907638888886</c:v>
                </c:pt>
                <c:pt idx="4715">
                  <c:v>40313.908333333333</c:v>
                </c:pt>
                <c:pt idx="4716">
                  <c:v>40313.90902777778</c:v>
                </c:pt>
                <c:pt idx="4717">
                  <c:v>40313.909722222219</c:v>
                </c:pt>
                <c:pt idx="4718">
                  <c:v>40313.910416666666</c:v>
                </c:pt>
                <c:pt idx="4719">
                  <c:v>40313.911111111112</c:v>
                </c:pt>
                <c:pt idx="4720">
                  <c:v>40313.911805555559</c:v>
                </c:pt>
                <c:pt idx="4721">
                  <c:v>40313.912499999999</c:v>
                </c:pt>
                <c:pt idx="4722">
                  <c:v>40313.913194444445</c:v>
                </c:pt>
                <c:pt idx="4723">
                  <c:v>40313.913888888892</c:v>
                </c:pt>
                <c:pt idx="4724">
                  <c:v>40313.914583333331</c:v>
                </c:pt>
                <c:pt idx="4725">
                  <c:v>40313.915277777778</c:v>
                </c:pt>
                <c:pt idx="4726">
                  <c:v>40313.915972222225</c:v>
                </c:pt>
                <c:pt idx="4727">
                  <c:v>40313.916666666664</c:v>
                </c:pt>
                <c:pt idx="4728">
                  <c:v>40313.917361111111</c:v>
                </c:pt>
                <c:pt idx="4729">
                  <c:v>40313.918055555558</c:v>
                </c:pt>
                <c:pt idx="4730">
                  <c:v>40313.918749999997</c:v>
                </c:pt>
                <c:pt idx="4731">
                  <c:v>40313.919444444444</c:v>
                </c:pt>
                <c:pt idx="4732">
                  <c:v>40313.920138888891</c:v>
                </c:pt>
                <c:pt idx="4733">
                  <c:v>40313.92083333333</c:v>
                </c:pt>
                <c:pt idx="4734">
                  <c:v>40313.921527777777</c:v>
                </c:pt>
                <c:pt idx="4735">
                  <c:v>40313.922222222223</c:v>
                </c:pt>
                <c:pt idx="4736">
                  <c:v>40313.92291666667</c:v>
                </c:pt>
                <c:pt idx="4737">
                  <c:v>40313.923611111109</c:v>
                </c:pt>
                <c:pt idx="4738">
                  <c:v>40313.924305555556</c:v>
                </c:pt>
                <c:pt idx="4739">
                  <c:v>40313.925000000003</c:v>
                </c:pt>
                <c:pt idx="4740">
                  <c:v>40313.925694444442</c:v>
                </c:pt>
                <c:pt idx="4741">
                  <c:v>40313.926388888889</c:v>
                </c:pt>
                <c:pt idx="4742">
                  <c:v>40313.927083333336</c:v>
                </c:pt>
                <c:pt idx="4743">
                  <c:v>40313.927777777775</c:v>
                </c:pt>
                <c:pt idx="4744">
                  <c:v>40313.928472222222</c:v>
                </c:pt>
                <c:pt idx="4745">
                  <c:v>40313.929166666669</c:v>
                </c:pt>
                <c:pt idx="4746">
                  <c:v>40313.929861111108</c:v>
                </c:pt>
                <c:pt idx="4747">
                  <c:v>40313.930555555555</c:v>
                </c:pt>
                <c:pt idx="4748">
                  <c:v>40313.931250000001</c:v>
                </c:pt>
                <c:pt idx="4749">
                  <c:v>40313.931944444441</c:v>
                </c:pt>
                <c:pt idx="4750">
                  <c:v>40313.932638888888</c:v>
                </c:pt>
                <c:pt idx="4751">
                  <c:v>40313.933333333334</c:v>
                </c:pt>
                <c:pt idx="4752">
                  <c:v>40313.934027777781</c:v>
                </c:pt>
                <c:pt idx="4753">
                  <c:v>40313.93472222222</c:v>
                </c:pt>
                <c:pt idx="4754">
                  <c:v>40313.935416666667</c:v>
                </c:pt>
                <c:pt idx="4755">
                  <c:v>40313.936111111114</c:v>
                </c:pt>
                <c:pt idx="4756">
                  <c:v>40313.936805555553</c:v>
                </c:pt>
                <c:pt idx="4757">
                  <c:v>40313.9375</c:v>
                </c:pt>
                <c:pt idx="4758">
                  <c:v>40313.938194444447</c:v>
                </c:pt>
                <c:pt idx="4759">
                  <c:v>40313.938888888886</c:v>
                </c:pt>
                <c:pt idx="4760">
                  <c:v>40313.939583333333</c:v>
                </c:pt>
                <c:pt idx="4761">
                  <c:v>40313.94027777778</c:v>
                </c:pt>
                <c:pt idx="4762">
                  <c:v>40313.940972222219</c:v>
                </c:pt>
                <c:pt idx="4763">
                  <c:v>40313.941666666666</c:v>
                </c:pt>
                <c:pt idx="4764">
                  <c:v>40313.942361111112</c:v>
                </c:pt>
                <c:pt idx="4765">
                  <c:v>40313.943055555559</c:v>
                </c:pt>
                <c:pt idx="4766">
                  <c:v>40313.943749999999</c:v>
                </c:pt>
                <c:pt idx="4767">
                  <c:v>40313.944444444445</c:v>
                </c:pt>
                <c:pt idx="4768">
                  <c:v>40313.945138888892</c:v>
                </c:pt>
                <c:pt idx="4769">
                  <c:v>40313.945833333331</c:v>
                </c:pt>
                <c:pt idx="4770">
                  <c:v>40313.946527777778</c:v>
                </c:pt>
                <c:pt idx="4771">
                  <c:v>40313.947222222225</c:v>
                </c:pt>
                <c:pt idx="4772">
                  <c:v>40313.947916666664</c:v>
                </c:pt>
                <c:pt idx="4773">
                  <c:v>40313.948611111111</c:v>
                </c:pt>
                <c:pt idx="4774">
                  <c:v>40313.949305555558</c:v>
                </c:pt>
                <c:pt idx="4775">
                  <c:v>40313.949999999997</c:v>
                </c:pt>
                <c:pt idx="4776">
                  <c:v>40313.950694444444</c:v>
                </c:pt>
                <c:pt idx="4777">
                  <c:v>40313.951388888891</c:v>
                </c:pt>
                <c:pt idx="4778">
                  <c:v>40313.95208333333</c:v>
                </c:pt>
                <c:pt idx="4779">
                  <c:v>40313.952777777777</c:v>
                </c:pt>
                <c:pt idx="4780">
                  <c:v>40313.953472222223</c:v>
                </c:pt>
                <c:pt idx="4781">
                  <c:v>40313.95416666667</c:v>
                </c:pt>
                <c:pt idx="4782">
                  <c:v>40313.954861111109</c:v>
                </c:pt>
                <c:pt idx="4783">
                  <c:v>40313.955555555556</c:v>
                </c:pt>
                <c:pt idx="4784">
                  <c:v>40313.956250000003</c:v>
                </c:pt>
                <c:pt idx="4785">
                  <c:v>40313.956944444442</c:v>
                </c:pt>
                <c:pt idx="4786">
                  <c:v>40313.957638888889</c:v>
                </c:pt>
                <c:pt idx="4787">
                  <c:v>40313.958333333336</c:v>
                </c:pt>
                <c:pt idx="4788">
                  <c:v>40313.959027777775</c:v>
                </c:pt>
                <c:pt idx="4789">
                  <c:v>40313.959722222222</c:v>
                </c:pt>
                <c:pt idx="4790">
                  <c:v>40313.960416666669</c:v>
                </c:pt>
                <c:pt idx="4791">
                  <c:v>40313.961111111108</c:v>
                </c:pt>
                <c:pt idx="4792">
                  <c:v>40313.961805555555</c:v>
                </c:pt>
                <c:pt idx="4793">
                  <c:v>40313.962500000001</c:v>
                </c:pt>
                <c:pt idx="4794">
                  <c:v>40313.963194444441</c:v>
                </c:pt>
                <c:pt idx="4795">
                  <c:v>40313.963888888888</c:v>
                </c:pt>
                <c:pt idx="4796">
                  <c:v>40313.964583333334</c:v>
                </c:pt>
                <c:pt idx="4797">
                  <c:v>40313.965277777781</c:v>
                </c:pt>
                <c:pt idx="4798">
                  <c:v>40313.96597222222</c:v>
                </c:pt>
                <c:pt idx="4799">
                  <c:v>40313.966666666667</c:v>
                </c:pt>
                <c:pt idx="4800">
                  <c:v>40313.967361111114</c:v>
                </c:pt>
                <c:pt idx="4801">
                  <c:v>40313.968055555553</c:v>
                </c:pt>
                <c:pt idx="4802">
                  <c:v>40313.96875</c:v>
                </c:pt>
                <c:pt idx="4803">
                  <c:v>40313.969444444447</c:v>
                </c:pt>
                <c:pt idx="4804">
                  <c:v>40313.970138888886</c:v>
                </c:pt>
                <c:pt idx="4805">
                  <c:v>40313.970833333333</c:v>
                </c:pt>
                <c:pt idx="4806">
                  <c:v>40313.97152777778</c:v>
                </c:pt>
                <c:pt idx="4807">
                  <c:v>40313.972222222219</c:v>
                </c:pt>
                <c:pt idx="4808">
                  <c:v>40313.972916666666</c:v>
                </c:pt>
                <c:pt idx="4809">
                  <c:v>40313.973611111112</c:v>
                </c:pt>
                <c:pt idx="4810">
                  <c:v>40313.974305555559</c:v>
                </c:pt>
                <c:pt idx="4811">
                  <c:v>40313.974999999999</c:v>
                </c:pt>
                <c:pt idx="4812">
                  <c:v>40313.975694444445</c:v>
                </c:pt>
                <c:pt idx="4813">
                  <c:v>40313.976388888892</c:v>
                </c:pt>
                <c:pt idx="4814">
                  <c:v>40313.977083333331</c:v>
                </c:pt>
                <c:pt idx="4815">
                  <c:v>40313.977777777778</c:v>
                </c:pt>
                <c:pt idx="4816">
                  <c:v>40313.978472222225</c:v>
                </c:pt>
                <c:pt idx="4817">
                  <c:v>40313.979166666664</c:v>
                </c:pt>
                <c:pt idx="4818">
                  <c:v>40313.979861111111</c:v>
                </c:pt>
                <c:pt idx="4819">
                  <c:v>40313.980555555558</c:v>
                </c:pt>
                <c:pt idx="4820">
                  <c:v>40313.981249999997</c:v>
                </c:pt>
                <c:pt idx="4821">
                  <c:v>40313.981944444444</c:v>
                </c:pt>
                <c:pt idx="4822">
                  <c:v>40313.982638888891</c:v>
                </c:pt>
                <c:pt idx="4823">
                  <c:v>40313.98333333333</c:v>
                </c:pt>
                <c:pt idx="4824">
                  <c:v>40313.984027777777</c:v>
                </c:pt>
                <c:pt idx="4825">
                  <c:v>40313.984722222223</c:v>
                </c:pt>
                <c:pt idx="4826">
                  <c:v>40313.98541666667</c:v>
                </c:pt>
                <c:pt idx="4827">
                  <c:v>40313.986111111109</c:v>
                </c:pt>
                <c:pt idx="4828">
                  <c:v>40313.986805555556</c:v>
                </c:pt>
                <c:pt idx="4829">
                  <c:v>40313.987500000003</c:v>
                </c:pt>
                <c:pt idx="4830">
                  <c:v>40313.988194444442</c:v>
                </c:pt>
                <c:pt idx="4831">
                  <c:v>40313.988888888889</c:v>
                </c:pt>
                <c:pt idx="4832">
                  <c:v>40313.989583333336</c:v>
                </c:pt>
                <c:pt idx="4833">
                  <c:v>40313.990277777775</c:v>
                </c:pt>
                <c:pt idx="4834">
                  <c:v>40313.990972222222</c:v>
                </c:pt>
                <c:pt idx="4835">
                  <c:v>40313.991666666669</c:v>
                </c:pt>
                <c:pt idx="4836">
                  <c:v>40313.992361111108</c:v>
                </c:pt>
                <c:pt idx="4837">
                  <c:v>40313.993055555555</c:v>
                </c:pt>
                <c:pt idx="4838">
                  <c:v>40313.993750000001</c:v>
                </c:pt>
                <c:pt idx="4839">
                  <c:v>40313.994444444441</c:v>
                </c:pt>
                <c:pt idx="4840">
                  <c:v>40313.995138888888</c:v>
                </c:pt>
                <c:pt idx="4841">
                  <c:v>40313.995833333334</c:v>
                </c:pt>
                <c:pt idx="4842">
                  <c:v>40313.996527777781</c:v>
                </c:pt>
                <c:pt idx="4843">
                  <c:v>40313.99722222222</c:v>
                </c:pt>
                <c:pt idx="4844">
                  <c:v>40313.997916666667</c:v>
                </c:pt>
                <c:pt idx="4845">
                  <c:v>40313.998611111114</c:v>
                </c:pt>
                <c:pt idx="4846">
                  <c:v>40313.999305555553</c:v>
                </c:pt>
                <c:pt idx="4847">
                  <c:v>40314</c:v>
                </c:pt>
                <c:pt idx="4848">
                  <c:v>40314.000694444447</c:v>
                </c:pt>
                <c:pt idx="4849">
                  <c:v>40314.001388888886</c:v>
                </c:pt>
                <c:pt idx="4850">
                  <c:v>40314.002083333333</c:v>
                </c:pt>
                <c:pt idx="4851">
                  <c:v>40314.00277777778</c:v>
                </c:pt>
                <c:pt idx="4852">
                  <c:v>40314.003472222219</c:v>
                </c:pt>
                <c:pt idx="4853">
                  <c:v>40314.004166666666</c:v>
                </c:pt>
                <c:pt idx="4854">
                  <c:v>40314.004861111112</c:v>
                </c:pt>
                <c:pt idx="4855">
                  <c:v>40314.005555555559</c:v>
                </c:pt>
                <c:pt idx="4856">
                  <c:v>40314.006249999999</c:v>
                </c:pt>
                <c:pt idx="4857">
                  <c:v>40314.006944444445</c:v>
                </c:pt>
                <c:pt idx="4858">
                  <c:v>40314.007638888892</c:v>
                </c:pt>
                <c:pt idx="4859">
                  <c:v>40314.008333333331</c:v>
                </c:pt>
                <c:pt idx="4860">
                  <c:v>40314.009027777778</c:v>
                </c:pt>
                <c:pt idx="4861">
                  <c:v>40314.009722222225</c:v>
                </c:pt>
                <c:pt idx="4862">
                  <c:v>40314.010416666664</c:v>
                </c:pt>
                <c:pt idx="4863">
                  <c:v>40314.011111111111</c:v>
                </c:pt>
                <c:pt idx="4864">
                  <c:v>40314.011805555558</c:v>
                </c:pt>
                <c:pt idx="4865">
                  <c:v>40314.012499999997</c:v>
                </c:pt>
                <c:pt idx="4866">
                  <c:v>40314.013194444444</c:v>
                </c:pt>
                <c:pt idx="4867">
                  <c:v>40314.013888888891</c:v>
                </c:pt>
                <c:pt idx="4868">
                  <c:v>40314.01458333333</c:v>
                </c:pt>
                <c:pt idx="4869">
                  <c:v>40314.015277777777</c:v>
                </c:pt>
                <c:pt idx="4870">
                  <c:v>40314.015972222223</c:v>
                </c:pt>
                <c:pt idx="4871">
                  <c:v>40314.01666666667</c:v>
                </c:pt>
                <c:pt idx="4872">
                  <c:v>40314.017361111109</c:v>
                </c:pt>
                <c:pt idx="4873">
                  <c:v>40314.018055555556</c:v>
                </c:pt>
                <c:pt idx="4874">
                  <c:v>40314.018750000003</c:v>
                </c:pt>
                <c:pt idx="4875">
                  <c:v>40314.019444444442</c:v>
                </c:pt>
                <c:pt idx="4876">
                  <c:v>40314.020138888889</c:v>
                </c:pt>
                <c:pt idx="4877">
                  <c:v>40314.020833333336</c:v>
                </c:pt>
                <c:pt idx="4878">
                  <c:v>40314.021527777775</c:v>
                </c:pt>
                <c:pt idx="4879">
                  <c:v>40314.022222222222</c:v>
                </c:pt>
                <c:pt idx="4880">
                  <c:v>40314.022916666669</c:v>
                </c:pt>
                <c:pt idx="4881">
                  <c:v>40314.023611111108</c:v>
                </c:pt>
                <c:pt idx="4882">
                  <c:v>40314.024305555555</c:v>
                </c:pt>
                <c:pt idx="4883">
                  <c:v>40314.025000000001</c:v>
                </c:pt>
                <c:pt idx="4884">
                  <c:v>40314.025694444441</c:v>
                </c:pt>
                <c:pt idx="4885">
                  <c:v>40314.026388888888</c:v>
                </c:pt>
                <c:pt idx="4886">
                  <c:v>40314.027083333334</c:v>
                </c:pt>
                <c:pt idx="4887">
                  <c:v>40314.027777777781</c:v>
                </c:pt>
                <c:pt idx="4888">
                  <c:v>40314.02847222222</c:v>
                </c:pt>
                <c:pt idx="4889">
                  <c:v>40314.029166666667</c:v>
                </c:pt>
                <c:pt idx="4890">
                  <c:v>40314.029861111114</c:v>
                </c:pt>
                <c:pt idx="4891">
                  <c:v>40314.030555555553</c:v>
                </c:pt>
                <c:pt idx="4892">
                  <c:v>40314.03125</c:v>
                </c:pt>
                <c:pt idx="4893">
                  <c:v>40314.031944444447</c:v>
                </c:pt>
                <c:pt idx="4894">
                  <c:v>40314.032638888886</c:v>
                </c:pt>
                <c:pt idx="4895">
                  <c:v>40314.033333333333</c:v>
                </c:pt>
                <c:pt idx="4896">
                  <c:v>40314.03402777778</c:v>
                </c:pt>
                <c:pt idx="4897">
                  <c:v>40314.034722222219</c:v>
                </c:pt>
                <c:pt idx="4898">
                  <c:v>40314.035416666666</c:v>
                </c:pt>
                <c:pt idx="4899">
                  <c:v>40314.036111111112</c:v>
                </c:pt>
                <c:pt idx="4900">
                  <c:v>40314.036805555559</c:v>
                </c:pt>
                <c:pt idx="4901">
                  <c:v>40314.037499999999</c:v>
                </c:pt>
                <c:pt idx="4902">
                  <c:v>40314.038194444445</c:v>
                </c:pt>
                <c:pt idx="4903">
                  <c:v>40314.038888888892</c:v>
                </c:pt>
                <c:pt idx="4904">
                  <c:v>40314.039583333331</c:v>
                </c:pt>
                <c:pt idx="4905">
                  <c:v>40314.040277777778</c:v>
                </c:pt>
                <c:pt idx="4906">
                  <c:v>40314.040972222225</c:v>
                </c:pt>
                <c:pt idx="4907">
                  <c:v>40314.041666666664</c:v>
                </c:pt>
                <c:pt idx="4908">
                  <c:v>40314.042361111111</c:v>
                </c:pt>
                <c:pt idx="4909">
                  <c:v>40314.043055555558</c:v>
                </c:pt>
                <c:pt idx="4910">
                  <c:v>40314.043749999997</c:v>
                </c:pt>
                <c:pt idx="4911">
                  <c:v>40314.044444444444</c:v>
                </c:pt>
                <c:pt idx="4912">
                  <c:v>40314.045138888891</c:v>
                </c:pt>
                <c:pt idx="4913">
                  <c:v>40314.04583333333</c:v>
                </c:pt>
                <c:pt idx="4914">
                  <c:v>40314.046527777777</c:v>
                </c:pt>
                <c:pt idx="4915">
                  <c:v>40314.047222222223</c:v>
                </c:pt>
                <c:pt idx="4916">
                  <c:v>40314.04791666667</c:v>
                </c:pt>
                <c:pt idx="4917">
                  <c:v>40314.048611111109</c:v>
                </c:pt>
                <c:pt idx="4918">
                  <c:v>40314.049305555556</c:v>
                </c:pt>
                <c:pt idx="4919">
                  <c:v>40314.050000000003</c:v>
                </c:pt>
                <c:pt idx="4920">
                  <c:v>40314.050694444442</c:v>
                </c:pt>
                <c:pt idx="4921">
                  <c:v>40314.051388888889</c:v>
                </c:pt>
                <c:pt idx="4922">
                  <c:v>40314.052083333336</c:v>
                </c:pt>
                <c:pt idx="4923">
                  <c:v>40314.052777777775</c:v>
                </c:pt>
                <c:pt idx="4924">
                  <c:v>40314.053472222222</c:v>
                </c:pt>
                <c:pt idx="4925">
                  <c:v>40314.054166666669</c:v>
                </c:pt>
                <c:pt idx="4926">
                  <c:v>40314.054861111108</c:v>
                </c:pt>
                <c:pt idx="4927">
                  <c:v>40314.055555555555</c:v>
                </c:pt>
                <c:pt idx="4928">
                  <c:v>40314.056250000001</c:v>
                </c:pt>
                <c:pt idx="4929">
                  <c:v>40314.056944444441</c:v>
                </c:pt>
                <c:pt idx="4930">
                  <c:v>40314.057638888888</c:v>
                </c:pt>
                <c:pt idx="4931">
                  <c:v>40314.058333333334</c:v>
                </c:pt>
                <c:pt idx="4932">
                  <c:v>40314.059027777781</c:v>
                </c:pt>
                <c:pt idx="4933">
                  <c:v>40314.05972222222</c:v>
                </c:pt>
                <c:pt idx="4934">
                  <c:v>40314.060416666667</c:v>
                </c:pt>
                <c:pt idx="4935">
                  <c:v>40314.061111111114</c:v>
                </c:pt>
                <c:pt idx="4936">
                  <c:v>40314.061805555553</c:v>
                </c:pt>
                <c:pt idx="4937">
                  <c:v>40314.0625</c:v>
                </c:pt>
                <c:pt idx="4938">
                  <c:v>40314.063194444447</c:v>
                </c:pt>
                <c:pt idx="4939">
                  <c:v>40314.063888888886</c:v>
                </c:pt>
                <c:pt idx="4940">
                  <c:v>40314.064583333333</c:v>
                </c:pt>
                <c:pt idx="4941">
                  <c:v>40314.06527777778</c:v>
                </c:pt>
                <c:pt idx="4942">
                  <c:v>40314.065972222219</c:v>
                </c:pt>
                <c:pt idx="4943">
                  <c:v>40314.066666666666</c:v>
                </c:pt>
                <c:pt idx="4944">
                  <c:v>40314.067361111112</c:v>
                </c:pt>
                <c:pt idx="4945">
                  <c:v>40314.068055555559</c:v>
                </c:pt>
                <c:pt idx="4946">
                  <c:v>40314.068749999999</c:v>
                </c:pt>
                <c:pt idx="4947">
                  <c:v>40314.069444444445</c:v>
                </c:pt>
                <c:pt idx="4948">
                  <c:v>40314.070138888892</c:v>
                </c:pt>
                <c:pt idx="4949">
                  <c:v>40314.070833333331</c:v>
                </c:pt>
                <c:pt idx="4950">
                  <c:v>40314.071527777778</c:v>
                </c:pt>
                <c:pt idx="4951">
                  <c:v>40314.072222222225</c:v>
                </c:pt>
                <c:pt idx="4952">
                  <c:v>40314.072916666664</c:v>
                </c:pt>
                <c:pt idx="4953">
                  <c:v>40314.073611111111</c:v>
                </c:pt>
                <c:pt idx="4954">
                  <c:v>40314.074305555558</c:v>
                </c:pt>
                <c:pt idx="4955">
                  <c:v>40314.074999999997</c:v>
                </c:pt>
                <c:pt idx="4956">
                  <c:v>40314.075694444444</c:v>
                </c:pt>
                <c:pt idx="4957">
                  <c:v>40314.076388888891</c:v>
                </c:pt>
                <c:pt idx="4958">
                  <c:v>40314.07708333333</c:v>
                </c:pt>
                <c:pt idx="4959">
                  <c:v>40314.077777777777</c:v>
                </c:pt>
                <c:pt idx="4960">
                  <c:v>40314.078472222223</c:v>
                </c:pt>
                <c:pt idx="4961">
                  <c:v>40314.07916666667</c:v>
                </c:pt>
                <c:pt idx="4962">
                  <c:v>40314.079861111109</c:v>
                </c:pt>
                <c:pt idx="4963">
                  <c:v>40314.080555555556</c:v>
                </c:pt>
                <c:pt idx="4964">
                  <c:v>40314.081250000003</c:v>
                </c:pt>
                <c:pt idx="4965">
                  <c:v>40314.081944444442</c:v>
                </c:pt>
                <c:pt idx="4966">
                  <c:v>40314.082638888889</c:v>
                </c:pt>
                <c:pt idx="4967">
                  <c:v>40314.083333333336</c:v>
                </c:pt>
                <c:pt idx="4968">
                  <c:v>40314.084027777775</c:v>
                </c:pt>
                <c:pt idx="4969">
                  <c:v>40314.084722222222</c:v>
                </c:pt>
                <c:pt idx="4970">
                  <c:v>40314.085416666669</c:v>
                </c:pt>
                <c:pt idx="4971">
                  <c:v>40314.086111111108</c:v>
                </c:pt>
                <c:pt idx="4972">
                  <c:v>40314.086805555555</c:v>
                </c:pt>
                <c:pt idx="4973">
                  <c:v>40314.087500000001</c:v>
                </c:pt>
                <c:pt idx="4974">
                  <c:v>40314.088194444441</c:v>
                </c:pt>
                <c:pt idx="4975">
                  <c:v>40314.088888888888</c:v>
                </c:pt>
                <c:pt idx="4976">
                  <c:v>40314.089583333334</c:v>
                </c:pt>
                <c:pt idx="4977">
                  <c:v>40314.090277777781</c:v>
                </c:pt>
                <c:pt idx="4978">
                  <c:v>40314.09097222222</c:v>
                </c:pt>
                <c:pt idx="4979">
                  <c:v>40314.091666666667</c:v>
                </c:pt>
                <c:pt idx="4980">
                  <c:v>40314.092361111114</c:v>
                </c:pt>
                <c:pt idx="4981">
                  <c:v>40314.093055555553</c:v>
                </c:pt>
                <c:pt idx="4982">
                  <c:v>40314.09375</c:v>
                </c:pt>
                <c:pt idx="4983">
                  <c:v>40314.094444444447</c:v>
                </c:pt>
                <c:pt idx="4984">
                  <c:v>40314.095138888886</c:v>
                </c:pt>
                <c:pt idx="4985">
                  <c:v>40314.095833333333</c:v>
                </c:pt>
                <c:pt idx="4986">
                  <c:v>40314.09652777778</c:v>
                </c:pt>
                <c:pt idx="4987">
                  <c:v>40314.097222222219</c:v>
                </c:pt>
                <c:pt idx="4988">
                  <c:v>40314.097916666666</c:v>
                </c:pt>
                <c:pt idx="4989">
                  <c:v>40314.098611111112</c:v>
                </c:pt>
                <c:pt idx="4990">
                  <c:v>40314.099305555559</c:v>
                </c:pt>
                <c:pt idx="4991">
                  <c:v>40314.1</c:v>
                </c:pt>
                <c:pt idx="4992">
                  <c:v>40314.100694444445</c:v>
                </c:pt>
                <c:pt idx="4993">
                  <c:v>40314.101388888892</c:v>
                </c:pt>
                <c:pt idx="4994">
                  <c:v>40314.102083333331</c:v>
                </c:pt>
                <c:pt idx="4995">
                  <c:v>40314.102777777778</c:v>
                </c:pt>
                <c:pt idx="4996">
                  <c:v>40314.103472222225</c:v>
                </c:pt>
                <c:pt idx="4997">
                  <c:v>40314.104166666664</c:v>
                </c:pt>
                <c:pt idx="4998">
                  <c:v>40314.104861111111</c:v>
                </c:pt>
                <c:pt idx="4999">
                  <c:v>40314.105555555558</c:v>
                </c:pt>
                <c:pt idx="5000">
                  <c:v>40314.106249999997</c:v>
                </c:pt>
                <c:pt idx="5001">
                  <c:v>40314.106944444444</c:v>
                </c:pt>
                <c:pt idx="5002">
                  <c:v>40314.107638888891</c:v>
                </c:pt>
                <c:pt idx="5003">
                  <c:v>40314.10833333333</c:v>
                </c:pt>
                <c:pt idx="5004">
                  <c:v>40314.109027777777</c:v>
                </c:pt>
                <c:pt idx="5005">
                  <c:v>40314.109722222223</c:v>
                </c:pt>
                <c:pt idx="5006">
                  <c:v>40314.11041666667</c:v>
                </c:pt>
                <c:pt idx="5007">
                  <c:v>40314.111111111109</c:v>
                </c:pt>
                <c:pt idx="5008">
                  <c:v>40314.111805555556</c:v>
                </c:pt>
                <c:pt idx="5009">
                  <c:v>40314.112500000003</c:v>
                </c:pt>
                <c:pt idx="5010">
                  <c:v>40314.113194444442</c:v>
                </c:pt>
                <c:pt idx="5011">
                  <c:v>40314.113888888889</c:v>
                </c:pt>
                <c:pt idx="5012">
                  <c:v>40314.114583333336</c:v>
                </c:pt>
                <c:pt idx="5013">
                  <c:v>40314.115277777775</c:v>
                </c:pt>
                <c:pt idx="5014">
                  <c:v>40314.115972222222</c:v>
                </c:pt>
                <c:pt idx="5015">
                  <c:v>40314.116666666669</c:v>
                </c:pt>
                <c:pt idx="5016">
                  <c:v>40314.117361111108</c:v>
                </c:pt>
                <c:pt idx="5017">
                  <c:v>40314.118055555555</c:v>
                </c:pt>
                <c:pt idx="5018">
                  <c:v>40314.118750000001</c:v>
                </c:pt>
                <c:pt idx="5019">
                  <c:v>40314.119444444441</c:v>
                </c:pt>
                <c:pt idx="5020">
                  <c:v>40314.120138888888</c:v>
                </c:pt>
                <c:pt idx="5021">
                  <c:v>40314.120833333334</c:v>
                </c:pt>
                <c:pt idx="5022">
                  <c:v>40314.121527777781</c:v>
                </c:pt>
                <c:pt idx="5023">
                  <c:v>40314.12222222222</c:v>
                </c:pt>
                <c:pt idx="5024">
                  <c:v>40314.122916666667</c:v>
                </c:pt>
                <c:pt idx="5025">
                  <c:v>40314.123611111114</c:v>
                </c:pt>
                <c:pt idx="5026">
                  <c:v>40314.124305555553</c:v>
                </c:pt>
                <c:pt idx="5027">
                  <c:v>40314.125</c:v>
                </c:pt>
                <c:pt idx="5028">
                  <c:v>40314.125694444447</c:v>
                </c:pt>
                <c:pt idx="5029">
                  <c:v>40314.126388888886</c:v>
                </c:pt>
                <c:pt idx="5030">
                  <c:v>40314.127083333333</c:v>
                </c:pt>
                <c:pt idx="5031">
                  <c:v>40314.12777777778</c:v>
                </c:pt>
                <c:pt idx="5032">
                  <c:v>40314.128472222219</c:v>
                </c:pt>
                <c:pt idx="5033">
                  <c:v>40314.129166666666</c:v>
                </c:pt>
                <c:pt idx="5034">
                  <c:v>40314.129861111112</c:v>
                </c:pt>
                <c:pt idx="5035">
                  <c:v>40314.130555555559</c:v>
                </c:pt>
                <c:pt idx="5036">
                  <c:v>40314.131249999999</c:v>
                </c:pt>
                <c:pt idx="5037">
                  <c:v>40314.131944444445</c:v>
                </c:pt>
                <c:pt idx="5038">
                  <c:v>40314.132638888892</c:v>
                </c:pt>
                <c:pt idx="5039">
                  <c:v>40314.133333333331</c:v>
                </c:pt>
                <c:pt idx="5040">
                  <c:v>40314.134027777778</c:v>
                </c:pt>
                <c:pt idx="5041">
                  <c:v>40314.134722222225</c:v>
                </c:pt>
                <c:pt idx="5042">
                  <c:v>40314.135416666664</c:v>
                </c:pt>
                <c:pt idx="5043">
                  <c:v>40314.136111111111</c:v>
                </c:pt>
                <c:pt idx="5044">
                  <c:v>40314.136805555558</c:v>
                </c:pt>
                <c:pt idx="5045">
                  <c:v>40314.137499999997</c:v>
                </c:pt>
                <c:pt idx="5046">
                  <c:v>40314.138194444444</c:v>
                </c:pt>
                <c:pt idx="5047">
                  <c:v>40314.138888888891</c:v>
                </c:pt>
                <c:pt idx="5048">
                  <c:v>40314.13958333333</c:v>
                </c:pt>
                <c:pt idx="5049">
                  <c:v>40314.140277777777</c:v>
                </c:pt>
                <c:pt idx="5050">
                  <c:v>40314.140972222223</c:v>
                </c:pt>
                <c:pt idx="5051">
                  <c:v>40314.14166666667</c:v>
                </c:pt>
                <c:pt idx="5052">
                  <c:v>40314.142361111109</c:v>
                </c:pt>
                <c:pt idx="5053">
                  <c:v>40314.143055555556</c:v>
                </c:pt>
                <c:pt idx="5054">
                  <c:v>40314.143750000003</c:v>
                </c:pt>
                <c:pt idx="5055">
                  <c:v>40314.144444444442</c:v>
                </c:pt>
                <c:pt idx="5056">
                  <c:v>40314.145138888889</c:v>
                </c:pt>
                <c:pt idx="5057">
                  <c:v>40314.145833333336</c:v>
                </c:pt>
                <c:pt idx="5058">
                  <c:v>40314.146527777775</c:v>
                </c:pt>
                <c:pt idx="5059">
                  <c:v>40314.147222222222</c:v>
                </c:pt>
                <c:pt idx="5060">
                  <c:v>40314.147916666669</c:v>
                </c:pt>
                <c:pt idx="5061">
                  <c:v>40314.148611111108</c:v>
                </c:pt>
                <c:pt idx="5062">
                  <c:v>40314.149305555555</c:v>
                </c:pt>
                <c:pt idx="5063">
                  <c:v>40314.15</c:v>
                </c:pt>
                <c:pt idx="5064">
                  <c:v>40314.150694444441</c:v>
                </c:pt>
                <c:pt idx="5065">
                  <c:v>40314.151388888888</c:v>
                </c:pt>
                <c:pt idx="5066">
                  <c:v>40314.152083333334</c:v>
                </c:pt>
                <c:pt idx="5067">
                  <c:v>40314.152777777781</c:v>
                </c:pt>
                <c:pt idx="5068">
                  <c:v>40314.15347222222</c:v>
                </c:pt>
                <c:pt idx="5069">
                  <c:v>40314.154166666667</c:v>
                </c:pt>
                <c:pt idx="5070">
                  <c:v>40314.154861111114</c:v>
                </c:pt>
                <c:pt idx="5071">
                  <c:v>40314.155555555553</c:v>
                </c:pt>
                <c:pt idx="5072">
                  <c:v>40314.15625</c:v>
                </c:pt>
                <c:pt idx="5073">
                  <c:v>40314.156944444447</c:v>
                </c:pt>
                <c:pt idx="5074">
                  <c:v>40314.157638888886</c:v>
                </c:pt>
                <c:pt idx="5075">
                  <c:v>40314.158333333333</c:v>
                </c:pt>
                <c:pt idx="5076">
                  <c:v>40314.15902777778</c:v>
                </c:pt>
                <c:pt idx="5077">
                  <c:v>40314.159722222219</c:v>
                </c:pt>
                <c:pt idx="5078">
                  <c:v>40314.160416666666</c:v>
                </c:pt>
                <c:pt idx="5079">
                  <c:v>40314.161111111112</c:v>
                </c:pt>
                <c:pt idx="5080">
                  <c:v>40314.161805555559</c:v>
                </c:pt>
                <c:pt idx="5081">
                  <c:v>40314.162499999999</c:v>
                </c:pt>
                <c:pt idx="5082">
                  <c:v>40314.163194444445</c:v>
                </c:pt>
                <c:pt idx="5083">
                  <c:v>40314.163888888892</c:v>
                </c:pt>
                <c:pt idx="5084">
                  <c:v>40314.164583333331</c:v>
                </c:pt>
                <c:pt idx="5085">
                  <c:v>40314.165277777778</c:v>
                </c:pt>
                <c:pt idx="5086">
                  <c:v>40314.165972222225</c:v>
                </c:pt>
                <c:pt idx="5087">
                  <c:v>40314.166666666664</c:v>
                </c:pt>
                <c:pt idx="5088">
                  <c:v>40314.167361111111</c:v>
                </c:pt>
                <c:pt idx="5089">
                  <c:v>40314.168055555558</c:v>
                </c:pt>
                <c:pt idx="5090">
                  <c:v>40314.168749999997</c:v>
                </c:pt>
                <c:pt idx="5091">
                  <c:v>40314.169444444444</c:v>
                </c:pt>
                <c:pt idx="5092">
                  <c:v>40314.170138888891</c:v>
                </c:pt>
                <c:pt idx="5093">
                  <c:v>40314.17083333333</c:v>
                </c:pt>
                <c:pt idx="5094">
                  <c:v>40314.171527777777</c:v>
                </c:pt>
                <c:pt idx="5095">
                  <c:v>40314.172222222223</c:v>
                </c:pt>
                <c:pt idx="5096">
                  <c:v>40314.17291666667</c:v>
                </c:pt>
                <c:pt idx="5097">
                  <c:v>40314.173611111109</c:v>
                </c:pt>
                <c:pt idx="5098">
                  <c:v>40314.174305555556</c:v>
                </c:pt>
                <c:pt idx="5099">
                  <c:v>40314.175000000003</c:v>
                </c:pt>
                <c:pt idx="5100">
                  <c:v>40314.175694444442</c:v>
                </c:pt>
                <c:pt idx="5101">
                  <c:v>40314.176388888889</c:v>
                </c:pt>
                <c:pt idx="5102">
                  <c:v>40314.177083333336</c:v>
                </c:pt>
                <c:pt idx="5103">
                  <c:v>40314.177777777775</c:v>
                </c:pt>
                <c:pt idx="5104">
                  <c:v>40314.178472222222</c:v>
                </c:pt>
                <c:pt idx="5105">
                  <c:v>40314.179166666669</c:v>
                </c:pt>
                <c:pt idx="5106">
                  <c:v>40314.179861111108</c:v>
                </c:pt>
                <c:pt idx="5107">
                  <c:v>40314.180555555555</c:v>
                </c:pt>
                <c:pt idx="5108">
                  <c:v>40314.181250000001</c:v>
                </c:pt>
                <c:pt idx="5109">
                  <c:v>40314.181944444441</c:v>
                </c:pt>
                <c:pt idx="5110">
                  <c:v>40314.182638888888</c:v>
                </c:pt>
                <c:pt idx="5111">
                  <c:v>40314.183333333334</c:v>
                </c:pt>
                <c:pt idx="5112">
                  <c:v>40314.184027777781</c:v>
                </c:pt>
                <c:pt idx="5113">
                  <c:v>40314.18472222222</c:v>
                </c:pt>
                <c:pt idx="5114">
                  <c:v>40314.185416666667</c:v>
                </c:pt>
                <c:pt idx="5115">
                  <c:v>40314.186111111114</c:v>
                </c:pt>
                <c:pt idx="5116">
                  <c:v>40314.186805555553</c:v>
                </c:pt>
                <c:pt idx="5117">
                  <c:v>40314.1875</c:v>
                </c:pt>
                <c:pt idx="5118">
                  <c:v>40314.188194444447</c:v>
                </c:pt>
                <c:pt idx="5119">
                  <c:v>40314.188888888886</c:v>
                </c:pt>
                <c:pt idx="5120">
                  <c:v>40314.189583333333</c:v>
                </c:pt>
                <c:pt idx="5121">
                  <c:v>40314.19027777778</c:v>
                </c:pt>
                <c:pt idx="5122">
                  <c:v>40314.190972222219</c:v>
                </c:pt>
                <c:pt idx="5123">
                  <c:v>40314.191666666666</c:v>
                </c:pt>
                <c:pt idx="5124">
                  <c:v>40314.192361111112</c:v>
                </c:pt>
                <c:pt idx="5125">
                  <c:v>40314.193055555559</c:v>
                </c:pt>
                <c:pt idx="5126">
                  <c:v>40314.193749999999</c:v>
                </c:pt>
                <c:pt idx="5127">
                  <c:v>40314.194444444445</c:v>
                </c:pt>
                <c:pt idx="5128">
                  <c:v>40314.195138888892</c:v>
                </c:pt>
                <c:pt idx="5129">
                  <c:v>40314.195833333331</c:v>
                </c:pt>
                <c:pt idx="5130">
                  <c:v>40314.196527777778</c:v>
                </c:pt>
                <c:pt idx="5131">
                  <c:v>40314.197222222225</c:v>
                </c:pt>
                <c:pt idx="5132">
                  <c:v>40314.197916666664</c:v>
                </c:pt>
                <c:pt idx="5133">
                  <c:v>40314.198611111111</c:v>
                </c:pt>
                <c:pt idx="5134">
                  <c:v>40314.199305555558</c:v>
                </c:pt>
                <c:pt idx="5135">
                  <c:v>40314.199999999997</c:v>
                </c:pt>
                <c:pt idx="5136">
                  <c:v>40314.200694444444</c:v>
                </c:pt>
                <c:pt idx="5137">
                  <c:v>40314.201388888891</c:v>
                </c:pt>
                <c:pt idx="5138">
                  <c:v>40314.20208333333</c:v>
                </c:pt>
                <c:pt idx="5139">
                  <c:v>40314.202777777777</c:v>
                </c:pt>
                <c:pt idx="5140">
                  <c:v>40314.203472222223</c:v>
                </c:pt>
                <c:pt idx="5141">
                  <c:v>40314.20416666667</c:v>
                </c:pt>
                <c:pt idx="5142">
                  <c:v>40314.204861111109</c:v>
                </c:pt>
                <c:pt idx="5143">
                  <c:v>40314.205555555556</c:v>
                </c:pt>
                <c:pt idx="5144">
                  <c:v>40314.206250000003</c:v>
                </c:pt>
                <c:pt idx="5145">
                  <c:v>40314.206944444442</c:v>
                </c:pt>
                <c:pt idx="5146">
                  <c:v>40314.207638888889</c:v>
                </c:pt>
                <c:pt idx="5147">
                  <c:v>40314.208333333336</c:v>
                </c:pt>
                <c:pt idx="5148">
                  <c:v>40314.209027777775</c:v>
                </c:pt>
                <c:pt idx="5149">
                  <c:v>40314.209722222222</c:v>
                </c:pt>
                <c:pt idx="5150">
                  <c:v>40314.210416666669</c:v>
                </c:pt>
                <c:pt idx="5151">
                  <c:v>40314.211111111108</c:v>
                </c:pt>
                <c:pt idx="5152">
                  <c:v>40314.211805555555</c:v>
                </c:pt>
                <c:pt idx="5153">
                  <c:v>40314.212500000001</c:v>
                </c:pt>
                <c:pt idx="5154">
                  <c:v>40314.213194444441</c:v>
                </c:pt>
                <c:pt idx="5155">
                  <c:v>40314.213888888888</c:v>
                </c:pt>
                <c:pt idx="5156">
                  <c:v>40314.214583333334</c:v>
                </c:pt>
                <c:pt idx="5157">
                  <c:v>40314.215277777781</c:v>
                </c:pt>
                <c:pt idx="5158">
                  <c:v>40314.21597222222</c:v>
                </c:pt>
                <c:pt idx="5159">
                  <c:v>40314.216666666667</c:v>
                </c:pt>
                <c:pt idx="5160">
                  <c:v>40314.217361111114</c:v>
                </c:pt>
                <c:pt idx="5161">
                  <c:v>40314.218055555553</c:v>
                </c:pt>
                <c:pt idx="5162">
                  <c:v>40314.21875</c:v>
                </c:pt>
                <c:pt idx="5163">
                  <c:v>40314.219444444447</c:v>
                </c:pt>
                <c:pt idx="5164">
                  <c:v>40314.220138888886</c:v>
                </c:pt>
                <c:pt idx="5165">
                  <c:v>40314.220833333333</c:v>
                </c:pt>
                <c:pt idx="5166">
                  <c:v>40314.22152777778</c:v>
                </c:pt>
                <c:pt idx="5167">
                  <c:v>40314.222222222219</c:v>
                </c:pt>
                <c:pt idx="5168">
                  <c:v>40314.222916666666</c:v>
                </c:pt>
                <c:pt idx="5169">
                  <c:v>40314.223611111112</c:v>
                </c:pt>
                <c:pt idx="5170">
                  <c:v>40314.224305555559</c:v>
                </c:pt>
                <c:pt idx="5171">
                  <c:v>40314.224999999999</c:v>
                </c:pt>
                <c:pt idx="5172">
                  <c:v>40314.225694444445</c:v>
                </c:pt>
                <c:pt idx="5173">
                  <c:v>40314.226388888892</c:v>
                </c:pt>
                <c:pt idx="5174">
                  <c:v>40314.227083333331</c:v>
                </c:pt>
                <c:pt idx="5175">
                  <c:v>40314.227777777778</c:v>
                </c:pt>
                <c:pt idx="5176">
                  <c:v>40314.228472222225</c:v>
                </c:pt>
                <c:pt idx="5177">
                  <c:v>40314.229166666664</c:v>
                </c:pt>
                <c:pt idx="5178">
                  <c:v>40314.229861111111</c:v>
                </c:pt>
                <c:pt idx="5179">
                  <c:v>40314.230555555558</c:v>
                </c:pt>
                <c:pt idx="5180">
                  <c:v>40314.231249999997</c:v>
                </c:pt>
                <c:pt idx="5181">
                  <c:v>40314.231944444444</c:v>
                </c:pt>
                <c:pt idx="5182">
                  <c:v>40314.232638888891</c:v>
                </c:pt>
                <c:pt idx="5183">
                  <c:v>40314.23333333333</c:v>
                </c:pt>
                <c:pt idx="5184">
                  <c:v>40314.234027777777</c:v>
                </c:pt>
                <c:pt idx="5185">
                  <c:v>40314.234722222223</c:v>
                </c:pt>
                <c:pt idx="5186">
                  <c:v>40314.23541666667</c:v>
                </c:pt>
                <c:pt idx="5187">
                  <c:v>40314.236111111109</c:v>
                </c:pt>
                <c:pt idx="5188">
                  <c:v>40314.236805555556</c:v>
                </c:pt>
                <c:pt idx="5189">
                  <c:v>40314.237500000003</c:v>
                </c:pt>
                <c:pt idx="5190">
                  <c:v>40314.238194444442</c:v>
                </c:pt>
                <c:pt idx="5191">
                  <c:v>40314.238888888889</c:v>
                </c:pt>
                <c:pt idx="5192">
                  <c:v>40314.239583333336</c:v>
                </c:pt>
                <c:pt idx="5193">
                  <c:v>40314.240277777775</c:v>
                </c:pt>
                <c:pt idx="5194">
                  <c:v>40314.240972222222</c:v>
                </c:pt>
                <c:pt idx="5195">
                  <c:v>40314.241666666669</c:v>
                </c:pt>
                <c:pt idx="5196">
                  <c:v>40314.242361111108</c:v>
                </c:pt>
                <c:pt idx="5197">
                  <c:v>40314.243055555555</c:v>
                </c:pt>
                <c:pt idx="5198">
                  <c:v>40314.243750000001</c:v>
                </c:pt>
                <c:pt idx="5199">
                  <c:v>40314.244444444441</c:v>
                </c:pt>
                <c:pt idx="5200">
                  <c:v>40314.245138888888</c:v>
                </c:pt>
                <c:pt idx="5201">
                  <c:v>40314.245833333334</c:v>
                </c:pt>
                <c:pt idx="5202">
                  <c:v>40314.246527777781</c:v>
                </c:pt>
                <c:pt idx="5203">
                  <c:v>40314.24722222222</c:v>
                </c:pt>
                <c:pt idx="5204">
                  <c:v>40314.247916666667</c:v>
                </c:pt>
                <c:pt idx="5205">
                  <c:v>40314.248611111114</c:v>
                </c:pt>
                <c:pt idx="5206">
                  <c:v>40314.249305555553</c:v>
                </c:pt>
                <c:pt idx="5207">
                  <c:v>40314.25</c:v>
                </c:pt>
                <c:pt idx="5208">
                  <c:v>40314.250694444447</c:v>
                </c:pt>
                <c:pt idx="5209">
                  <c:v>40314.251388888886</c:v>
                </c:pt>
                <c:pt idx="5210">
                  <c:v>40314.252083333333</c:v>
                </c:pt>
                <c:pt idx="5211">
                  <c:v>40314.25277777778</c:v>
                </c:pt>
                <c:pt idx="5212">
                  <c:v>40314.253472222219</c:v>
                </c:pt>
                <c:pt idx="5213">
                  <c:v>40314.254166666666</c:v>
                </c:pt>
                <c:pt idx="5214">
                  <c:v>40314.254861111112</c:v>
                </c:pt>
                <c:pt idx="5215">
                  <c:v>40314.255555555559</c:v>
                </c:pt>
                <c:pt idx="5216">
                  <c:v>40314.256249999999</c:v>
                </c:pt>
                <c:pt idx="5217">
                  <c:v>40314.256944444445</c:v>
                </c:pt>
                <c:pt idx="5218">
                  <c:v>40314.257638888892</c:v>
                </c:pt>
                <c:pt idx="5219">
                  <c:v>40314.258333333331</c:v>
                </c:pt>
                <c:pt idx="5220">
                  <c:v>40314.259027777778</c:v>
                </c:pt>
                <c:pt idx="5221">
                  <c:v>40314.259722222225</c:v>
                </c:pt>
                <c:pt idx="5222">
                  <c:v>40314.260416666664</c:v>
                </c:pt>
                <c:pt idx="5223">
                  <c:v>40314.261111111111</c:v>
                </c:pt>
                <c:pt idx="5224">
                  <c:v>40314.261805555558</c:v>
                </c:pt>
                <c:pt idx="5225">
                  <c:v>40314.262499999997</c:v>
                </c:pt>
                <c:pt idx="5226">
                  <c:v>40314.263194444444</c:v>
                </c:pt>
                <c:pt idx="5227">
                  <c:v>40314.263888888891</c:v>
                </c:pt>
                <c:pt idx="5228">
                  <c:v>40314.26458333333</c:v>
                </c:pt>
                <c:pt idx="5229">
                  <c:v>40314.265277777777</c:v>
                </c:pt>
                <c:pt idx="5230">
                  <c:v>40314.265972222223</c:v>
                </c:pt>
                <c:pt idx="5231">
                  <c:v>40314.26666666667</c:v>
                </c:pt>
                <c:pt idx="5232">
                  <c:v>40314.267361111109</c:v>
                </c:pt>
                <c:pt idx="5233">
                  <c:v>40314.268055555556</c:v>
                </c:pt>
                <c:pt idx="5234">
                  <c:v>40314.268750000003</c:v>
                </c:pt>
                <c:pt idx="5235">
                  <c:v>40314.269444444442</c:v>
                </c:pt>
                <c:pt idx="5236">
                  <c:v>40314.270138888889</c:v>
                </c:pt>
                <c:pt idx="5237">
                  <c:v>40314.270833333336</c:v>
                </c:pt>
                <c:pt idx="5238">
                  <c:v>40314.271527777775</c:v>
                </c:pt>
                <c:pt idx="5239">
                  <c:v>40314.272222222222</c:v>
                </c:pt>
                <c:pt idx="5240">
                  <c:v>40314.272916666669</c:v>
                </c:pt>
                <c:pt idx="5241">
                  <c:v>40314.273611111108</c:v>
                </c:pt>
                <c:pt idx="5242">
                  <c:v>40314.274305555555</c:v>
                </c:pt>
                <c:pt idx="5243">
                  <c:v>40314.275000000001</c:v>
                </c:pt>
                <c:pt idx="5244">
                  <c:v>40314.275694444441</c:v>
                </c:pt>
                <c:pt idx="5245">
                  <c:v>40314.276388888888</c:v>
                </c:pt>
                <c:pt idx="5246">
                  <c:v>40314.277083333334</c:v>
                </c:pt>
                <c:pt idx="5247">
                  <c:v>40314.277777777781</c:v>
                </c:pt>
                <c:pt idx="5248">
                  <c:v>40314.27847222222</c:v>
                </c:pt>
                <c:pt idx="5249">
                  <c:v>40314.279166666667</c:v>
                </c:pt>
                <c:pt idx="5250">
                  <c:v>40314.279861111114</c:v>
                </c:pt>
                <c:pt idx="5251">
                  <c:v>40314.280555555553</c:v>
                </c:pt>
                <c:pt idx="5252">
                  <c:v>40314.28125</c:v>
                </c:pt>
                <c:pt idx="5253">
                  <c:v>40314.281944444447</c:v>
                </c:pt>
                <c:pt idx="5254">
                  <c:v>40314.282638888886</c:v>
                </c:pt>
                <c:pt idx="5255">
                  <c:v>40314.283333333333</c:v>
                </c:pt>
                <c:pt idx="5256">
                  <c:v>40314.28402777778</c:v>
                </c:pt>
                <c:pt idx="5257">
                  <c:v>40314.284722222219</c:v>
                </c:pt>
                <c:pt idx="5258">
                  <c:v>40314.285416666666</c:v>
                </c:pt>
                <c:pt idx="5259">
                  <c:v>40314.286111111112</c:v>
                </c:pt>
                <c:pt idx="5260">
                  <c:v>40314.286805555559</c:v>
                </c:pt>
                <c:pt idx="5261">
                  <c:v>40314.287499999999</c:v>
                </c:pt>
                <c:pt idx="5262">
                  <c:v>40314.288194444445</c:v>
                </c:pt>
                <c:pt idx="5263">
                  <c:v>40314.288888888892</c:v>
                </c:pt>
                <c:pt idx="5264">
                  <c:v>40314.289583333331</c:v>
                </c:pt>
                <c:pt idx="5265">
                  <c:v>40314.290277777778</c:v>
                </c:pt>
                <c:pt idx="5266">
                  <c:v>40314.290972222225</c:v>
                </c:pt>
                <c:pt idx="5267">
                  <c:v>40314.291666666664</c:v>
                </c:pt>
                <c:pt idx="5268">
                  <c:v>40314.292361111111</c:v>
                </c:pt>
                <c:pt idx="5269">
                  <c:v>40314.293055555558</c:v>
                </c:pt>
                <c:pt idx="5270">
                  <c:v>40314.293749999997</c:v>
                </c:pt>
                <c:pt idx="5271">
                  <c:v>40314.294444444444</c:v>
                </c:pt>
                <c:pt idx="5272">
                  <c:v>40314.295138888891</c:v>
                </c:pt>
                <c:pt idx="5273">
                  <c:v>40314.29583333333</c:v>
                </c:pt>
                <c:pt idx="5274">
                  <c:v>40314.296527777777</c:v>
                </c:pt>
                <c:pt idx="5275">
                  <c:v>40314.297222222223</c:v>
                </c:pt>
                <c:pt idx="5276">
                  <c:v>40314.29791666667</c:v>
                </c:pt>
                <c:pt idx="5277">
                  <c:v>40314.298611111109</c:v>
                </c:pt>
                <c:pt idx="5278">
                  <c:v>40314.299305555556</c:v>
                </c:pt>
                <c:pt idx="5279">
                  <c:v>40314.300000000003</c:v>
                </c:pt>
                <c:pt idx="5280">
                  <c:v>40314.300694444442</c:v>
                </c:pt>
                <c:pt idx="5281">
                  <c:v>40314.301388888889</c:v>
                </c:pt>
                <c:pt idx="5282">
                  <c:v>40314.302083333336</c:v>
                </c:pt>
                <c:pt idx="5283">
                  <c:v>40314.302777777775</c:v>
                </c:pt>
                <c:pt idx="5284">
                  <c:v>40314.303472222222</c:v>
                </c:pt>
                <c:pt idx="5285">
                  <c:v>40314.304166666669</c:v>
                </c:pt>
                <c:pt idx="5286">
                  <c:v>40314.304861111108</c:v>
                </c:pt>
                <c:pt idx="5287">
                  <c:v>40314.305555555555</c:v>
                </c:pt>
                <c:pt idx="5288">
                  <c:v>40314.306250000001</c:v>
                </c:pt>
                <c:pt idx="5289">
                  <c:v>40314.306944444441</c:v>
                </c:pt>
                <c:pt idx="5290">
                  <c:v>40314.307638888888</c:v>
                </c:pt>
                <c:pt idx="5291">
                  <c:v>40314.308333333334</c:v>
                </c:pt>
                <c:pt idx="5292">
                  <c:v>40314.309027777781</c:v>
                </c:pt>
                <c:pt idx="5293">
                  <c:v>40314.30972222222</c:v>
                </c:pt>
                <c:pt idx="5294">
                  <c:v>40314.310416666667</c:v>
                </c:pt>
                <c:pt idx="5295">
                  <c:v>40314.311111111114</c:v>
                </c:pt>
                <c:pt idx="5296">
                  <c:v>40314.311805555553</c:v>
                </c:pt>
                <c:pt idx="5297">
                  <c:v>40314.3125</c:v>
                </c:pt>
                <c:pt idx="5298">
                  <c:v>40314.313194444447</c:v>
                </c:pt>
                <c:pt idx="5299">
                  <c:v>40314.313888888886</c:v>
                </c:pt>
                <c:pt idx="5300">
                  <c:v>40314.314583333333</c:v>
                </c:pt>
                <c:pt idx="5301">
                  <c:v>40314.31527777778</c:v>
                </c:pt>
                <c:pt idx="5302">
                  <c:v>40314.315972222219</c:v>
                </c:pt>
                <c:pt idx="5303">
                  <c:v>40314.316666666666</c:v>
                </c:pt>
                <c:pt idx="5304">
                  <c:v>40314.317361111112</c:v>
                </c:pt>
                <c:pt idx="5305">
                  <c:v>40314.318055555559</c:v>
                </c:pt>
                <c:pt idx="5306">
                  <c:v>40314.318749999999</c:v>
                </c:pt>
                <c:pt idx="5307">
                  <c:v>40314.319444444445</c:v>
                </c:pt>
                <c:pt idx="5308">
                  <c:v>40314.320138888892</c:v>
                </c:pt>
                <c:pt idx="5309">
                  <c:v>40314.320833333331</c:v>
                </c:pt>
                <c:pt idx="5310">
                  <c:v>40314.321527777778</c:v>
                </c:pt>
                <c:pt idx="5311">
                  <c:v>40314.322222222225</c:v>
                </c:pt>
                <c:pt idx="5312">
                  <c:v>40314.322916666664</c:v>
                </c:pt>
                <c:pt idx="5313">
                  <c:v>40314.323611111111</c:v>
                </c:pt>
                <c:pt idx="5314">
                  <c:v>40314.324305555558</c:v>
                </c:pt>
                <c:pt idx="5315">
                  <c:v>40314.324999999997</c:v>
                </c:pt>
                <c:pt idx="5316">
                  <c:v>40314.325694444444</c:v>
                </c:pt>
                <c:pt idx="5317">
                  <c:v>40314.326388888891</c:v>
                </c:pt>
                <c:pt idx="5318">
                  <c:v>40314.32708333333</c:v>
                </c:pt>
                <c:pt idx="5319">
                  <c:v>40314.327777777777</c:v>
                </c:pt>
                <c:pt idx="5320">
                  <c:v>40314.328472222223</c:v>
                </c:pt>
                <c:pt idx="5321">
                  <c:v>40314.32916666667</c:v>
                </c:pt>
                <c:pt idx="5322">
                  <c:v>40314.329861111109</c:v>
                </c:pt>
                <c:pt idx="5323">
                  <c:v>40314.330555555556</c:v>
                </c:pt>
                <c:pt idx="5324">
                  <c:v>40314.331250000003</c:v>
                </c:pt>
                <c:pt idx="5325">
                  <c:v>40314.331944444442</c:v>
                </c:pt>
                <c:pt idx="5326">
                  <c:v>40314.332638888889</c:v>
                </c:pt>
                <c:pt idx="5327">
                  <c:v>40314.333333333336</c:v>
                </c:pt>
                <c:pt idx="5328">
                  <c:v>40314.334027777775</c:v>
                </c:pt>
                <c:pt idx="5329">
                  <c:v>40314.334722222222</c:v>
                </c:pt>
                <c:pt idx="5330">
                  <c:v>40314.335416666669</c:v>
                </c:pt>
                <c:pt idx="5331">
                  <c:v>40314.336111111108</c:v>
                </c:pt>
                <c:pt idx="5332">
                  <c:v>40314.336805555555</c:v>
                </c:pt>
                <c:pt idx="5333">
                  <c:v>40314.337500000001</c:v>
                </c:pt>
                <c:pt idx="5334">
                  <c:v>40314.338194444441</c:v>
                </c:pt>
                <c:pt idx="5335">
                  <c:v>40314.338888888888</c:v>
                </c:pt>
                <c:pt idx="5336">
                  <c:v>40314.339583333334</c:v>
                </c:pt>
                <c:pt idx="5337">
                  <c:v>40314.340277777781</c:v>
                </c:pt>
                <c:pt idx="5338">
                  <c:v>40314.34097222222</c:v>
                </c:pt>
                <c:pt idx="5339">
                  <c:v>40314.341666666667</c:v>
                </c:pt>
                <c:pt idx="5340">
                  <c:v>40314.342361111114</c:v>
                </c:pt>
                <c:pt idx="5341">
                  <c:v>40314.343055555553</c:v>
                </c:pt>
                <c:pt idx="5342">
                  <c:v>40314.34375</c:v>
                </c:pt>
                <c:pt idx="5343">
                  <c:v>40314.344444444447</c:v>
                </c:pt>
                <c:pt idx="5344">
                  <c:v>40314.345138888886</c:v>
                </c:pt>
                <c:pt idx="5345">
                  <c:v>40314.345833333333</c:v>
                </c:pt>
                <c:pt idx="5346">
                  <c:v>40314.34652777778</c:v>
                </c:pt>
                <c:pt idx="5347">
                  <c:v>40314.347222222219</c:v>
                </c:pt>
                <c:pt idx="5348">
                  <c:v>40314.347916666666</c:v>
                </c:pt>
                <c:pt idx="5349">
                  <c:v>40314.348611111112</c:v>
                </c:pt>
                <c:pt idx="5350">
                  <c:v>40314.349305555559</c:v>
                </c:pt>
                <c:pt idx="5351">
                  <c:v>40314.35</c:v>
                </c:pt>
                <c:pt idx="5352">
                  <c:v>40314.350694444445</c:v>
                </c:pt>
                <c:pt idx="5353">
                  <c:v>40314.351388888892</c:v>
                </c:pt>
                <c:pt idx="5354">
                  <c:v>40314.352083333331</c:v>
                </c:pt>
                <c:pt idx="5355">
                  <c:v>40314.352777777778</c:v>
                </c:pt>
                <c:pt idx="5356">
                  <c:v>40314.353472222225</c:v>
                </c:pt>
                <c:pt idx="5357">
                  <c:v>40314.354166666664</c:v>
                </c:pt>
                <c:pt idx="5358">
                  <c:v>40314.354861111111</c:v>
                </c:pt>
                <c:pt idx="5359">
                  <c:v>40314.355555555558</c:v>
                </c:pt>
                <c:pt idx="5360">
                  <c:v>40314.356249999997</c:v>
                </c:pt>
                <c:pt idx="5361">
                  <c:v>40314.356944444444</c:v>
                </c:pt>
                <c:pt idx="5362">
                  <c:v>40314.357638888891</c:v>
                </c:pt>
                <c:pt idx="5363">
                  <c:v>40314.35833333333</c:v>
                </c:pt>
                <c:pt idx="5364">
                  <c:v>40314.359027777777</c:v>
                </c:pt>
                <c:pt idx="5365">
                  <c:v>40314.359722222223</c:v>
                </c:pt>
                <c:pt idx="5366">
                  <c:v>40314.36041666667</c:v>
                </c:pt>
                <c:pt idx="5367">
                  <c:v>40314.361111111109</c:v>
                </c:pt>
                <c:pt idx="5368">
                  <c:v>40314.361805555556</c:v>
                </c:pt>
                <c:pt idx="5369">
                  <c:v>40314.362500000003</c:v>
                </c:pt>
                <c:pt idx="5370">
                  <c:v>40314.363194444442</c:v>
                </c:pt>
                <c:pt idx="5371">
                  <c:v>40314.363888888889</c:v>
                </c:pt>
                <c:pt idx="5372">
                  <c:v>40314.364583333336</c:v>
                </c:pt>
                <c:pt idx="5373">
                  <c:v>40314.365277777775</c:v>
                </c:pt>
                <c:pt idx="5374">
                  <c:v>40314.365972222222</c:v>
                </c:pt>
                <c:pt idx="5375">
                  <c:v>40314.366666666669</c:v>
                </c:pt>
                <c:pt idx="5376">
                  <c:v>40314.367361111108</c:v>
                </c:pt>
                <c:pt idx="5377">
                  <c:v>40314.368055555555</c:v>
                </c:pt>
                <c:pt idx="5378">
                  <c:v>40314.368750000001</c:v>
                </c:pt>
                <c:pt idx="5379">
                  <c:v>40314.369444444441</c:v>
                </c:pt>
                <c:pt idx="5380">
                  <c:v>40314.370138888888</c:v>
                </c:pt>
                <c:pt idx="5381">
                  <c:v>40314.370833333334</c:v>
                </c:pt>
                <c:pt idx="5382">
                  <c:v>40314.371527777781</c:v>
                </c:pt>
                <c:pt idx="5383">
                  <c:v>40314.37222222222</c:v>
                </c:pt>
                <c:pt idx="5384">
                  <c:v>40314.372916666667</c:v>
                </c:pt>
                <c:pt idx="5385">
                  <c:v>40314.373611111114</c:v>
                </c:pt>
                <c:pt idx="5386">
                  <c:v>40314.374305555553</c:v>
                </c:pt>
                <c:pt idx="5387">
                  <c:v>40314.375</c:v>
                </c:pt>
                <c:pt idx="5388">
                  <c:v>40314.375694444447</c:v>
                </c:pt>
                <c:pt idx="5389">
                  <c:v>40314.376388888886</c:v>
                </c:pt>
                <c:pt idx="5390">
                  <c:v>40314.377083333333</c:v>
                </c:pt>
                <c:pt idx="5391">
                  <c:v>40314.37777777778</c:v>
                </c:pt>
                <c:pt idx="5392">
                  <c:v>40314.378472222219</c:v>
                </c:pt>
                <c:pt idx="5393">
                  <c:v>40314.379166666666</c:v>
                </c:pt>
                <c:pt idx="5394">
                  <c:v>40314.379861111112</c:v>
                </c:pt>
                <c:pt idx="5395">
                  <c:v>40314.380555555559</c:v>
                </c:pt>
                <c:pt idx="5396">
                  <c:v>40314.381249999999</c:v>
                </c:pt>
                <c:pt idx="5397">
                  <c:v>40314.381944444445</c:v>
                </c:pt>
                <c:pt idx="5398">
                  <c:v>40314.382638888892</c:v>
                </c:pt>
                <c:pt idx="5399">
                  <c:v>40314.383333333331</c:v>
                </c:pt>
                <c:pt idx="5400">
                  <c:v>40314.384027777778</c:v>
                </c:pt>
                <c:pt idx="5401">
                  <c:v>40314.384722222225</c:v>
                </c:pt>
                <c:pt idx="5402">
                  <c:v>40314.385416666664</c:v>
                </c:pt>
                <c:pt idx="5403">
                  <c:v>40314.386111111111</c:v>
                </c:pt>
                <c:pt idx="5404">
                  <c:v>40314.386805555558</c:v>
                </c:pt>
                <c:pt idx="5405">
                  <c:v>40314.387499999997</c:v>
                </c:pt>
                <c:pt idx="5406">
                  <c:v>40314.388194444444</c:v>
                </c:pt>
                <c:pt idx="5407">
                  <c:v>40314.388888888891</c:v>
                </c:pt>
                <c:pt idx="5408">
                  <c:v>40314.38958333333</c:v>
                </c:pt>
                <c:pt idx="5409">
                  <c:v>40314.390277777777</c:v>
                </c:pt>
                <c:pt idx="5410">
                  <c:v>40314.390972222223</c:v>
                </c:pt>
                <c:pt idx="5411">
                  <c:v>40314.39166666667</c:v>
                </c:pt>
                <c:pt idx="5412">
                  <c:v>40314.392361111109</c:v>
                </c:pt>
                <c:pt idx="5413">
                  <c:v>40314.393055555556</c:v>
                </c:pt>
                <c:pt idx="5414">
                  <c:v>40314.393750000003</c:v>
                </c:pt>
                <c:pt idx="5415">
                  <c:v>40314.394444444442</c:v>
                </c:pt>
                <c:pt idx="5416">
                  <c:v>40314.395138888889</c:v>
                </c:pt>
                <c:pt idx="5417">
                  <c:v>40314.395833333336</c:v>
                </c:pt>
                <c:pt idx="5418">
                  <c:v>40314.396527777775</c:v>
                </c:pt>
                <c:pt idx="5419">
                  <c:v>40314.397222222222</c:v>
                </c:pt>
                <c:pt idx="5420">
                  <c:v>40314.397916666669</c:v>
                </c:pt>
                <c:pt idx="5421">
                  <c:v>40314.398611111108</c:v>
                </c:pt>
                <c:pt idx="5422">
                  <c:v>40314.399305555555</c:v>
                </c:pt>
                <c:pt idx="5423">
                  <c:v>40314.400000000001</c:v>
                </c:pt>
                <c:pt idx="5424">
                  <c:v>40314.400694444441</c:v>
                </c:pt>
                <c:pt idx="5425">
                  <c:v>40314.401388888888</c:v>
                </c:pt>
                <c:pt idx="5426">
                  <c:v>40314.402083333334</c:v>
                </c:pt>
                <c:pt idx="5427">
                  <c:v>40314.402777777781</c:v>
                </c:pt>
                <c:pt idx="5428">
                  <c:v>40314.40347222222</c:v>
                </c:pt>
                <c:pt idx="5429">
                  <c:v>40314.404166666667</c:v>
                </c:pt>
                <c:pt idx="5430">
                  <c:v>40314.404861111114</c:v>
                </c:pt>
                <c:pt idx="5431">
                  <c:v>40314.405555555553</c:v>
                </c:pt>
                <c:pt idx="5432">
                  <c:v>40314.40625</c:v>
                </c:pt>
                <c:pt idx="5433">
                  <c:v>40314.406944444447</c:v>
                </c:pt>
                <c:pt idx="5434">
                  <c:v>40314.407638888886</c:v>
                </c:pt>
                <c:pt idx="5435">
                  <c:v>40314.408333333333</c:v>
                </c:pt>
                <c:pt idx="5436">
                  <c:v>40314.40902777778</c:v>
                </c:pt>
                <c:pt idx="5437">
                  <c:v>40314.409722222219</c:v>
                </c:pt>
                <c:pt idx="5438">
                  <c:v>40314.410416666666</c:v>
                </c:pt>
                <c:pt idx="5439">
                  <c:v>40314.411111111112</c:v>
                </c:pt>
                <c:pt idx="5440">
                  <c:v>40314.411805555559</c:v>
                </c:pt>
                <c:pt idx="5441">
                  <c:v>40314.412499999999</c:v>
                </c:pt>
                <c:pt idx="5442">
                  <c:v>40314.413194444445</c:v>
                </c:pt>
                <c:pt idx="5443">
                  <c:v>40314.413888888892</c:v>
                </c:pt>
                <c:pt idx="5444">
                  <c:v>40314.414583333331</c:v>
                </c:pt>
                <c:pt idx="5445">
                  <c:v>40314.415277777778</c:v>
                </c:pt>
                <c:pt idx="5446">
                  <c:v>40314.415972222225</c:v>
                </c:pt>
                <c:pt idx="5447">
                  <c:v>40314.416666666664</c:v>
                </c:pt>
                <c:pt idx="5448">
                  <c:v>40314.417361111111</c:v>
                </c:pt>
                <c:pt idx="5449">
                  <c:v>40314.418055555558</c:v>
                </c:pt>
                <c:pt idx="5450">
                  <c:v>40314.418749999997</c:v>
                </c:pt>
                <c:pt idx="5451">
                  <c:v>40314.419444444444</c:v>
                </c:pt>
                <c:pt idx="5452">
                  <c:v>40314.420138888891</c:v>
                </c:pt>
                <c:pt idx="5453">
                  <c:v>40314.42083333333</c:v>
                </c:pt>
                <c:pt idx="5454">
                  <c:v>40314.421527777777</c:v>
                </c:pt>
                <c:pt idx="5455">
                  <c:v>40314.422222222223</c:v>
                </c:pt>
                <c:pt idx="5456">
                  <c:v>40314.42291666667</c:v>
                </c:pt>
                <c:pt idx="5457">
                  <c:v>40314.423611111109</c:v>
                </c:pt>
                <c:pt idx="5458">
                  <c:v>40314.424305555556</c:v>
                </c:pt>
                <c:pt idx="5459">
                  <c:v>40314.425000000003</c:v>
                </c:pt>
                <c:pt idx="5460">
                  <c:v>40314.425694444442</c:v>
                </c:pt>
                <c:pt idx="5461">
                  <c:v>40314.426388888889</c:v>
                </c:pt>
                <c:pt idx="5462">
                  <c:v>40314.427083333336</c:v>
                </c:pt>
                <c:pt idx="5463">
                  <c:v>40314.427777777775</c:v>
                </c:pt>
                <c:pt idx="5464">
                  <c:v>40314.428472222222</c:v>
                </c:pt>
                <c:pt idx="5465">
                  <c:v>40314.429166666669</c:v>
                </c:pt>
                <c:pt idx="5466">
                  <c:v>40314.429861111108</c:v>
                </c:pt>
                <c:pt idx="5467">
                  <c:v>40314.430555555555</c:v>
                </c:pt>
                <c:pt idx="5468">
                  <c:v>40314.431250000001</c:v>
                </c:pt>
                <c:pt idx="5469">
                  <c:v>40314.431944444441</c:v>
                </c:pt>
                <c:pt idx="5470">
                  <c:v>40314.432638888888</c:v>
                </c:pt>
                <c:pt idx="5471">
                  <c:v>40314.433333333334</c:v>
                </c:pt>
                <c:pt idx="5472">
                  <c:v>40314.434027777781</c:v>
                </c:pt>
                <c:pt idx="5473">
                  <c:v>40314.43472222222</c:v>
                </c:pt>
                <c:pt idx="5474">
                  <c:v>40314.435416666667</c:v>
                </c:pt>
                <c:pt idx="5475">
                  <c:v>40314.436111111114</c:v>
                </c:pt>
                <c:pt idx="5476">
                  <c:v>40314.436805555553</c:v>
                </c:pt>
                <c:pt idx="5477">
                  <c:v>40314.4375</c:v>
                </c:pt>
                <c:pt idx="5478">
                  <c:v>40314.438194444447</c:v>
                </c:pt>
                <c:pt idx="5479">
                  <c:v>40314.438888888886</c:v>
                </c:pt>
                <c:pt idx="5480">
                  <c:v>40314.439583333333</c:v>
                </c:pt>
                <c:pt idx="5481">
                  <c:v>40314.44027777778</c:v>
                </c:pt>
                <c:pt idx="5482">
                  <c:v>40314.440972222219</c:v>
                </c:pt>
                <c:pt idx="5483">
                  <c:v>40314.441666666666</c:v>
                </c:pt>
                <c:pt idx="5484">
                  <c:v>40314.442361111112</c:v>
                </c:pt>
                <c:pt idx="5485">
                  <c:v>40314.443055555559</c:v>
                </c:pt>
                <c:pt idx="5486">
                  <c:v>40314.443749999999</c:v>
                </c:pt>
                <c:pt idx="5487">
                  <c:v>40314.444444444445</c:v>
                </c:pt>
                <c:pt idx="5488">
                  <c:v>40314.445138888892</c:v>
                </c:pt>
                <c:pt idx="5489">
                  <c:v>40314.445833333331</c:v>
                </c:pt>
                <c:pt idx="5490">
                  <c:v>40314.446527777778</c:v>
                </c:pt>
                <c:pt idx="5491">
                  <c:v>40314.447222222225</c:v>
                </c:pt>
                <c:pt idx="5492">
                  <c:v>40314.447916666664</c:v>
                </c:pt>
                <c:pt idx="5493">
                  <c:v>40314.448611111111</c:v>
                </c:pt>
                <c:pt idx="5494">
                  <c:v>40314.449305555558</c:v>
                </c:pt>
                <c:pt idx="5495">
                  <c:v>40314.449999999997</c:v>
                </c:pt>
                <c:pt idx="5496">
                  <c:v>40314.450694444444</c:v>
                </c:pt>
                <c:pt idx="5497">
                  <c:v>40314.451388888891</c:v>
                </c:pt>
                <c:pt idx="5498">
                  <c:v>40314.45208333333</c:v>
                </c:pt>
                <c:pt idx="5499">
                  <c:v>40314.452777777777</c:v>
                </c:pt>
                <c:pt idx="5500">
                  <c:v>40314.453472222223</c:v>
                </c:pt>
                <c:pt idx="5501">
                  <c:v>40314.45416666667</c:v>
                </c:pt>
                <c:pt idx="5502">
                  <c:v>40314.454861111109</c:v>
                </c:pt>
                <c:pt idx="5503">
                  <c:v>40314.455555555556</c:v>
                </c:pt>
                <c:pt idx="5504">
                  <c:v>40314.456250000003</c:v>
                </c:pt>
                <c:pt idx="5505">
                  <c:v>40314.456944444442</c:v>
                </c:pt>
                <c:pt idx="5506">
                  <c:v>40314.457638888889</c:v>
                </c:pt>
                <c:pt idx="5507">
                  <c:v>40314.458333333336</c:v>
                </c:pt>
                <c:pt idx="5508">
                  <c:v>40314.459027777775</c:v>
                </c:pt>
                <c:pt idx="5509">
                  <c:v>40314.459722222222</c:v>
                </c:pt>
                <c:pt idx="5510">
                  <c:v>40314.460416666669</c:v>
                </c:pt>
                <c:pt idx="5511">
                  <c:v>40314.461111111108</c:v>
                </c:pt>
                <c:pt idx="5512">
                  <c:v>40314.461805555555</c:v>
                </c:pt>
                <c:pt idx="5513">
                  <c:v>40314.462500000001</c:v>
                </c:pt>
                <c:pt idx="5514">
                  <c:v>40314.463194444441</c:v>
                </c:pt>
                <c:pt idx="5515">
                  <c:v>40314.463888888888</c:v>
                </c:pt>
                <c:pt idx="5516">
                  <c:v>40314.464583333334</c:v>
                </c:pt>
                <c:pt idx="5517">
                  <c:v>40314.465277777781</c:v>
                </c:pt>
                <c:pt idx="5518">
                  <c:v>40314.46597222222</c:v>
                </c:pt>
                <c:pt idx="5519">
                  <c:v>40314.466666666667</c:v>
                </c:pt>
                <c:pt idx="5520">
                  <c:v>40314.467361111114</c:v>
                </c:pt>
                <c:pt idx="5521">
                  <c:v>40314.468055555553</c:v>
                </c:pt>
                <c:pt idx="5522">
                  <c:v>40314.46875</c:v>
                </c:pt>
                <c:pt idx="5523">
                  <c:v>40314.469444444447</c:v>
                </c:pt>
                <c:pt idx="5524">
                  <c:v>40314.470138888886</c:v>
                </c:pt>
                <c:pt idx="5525">
                  <c:v>40314.470833333333</c:v>
                </c:pt>
                <c:pt idx="5526">
                  <c:v>40314.47152777778</c:v>
                </c:pt>
                <c:pt idx="5527">
                  <c:v>40314.472222222219</c:v>
                </c:pt>
                <c:pt idx="5528">
                  <c:v>40314.472916666666</c:v>
                </c:pt>
                <c:pt idx="5529">
                  <c:v>40314.473611111112</c:v>
                </c:pt>
                <c:pt idx="5530">
                  <c:v>40314.474305555559</c:v>
                </c:pt>
                <c:pt idx="5531">
                  <c:v>40314.474999999999</c:v>
                </c:pt>
                <c:pt idx="5532">
                  <c:v>40314.475694444445</c:v>
                </c:pt>
                <c:pt idx="5533">
                  <c:v>40314.476388888892</c:v>
                </c:pt>
                <c:pt idx="5534">
                  <c:v>40314.477083333331</c:v>
                </c:pt>
                <c:pt idx="5535">
                  <c:v>40314.477777777778</c:v>
                </c:pt>
                <c:pt idx="5536">
                  <c:v>40314.478472222225</c:v>
                </c:pt>
                <c:pt idx="5537">
                  <c:v>40314.479166666664</c:v>
                </c:pt>
                <c:pt idx="5538">
                  <c:v>40314.479861111111</c:v>
                </c:pt>
                <c:pt idx="5539">
                  <c:v>40314.480555555558</c:v>
                </c:pt>
                <c:pt idx="5540">
                  <c:v>40314.481249999997</c:v>
                </c:pt>
                <c:pt idx="5541">
                  <c:v>40314.481944444444</c:v>
                </c:pt>
                <c:pt idx="5542">
                  <c:v>40314.482638888891</c:v>
                </c:pt>
                <c:pt idx="5543">
                  <c:v>40314.48333333333</c:v>
                </c:pt>
                <c:pt idx="5544">
                  <c:v>40314.484027777777</c:v>
                </c:pt>
                <c:pt idx="5545">
                  <c:v>40314.484722222223</c:v>
                </c:pt>
                <c:pt idx="5546">
                  <c:v>40314.48541666667</c:v>
                </c:pt>
                <c:pt idx="5547">
                  <c:v>40314.486111111109</c:v>
                </c:pt>
                <c:pt idx="5548">
                  <c:v>40314.486805555556</c:v>
                </c:pt>
                <c:pt idx="5549">
                  <c:v>40314.487500000003</c:v>
                </c:pt>
                <c:pt idx="5550">
                  <c:v>40314.488194444442</c:v>
                </c:pt>
                <c:pt idx="5551">
                  <c:v>40314.488888888889</c:v>
                </c:pt>
                <c:pt idx="5552">
                  <c:v>40314.489583333336</c:v>
                </c:pt>
                <c:pt idx="5553">
                  <c:v>40314.490277777775</c:v>
                </c:pt>
                <c:pt idx="5554">
                  <c:v>40314.490972222222</c:v>
                </c:pt>
                <c:pt idx="5555">
                  <c:v>40314.491666666669</c:v>
                </c:pt>
                <c:pt idx="5556">
                  <c:v>40314.492361111108</c:v>
                </c:pt>
                <c:pt idx="5557">
                  <c:v>40314.493055555555</c:v>
                </c:pt>
                <c:pt idx="5558">
                  <c:v>40314.493750000001</c:v>
                </c:pt>
                <c:pt idx="5559">
                  <c:v>40314.494444444441</c:v>
                </c:pt>
                <c:pt idx="5560">
                  <c:v>40314.495138888888</c:v>
                </c:pt>
                <c:pt idx="5561">
                  <c:v>40314.495833333334</c:v>
                </c:pt>
                <c:pt idx="5562">
                  <c:v>40314.496527777781</c:v>
                </c:pt>
                <c:pt idx="5563">
                  <c:v>40314.49722222222</c:v>
                </c:pt>
                <c:pt idx="5564">
                  <c:v>40314.497916666667</c:v>
                </c:pt>
                <c:pt idx="5565">
                  <c:v>40314.498611111114</c:v>
                </c:pt>
                <c:pt idx="5566">
                  <c:v>40314.499305555553</c:v>
                </c:pt>
                <c:pt idx="5567">
                  <c:v>40314.5</c:v>
                </c:pt>
                <c:pt idx="5568">
                  <c:v>40314.500694444447</c:v>
                </c:pt>
                <c:pt idx="5569">
                  <c:v>40314.501388888886</c:v>
                </c:pt>
                <c:pt idx="5570">
                  <c:v>40314.502083333333</c:v>
                </c:pt>
                <c:pt idx="5571">
                  <c:v>40314.50277777778</c:v>
                </c:pt>
                <c:pt idx="5572">
                  <c:v>40314.503472222219</c:v>
                </c:pt>
                <c:pt idx="5573">
                  <c:v>40314.504166666666</c:v>
                </c:pt>
                <c:pt idx="5574">
                  <c:v>40314.504861111112</c:v>
                </c:pt>
                <c:pt idx="5575">
                  <c:v>40314.505555555559</c:v>
                </c:pt>
                <c:pt idx="5576">
                  <c:v>40314.506249999999</c:v>
                </c:pt>
                <c:pt idx="5577">
                  <c:v>40314.506944444445</c:v>
                </c:pt>
                <c:pt idx="5578">
                  <c:v>40314.507638888892</c:v>
                </c:pt>
                <c:pt idx="5579">
                  <c:v>40314.508333333331</c:v>
                </c:pt>
                <c:pt idx="5580">
                  <c:v>40314.509027777778</c:v>
                </c:pt>
                <c:pt idx="5581">
                  <c:v>40314.509722222225</c:v>
                </c:pt>
                <c:pt idx="5582">
                  <c:v>40314.510416666664</c:v>
                </c:pt>
                <c:pt idx="5583">
                  <c:v>40314.511111111111</c:v>
                </c:pt>
                <c:pt idx="5584">
                  <c:v>40314.511805555558</c:v>
                </c:pt>
                <c:pt idx="5585">
                  <c:v>40314.512499999997</c:v>
                </c:pt>
                <c:pt idx="5586">
                  <c:v>40314.513194444444</c:v>
                </c:pt>
                <c:pt idx="5587">
                  <c:v>40314.513888888891</c:v>
                </c:pt>
                <c:pt idx="5588">
                  <c:v>40314.51458333333</c:v>
                </c:pt>
                <c:pt idx="5589">
                  <c:v>40314.515277777777</c:v>
                </c:pt>
                <c:pt idx="5590">
                  <c:v>40314.515972222223</c:v>
                </c:pt>
                <c:pt idx="5591">
                  <c:v>40314.51666666667</c:v>
                </c:pt>
                <c:pt idx="5592">
                  <c:v>40314.517361111109</c:v>
                </c:pt>
                <c:pt idx="5593">
                  <c:v>40314.518055555556</c:v>
                </c:pt>
                <c:pt idx="5594">
                  <c:v>40314.518750000003</c:v>
                </c:pt>
                <c:pt idx="5595">
                  <c:v>40314.519444444442</c:v>
                </c:pt>
                <c:pt idx="5596">
                  <c:v>40314.520138888889</c:v>
                </c:pt>
                <c:pt idx="5597">
                  <c:v>40314.520833333336</c:v>
                </c:pt>
                <c:pt idx="5598">
                  <c:v>40314.521527777775</c:v>
                </c:pt>
                <c:pt idx="5599">
                  <c:v>40314.522222222222</c:v>
                </c:pt>
                <c:pt idx="5600">
                  <c:v>40314.522916666669</c:v>
                </c:pt>
                <c:pt idx="5601">
                  <c:v>40314.523611111108</c:v>
                </c:pt>
                <c:pt idx="5602">
                  <c:v>40314.524305555555</c:v>
                </c:pt>
                <c:pt idx="5603">
                  <c:v>40314.525000000001</c:v>
                </c:pt>
                <c:pt idx="5604">
                  <c:v>40314.525694444441</c:v>
                </c:pt>
                <c:pt idx="5605">
                  <c:v>40314.526388888888</c:v>
                </c:pt>
                <c:pt idx="5606">
                  <c:v>40314.527083333334</c:v>
                </c:pt>
                <c:pt idx="5607">
                  <c:v>40314.527777777781</c:v>
                </c:pt>
                <c:pt idx="5608">
                  <c:v>40314.52847222222</c:v>
                </c:pt>
                <c:pt idx="5609">
                  <c:v>40314.529166666667</c:v>
                </c:pt>
                <c:pt idx="5610">
                  <c:v>40314.529861111114</c:v>
                </c:pt>
                <c:pt idx="5611">
                  <c:v>40314.530555555553</c:v>
                </c:pt>
                <c:pt idx="5612">
                  <c:v>40314.53125</c:v>
                </c:pt>
                <c:pt idx="5613">
                  <c:v>40314.531944444447</c:v>
                </c:pt>
                <c:pt idx="5614">
                  <c:v>40314.532638888886</c:v>
                </c:pt>
                <c:pt idx="5615">
                  <c:v>40314.533333333333</c:v>
                </c:pt>
                <c:pt idx="5616">
                  <c:v>40314.53402777778</c:v>
                </c:pt>
                <c:pt idx="5617">
                  <c:v>40314.534722222219</c:v>
                </c:pt>
                <c:pt idx="5618">
                  <c:v>40314.535416666666</c:v>
                </c:pt>
                <c:pt idx="5619">
                  <c:v>40314.536111111112</c:v>
                </c:pt>
                <c:pt idx="5620">
                  <c:v>40314.536805555559</c:v>
                </c:pt>
                <c:pt idx="5621">
                  <c:v>40314.537499999999</c:v>
                </c:pt>
                <c:pt idx="5622">
                  <c:v>40314.538194444445</c:v>
                </c:pt>
                <c:pt idx="5623">
                  <c:v>40314.538888888892</c:v>
                </c:pt>
                <c:pt idx="5624">
                  <c:v>40314.539583333331</c:v>
                </c:pt>
                <c:pt idx="5625">
                  <c:v>40314.540277777778</c:v>
                </c:pt>
                <c:pt idx="5626">
                  <c:v>40314.540972222225</c:v>
                </c:pt>
                <c:pt idx="5627">
                  <c:v>40314.541666666664</c:v>
                </c:pt>
                <c:pt idx="5628">
                  <c:v>40314.542361111111</c:v>
                </c:pt>
                <c:pt idx="5629">
                  <c:v>40314.543055555558</c:v>
                </c:pt>
                <c:pt idx="5630">
                  <c:v>40314.543749999997</c:v>
                </c:pt>
                <c:pt idx="5631">
                  <c:v>40314.544444444444</c:v>
                </c:pt>
                <c:pt idx="5632">
                  <c:v>40314.545138888891</c:v>
                </c:pt>
                <c:pt idx="5633">
                  <c:v>40314.54583333333</c:v>
                </c:pt>
                <c:pt idx="5634">
                  <c:v>40314.546527777777</c:v>
                </c:pt>
                <c:pt idx="5635">
                  <c:v>40314.547222222223</c:v>
                </c:pt>
                <c:pt idx="5636">
                  <c:v>40314.54791666667</c:v>
                </c:pt>
                <c:pt idx="5637">
                  <c:v>40314.548611111109</c:v>
                </c:pt>
                <c:pt idx="5638">
                  <c:v>40314.549305555556</c:v>
                </c:pt>
                <c:pt idx="5639">
                  <c:v>40314.550000000003</c:v>
                </c:pt>
                <c:pt idx="5640">
                  <c:v>40314.550694444442</c:v>
                </c:pt>
                <c:pt idx="5641">
                  <c:v>40314.551388888889</c:v>
                </c:pt>
                <c:pt idx="5642">
                  <c:v>40314.552083333336</c:v>
                </c:pt>
                <c:pt idx="5643">
                  <c:v>40314.552777777775</c:v>
                </c:pt>
                <c:pt idx="5644">
                  <c:v>40314.553472222222</c:v>
                </c:pt>
                <c:pt idx="5645">
                  <c:v>40314.554166666669</c:v>
                </c:pt>
                <c:pt idx="5646">
                  <c:v>40314.554861111108</c:v>
                </c:pt>
                <c:pt idx="5647">
                  <c:v>40314.555555555555</c:v>
                </c:pt>
                <c:pt idx="5648">
                  <c:v>40314.556250000001</c:v>
                </c:pt>
                <c:pt idx="5649">
                  <c:v>40314.556944444441</c:v>
                </c:pt>
                <c:pt idx="5650">
                  <c:v>40314.557638888888</c:v>
                </c:pt>
                <c:pt idx="5651">
                  <c:v>40314.558333333334</c:v>
                </c:pt>
                <c:pt idx="5652">
                  <c:v>40314.559027777781</c:v>
                </c:pt>
                <c:pt idx="5653">
                  <c:v>40314.55972222222</c:v>
                </c:pt>
                <c:pt idx="5654">
                  <c:v>40314.560416666667</c:v>
                </c:pt>
                <c:pt idx="5655">
                  <c:v>40314.561111111114</c:v>
                </c:pt>
                <c:pt idx="5656">
                  <c:v>40314.561805555553</c:v>
                </c:pt>
                <c:pt idx="5657">
                  <c:v>40314.5625</c:v>
                </c:pt>
                <c:pt idx="5658">
                  <c:v>40314.563194444447</c:v>
                </c:pt>
                <c:pt idx="5659">
                  <c:v>40314.563888888886</c:v>
                </c:pt>
                <c:pt idx="5660">
                  <c:v>40314.564583333333</c:v>
                </c:pt>
                <c:pt idx="5661">
                  <c:v>40314.56527777778</c:v>
                </c:pt>
                <c:pt idx="5662">
                  <c:v>40314.565972222219</c:v>
                </c:pt>
                <c:pt idx="5663">
                  <c:v>40314.566666666666</c:v>
                </c:pt>
                <c:pt idx="5664">
                  <c:v>40314.567361111112</c:v>
                </c:pt>
                <c:pt idx="5665">
                  <c:v>40314.568055555559</c:v>
                </c:pt>
                <c:pt idx="5666">
                  <c:v>40314.568749999999</c:v>
                </c:pt>
                <c:pt idx="5667">
                  <c:v>40314.569444444445</c:v>
                </c:pt>
                <c:pt idx="5668">
                  <c:v>40314.570138888892</c:v>
                </c:pt>
                <c:pt idx="5669">
                  <c:v>40314.570833333331</c:v>
                </c:pt>
                <c:pt idx="5670">
                  <c:v>40314.571527777778</c:v>
                </c:pt>
                <c:pt idx="5671">
                  <c:v>40314.572222222225</c:v>
                </c:pt>
                <c:pt idx="5672">
                  <c:v>40314.572916666664</c:v>
                </c:pt>
                <c:pt idx="5673">
                  <c:v>40314.573611111111</c:v>
                </c:pt>
                <c:pt idx="5674">
                  <c:v>40314.574305555558</c:v>
                </c:pt>
                <c:pt idx="5675">
                  <c:v>40314.574999999997</c:v>
                </c:pt>
                <c:pt idx="5676">
                  <c:v>40314.575694444444</c:v>
                </c:pt>
                <c:pt idx="5677">
                  <c:v>40314.576388888891</c:v>
                </c:pt>
                <c:pt idx="5678">
                  <c:v>40314.57708333333</c:v>
                </c:pt>
                <c:pt idx="5679">
                  <c:v>40314.577777777777</c:v>
                </c:pt>
                <c:pt idx="5680">
                  <c:v>40314.578472222223</c:v>
                </c:pt>
                <c:pt idx="5681">
                  <c:v>40314.57916666667</c:v>
                </c:pt>
                <c:pt idx="5682">
                  <c:v>40314.579861111109</c:v>
                </c:pt>
                <c:pt idx="5683">
                  <c:v>40314.580555555556</c:v>
                </c:pt>
                <c:pt idx="5684">
                  <c:v>40314.581250000003</c:v>
                </c:pt>
                <c:pt idx="5685">
                  <c:v>40314.581944444442</c:v>
                </c:pt>
                <c:pt idx="5686">
                  <c:v>40314.582638888889</c:v>
                </c:pt>
                <c:pt idx="5687">
                  <c:v>40314.583333333336</c:v>
                </c:pt>
                <c:pt idx="5688">
                  <c:v>40314.584027777775</c:v>
                </c:pt>
                <c:pt idx="5689">
                  <c:v>40314.584722222222</c:v>
                </c:pt>
                <c:pt idx="5690">
                  <c:v>40314.585416666669</c:v>
                </c:pt>
                <c:pt idx="5691">
                  <c:v>40314.586111111108</c:v>
                </c:pt>
                <c:pt idx="5692">
                  <c:v>40314.586805555555</c:v>
                </c:pt>
                <c:pt idx="5693">
                  <c:v>40314.587500000001</c:v>
                </c:pt>
                <c:pt idx="5694">
                  <c:v>40314.588194444441</c:v>
                </c:pt>
                <c:pt idx="5695">
                  <c:v>40314.588888888888</c:v>
                </c:pt>
                <c:pt idx="5696">
                  <c:v>40314.589583333334</c:v>
                </c:pt>
                <c:pt idx="5697">
                  <c:v>40314.590277777781</c:v>
                </c:pt>
                <c:pt idx="5698">
                  <c:v>40314.59097222222</c:v>
                </c:pt>
                <c:pt idx="5699">
                  <c:v>40314.591666666667</c:v>
                </c:pt>
                <c:pt idx="5700">
                  <c:v>40314.592361111114</c:v>
                </c:pt>
                <c:pt idx="5701">
                  <c:v>40314.593055555553</c:v>
                </c:pt>
                <c:pt idx="5702">
                  <c:v>40314.59375</c:v>
                </c:pt>
                <c:pt idx="5703">
                  <c:v>40314.594444444447</c:v>
                </c:pt>
                <c:pt idx="5704">
                  <c:v>40314.595138888886</c:v>
                </c:pt>
                <c:pt idx="5705">
                  <c:v>40314.595833333333</c:v>
                </c:pt>
                <c:pt idx="5706">
                  <c:v>40314.59652777778</c:v>
                </c:pt>
                <c:pt idx="5707">
                  <c:v>40314.597222222219</c:v>
                </c:pt>
                <c:pt idx="5708">
                  <c:v>40314.597916666666</c:v>
                </c:pt>
                <c:pt idx="5709">
                  <c:v>40314.598611111112</c:v>
                </c:pt>
                <c:pt idx="5710">
                  <c:v>40314.599305555559</c:v>
                </c:pt>
                <c:pt idx="5711">
                  <c:v>40314.6</c:v>
                </c:pt>
                <c:pt idx="5712">
                  <c:v>40314.600694444445</c:v>
                </c:pt>
                <c:pt idx="5713">
                  <c:v>40314.601388888892</c:v>
                </c:pt>
                <c:pt idx="5714">
                  <c:v>40314.602083333331</c:v>
                </c:pt>
                <c:pt idx="5715">
                  <c:v>40314.602777777778</c:v>
                </c:pt>
                <c:pt idx="5716">
                  <c:v>40314.603472222225</c:v>
                </c:pt>
                <c:pt idx="5717">
                  <c:v>40314.604166666664</c:v>
                </c:pt>
                <c:pt idx="5718">
                  <c:v>40314.604861111111</c:v>
                </c:pt>
                <c:pt idx="5719">
                  <c:v>40314.605555555558</c:v>
                </c:pt>
                <c:pt idx="5720">
                  <c:v>40314.606249999997</c:v>
                </c:pt>
                <c:pt idx="5721">
                  <c:v>40314.606944444444</c:v>
                </c:pt>
                <c:pt idx="5722">
                  <c:v>40314.607638888891</c:v>
                </c:pt>
                <c:pt idx="5723">
                  <c:v>40314.60833333333</c:v>
                </c:pt>
                <c:pt idx="5724">
                  <c:v>40314.609027777777</c:v>
                </c:pt>
                <c:pt idx="5725">
                  <c:v>40314.609722222223</c:v>
                </c:pt>
                <c:pt idx="5726">
                  <c:v>40314.61041666667</c:v>
                </c:pt>
                <c:pt idx="5727">
                  <c:v>40314.611111111109</c:v>
                </c:pt>
                <c:pt idx="5728">
                  <c:v>40314.611805555556</c:v>
                </c:pt>
                <c:pt idx="5729">
                  <c:v>40314.612500000003</c:v>
                </c:pt>
                <c:pt idx="5730">
                  <c:v>40314.613194444442</c:v>
                </c:pt>
                <c:pt idx="5731">
                  <c:v>40314.613888888889</c:v>
                </c:pt>
                <c:pt idx="5732">
                  <c:v>40314.614583333336</c:v>
                </c:pt>
                <c:pt idx="5733">
                  <c:v>40314.615277777775</c:v>
                </c:pt>
                <c:pt idx="5734">
                  <c:v>40314.615972222222</c:v>
                </c:pt>
                <c:pt idx="5735">
                  <c:v>40314.616666666669</c:v>
                </c:pt>
                <c:pt idx="5736">
                  <c:v>40314.617361111108</c:v>
                </c:pt>
                <c:pt idx="5737">
                  <c:v>40314.618055555555</c:v>
                </c:pt>
                <c:pt idx="5738">
                  <c:v>40314.618750000001</c:v>
                </c:pt>
                <c:pt idx="5739">
                  <c:v>40314.619444444441</c:v>
                </c:pt>
                <c:pt idx="5740">
                  <c:v>40314.620138888888</c:v>
                </c:pt>
                <c:pt idx="5741">
                  <c:v>40314.620833333334</c:v>
                </c:pt>
                <c:pt idx="5742">
                  <c:v>40314.621527777781</c:v>
                </c:pt>
                <c:pt idx="5743">
                  <c:v>40314.62222222222</c:v>
                </c:pt>
                <c:pt idx="5744">
                  <c:v>40314.622916666667</c:v>
                </c:pt>
                <c:pt idx="5745">
                  <c:v>40314.623611111114</c:v>
                </c:pt>
                <c:pt idx="5746">
                  <c:v>40314.624305555553</c:v>
                </c:pt>
                <c:pt idx="5747">
                  <c:v>40314.625</c:v>
                </c:pt>
                <c:pt idx="5748">
                  <c:v>40314.625694444447</c:v>
                </c:pt>
                <c:pt idx="5749">
                  <c:v>40314.626388888886</c:v>
                </c:pt>
                <c:pt idx="5750">
                  <c:v>40314.627083333333</c:v>
                </c:pt>
                <c:pt idx="5751">
                  <c:v>40314.62777777778</c:v>
                </c:pt>
                <c:pt idx="5752">
                  <c:v>40314.628472222219</c:v>
                </c:pt>
                <c:pt idx="5753">
                  <c:v>40314.629166666666</c:v>
                </c:pt>
                <c:pt idx="5754">
                  <c:v>40314.629861111112</c:v>
                </c:pt>
                <c:pt idx="5755">
                  <c:v>40314.630555555559</c:v>
                </c:pt>
                <c:pt idx="5756">
                  <c:v>40314.631249999999</c:v>
                </c:pt>
                <c:pt idx="5757">
                  <c:v>40314.631944444445</c:v>
                </c:pt>
                <c:pt idx="5758">
                  <c:v>40314.632638888892</c:v>
                </c:pt>
                <c:pt idx="5759">
                  <c:v>40314.633333333331</c:v>
                </c:pt>
                <c:pt idx="5760">
                  <c:v>40314.634027777778</c:v>
                </c:pt>
                <c:pt idx="5761">
                  <c:v>40314.634722222225</c:v>
                </c:pt>
                <c:pt idx="5762">
                  <c:v>40314.635416666664</c:v>
                </c:pt>
                <c:pt idx="5763">
                  <c:v>40314.636111111111</c:v>
                </c:pt>
                <c:pt idx="5764">
                  <c:v>40314.636805555558</c:v>
                </c:pt>
                <c:pt idx="5765">
                  <c:v>40314.637499999997</c:v>
                </c:pt>
                <c:pt idx="5766">
                  <c:v>40314.638194444444</c:v>
                </c:pt>
                <c:pt idx="5767">
                  <c:v>40314.638888888891</c:v>
                </c:pt>
                <c:pt idx="5768">
                  <c:v>40314.63958333333</c:v>
                </c:pt>
                <c:pt idx="5769">
                  <c:v>40314.640277777777</c:v>
                </c:pt>
                <c:pt idx="5770">
                  <c:v>40314.640972222223</c:v>
                </c:pt>
                <c:pt idx="5771">
                  <c:v>40314.64166666667</c:v>
                </c:pt>
                <c:pt idx="5772">
                  <c:v>40314.642361111109</c:v>
                </c:pt>
                <c:pt idx="5773">
                  <c:v>40314.643055555556</c:v>
                </c:pt>
                <c:pt idx="5774">
                  <c:v>40314.643750000003</c:v>
                </c:pt>
                <c:pt idx="5775">
                  <c:v>40314.644444444442</c:v>
                </c:pt>
                <c:pt idx="5776">
                  <c:v>40314.645138888889</c:v>
                </c:pt>
                <c:pt idx="5777">
                  <c:v>40314.645833333336</c:v>
                </c:pt>
                <c:pt idx="5778">
                  <c:v>40314.646527777775</c:v>
                </c:pt>
                <c:pt idx="5779">
                  <c:v>40314.647222222222</c:v>
                </c:pt>
                <c:pt idx="5780">
                  <c:v>40314.647916666669</c:v>
                </c:pt>
                <c:pt idx="5781">
                  <c:v>40314.648611111108</c:v>
                </c:pt>
                <c:pt idx="5782">
                  <c:v>40314.649305555555</c:v>
                </c:pt>
                <c:pt idx="5783">
                  <c:v>40314.65</c:v>
                </c:pt>
                <c:pt idx="5784">
                  <c:v>40314.650694444441</c:v>
                </c:pt>
                <c:pt idx="5785">
                  <c:v>40314.651388888888</c:v>
                </c:pt>
                <c:pt idx="5786">
                  <c:v>40314.652083333334</c:v>
                </c:pt>
                <c:pt idx="5787">
                  <c:v>40314.652777777781</c:v>
                </c:pt>
                <c:pt idx="5788">
                  <c:v>40314.65347222222</c:v>
                </c:pt>
                <c:pt idx="5789">
                  <c:v>40314.654166666667</c:v>
                </c:pt>
                <c:pt idx="5790">
                  <c:v>40314.654861111114</c:v>
                </c:pt>
                <c:pt idx="5791">
                  <c:v>40314.655555555553</c:v>
                </c:pt>
                <c:pt idx="5792">
                  <c:v>40314.65625</c:v>
                </c:pt>
                <c:pt idx="5793">
                  <c:v>40314.656944444447</c:v>
                </c:pt>
                <c:pt idx="5794">
                  <c:v>40314.657638888886</c:v>
                </c:pt>
                <c:pt idx="5795">
                  <c:v>40314.658333333333</c:v>
                </c:pt>
                <c:pt idx="5796">
                  <c:v>40314.65902777778</c:v>
                </c:pt>
                <c:pt idx="5797">
                  <c:v>40314.659722222219</c:v>
                </c:pt>
                <c:pt idx="5798">
                  <c:v>40314.660416666666</c:v>
                </c:pt>
                <c:pt idx="5799">
                  <c:v>40314.661111111112</c:v>
                </c:pt>
                <c:pt idx="5800">
                  <c:v>40314.661805555559</c:v>
                </c:pt>
                <c:pt idx="5801">
                  <c:v>40314.662499999999</c:v>
                </c:pt>
                <c:pt idx="5802">
                  <c:v>40314.663194444445</c:v>
                </c:pt>
                <c:pt idx="5803">
                  <c:v>40314.663888888892</c:v>
                </c:pt>
                <c:pt idx="5804">
                  <c:v>40314.664583333331</c:v>
                </c:pt>
                <c:pt idx="5805">
                  <c:v>40314.665277777778</c:v>
                </c:pt>
                <c:pt idx="5806">
                  <c:v>40314.665972222225</c:v>
                </c:pt>
                <c:pt idx="5807">
                  <c:v>40314.666666666664</c:v>
                </c:pt>
                <c:pt idx="5808">
                  <c:v>40314.667361111111</c:v>
                </c:pt>
                <c:pt idx="5809">
                  <c:v>40314.668055555558</c:v>
                </c:pt>
                <c:pt idx="5810">
                  <c:v>40314.668749999997</c:v>
                </c:pt>
                <c:pt idx="5811">
                  <c:v>40314.669444444444</c:v>
                </c:pt>
                <c:pt idx="5812">
                  <c:v>40314.670138888891</c:v>
                </c:pt>
                <c:pt idx="5813">
                  <c:v>40314.67083333333</c:v>
                </c:pt>
                <c:pt idx="5814">
                  <c:v>40314.671527777777</c:v>
                </c:pt>
                <c:pt idx="5815">
                  <c:v>40314.672222222223</c:v>
                </c:pt>
                <c:pt idx="5816">
                  <c:v>40314.67291666667</c:v>
                </c:pt>
                <c:pt idx="5817">
                  <c:v>40314.673611111109</c:v>
                </c:pt>
                <c:pt idx="5818">
                  <c:v>40314.674305555556</c:v>
                </c:pt>
                <c:pt idx="5819">
                  <c:v>40314.675000000003</c:v>
                </c:pt>
                <c:pt idx="5820">
                  <c:v>40314.675694444442</c:v>
                </c:pt>
                <c:pt idx="5821">
                  <c:v>40314.676388888889</c:v>
                </c:pt>
                <c:pt idx="5822">
                  <c:v>40314.677083333336</c:v>
                </c:pt>
                <c:pt idx="5823">
                  <c:v>40314.677777777775</c:v>
                </c:pt>
                <c:pt idx="5824">
                  <c:v>40314.678472222222</c:v>
                </c:pt>
                <c:pt idx="5825">
                  <c:v>40314.679166666669</c:v>
                </c:pt>
                <c:pt idx="5826">
                  <c:v>40314.679861111108</c:v>
                </c:pt>
                <c:pt idx="5827">
                  <c:v>40314.680555555555</c:v>
                </c:pt>
                <c:pt idx="5828">
                  <c:v>40314.681250000001</c:v>
                </c:pt>
                <c:pt idx="5829">
                  <c:v>40314.681944444441</c:v>
                </c:pt>
                <c:pt idx="5830">
                  <c:v>40314.682638888888</c:v>
                </c:pt>
                <c:pt idx="5831">
                  <c:v>40314.683333333334</c:v>
                </c:pt>
                <c:pt idx="5832">
                  <c:v>40314.684027777781</c:v>
                </c:pt>
                <c:pt idx="5833">
                  <c:v>40314.68472222222</c:v>
                </c:pt>
                <c:pt idx="5834">
                  <c:v>40314.685416666667</c:v>
                </c:pt>
                <c:pt idx="5835">
                  <c:v>40314.686111111114</c:v>
                </c:pt>
                <c:pt idx="5836">
                  <c:v>40314.686805555553</c:v>
                </c:pt>
                <c:pt idx="5837">
                  <c:v>40314.6875</c:v>
                </c:pt>
                <c:pt idx="5838">
                  <c:v>40314.688194444447</c:v>
                </c:pt>
                <c:pt idx="5839">
                  <c:v>40314.688888888886</c:v>
                </c:pt>
                <c:pt idx="5840">
                  <c:v>40314.689583333333</c:v>
                </c:pt>
                <c:pt idx="5841">
                  <c:v>40314.69027777778</c:v>
                </c:pt>
                <c:pt idx="5842">
                  <c:v>40314.690972222219</c:v>
                </c:pt>
                <c:pt idx="5843">
                  <c:v>40314.691666666666</c:v>
                </c:pt>
                <c:pt idx="5844">
                  <c:v>40314.692361111112</c:v>
                </c:pt>
                <c:pt idx="5845">
                  <c:v>40314.693055555559</c:v>
                </c:pt>
                <c:pt idx="5846">
                  <c:v>40314.693749999999</c:v>
                </c:pt>
                <c:pt idx="5847">
                  <c:v>40314.694444444445</c:v>
                </c:pt>
                <c:pt idx="5848">
                  <c:v>40314.695138888892</c:v>
                </c:pt>
                <c:pt idx="5849">
                  <c:v>40314.695833333331</c:v>
                </c:pt>
                <c:pt idx="5850">
                  <c:v>40314.696527777778</c:v>
                </c:pt>
                <c:pt idx="5851">
                  <c:v>40314.697222222225</c:v>
                </c:pt>
                <c:pt idx="5852">
                  <c:v>40314.697916666664</c:v>
                </c:pt>
                <c:pt idx="5853">
                  <c:v>40314.698611111111</c:v>
                </c:pt>
                <c:pt idx="5854">
                  <c:v>40314.699305555558</c:v>
                </c:pt>
                <c:pt idx="5855">
                  <c:v>40314.699999999997</c:v>
                </c:pt>
                <c:pt idx="5856">
                  <c:v>40314.700694444444</c:v>
                </c:pt>
                <c:pt idx="5857">
                  <c:v>40314.701388888891</c:v>
                </c:pt>
                <c:pt idx="5858">
                  <c:v>40314.70208333333</c:v>
                </c:pt>
                <c:pt idx="5859">
                  <c:v>40314.702777777777</c:v>
                </c:pt>
                <c:pt idx="5860">
                  <c:v>40314.703472222223</c:v>
                </c:pt>
                <c:pt idx="5861">
                  <c:v>40314.70416666667</c:v>
                </c:pt>
                <c:pt idx="5862">
                  <c:v>40314.704861111109</c:v>
                </c:pt>
                <c:pt idx="5863">
                  <c:v>40314.705555555556</c:v>
                </c:pt>
                <c:pt idx="5864">
                  <c:v>40314.706250000003</c:v>
                </c:pt>
                <c:pt idx="5865">
                  <c:v>40314.706944444442</c:v>
                </c:pt>
                <c:pt idx="5866">
                  <c:v>40314.707638888889</c:v>
                </c:pt>
                <c:pt idx="5867">
                  <c:v>40314.708333333336</c:v>
                </c:pt>
                <c:pt idx="5868">
                  <c:v>40314.709027777775</c:v>
                </c:pt>
                <c:pt idx="5869">
                  <c:v>40314.709722222222</c:v>
                </c:pt>
                <c:pt idx="5870">
                  <c:v>40314.710416666669</c:v>
                </c:pt>
                <c:pt idx="5871">
                  <c:v>40314.711111111108</c:v>
                </c:pt>
                <c:pt idx="5872">
                  <c:v>40314.711805555555</c:v>
                </c:pt>
                <c:pt idx="5873">
                  <c:v>40314.712500000001</c:v>
                </c:pt>
                <c:pt idx="5874">
                  <c:v>40314.713194444441</c:v>
                </c:pt>
                <c:pt idx="5875">
                  <c:v>40314.713888888888</c:v>
                </c:pt>
                <c:pt idx="5876">
                  <c:v>40314.714583333334</c:v>
                </c:pt>
                <c:pt idx="5877">
                  <c:v>40314.715277777781</c:v>
                </c:pt>
                <c:pt idx="5878">
                  <c:v>40314.71597222222</c:v>
                </c:pt>
                <c:pt idx="5879">
                  <c:v>40314.716666666667</c:v>
                </c:pt>
                <c:pt idx="5880">
                  <c:v>40314.717361111114</c:v>
                </c:pt>
                <c:pt idx="5881">
                  <c:v>40314.718055555553</c:v>
                </c:pt>
                <c:pt idx="5882">
                  <c:v>40314.71875</c:v>
                </c:pt>
                <c:pt idx="5883">
                  <c:v>40314.719444444447</c:v>
                </c:pt>
                <c:pt idx="5884">
                  <c:v>40314.720138888886</c:v>
                </c:pt>
                <c:pt idx="5885">
                  <c:v>40314.720833333333</c:v>
                </c:pt>
                <c:pt idx="5886">
                  <c:v>40314.72152777778</c:v>
                </c:pt>
                <c:pt idx="5887">
                  <c:v>40314.722222222219</c:v>
                </c:pt>
                <c:pt idx="5888">
                  <c:v>40314.722916666666</c:v>
                </c:pt>
                <c:pt idx="5889">
                  <c:v>40314.723611111112</c:v>
                </c:pt>
                <c:pt idx="5890">
                  <c:v>40314.724305555559</c:v>
                </c:pt>
                <c:pt idx="5891">
                  <c:v>40314.724999999999</c:v>
                </c:pt>
                <c:pt idx="5892">
                  <c:v>40314.725694444445</c:v>
                </c:pt>
                <c:pt idx="5893">
                  <c:v>40314.726388888892</c:v>
                </c:pt>
                <c:pt idx="5894">
                  <c:v>40314.727083333331</c:v>
                </c:pt>
                <c:pt idx="5895">
                  <c:v>40314.727777777778</c:v>
                </c:pt>
                <c:pt idx="5896">
                  <c:v>40314.728472222225</c:v>
                </c:pt>
                <c:pt idx="5897">
                  <c:v>40314.729166666664</c:v>
                </c:pt>
                <c:pt idx="5898">
                  <c:v>40314.729861111111</c:v>
                </c:pt>
                <c:pt idx="5899">
                  <c:v>40314.730555555558</c:v>
                </c:pt>
                <c:pt idx="5900">
                  <c:v>40314.731249999997</c:v>
                </c:pt>
                <c:pt idx="5901">
                  <c:v>40314.731944444444</c:v>
                </c:pt>
                <c:pt idx="5902">
                  <c:v>40314.732638888891</c:v>
                </c:pt>
                <c:pt idx="5903">
                  <c:v>40314.73333333333</c:v>
                </c:pt>
                <c:pt idx="5904">
                  <c:v>40314.734027777777</c:v>
                </c:pt>
                <c:pt idx="5905">
                  <c:v>40314.734722222223</c:v>
                </c:pt>
                <c:pt idx="5906">
                  <c:v>40314.73541666667</c:v>
                </c:pt>
                <c:pt idx="5907">
                  <c:v>40314.736111111109</c:v>
                </c:pt>
                <c:pt idx="5908">
                  <c:v>40314.736805555556</c:v>
                </c:pt>
                <c:pt idx="5909">
                  <c:v>40314.737500000003</c:v>
                </c:pt>
                <c:pt idx="5910">
                  <c:v>40314.738194444442</c:v>
                </c:pt>
                <c:pt idx="5911">
                  <c:v>40314.738888888889</c:v>
                </c:pt>
                <c:pt idx="5912">
                  <c:v>40314.739583333336</c:v>
                </c:pt>
                <c:pt idx="5913">
                  <c:v>40314.740277777775</c:v>
                </c:pt>
                <c:pt idx="5914">
                  <c:v>40314.740972222222</c:v>
                </c:pt>
                <c:pt idx="5915">
                  <c:v>40314.741666666669</c:v>
                </c:pt>
                <c:pt idx="5916">
                  <c:v>40314.742361111108</c:v>
                </c:pt>
                <c:pt idx="5917">
                  <c:v>40314.743055555555</c:v>
                </c:pt>
                <c:pt idx="5918">
                  <c:v>40314.743750000001</c:v>
                </c:pt>
                <c:pt idx="5919">
                  <c:v>40314.744444444441</c:v>
                </c:pt>
                <c:pt idx="5920">
                  <c:v>40314.745138888888</c:v>
                </c:pt>
                <c:pt idx="5921">
                  <c:v>40314.745833333334</c:v>
                </c:pt>
                <c:pt idx="5922">
                  <c:v>40314.746527777781</c:v>
                </c:pt>
                <c:pt idx="5923">
                  <c:v>40314.74722222222</c:v>
                </c:pt>
                <c:pt idx="5924">
                  <c:v>40314.747916666667</c:v>
                </c:pt>
                <c:pt idx="5925">
                  <c:v>40314.748611111114</c:v>
                </c:pt>
                <c:pt idx="5926">
                  <c:v>40314.749305555553</c:v>
                </c:pt>
                <c:pt idx="5927">
                  <c:v>40314.75</c:v>
                </c:pt>
                <c:pt idx="5928">
                  <c:v>40314.750694444447</c:v>
                </c:pt>
                <c:pt idx="5929">
                  <c:v>40314.751388888886</c:v>
                </c:pt>
                <c:pt idx="5930">
                  <c:v>40314.752083333333</c:v>
                </c:pt>
                <c:pt idx="5931">
                  <c:v>40314.75277777778</c:v>
                </c:pt>
                <c:pt idx="5932">
                  <c:v>40314.753472222219</c:v>
                </c:pt>
                <c:pt idx="5933">
                  <c:v>40314.754166666666</c:v>
                </c:pt>
                <c:pt idx="5934">
                  <c:v>40314.754861111112</c:v>
                </c:pt>
                <c:pt idx="5935">
                  <c:v>40314.755555555559</c:v>
                </c:pt>
                <c:pt idx="5936">
                  <c:v>40314.756249999999</c:v>
                </c:pt>
                <c:pt idx="5937">
                  <c:v>40314.756944444445</c:v>
                </c:pt>
                <c:pt idx="5938">
                  <c:v>40314.757638888892</c:v>
                </c:pt>
                <c:pt idx="5939">
                  <c:v>40314.758333333331</c:v>
                </c:pt>
                <c:pt idx="5940">
                  <c:v>40314.759027777778</c:v>
                </c:pt>
                <c:pt idx="5941">
                  <c:v>40314.759722222225</c:v>
                </c:pt>
                <c:pt idx="5942">
                  <c:v>40314.760416666664</c:v>
                </c:pt>
                <c:pt idx="5943">
                  <c:v>40314.761111111111</c:v>
                </c:pt>
                <c:pt idx="5944">
                  <c:v>40314.761805555558</c:v>
                </c:pt>
                <c:pt idx="5945">
                  <c:v>40314.762499999997</c:v>
                </c:pt>
                <c:pt idx="5946">
                  <c:v>40314.763194444444</c:v>
                </c:pt>
                <c:pt idx="5947">
                  <c:v>40314.763888888891</c:v>
                </c:pt>
                <c:pt idx="5948">
                  <c:v>40314.76458333333</c:v>
                </c:pt>
                <c:pt idx="5949">
                  <c:v>40314.765277777777</c:v>
                </c:pt>
                <c:pt idx="5950">
                  <c:v>40314.765972222223</c:v>
                </c:pt>
                <c:pt idx="5951">
                  <c:v>40314.76666666667</c:v>
                </c:pt>
                <c:pt idx="5952">
                  <c:v>40314.767361111109</c:v>
                </c:pt>
                <c:pt idx="5953">
                  <c:v>40314.768055555556</c:v>
                </c:pt>
                <c:pt idx="5954">
                  <c:v>40314.768750000003</c:v>
                </c:pt>
                <c:pt idx="5955">
                  <c:v>40314.769444444442</c:v>
                </c:pt>
                <c:pt idx="5956">
                  <c:v>40314.770138888889</c:v>
                </c:pt>
                <c:pt idx="5957">
                  <c:v>40314.770833333336</c:v>
                </c:pt>
                <c:pt idx="5958">
                  <c:v>40314.771527777775</c:v>
                </c:pt>
                <c:pt idx="5959">
                  <c:v>40314.772222222222</c:v>
                </c:pt>
                <c:pt idx="5960">
                  <c:v>40314.772916666669</c:v>
                </c:pt>
                <c:pt idx="5961">
                  <c:v>40314.773611111108</c:v>
                </c:pt>
                <c:pt idx="5962">
                  <c:v>40314.774305555555</c:v>
                </c:pt>
                <c:pt idx="5963">
                  <c:v>40314.775000000001</c:v>
                </c:pt>
                <c:pt idx="5964">
                  <c:v>40314.775694444441</c:v>
                </c:pt>
                <c:pt idx="5965">
                  <c:v>40314.776388888888</c:v>
                </c:pt>
                <c:pt idx="5966">
                  <c:v>40314.777083333334</c:v>
                </c:pt>
                <c:pt idx="5967">
                  <c:v>40314.777777777781</c:v>
                </c:pt>
                <c:pt idx="5968">
                  <c:v>40314.77847222222</c:v>
                </c:pt>
                <c:pt idx="5969">
                  <c:v>40314.779166666667</c:v>
                </c:pt>
                <c:pt idx="5970">
                  <c:v>40314.779861111114</c:v>
                </c:pt>
                <c:pt idx="5971">
                  <c:v>40314.780555555553</c:v>
                </c:pt>
                <c:pt idx="5972">
                  <c:v>40314.78125</c:v>
                </c:pt>
                <c:pt idx="5973">
                  <c:v>40314.781944444447</c:v>
                </c:pt>
                <c:pt idx="5974">
                  <c:v>40314.782638888886</c:v>
                </c:pt>
                <c:pt idx="5975">
                  <c:v>40314.783333333333</c:v>
                </c:pt>
                <c:pt idx="5976">
                  <c:v>40314.78402777778</c:v>
                </c:pt>
                <c:pt idx="5977">
                  <c:v>40314.784722222219</c:v>
                </c:pt>
                <c:pt idx="5978">
                  <c:v>40314.785416666666</c:v>
                </c:pt>
                <c:pt idx="5979">
                  <c:v>40314.786111111112</c:v>
                </c:pt>
                <c:pt idx="5980">
                  <c:v>40314.786805555559</c:v>
                </c:pt>
                <c:pt idx="5981">
                  <c:v>40314.787499999999</c:v>
                </c:pt>
                <c:pt idx="5982">
                  <c:v>40314.788194444445</c:v>
                </c:pt>
                <c:pt idx="5983">
                  <c:v>40314.788888888892</c:v>
                </c:pt>
                <c:pt idx="5984">
                  <c:v>40314.789583333331</c:v>
                </c:pt>
                <c:pt idx="5985">
                  <c:v>40314.790277777778</c:v>
                </c:pt>
                <c:pt idx="5986">
                  <c:v>40314.790972222225</c:v>
                </c:pt>
                <c:pt idx="5987">
                  <c:v>40314.791666666664</c:v>
                </c:pt>
                <c:pt idx="5988">
                  <c:v>40314.792361111111</c:v>
                </c:pt>
                <c:pt idx="5989">
                  <c:v>40314.793055555558</c:v>
                </c:pt>
                <c:pt idx="5990">
                  <c:v>40314.793749999997</c:v>
                </c:pt>
                <c:pt idx="5991">
                  <c:v>40314.794444444444</c:v>
                </c:pt>
                <c:pt idx="5992">
                  <c:v>40314.795138888891</c:v>
                </c:pt>
                <c:pt idx="5993">
                  <c:v>40314.79583333333</c:v>
                </c:pt>
                <c:pt idx="5994">
                  <c:v>40314.796527777777</c:v>
                </c:pt>
                <c:pt idx="5995">
                  <c:v>40314.797222222223</c:v>
                </c:pt>
                <c:pt idx="5996">
                  <c:v>40314.79791666667</c:v>
                </c:pt>
                <c:pt idx="5997">
                  <c:v>40314.798611111109</c:v>
                </c:pt>
                <c:pt idx="5998">
                  <c:v>40314.799305555556</c:v>
                </c:pt>
                <c:pt idx="5999">
                  <c:v>40314.800000000003</c:v>
                </c:pt>
                <c:pt idx="6000">
                  <c:v>40314.800694444442</c:v>
                </c:pt>
                <c:pt idx="6001">
                  <c:v>40314.801388888889</c:v>
                </c:pt>
                <c:pt idx="6002">
                  <c:v>40314.802083333336</c:v>
                </c:pt>
                <c:pt idx="6003">
                  <c:v>40314.802777777775</c:v>
                </c:pt>
                <c:pt idx="6004">
                  <c:v>40314.803472222222</c:v>
                </c:pt>
                <c:pt idx="6005">
                  <c:v>40314.804166666669</c:v>
                </c:pt>
                <c:pt idx="6006">
                  <c:v>40314.804861111108</c:v>
                </c:pt>
                <c:pt idx="6007">
                  <c:v>40314.805555555555</c:v>
                </c:pt>
                <c:pt idx="6008">
                  <c:v>40314.806250000001</c:v>
                </c:pt>
                <c:pt idx="6009">
                  <c:v>40314.806944444441</c:v>
                </c:pt>
                <c:pt idx="6010">
                  <c:v>40314.807638888888</c:v>
                </c:pt>
                <c:pt idx="6011">
                  <c:v>40314.808333333334</c:v>
                </c:pt>
                <c:pt idx="6012">
                  <c:v>40314.809027777781</c:v>
                </c:pt>
                <c:pt idx="6013">
                  <c:v>40314.80972222222</c:v>
                </c:pt>
                <c:pt idx="6014">
                  <c:v>40314.810416666667</c:v>
                </c:pt>
                <c:pt idx="6015">
                  <c:v>40314.811111111114</c:v>
                </c:pt>
                <c:pt idx="6016">
                  <c:v>40314.811805555553</c:v>
                </c:pt>
                <c:pt idx="6017">
                  <c:v>40314.8125</c:v>
                </c:pt>
                <c:pt idx="6018">
                  <c:v>40314.813194444447</c:v>
                </c:pt>
                <c:pt idx="6019">
                  <c:v>40314.813888888886</c:v>
                </c:pt>
                <c:pt idx="6020">
                  <c:v>40314.814583333333</c:v>
                </c:pt>
                <c:pt idx="6021">
                  <c:v>40314.81527777778</c:v>
                </c:pt>
                <c:pt idx="6022">
                  <c:v>40314.815972222219</c:v>
                </c:pt>
                <c:pt idx="6023">
                  <c:v>40314.816666666666</c:v>
                </c:pt>
                <c:pt idx="6024">
                  <c:v>40314.817361111112</c:v>
                </c:pt>
                <c:pt idx="6025">
                  <c:v>40314.818055555559</c:v>
                </c:pt>
                <c:pt idx="6026">
                  <c:v>40314.818749999999</c:v>
                </c:pt>
                <c:pt idx="6027">
                  <c:v>40314.819444444445</c:v>
                </c:pt>
                <c:pt idx="6028">
                  <c:v>40314.820138888892</c:v>
                </c:pt>
                <c:pt idx="6029">
                  <c:v>40314.820833333331</c:v>
                </c:pt>
                <c:pt idx="6030">
                  <c:v>40314.821527777778</c:v>
                </c:pt>
                <c:pt idx="6031">
                  <c:v>40314.822222222225</c:v>
                </c:pt>
                <c:pt idx="6032">
                  <c:v>40314.822916666664</c:v>
                </c:pt>
                <c:pt idx="6033">
                  <c:v>40314.823611111111</c:v>
                </c:pt>
                <c:pt idx="6034">
                  <c:v>40314.824305555558</c:v>
                </c:pt>
                <c:pt idx="6035">
                  <c:v>40314.824999999997</c:v>
                </c:pt>
                <c:pt idx="6036">
                  <c:v>40314.825694444444</c:v>
                </c:pt>
                <c:pt idx="6037">
                  <c:v>40314.826388888891</c:v>
                </c:pt>
                <c:pt idx="6038">
                  <c:v>40314.82708333333</c:v>
                </c:pt>
                <c:pt idx="6039">
                  <c:v>40314.827777777777</c:v>
                </c:pt>
                <c:pt idx="6040">
                  <c:v>40314.828472222223</c:v>
                </c:pt>
                <c:pt idx="6041">
                  <c:v>40314.82916666667</c:v>
                </c:pt>
                <c:pt idx="6042">
                  <c:v>40314.829861111109</c:v>
                </c:pt>
                <c:pt idx="6043">
                  <c:v>40314.830555555556</c:v>
                </c:pt>
                <c:pt idx="6044">
                  <c:v>40314.831250000003</c:v>
                </c:pt>
                <c:pt idx="6045">
                  <c:v>40314.831944444442</c:v>
                </c:pt>
                <c:pt idx="6046">
                  <c:v>40314.832638888889</c:v>
                </c:pt>
                <c:pt idx="6047">
                  <c:v>40314.833333333336</c:v>
                </c:pt>
                <c:pt idx="6048">
                  <c:v>40314.834027777775</c:v>
                </c:pt>
                <c:pt idx="6049">
                  <c:v>40314.834722222222</c:v>
                </c:pt>
                <c:pt idx="6050">
                  <c:v>40314.835416666669</c:v>
                </c:pt>
                <c:pt idx="6051">
                  <c:v>40314.836111111108</c:v>
                </c:pt>
                <c:pt idx="6052">
                  <c:v>40314.836805555555</c:v>
                </c:pt>
                <c:pt idx="6053">
                  <c:v>40314.837500000001</c:v>
                </c:pt>
                <c:pt idx="6054">
                  <c:v>40314.838194444441</c:v>
                </c:pt>
                <c:pt idx="6055">
                  <c:v>40314.838888888888</c:v>
                </c:pt>
                <c:pt idx="6056">
                  <c:v>40314.839583333334</c:v>
                </c:pt>
                <c:pt idx="6057">
                  <c:v>40314.840277777781</c:v>
                </c:pt>
                <c:pt idx="6058">
                  <c:v>40314.84097222222</c:v>
                </c:pt>
                <c:pt idx="6059">
                  <c:v>40314.841666666667</c:v>
                </c:pt>
                <c:pt idx="6060">
                  <c:v>40314.842361111114</c:v>
                </c:pt>
                <c:pt idx="6061">
                  <c:v>40314.843055555553</c:v>
                </c:pt>
                <c:pt idx="6062">
                  <c:v>40314.84375</c:v>
                </c:pt>
                <c:pt idx="6063">
                  <c:v>40314.844444444447</c:v>
                </c:pt>
                <c:pt idx="6064">
                  <c:v>40314.845138888886</c:v>
                </c:pt>
                <c:pt idx="6065">
                  <c:v>40314.845833333333</c:v>
                </c:pt>
                <c:pt idx="6066">
                  <c:v>40314.84652777778</c:v>
                </c:pt>
                <c:pt idx="6067">
                  <c:v>40314.847222222219</c:v>
                </c:pt>
                <c:pt idx="6068">
                  <c:v>40314.847916666666</c:v>
                </c:pt>
                <c:pt idx="6069">
                  <c:v>40314.848611111112</c:v>
                </c:pt>
                <c:pt idx="6070">
                  <c:v>40314.849305555559</c:v>
                </c:pt>
                <c:pt idx="6071">
                  <c:v>40314.85</c:v>
                </c:pt>
                <c:pt idx="6072">
                  <c:v>40314.850694444445</c:v>
                </c:pt>
                <c:pt idx="6073">
                  <c:v>40314.851388888892</c:v>
                </c:pt>
                <c:pt idx="6074">
                  <c:v>40314.852083333331</c:v>
                </c:pt>
                <c:pt idx="6075">
                  <c:v>40314.852777777778</c:v>
                </c:pt>
                <c:pt idx="6076">
                  <c:v>40314.853472222225</c:v>
                </c:pt>
                <c:pt idx="6077">
                  <c:v>40314.854166666664</c:v>
                </c:pt>
                <c:pt idx="6078">
                  <c:v>40314.854861111111</c:v>
                </c:pt>
                <c:pt idx="6079">
                  <c:v>40314.855555555558</c:v>
                </c:pt>
                <c:pt idx="6080">
                  <c:v>40314.856249999997</c:v>
                </c:pt>
                <c:pt idx="6081">
                  <c:v>40314.856944444444</c:v>
                </c:pt>
                <c:pt idx="6082">
                  <c:v>40314.857638888891</c:v>
                </c:pt>
                <c:pt idx="6083">
                  <c:v>40314.85833333333</c:v>
                </c:pt>
                <c:pt idx="6084">
                  <c:v>40314.859027777777</c:v>
                </c:pt>
                <c:pt idx="6085">
                  <c:v>40314.859722222223</c:v>
                </c:pt>
                <c:pt idx="6086">
                  <c:v>40314.86041666667</c:v>
                </c:pt>
                <c:pt idx="6087">
                  <c:v>40314.861111111109</c:v>
                </c:pt>
                <c:pt idx="6088">
                  <c:v>40314.861805555556</c:v>
                </c:pt>
                <c:pt idx="6089">
                  <c:v>40314.862500000003</c:v>
                </c:pt>
                <c:pt idx="6090">
                  <c:v>40314.863194444442</c:v>
                </c:pt>
                <c:pt idx="6091">
                  <c:v>40314.863888888889</c:v>
                </c:pt>
                <c:pt idx="6092">
                  <c:v>40314.864583333336</c:v>
                </c:pt>
                <c:pt idx="6093">
                  <c:v>40314.865277777775</c:v>
                </c:pt>
                <c:pt idx="6094">
                  <c:v>40314.865972222222</c:v>
                </c:pt>
                <c:pt idx="6095">
                  <c:v>40314.866666666669</c:v>
                </c:pt>
                <c:pt idx="6096">
                  <c:v>40314.867361111108</c:v>
                </c:pt>
                <c:pt idx="6097">
                  <c:v>40314.868055555555</c:v>
                </c:pt>
                <c:pt idx="6098">
                  <c:v>40314.868750000001</c:v>
                </c:pt>
                <c:pt idx="6099">
                  <c:v>40314.869444444441</c:v>
                </c:pt>
                <c:pt idx="6100">
                  <c:v>40314.870138888888</c:v>
                </c:pt>
                <c:pt idx="6101">
                  <c:v>40314.870833333334</c:v>
                </c:pt>
                <c:pt idx="6102">
                  <c:v>40314.871527777781</c:v>
                </c:pt>
                <c:pt idx="6103">
                  <c:v>40314.87222222222</c:v>
                </c:pt>
                <c:pt idx="6104">
                  <c:v>40314.872916666667</c:v>
                </c:pt>
                <c:pt idx="6105">
                  <c:v>40314.873611111114</c:v>
                </c:pt>
                <c:pt idx="6106">
                  <c:v>40314.874305555553</c:v>
                </c:pt>
                <c:pt idx="6107">
                  <c:v>40314.875</c:v>
                </c:pt>
                <c:pt idx="6108">
                  <c:v>40314.875694444447</c:v>
                </c:pt>
                <c:pt idx="6109">
                  <c:v>40314.876388888886</c:v>
                </c:pt>
                <c:pt idx="6110">
                  <c:v>40314.877083333333</c:v>
                </c:pt>
                <c:pt idx="6111">
                  <c:v>40314.87777777778</c:v>
                </c:pt>
                <c:pt idx="6112">
                  <c:v>40314.878472222219</c:v>
                </c:pt>
                <c:pt idx="6113">
                  <c:v>40314.879166666666</c:v>
                </c:pt>
                <c:pt idx="6114">
                  <c:v>40314.879861111112</c:v>
                </c:pt>
                <c:pt idx="6115">
                  <c:v>40314.880555555559</c:v>
                </c:pt>
                <c:pt idx="6116">
                  <c:v>40314.881249999999</c:v>
                </c:pt>
                <c:pt idx="6117">
                  <c:v>40314.881944444445</c:v>
                </c:pt>
                <c:pt idx="6118">
                  <c:v>40314.882638888892</c:v>
                </c:pt>
                <c:pt idx="6119">
                  <c:v>40314.883333333331</c:v>
                </c:pt>
                <c:pt idx="6120">
                  <c:v>40314.884027777778</c:v>
                </c:pt>
                <c:pt idx="6121">
                  <c:v>40314.884722222225</c:v>
                </c:pt>
                <c:pt idx="6122">
                  <c:v>40314.885416666664</c:v>
                </c:pt>
                <c:pt idx="6123">
                  <c:v>40314.886111111111</c:v>
                </c:pt>
                <c:pt idx="6124">
                  <c:v>40314.886805555558</c:v>
                </c:pt>
                <c:pt idx="6125">
                  <c:v>40314.887499999997</c:v>
                </c:pt>
                <c:pt idx="6126">
                  <c:v>40314.888194444444</c:v>
                </c:pt>
                <c:pt idx="6127">
                  <c:v>40314.888888888891</c:v>
                </c:pt>
                <c:pt idx="6128">
                  <c:v>40314.88958333333</c:v>
                </c:pt>
                <c:pt idx="6129">
                  <c:v>40314.890277777777</c:v>
                </c:pt>
                <c:pt idx="6130">
                  <c:v>40314.890972222223</c:v>
                </c:pt>
                <c:pt idx="6131">
                  <c:v>40314.89166666667</c:v>
                </c:pt>
                <c:pt idx="6132">
                  <c:v>40314.892361111109</c:v>
                </c:pt>
                <c:pt idx="6133">
                  <c:v>40314.893055555556</c:v>
                </c:pt>
                <c:pt idx="6134">
                  <c:v>40314.893750000003</c:v>
                </c:pt>
                <c:pt idx="6135">
                  <c:v>40314.894444444442</c:v>
                </c:pt>
                <c:pt idx="6136">
                  <c:v>40314.895138888889</c:v>
                </c:pt>
                <c:pt idx="6137">
                  <c:v>40314.895833333336</c:v>
                </c:pt>
                <c:pt idx="6138">
                  <c:v>40314.896527777775</c:v>
                </c:pt>
                <c:pt idx="6139">
                  <c:v>40314.897222222222</c:v>
                </c:pt>
                <c:pt idx="6140">
                  <c:v>40314.897916666669</c:v>
                </c:pt>
                <c:pt idx="6141">
                  <c:v>40314.898611111108</c:v>
                </c:pt>
                <c:pt idx="6142">
                  <c:v>40314.899305555555</c:v>
                </c:pt>
                <c:pt idx="6143">
                  <c:v>40314.9</c:v>
                </c:pt>
                <c:pt idx="6144">
                  <c:v>40314.900694444441</c:v>
                </c:pt>
                <c:pt idx="6145">
                  <c:v>40314.901388888888</c:v>
                </c:pt>
                <c:pt idx="6146">
                  <c:v>40314.902083333334</c:v>
                </c:pt>
                <c:pt idx="6147">
                  <c:v>40314.902777777781</c:v>
                </c:pt>
                <c:pt idx="6148">
                  <c:v>40314.90347222222</c:v>
                </c:pt>
                <c:pt idx="6149">
                  <c:v>40314.904166666667</c:v>
                </c:pt>
                <c:pt idx="6150">
                  <c:v>40314.904861111114</c:v>
                </c:pt>
                <c:pt idx="6151">
                  <c:v>40314.905555555553</c:v>
                </c:pt>
                <c:pt idx="6152">
                  <c:v>40314.90625</c:v>
                </c:pt>
                <c:pt idx="6153">
                  <c:v>40314.906944444447</c:v>
                </c:pt>
                <c:pt idx="6154">
                  <c:v>40314.907638888886</c:v>
                </c:pt>
                <c:pt idx="6155">
                  <c:v>40314.908333333333</c:v>
                </c:pt>
                <c:pt idx="6156">
                  <c:v>40314.90902777778</c:v>
                </c:pt>
                <c:pt idx="6157">
                  <c:v>40314.909722222219</c:v>
                </c:pt>
                <c:pt idx="6158">
                  <c:v>40314.910416666666</c:v>
                </c:pt>
                <c:pt idx="6159">
                  <c:v>40314.911111111112</c:v>
                </c:pt>
                <c:pt idx="6160">
                  <c:v>40314.911805555559</c:v>
                </c:pt>
                <c:pt idx="6161">
                  <c:v>40314.912499999999</c:v>
                </c:pt>
                <c:pt idx="6162">
                  <c:v>40314.913194444445</c:v>
                </c:pt>
                <c:pt idx="6163">
                  <c:v>40314.913888888892</c:v>
                </c:pt>
                <c:pt idx="6164">
                  <c:v>40314.914583333331</c:v>
                </c:pt>
                <c:pt idx="6165">
                  <c:v>40314.915277777778</c:v>
                </c:pt>
                <c:pt idx="6166">
                  <c:v>40314.915972222225</c:v>
                </c:pt>
                <c:pt idx="6167">
                  <c:v>40314.916666666664</c:v>
                </c:pt>
                <c:pt idx="6168">
                  <c:v>40314.917361111111</c:v>
                </c:pt>
                <c:pt idx="6169">
                  <c:v>40314.918055555558</c:v>
                </c:pt>
                <c:pt idx="6170">
                  <c:v>40314.918749999997</c:v>
                </c:pt>
                <c:pt idx="6171">
                  <c:v>40314.919444444444</c:v>
                </c:pt>
                <c:pt idx="6172">
                  <c:v>40314.920138888891</c:v>
                </c:pt>
                <c:pt idx="6173">
                  <c:v>40314.92083333333</c:v>
                </c:pt>
                <c:pt idx="6174">
                  <c:v>40314.921527777777</c:v>
                </c:pt>
                <c:pt idx="6175">
                  <c:v>40314.922222222223</c:v>
                </c:pt>
                <c:pt idx="6176">
                  <c:v>40314.92291666667</c:v>
                </c:pt>
                <c:pt idx="6177">
                  <c:v>40314.923611111109</c:v>
                </c:pt>
                <c:pt idx="6178">
                  <c:v>40314.924305555556</c:v>
                </c:pt>
                <c:pt idx="6179">
                  <c:v>40314.925000000003</c:v>
                </c:pt>
                <c:pt idx="6180">
                  <c:v>40314.925694444442</c:v>
                </c:pt>
                <c:pt idx="6181">
                  <c:v>40314.926388888889</c:v>
                </c:pt>
                <c:pt idx="6182">
                  <c:v>40314.927083333336</c:v>
                </c:pt>
                <c:pt idx="6183">
                  <c:v>40314.927777777775</c:v>
                </c:pt>
                <c:pt idx="6184">
                  <c:v>40314.928472222222</c:v>
                </c:pt>
                <c:pt idx="6185">
                  <c:v>40314.929166666669</c:v>
                </c:pt>
                <c:pt idx="6186">
                  <c:v>40314.929861111108</c:v>
                </c:pt>
                <c:pt idx="6187">
                  <c:v>40314.930555555555</c:v>
                </c:pt>
                <c:pt idx="6188">
                  <c:v>40314.931250000001</c:v>
                </c:pt>
                <c:pt idx="6189">
                  <c:v>40314.931944444441</c:v>
                </c:pt>
                <c:pt idx="6190">
                  <c:v>40314.932638888888</c:v>
                </c:pt>
                <c:pt idx="6191">
                  <c:v>40314.933333333334</c:v>
                </c:pt>
                <c:pt idx="6192">
                  <c:v>40314.934027777781</c:v>
                </c:pt>
                <c:pt idx="6193">
                  <c:v>40314.93472222222</c:v>
                </c:pt>
                <c:pt idx="6194">
                  <c:v>40314.935416666667</c:v>
                </c:pt>
                <c:pt idx="6195">
                  <c:v>40314.936111111114</c:v>
                </c:pt>
                <c:pt idx="6196">
                  <c:v>40314.936805555553</c:v>
                </c:pt>
                <c:pt idx="6197">
                  <c:v>40314.9375</c:v>
                </c:pt>
                <c:pt idx="6198">
                  <c:v>40314.938194444447</c:v>
                </c:pt>
                <c:pt idx="6199">
                  <c:v>40314.938888888886</c:v>
                </c:pt>
                <c:pt idx="6200">
                  <c:v>40314.939583333333</c:v>
                </c:pt>
                <c:pt idx="6201">
                  <c:v>40314.94027777778</c:v>
                </c:pt>
                <c:pt idx="6202">
                  <c:v>40314.940972222219</c:v>
                </c:pt>
                <c:pt idx="6203">
                  <c:v>40314.941666666666</c:v>
                </c:pt>
                <c:pt idx="6204">
                  <c:v>40314.942361111112</c:v>
                </c:pt>
                <c:pt idx="6205">
                  <c:v>40314.943055555559</c:v>
                </c:pt>
                <c:pt idx="6206">
                  <c:v>40314.943749999999</c:v>
                </c:pt>
                <c:pt idx="6207">
                  <c:v>40314.944444444445</c:v>
                </c:pt>
                <c:pt idx="6208">
                  <c:v>40314.945138888892</c:v>
                </c:pt>
                <c:pt idx="6209">
                  <c:v>40314.945833333331</c:v>
                </c:pt>
                <c:pt idx="6210">
                  <c:v>40314.946527777778</c:v>
                </c:pt>
                <c:pt idx="6211">
                  <c:v>40314.947222222225</c:v>
                </c:pt>
                <c:pt idx="6212">
                  <c:v>40314.947916666664</c:v>
                </c:pt>
                <c:pt idx="6213">
                  <c:v>40314.948611111111</c:v>
                </c:pt>
                <c:pt idx="6214">
                  <c:v>40314.949305555558</c:v>
                </c:pt>
                <c:pt idx="6215">
                  <c:v>40314.949999999997</c:v>
                </c:pt>
                <c:pt idx="6216">
                  <c:v>40314.950694444444</c:v>
                </c:pt>
                <c:pt idx="6217">
                  <c:v>40314.951388888891</c:v>
                </c:pt>
                <c:pt idx="6218">
                  <c:v>40314.95208333333</c:v>
                </c:pt>
                <c:pt idx="6219">
                  <c:v>40314.952777777777</c:v>
                </c:pt>
                <c:pt idx="6220">
                  <c:v>40314.953472222223</c:v>
                </c:pt>
                <c:pt idx="6221">
                  <c:v>40314.95416666667</c:v>
                </c:pt>
                <c:pt idx="6222">
                  <c:v>40314.954861111109</c:v>
                </c:pt>
                <c:pt idx="6223">
                  <c:v>40314.955555555556</c:v>
                </c:pt>
                <c:pt idx="6224">
                  <c:v>40314.956250000003</c:v>
                </c:pt>
                <c:pt idx="6225">
                  <c:v>40314.956944444442</c:v>
                </c:pt>
                <c:pt idx="6226">
                  <c:v>40314.957638888889</c:v>
                </c:pt>
                <c:pt idx="6227">
                  <c:v>40314.958333333336</c:v>
                </c:pt>
                <c:pt idx="6228">
                  <c:v>40314.959027777775</c:v>
                </c:pt>
                <c:pt idx="6229">
                  <c:v>40314.959722222222</c:v>
                </c:pt>
                <c:pt idx="6230">
                  <c:v>40314.960416666669</c:v>
                </c:pt>
                <c:pt idx="6231">
                  <c:v>40314.961111111108</c:v>
                </c:pt>
                <c:pt idx="6232">
                  <c:v>40314.961805555555</c:v>
                </c:pt>
                <c:pt idx="6233">
                  <c:v>40314.962500000001</c:v>
                </c:pt>
                <c:pt idx="6234">
                  <c:v>40314.963194444441</c:v>
                </c:pt>
                <c:pt idx="6235">
                  <c:v>40314.963888888888</c:v>
                </c:pt>
                <c:pt idx="6236">
                  <c:v>40314.964583333334</c:v>
                </c:pt>
                <c:pt idx="6237">
                  <c:v>40314.965277777781</c:v>
                </c:pt>
                <c:pt idx="6238">
                  <c:v>40314.96597222222</c:v>
                </c:pt>
                <c:pt idx="6239">
                  <c:v>40314.966666666667</c:v>
                </c:pt>
                <c:pt idx="6240">
                  <c:v>40314.967361111114</c:v>
                </c:pt>
                <c:pt idx="6241">
                  <c:v>40314.968055555553</c:v>
                </c:pt>
                <c:pt idx="6242">
                  <c:v>40314.96875</c:v>
                </c:pt>
                <c:pt idx="6243">
                  <c:v>40314.969444444447</c:v>
                </c:pt>
                <c:pt idx="6244">
                  <c:v>40314.970138888886</c:v>
                </c:pt>
                <c:pt idx="6245">
                  <c:v>40314.970833333333</c:v>
                </c:pt>
                <c:pt idx="6246">
                  <c:v>40314.97152777778</c:v>
                </c:pt>
                <c:pt idx="6247">
                  <c:v>40314.972222222219</c:v>
                </c:pt>
                <c:pt idx="6248">
                  <c:v>40314.972916666666</c:v>
                </c:pt>
                <c:pt idx="6249">
                  <c:v>40314.973611111112</c:v>
                </c:pt>
                <c:pt idx="6250">
                  <c:v>40314.974305555559</c:v>
                </c:pt>
                <c:pt idx="6251">
                  <c:v>40314.974999999999</c:v>
                </c:pt>
                <c:pt idx="6252">
                  <c:v>40314.975694444445</c:v>
                </c:pt>
                <c:pt idx="6253">
                  <c:v>40314.976388888892</c:v>
                </c:pt>
                <c:pt idx="6254">
                  <c:v>40314.977083333331</c:v>
                </c:pt>
                <c:pt idx="6255">
                  <c:v>40314.977777777778</c:v>
                </c:pt>
                <c:pt idx="6256">
                  <c:v>40314.978472222225</c:v>
                </c:pt>
                <c:pt idx="6257">
                  <c:v>40314.979166666664</c:v>
                </c:pt>
                <c:pt idx="6258">
                  <c:v>40314.979861111111</c:v>
                </c:pt>
                <c:pt idx="6259">
                  <c:v>40314.980555555558</c:v>
                </c:pt>
                <c:pt idx="6260">
                  <c:v>40314.981249999997</c:v>
                </c:pt>
                <c:pt idx="6261">
                  <c:v>40314.981944444444</c:v>
                </c:pt>
                <c:pt idx="6262">
                  <c:v>40314.982638888891</c:v>
                </c:pt>
                <c:pt idx="6263">
                  <c:v>40314.98333333333</c:v>
                </c:pt>
                <c:pt idx="6264">
                  <c:v>40314.984027777777</c:v>
                </c:pt>
                <c:pt idx="6265">
                  <c:v>40314.984722222223</c:v>
                </c:pt>
                <c:pt idx="6266">
                  <c:v>40314.98541666667</c:v>
                </c:pt>
                <c:pt idx="6267">
                  <c:v>40314.986111111109</c:v>
                </c:pt>
                <c:pt idx="6268">
                  <c:v>40314.986805555556</c:v>
                </c:pt>
                <c:pt idx="6269">
                  <c:v>40314.987500000003</c:v>
                </c:pt>
                <c:pt idx="6270">
                  <c:v>40314.988194444442</c:v>
                </c:pt>
                <c:pt idx="6271">
                  <c:v>40314.988888888889</c:v>
                </c:pt>
                <c:pt idx="6272">
                  <c:v>40314.989583333336</c:v>
                </c:pt>
                <c:pt idx="6273">
                  <c:v>40314.990277777775</c:v>
                </c:pt>
                <c:pt idx="6274">
                  <c:v>40314.990972222222</c:v>
                </c:pt>
                <c:pt idx="6275">
                  <c:v>40314.991666666669</c:v>
                </c:pt>
                <c:pt idx="6276">
                  <c:v>40314.992361111108</c:v>
                </c:pt>
                <c:pt idx="6277">
                  <c:v>40314.993055555555</c:v>
                </c:pt>
                <c:pt idx="6278">
                  <c:v>40314.993750000001</c:v>
                </c:pt>
                <c:pt idx="6279">
                  <c:v>40314.994444444441</c:v>
                </c:pt>
                <c:pt idx="6280">
                  <c:v>40314.995138888888</c:v>
                </c:pt>
                <c:pt idx="6281">
                  <c:v>40314.995833333334</c:v>
                </c:pt>
                <c:pt idx="6282">
                  <c:v>40314.996527777781</c:v>
                </c:pt>
                <c:pt idx="6283">
                  <c:v>40314.99722222222</c:v>
                </c:pt>
                <c:pt idx="6284">
                  <c:v>40314.997916666667</c:v>
                </c:pt>
                <c:pt idx="6285">
                  <c:v>40314.998611111114</c:v>
                </c:pt>
                <c:pt idx="6286">
                  <c:v>40314.999305555553</c:v>
                </c:pt>
                <c:pt idx="6287">
                  <c:v>40315</c:v>
                </c:pt>
                <c:pt idx="6288">
                  <c:v>40315.000694444447</c:v>
                </c:pt>
                <c:pt idx="6289">
                  <c:v>40315.001388888886</c:v>
                </c:pt>
                <c:pt idx="6290">
                  <c:v>40315.002083333333</c:v>
                </c:pt>
                <c:pt idx="6291">
                  <c:v>40315.00277777778</c:v>
                </c:pt>
                <c:pt idx="6292">
                  <c:v>40315.003472222219</c:v>
                </c:pt>
                <c:pt idx="6293">
                  <c:v>40315.004166666666</c:v>
                </c:pt>
                <c:pt idx="6294">
                  <c:v>40315.004861111112</c:v>
                </c:pt>
                <c:pt idx="6295">
                  <c:v>40315.005555555559</c:v>
                </c:pt>
                <c:pt idx="6296">
                  <c:v>40315.006249999999</c:v>
                </c:pt>
                <c:pt idx="6297">
                  <c:v>40315.006944444445</c:v>
                </c:pt>
                <c:pt idx="6298">
                  <c:v>40315.007638888892</c:v>
                </c:pt>
                <c:pt idx="6299">
                  <c:v>40315.008333333331</c:v>
                </c:pt>
                <c:pt idx="6300">
                  <c:v>40315.009027777778</c:v>
                </c:pt>
                <c:pt idx="6301">
                  <c:v>40315.009722222225</c:v>
                </c:pt>
                <c:pt idx="6302">
                  <c:v>40315.010416666664</c:v>
                </c:pt>
                <c:pt idx="6303">
                  <c:v>40315.011111111111</c:v>
                </c:pt>
                <c:pt idx="6304">
                  <c:v>40315.011805555558</c:v>
                </c:pt>
                <c:pt idx="6305">
                  <c:v>40315.012499999997</c:v>
                </c:pt>
                <c:pt idx="6306">
                  <c:v>40315.013194444444</c:v>
                </c:pt>
                <c:pt idx="6307">
                  <c:v>40315.013888888891</c:v>
                </c:pt>
                <c:pt idx="6308">
                  <c:v>40315.01458333333</c:v>
                </c:pt>
                <c:pt idx="6309">
                  <c:v>40315.015277777777</c:v>
                </c:pt>
                <c:pt idx="6310">
                  <c:v>40315.015972222223</c:v>
                </c:pt>
                <c:pt idx="6311">
                  <c:v>40315.01666666667</c:v>
                </c:pt>
                <c:pt idx="6312">
                  <c:v>40315.017361111109</c:v>
                </c:pt>
                <c:pt idx="6313">
                  <c:v>40315.018055555556</c:v>
                </c:pt>
                <c:pt idx="6314">
                  <c:v>40315.018750000003</c:v>
                </c:pt>
                <c:pt idx="6315">
                  <c:v>40315.019444444442</c:v>
                </c:pt>
                <c:pt idx="6316">
                  <c:v>40315.020138888889</c:v>
                </c:pt>
                <c:pt idx="6317">
                  <c:v>40315.020833333336</c:v>
                </c:pt>
                <c:pt idx="6318">
                  <c:v>40315.021527777775</c:v>
                </c:pt>
                <c:pt idx="6319">
                  <c:v>40315.022222222222</c:v>
                </c:pt>
                <c:pt idx="6320">
                  <c:v>40315.022916666669</c:v>
                </c:pt>
                <c:pt idx="6321">
                  <c:v>40315.023611111108</c:v>
                </c:pt>
                <c:pt idx="6322">
                  <c:v>40315.024305555555</c:v>
                </c:pt>
                <c:pt idx="6323">
                  <c:v>40315.025000000001</c:v>
                </c:pt>
                <c:pt idx="6324">
                  <c:v>40315.025694444441</c:v>
                </c:pt>
                <c:pt idx="6325">
                  <c:v>40315.026388888888</c:v>
                </c:pt>
                <c:pt idx="6326">
                  <c:v>40315.027083333334</c:v>
                </c:pt>
                <c:pt idx="6327">
                  <c:v>40315.027777777781</c:v>
                </c:pt>
                <c:pt idx="6328">
                  <c:v>40315.02847222222</c:v>
                </c:pt>
                <c:pt idx="6329">
                  <c:v>40315.029166666667</c:v>
                </c:pt>
                <c:pt idx="6330">
                  <c:v>40315.029861111114</c:v>
                </c:pt>
                <c:pt idx="6331">
                  <c:v>40315.030555555553</c:v>
                </c:pt>
                <c:pt idx="6332">
                  <c:v>40315.03125</c:v>
                </c:pt>
                <c:pt idx="6333">
                  <c:v>40315.031944444447</c:v>
                </c:pt>
                <c:pt idx="6334">
                  <c:v>40315.032638888886</c:v>
                </c:pt>
                <c:pt idx="6335">
                  <c:v>40315.033333333333</c:v>
                </c:pt>
                <c:pt idx="6336">
                  <c:v>40315.03402777778</c:v>
                </c:pt>
                <c:pt idx="6337">
                  <c:v>40315.034722222219</c:v>
                </c:pt>
                <c:pt idx="6338">
                  <c:v>40315.035416666666</c:v>
                </c:pt>
                <c:pt idx="6339">
                  <c:v>40315.036111111112</c:v>
                </c:pt>
                <c:pt idx="6340">
                  <c:v>40315.036805555559</c:v>
                </c:pt>
                <c:pt idx="6341">
                  <c:v>40315.037499999999</c:v>
                </c:pt>
                <c:pt idx="6342">
                  <c:v>40315.038194444445</c:v>
                </c:pt>
                <c:pt idx="6343">
                  <c:v>40315.038888888892</c:v>
                </c:pt>
                <c:pt idx="6344">
                  <c:v>40315.039583333331</c:v>
                </c:pt>
                <c:pt idx="6345">
                  <c:v>40315.040277777778</c:v>
                </c:pt>
                <c:pt idx="6346">
                  <c:v>40315.040972222225</c:v>
                </c:pt>
                <c:pt idx="6347">
                  <c:v>40315.041666666664</c:v>
                </c:pt>
                <c:pt idx="6348">
                  <c:v>40315.042361111111</c:v>
                </c:pt>
                <c:pt idx="6349">
                  <c:v>40315.043055555558</c:v>
                </c:pt>
                <c:pt idx="6350">
                  <c:v>40315.043749999997</c:v>
                </c:pt>
                <c:pt idx="6351">
                  <c:v>40315.044444444444</c:v>
                </c:pt>
                <c:pt idx="6352">
                  <c:v>40315.045138888891</c:v>
                </c:pt>
                <c:pt idx="6353">
                  <c:v>40315.04583333333</c:v>
                </c:pt>
                <c:pt idx="6354">
                  <c:v>40315.046527777777</c:v>
                </c:pt>
                <c:pt idx="6355">
                  <c:v>40315.047222222223</c:v>
                </c:pt>
                <c:pt idx="6356">
                  <c:v>40315.04791666667</c:v>
                </c:pt>
                <c:pt idx="6357">
                  <c:v>40315.048611111109</c:v>
                </c:pt>
                <c:pt idx="6358">
                  <c:v>40315.049305555556</c:v>
                </c:pt>
                <c:pt idx="6359">
                  <c:v>40315.050000000003</c:v>
                </c:pt>
                <c:pt idx="6360">
                  <c:v>40315.050694444442</c:v>
                </c:pt>
                <c:pt idx="6361">
                  <c:v>40315.051388888889</c:v>
                </c:pt>
                <c:pt idx="6362">
                  <c:v>40315.052083333336</c:v>
                </c:pt>
                <c:pt idx="6363">
                  <c:v>40315.052777777775</c:v>
                </c:pt>
                <c:pt idx="6364">
                  <c:v>40315.053472222222</c:v>
                </c:pt>
                <c:pt idx="6365">
                  <c:v>40315.054166666669</c:v>
                </c:pt>
                <c:pt idx="6366">
                  <c:v>40315.054861111108</c:v>
                </c:pt>
                <c:pt idx="6367">
                  <c:v>40315.055555555555</c:v>
                </c:pt>
                <c:pt idx="6368">
                  <c:v>40315.056250000001</c:v>
                </c:pt>
                <c:pt idx="6369">
                  <c:v>40315.056944444441</c:v>
                </c:pt>
                <c:pt idx="6370">
                  <c:v>40315.057638888888</c:v>
                </c:pt>
                <c:pt idx="6371">
                  <c:v>40315.058333333334</c:v>
                </c:pt>
                <c:pt idx="6372">
                  <c:v>40315.059027777781</c:v>
                </c:pt>
                <c:pt idx="6373">
                  <c:v>40315.05972222222</c:v>
                </c:pt>
                <c:pt idx="6374">
                  <c:v>40315.060416666667</c:v>
                </c:pt>
                <c:pt idx="6375">
                  <c:v>40315.061111111114</c:v>
                </c:pt>
                <c:pt idx="6376">
                  <c:v>40315.061805555553</c:v>
                </c:pt>
                <c:pt idx="6377">
                  <c:v>40315.0625</c:v>
                </c:pt>
                <c:pt idx="6378">
                  <c:v>40315.063194444447</c:v>
                </c:pt>
                <c:pt idx="6379">
                  <c:v>40315.063888888886</c:v>
                </c:pt>
                <c:pt idx="6380">
                  <c:v>40315.064583333333</c:v>
                </c:pt>
                <c:pt idx="6381">
                  <c:v>40315.06527777778</c:v>
                </c:pt>
                <c:pt idx="6382">
                  <c:v>40315.065972222219</c:v>
                </c:pt>
                <c:pt idx="6383">
                  <c:v>40315.066666666666</c:v>
                </c:pt>
                <c:pt idx="6384">
                  <c:v>40315.067361111112</c:v>
                </c:pt>
                <c:pt idx="6385">
                  <c:v>40315.068055555559</c:v>
                </c:pt>
                <c:pt idx="6386">
                  <c:v>40315.068749999999</c:v>
                </c:pt>
                <c:pt idx="6387">
                  <c:v>40315.069444444445</c:v>
                </c:pt>
                <c:pt idx="6388">
                  <c:v>40315.070138888892</c:v>
                </c:pt>
                <c:pt idx="6389">
                  <c:v>40315.070833333331</c:v>
                </c:pt>
                <c:pt idx="6390">
                  <c:v>40315.071527777778</c:v>
                </c:pt>
                <c:pt idx="6391">
                  <c:v>40315.072222222225</c:v>
                </c:pt>
                <c:pt idx="6392">
                  <c:v>40315.072916666664</c:v>
                </c:pt>
                <c:pt idx="6393">
                  <c:v>40315.073611111111</c:v>
                </c:pt>
                <c:pt idx="6394">
                  <c:v>40315.074305555558</c:v>
                </c:pt>
                <c:pt idx="6395">
                  <c:v>40315.074999999997</c:v>
                </c:pt>
                <c:pt idx="6396">
                  <c:v>40315.075694444444</c:v>
                </c:pt>
                <c:pt idx="6397">
                  <c:v>40315.076388888891</c:v>
                </c:pt>
                <c:pt idx="6398">
                  <c:v>40315.07708333333</c:v>
                </c:pt>
                <c:pt idx="6399">
                  <c:v>40315.077777777777</c:v>
                </c:pt>
                <c:pt idx="6400">
                  <c:v>40315.078472222223</c:v>
                </c:pt>
                <c:pt idx="6401">
                  <c:v>40315.07916666667</c:v>
                </c:pt>
                <c:pt idx="6402">
                  <c:v>40315.079861111109</c:v>
                </c:pt>
                <c:pt idx="6403">
                  <c:v>40315.080555555556</c:v>
                </c:pt>
                <c:pt idx="6404">
                  <c:v>40315.081250000003</c:v>
                </c:pt>
                <c:pt idx="6405">
                  <c:v>40315.081944444442</c:v>
                </c:pt>
                <c:pt idx="6406">
                  <c:v>40315.082638888889</c:v>
                </c:pt>
                <c:pt idx="6407">
                  <c:v>40315.083333333336</c:v>
                </c:pt>
                <c:pt idx="6408">
                  <c:v>40315.084027777775</c:v>
                </c:pt>
                <c:pt idx="6409">
                  <c:v>40315.084722222222</c:v>
                </c:pt>
                <c:pt idx="6410">
                  <c:v>40315.085416666669</c:v>
                </c:pt>
                <c:pt idx="6411">
                  <c:v>40315.086111111108</c:v>
                </c:pt>
                <c:pt idx="6412">
                  <c:v>40315.086805555555</c:v>
                </c:pt>
                <c:pt idx="6413">
                  <c:v>40315.087500000001</c:v>
                </c:pt>
                <c:pt idx="6414">
                  <c:v>40315.088194444441</c:v>
                </c:pt>
                <c:pt idx="6415">
                  <c:v>40315.088888888888</c:v>
                </c:pt>
                <c:pt idx="6416">
                  <c:v>40315.089583333334</c:v>
                </c:pt>
                <c:pt idx="6417">
                  <c:v>40315.090277777781</c:v>
                </c:pt>
                <c:pt idx="6418">
                  <c:v>40315.09097222222</c:v>
                </c:pt>
                <c:pt idx="6419">
                  <c:v>40315.091666666667</c:v>
                </c:pt>
                <c:pt idx="6420">
                  <c:v>40315.092361111114</c:v>
                </c:pt>
                <c:pt idx="6421">
                  <c:v>40315.093055555553</c:v>
                </c:pt>
                <c:pt idx="6422">
                  <c:v>40315.09375</c:v>
                </c:pt>
                <c:pt idx="6423">
                  <c:v>40315.094444444447</c:v>
                </c:pt>
                <c:pt idx="6424">
                  <c:v>40315.095138888886</c:v>
                </c:pt>
                <c:pt idx="6425">
                  <c:v>40315.095833333333</c:v>
                </c:pt>
                <c:pt idx="6426">
                  <c:v>40315.09652777778</c:v>
                </c:pt>
                <c:pt idx="6427">
                  <c:v>40315.097222222219</c:v>
                </c:pt>
                <c:pt idx="6428">
                  <c:v>40315.097916666666</c:v>
                </c:pt>
                <c:pt idx="6429">
                  <c:v>40315.098611111112</c:v>
                </c:pt>
                <c:pt idx="6430">
                  <c:v>40315.099305555559</c:v>
                </c:pt>
                <c:pt idx="6431">
                  <c:v>40315.1</c:v>
                </c:pt>
                <c:pt idx="6432">
                  <c:v>40315.100694444445</c:v>
                </c:pt>
                <c:pt idx="6433">
                  <c:v>40315.101388888892</c:v>
                </c:pt>
                <c:pt idx="6434">
                  <c:v>40315.102083333331</c:v>
                </c:pt>
                <c:pt idx="6435">
                  <c:v>40315.102777777778</c:v>
                </c:pt>
                <c:pt idx="6436">
                  <c:v>40315.103472222225</c:v>
                </c:pt>
                <c:pt idx="6437">
                  <c:v>40315.104166666664</c:v>
                </c:pt>
                <c:pt idx="6438">
                  <c:v>40315.104861111111</c:v>
                </c:pt>
                <c:pt idx="6439">
                  <c:v>40315.105555555558</c:v>
                </c:pt>
                <c:pt idx="6440">
                  <c:v>40315.106249999997</c:v>
                </c:pt>
                <c:pt idx="6441">
                  <c:v>40315.106944444444</c:v>
                </c:pt>
                <c:pt idx="6442">
                  <c:v>40315.107638888891</c:v>
                </c:pt>
                <c:pt idx="6443">
                  <c:v>40315.10833333333</c:v>
                </c:pt>
                <c:pt idx="6444">
                  <c:v>40315.109027777777</c:v>
                </c:pt>
                <c:pt idx="6445">
                  <c:v>40315.109722222223</c:v>
                </c:pt>
                <c:pt idx="6446">
                  <c:v>40315.11041666667</c:v>
                </c:pt>
                <c:pt idx="6447">
                  <c:v>40315.111111111109</c:v>
                </c:pt>
                <c:pt idx="6448">
                  <c:v>40315.111805555556</c:v>
                </c:pt>
                <c:pt idx="6449">
                  <c:v>40315.112500000003</c:v>
                </c:pt>
                <c:pt idx="6450">
                  <c:v>40315.113194444442</c:v>
                </c:pt>
                <c:pt idx="6451">
                  <c:v>40315.113888888889</c:v>
                </c:pt>
                <c:pt idx="6452">
                  <c:v>40315.114583333336</c:v>
                </c:pt>
                <c:pt idx="6453">
                  <c:v>40315.115277777775</c:v>
                </c:pt>
                <c:pt idx="6454">
                  <c:v>40315.115972222222</c:v>
                </c:pt>
                <c:pt idx="6455">
                  <c:v>40315.116666666669</c:v>
                </c:pt>
                <c:pt idx="6456">
                  <c:v>40315.117361111108</c:v>
                </c:pt>
                <c:pt idx="6457">
                  <c:v>40315.118055555555</c:v>
                </c:pt>
                <c:pt idx="6458">
                  <c:v>40315.118750000001</c:v>
                </c:pt>
                <c:pt idx="6459">
                  <c:v>40315.119444444441</c:v>
                </c:pt>
                <c:pt idx="6460">
                  <c:v>40315.120138888888</c:v>
                </c:pt>
                <c:pt idx="6461">
                  <c:v>40315.120833333334</c:v>
                </c:pt>
                <c:pt idx="6462">
                  <c:v>40315.121527777781</c:v>
                </c:pt>
                <c:pt idx="6463">
                  <c:v>40315.12222222222</c:v>
                </c:pt>
                <c:pt idx="6464">
                  <c:v>40315.122916666667</c:v>
                </c:pt>
                <c:pt idx="6465">
                  <c:v>40315.123611111114</c:v>
                </c:pt>
                <c:pt idx="6466">
                  <c:v>40315.124305555553</c:v>
                </c:pt>
                <c:pt idx="6467">
                  <c:v>40315.125</c:v>
                </c:pt>
                <c:pt idx="6468">
                  <c:v>40315.125694444447</c:v>
                </c:pt>
                <c:pt idx="6469">
                  <c:v>40315.126388888886</c:v>
                </c:pt>
                <c:pt idx="6470">
                  <c:v>40315.127083333333</c:v>
                </c:pt>
                <c:pt idx="6471">
                  <c:v>40315.12777777778</c:v>
                </c:pt>
                <c:pt idx="6472">
                  <c:v>40315.128472222219</c:v>
                </c:pt>
                <c:pt idx="6473">
                  <c:v>40315.129166666666</c:v>
                </c:pt>
                <c:pt idx="6474">
                  <c:v>40315.129861111112</c:v>
                </c:pt>
                <c:pt idx="6475">
                  <c:v>40315.130555555559</c:v>
                </c:pt>
                <c:pt idx="6476">
                  <c:v>40315.131249999999</c:v>
                </c:pt>
                <c:pt idx="6477">
                  <c:v>40315.131944444445</c:v>
                </c:pt>
                <c:pt idx="6478">
                  <c:v>40315.132638888892</c:v>
                </c:pt>
                <c:pt idx="6479">
                  <c:v>40315.133333333331</c:v>
                </c:pt>
                <c:pt idx="6480">
                  <c:v>40315.134027777778</c:v>
                </c:pt>
                <c:pt idx="6481">
                  <c:v>40315.134722222225</c:v>
                </c:pt>
                <c:pt idx="6482">
                  <c:v>40315.135416666664</c:v>
                </c:pt>
                <c:pt idx="6483">
                  <c:v>40315.136111111111</c:v>
                </c:pt>
                <c:pt idx="6484">
                  <c:v>40315.136805555558</c:v>
                </c:pt>
                <c:pt idx="6485">
                  <c:v>40315.137499999997</c:v>
                </c:pt>
                <c:pt idx="6486">
                  <c:v>40315.138194444444</c:v>
                </c:pt>
                <c:pt idx="6487">
                  <c:v>40315.138888888891</c:v>
                </c:pt>
                <c:pt idx="6488">
                  <c:v>40315.13958333333</c:v>
                </c:pt>
                <c:pt idx="6489">
                  <c:v>40315.140277777777</c:v>
                </c:pt>
                <c:pt idx="6490">
                  <c:v>40315.140972222223</c:v>
                </c:pt>
                <c:pt idx="6491">
                  <c:v>40315.14166666667</c:v>
                </c:pt>
                <c:pt idx="6492">
                  <c:v>40315.142361111109</c:v>
                </c:pt>
                <c:pt idx="6493">
                  <c:v>40315.143055555556</c:v>
                </c:pt>
                <c:pt idx="6494">
                  <c:v>40315.143750000003</c:v>
                </c:pt>
                <c:pt idx="6495">
                  <c:v>40315.144444444442</c:v>
                </c:pt>
                <c:pt idx="6496">
                  <c:v>40315.145138888889</c:v>
                </c:pt>
                <c:pt idx="6497">
                  <c:v>40315.145833333336</c:v>
                </c:pt>
                <c:pt idx="6498">
                  <c:v>40315.146527777775</c:v>
                </c:pt>
                <c:pt idx="6499">
                  <c:v>40315.147222222222</c:v>
                </c:pt>
                <c:pt idx="6500">
                  <c:v>40315.147916666669</c:v>
                </c:pt>
                <c:pt idx="6501">
                  <c:v>40315.148611111108</c:v>
                </c:pt>
                <c:pt idx="6502">
                  <c:v>40315.149305555555</c:v>
                </c:pt>
                <c:pt idx="6503">
                  <c:v>40315.15</c:v>
                </c:pt>
                <c:pt idx="6504">
                  <c:v>40315.150694444441</c:v>
                </c:pt>
                <c:pt idx="6505">
                  <c:v>40315.151388888888</c:v>
                </c:pt>
                <c:pt idx="6506">
                  <c:v>40315.152083333334</c:v>
                </c:pt>
                <c:pt idx="6507">
                  <c:v>40315.152777777781</c:v>
                </c:pt>
                <c:pt idx="6508">
                  <c:v>40315.15347222222</c:v>
                </c:pt>
                <c:pt idx="6509">
                  <c:v>40315.154166666667</c:v>
                </c:pt>
                <c:pt idx="6510">
                  <c:v>40315.154861111114</c:v>
                </c:pt>
                <c:pt idx="6511">
                  <c:v>40315.155555555553</c:v>
                </c:pt>
                <c:pt idx="6512">
                  <c:v>40315.15625</c:v>
                </c:pt>
                <c:pt idx="6513">
                  <c:v>40315.156944444447</c:v>
                </c:pt>
                <c:pt idx="6514">
                  <c:v>40315.157638888886</c:v>
                </c:pt>
                <c:pt idx="6515">
                  <c:v>40315.158333333333</c:v>
                </c:pt>
                <c:pt idx="6516">
                  <c:v>40315.15902777778</c:v>
                </c:pt>
                <c:pt idx="6517">
                  <c:v>40315.159722222219</c:v>
                </c:pt>
                <c:pt idx="6518">
                  <c:v>40315.160416666666</c:v>
                </c:pt>
                <c:pt idx="6519">
                  <c:v>40315.161111111112</c:v>
                </c:pt>
                <c:pt idx="6520">
                  <c:v>40315.161805555559</c:v>
                </c:pt>
                <c:pt idx="6521">
                  <c:v>40315.162499999999</c:v>
                </c:pt>
                <c:pt idx="6522">
                  <c:v>40315.163194444445</c:v>
                </c:pt>
                <c:pt idx="6523">
                  <c:v>40315.163888888892</c:v>
                </c:pt>
                <c:pt idx="6524">
                  <c:v>40315.164583333331</c:v>
                </c:pt>
                <c:pt idx="6525">
                  <c:v>40315.165277777778</c:v>
                </c:pt>
                <c:pt idx="6526">
                  <c:v>40315.165972222225</c:v>
                </c:pt>
                <c:pt idx="6527">
                  <c:v>40315.166666666664</c:v>
                </c:pt>
                <c:pt idx="6528">
                  <c:v>40315.167361111111</c:v>
                </c:pt>
                <c:pt idx="6529">
                  <c:v>40315.168055555558</c:v>
                </c:pt>
                <c:pt idx="6530">
                  <c:v>40315.168749999997</c:v>
                </c:pt>
                <c:pt idx="6531">
                  <c:v>40315.169444444444</c:v>
                </c:pt>
                <c:pt idx="6532">
                  <c:v>40315.170138888891</c:v>
                </c:pt>
                <c:pt idx="6533">
                  <c:v>40315.17083333333</c:v>
                </c:pt>
                <c:pt idx="6534">
                  <c:v>40315.171527777777</c:v>
                </c:pt>
                <c:pt idx="6535">
                  <c:v>40315.172222222223</c:v>
                </c:pt>
                <c:pt idx="6536">
                  <c:v>40315.17291666667</c:v>
                </c:pt>
                <c:pt idx="6537">
                  <c:v>40315.173611111109</c:v>
                </c:pt>
                <c:pt idx="6538">
                  <c:v>40315.174305555556</c:v>
                </c:pt>
                <c:pt idx="6539">
                  <c:v>40315.175000000003</c:v>
                </c:pt>
                <c:pt idx="6540">
                  <c:v>40315.175694444442</c:v>
                </c:pt>
                <c:pt idx="6541">
                  <c:v>40315.176388888889</c:v>
                </c:pt>
                <c:pt idx="6542">
                  <c:v>40315.177083333336</c:v>
                </c:pt>
                <c:pt idx="6543">
                  <c:v>40315.177777777775</c:v>
                </c:pt>
                <c:pt idx="6544">
                  <c:v>40315.178472222222</c:v>
                </c:pt>
                <c:pt idx="6545">
                  <c:v>40315.179166666669</c:v>
                </c:pt>
                <c:pt idx="6546">
                  <c:v>40315.179861111108</c:v>
                </c:pt>
                <c:pt idx="6547">
                  <c:v>40315.180555555555</c:v>
                </c:pt>
                <c:pt idx="6548">
                  <c:v>40315.181250000001</c:v>
                </c:pt>
                <c:pt idx="6549">
                  <c:v>40315.181944444441</c:v>
                </c:pt>
                <c:pt idx="6550">
                  <c:v>40315.182638888888</c:v>
                </c:pt>
                <c:pt idx="6551">
                  <c:v>40315.183333333334</c:v>
                </c:pt>
                <c:pt idx="6552">
                  <c:v>40315.184027777781</c:v>
                </c:pt>
                <c:pt idx="6553">
                  <c:v>40315.18472222222</c:v>
                </c:pt>
                <c:pt idx="6554">
                  <c:v>40315.185416666667</c:v>
                </c:pt>
                <c:pt idx="6555">
                  <c:v>40315.186111111114</c:v>
                </c:pt>
                <c:pt idx="6556">
                  <c:v>40315.186805555553</c:v>
                </c:pt>
                <c:pt idx="6557">
                  <c:v>40315.1875</c:v>
                </c:pt>
                <c:pt idx="6558">
                  <c:v>40315.188194444447</c:v>
                </c:pt>
                <c:pt idx="6559">
                  <c:v>40315.188888888886</c:v>
                </c:pt>
                <c:pt idx="6560">
                  <c:v>40315.189583333333</c:v>
                </c:pt>
                <c:pt idx="6561">
                  <c:v>40315.19027777778</c:v>
                </c:pt>
                <c:pt idx="6562">
                  <c:v>40315.190972222219</c:v>
                </c:pt>
                <c:pt idx="6563">
                  <c:v>40315.191666666666</c:v>
                </c:pt>
                <c:pt idx="6564">
                  <c:v>40315.192361111112</c:v>
                </c:pt>
                <c:pt idx="6565">
                  <c:v>40315.193055555559</c:v>
                </c:pt>
                <c:pt idx="6566">
                  <c:v>40315.193749999999</c:v>
                </c:pt>
                <c:pt idx="6567">
                  <c:v>40315.194444444445</c:v>
                </c:pt>
                <c:pt idx="6568">
                  <c:v>40315.195138888892</c:v>
                </c:pt>
                <c:pt idx="6569">
                  <c:v>40315.195833333331</c:v>
                </c:pt>
                <c:pt idx="6570">
                  <c:v>40315.196527777778</c:v>
                </c:pt>
                <c:pt idx="6571">
                  <c:v>40315.197222222225</c:v>
                </c:pt>
                <c:pt idx="6572">
                  <c:v>40315.197916666664</c:v>
                </c:pt>
                <c:pt idx="6573">
                  <c:v>40315.198611111111</c:v>
                </c:pt>
                <c:pt idx="6574">
                  <c:v>40315.199305555558</c:v>
                </c:pt>
                <c:pt idx="6575">
                  <c:v>40315.199999999997</c:v>
                </c:pt>
                <c:pt idx="6576">
                  <c:v>40315.200694444444</c:v>
                </c:pt>
                <c:pt idx="6577">
                  <c:v>40315.201388888891</c:v>
                </c:pt>
                <c:pt idx="6578">
                  <c:v>40315.20208333333</c:v>
                </c:pt>
                <c:pt idx="6579">
                  <c:v>40315.202777777777</c:v>
                </c:pt>
                <c:pt idx="6580">
                  <c:v>40315.203472222223</c:v>
                </c:pt>
                <c:pt idx="6581">
                  <c:v>40315.20416666667</c:v>
                </c:pt>
                <c:pt idx="6582">
                  <c:v>40315.204861111109</c:v>
                </c:pt>
                <c:pt idx="6583">
                  <c:v>40315.205555555556</c:v>
                </c:pt>
                <c:pt idx="6584">
                  <c:v>40315.206250000003</c:v>
                </c:pt>
                <c:pt idx="6585">
                  <c:v>40315.206944444442</c:v>
                </c:pt>
                <c:pt idx="6586">
                  <c:v>40315.207638888889</c:v>
                </c:pt>
                <c:pt idx="6587">
                  <c:v>40315.208333333336</c:v>
                </c:pt>
                <c:pt idx="6588">
                  <c:v>40315.209027777775</c:v>
                </c:pt>
                <c:pt idx="6589">
                  <c:v>40315.209722222222</c:v>
                </c:pt>
                <c:pt idx="6590">
                  <c:v>40315.210416666669</c:v>
                </c:pt>
                <c:pt idx="6591">
                  <c:v>40315.211111111108</c:v>
                </c:pt>
                <c:pt idx="6592">
                  <c:v>40315.211805555555</c:v>
                </c:pt>
                <c:pt idx="6593">
                  <c:v>40315.212500000001</c:v>
                </c:pt>
                <c:pt idx="6594">
                  <c:v>40315.213194444441</c:v>
                </c:pt>
                <c:pt idx="6595">
                  <c:v>40315.213888888888</c:v>
                </c:pt>
                <c:pt idx="6596">
                  <c:v>40315.214583333334</c:v>
                </c:pt>
                <c:pt idx="6597">
                  <c:v>40315.215277777781</c:v>
                </c:pt>
                <c:pt idx="6598">
                  <c:v>40315.21597222222</c:v>
                </c:pt>
                <c:pt idx="6599">
                  <c:v>40315.216666666667</c:v>
                </c:pt>
                <c:pt idx="6600">
                  <c:v>40315.217361111114</c:v>
                </c:pt>
                <c:pt idx="6601">
                  <c:v>40315.218055555553</c:v>
                </c:pt>
                <c:pt idx="6602">
                  <c:v>40315.21875</c:v>
                </c:pt>
                <c:pt idx="6603">
                  <c:v>40315.219444444447</c:v>
                </c:pt>
                <c:pt idx="6604">
                  <c:v>40315.220138888886</c:v>
                </c:pt>
                <c:pt idx="6605">
                  <c:v>40315.220833333333</c:v>
                </c:pt>
                <c:pt idx="6606">
                  <c:v>40315.22152777778</c:v>
                </c:pt>
                <c:pt idx="6607">
                  <c:v>40315.222222222219</c:v>
                </c:pt>
                <c:pt idx="6608">
                  <c:v>40315.222916666666</c:v>
                </c:pt>
                <c:pt idx="6609">
                  <c:v>40315.223611111112</c:v>
                </c:pt>
                <c:pt idx="6610">
                  <c:v>40315.224305555559</c:v>
                </c:pt>
                <c:pt idx="6611">
                  <c:v>40315.224999999999</c:v>
                </c:pt>
                <c:pt idx="6612">
                  <c:v>40315.225694444445</c:v>
                </c:pt>
                <c:pt idx="6613">
                  <c:v>40315.226388888892</c:v>
                </c:pt>
                <c:pt idx="6614">
                  <c:v>40315.227083333331</c:v>
                </c:pt>
                <c:pt idx="6615">
                  <c:v>40315.227777777778</c:v>
                </c:pt>
                <c:pt idx="6616">
                  <c:v>40315.228472222225</c:v>
                </c:pt>
                <c:pt idx="6617">
                  <c:v>40315.229166666664</c:v>
                </c:pt>
                <c:pt idx="6618">
                  <c:v>40315.229861111111</c:v>
                </c:pt>
                <c:pt idx="6619">
                  <c:v>40315.230555555558</c:v>
                </c:pt>
                <c:pt idx="6620">
                  <c:v>40315.231249999997</c:v>
                </c:pt>
                <c:pt idx="6621">
                  <c:v>40315.231944444444</c:v>
                </c:pt>
                <c:pt idx="6622">
                  <c:v>40315.232638888891</c:v>
                </c:pt>
                <c:pt idx="6623">
                  <c:v>40315.23333333333</c:v>
                </c:pt>
                <c:pt idx="6624">
                  <c:v>40315.234027777777</c:v>
                </c:pt>
                <c:pt idx="6625">
                  <c:v>40315.234722222223</c:v>
                </c:pt>
                <c:pt idx="6626">
                  <c:v>40315.23541666667</c:v>
                </c:pt>
                <c:pt idx="6627">
                  <c:v>40315.236111111109</c:v>
                </c:pt>
                <c:pt idx="6628">
                  <c:v>40315.236805555556</c:v>
                </c:pt>
                <c:pt idx="6629">
                  <c:v>40315.237500000003</c:v>
                </c:pt>
                <c:pt idx="6630">
                  <c:v>40315.238194444442</c:v>
                </c:pt>
                <c:pt idx="6631">
                  <c:v>40315.238888888889</c:v>
                </c:pt>
                <c:pt idx="6632">
                  <c:v>40315.239583333336</c:v>
                </c:pt>
                <c:pt idx="6633">
                  <c:v>40315.240277777775</c:v>
                </c:pt>
                <c:pt idx="6634">
                  <c:v>40315.240972222222</c:v>
                </c:pt>
                <c:pt idx="6635">
                  <c:v>40315.241666666669</c:v>
                </c:pt>
                <c:pt idx="6636">
                  <c:v>40315.242361111108</c:v>
                </c:pt>
                <c:pt idx="6637">
                  <c:v>40315.243055555555</c:v>
                </c:pt>
                <c:pt idx="6638">
                  <c:v>40315.243750000001</c:v>
                </c:pt>
                <c:pt idx="6639">
                  <c:v>40315.244444444441</c:v>
                </c:pt>
                <c:pt idx="6640">
                  <c:v>40315.245138888888</c:v>
                </c:pt>
                <c:pt idx="6641">
                  <c:v>40315.245833333334</c:v>
                </c:pt>
                <c:pt idx="6642">
                  <c:v>40315.246527777781</c:v>
                </c:pt>
                <c:pt idx="6643">
                  <c:v>40315.24722222222</c:v>
                </c:pt>
                <c:pt idx="6644">
                  <c:v>40315.247916666667</c:v>
                </c:pt>
                <c:pt idx="6645">
                  <c:v>40315.248611111114</c:v>
                </c:pt>
                <c:pt idx="6646">
                  <c:v>40315.249305555553</c:v>
                </c:pt>
                <c:pt idx="6647">
                  <c:v>40315.25</c:v>
                </c:pt>
                <c:pt idx="6648">
                  <c:v>40315.250694444447</c:v>
                </c:pt>
                <c:pt idx="6649">
                  <c:v>40315.251388888886</c:v>
                </c:pt>
                <c:pt idx="6650">
                  <c:v>40315.252083333333</c:v>
                </c:pt>
                <c:pt idx="6651">
                  <c:v>40315.25277777778</c:v>
                </c:pt>
                <c:pt idx="6652">
                  <c:v>40315.253472222219</c:v>
                </c:pt>
                <c:pt idx="6653">
                  <c:v>40315.254166666666</c:v>
                </c:pt>
                <c:pt idx="6654">
                  <c:v>40315.254861111112</c:v>
                </c:pt>
                <c:pt idx="6655">
                  <c:v>40315.255555555559</c:v>
                </c:pt>
                <c:pt idx="6656">
                  <c:v>40315.256249999999</c:v>
                </c:pt>
                <c:pt idx="6657">
                  <c:v>40315.256944444445</c:v>
                </c:pt>
                <c:pt idx="6658">
                  <c:v>40315.257638888892</c:v>
                </c:pt>
                <c:pt idx="6659">
                  <c:v>40315.258333333331</c:v>
                </c:pt>
                <c:pt idx="6660">
                  <c:v>40315.259027777778</c:v>
                </c:pt>
                <c:pt idx="6661">
                  <c:v>40315.259722222225</c:v>
                </c:pt>
                <c:pt idx="6662">
                  <c:v>40315.260416666664</c:v>
                </c:pt>
                <c:pt idx="6663">
                  <c:v>40315.261111111111</c:v>
                </c:pt>
                <c:pt idx="6664">
                  <c:v>40315.261805555558</c:v>
                </c:pt>
                <c:pt idx="6665">
                  <c:v>40315.262499999997</c:v>
                </c:pt>
                <c:pt idx="6666">
                  <c:v>40315.263194444444</c:v>
                </c:pt>
                <c:pt idx="6667">
                  <c:v>40315.263888888891</c:v>
                </c:pt>
                <c:pt idx="6668">
                  <c:v>40315.26458333333</c:v>
                </c:pt>
                <c:pt idx="6669">
                  <c:v>40315.265277777777</c:v>
                </c:pt>
                <c:pt idx="6670">
                  <c:v>40315.265972222223</c:v>
                </c:pt>
                <c:pt idx="6671">
                  <c:v>40315.26666666667</c:v>
                </c:pt>
                <c:pt idx="6672">
                  <c:v>40315.267361111109</c:v>
                </c:pt>
                <c:pt idx="6673">
                  <c:v>40315.268055555556</c:v>
                </c:pt>
                <c:pt idx="6674">
                  <c:v>40315.268750000003</c:v>
                </c:pt>
                <c:pt idx="6675">
                  <c:v>40315.269444444442</c:v>
                </c:pt>
                <c:pt idx="6676">
                  <c:v>40315.270138888889</c:v>
                </c:pt>
                <c:pt idx="6677">
                  <c:v>40315.270833333336</c:v>
                </c:pt>
                <c:pt idx="6678">
                  <c:v>40315.271527777775</c:v>
                </c:pt>
                <c:pt idx="6679">
                  <c:v>40315.272222222222</c:v>
                </c:pt>
                <c:pt idx="6680">
                  <c:v>40315.272916666669</c:v>
                </c:pt>
                <c:pt idx="6681">
                  <c:v>40315.273611111108</c:v>
                </c:pt>
                <c:pt idx="6682">
                  <c:v>40315.274305555555</c:v>
                </c:pt>
                <c:pt idx="6683">
                  <c:v>40315.275000000001</c:v>
                </c:pt>
                <c:pt idx="6684">
                  <c:v>40315.275694444441</c:v>
                </c:pt>
                <c:pt idx="6685">
                  <c:v>40315.276388888888</c:v>
                </c:pt>
                <c:pt idx="6686">
                  <c:v>40315.277083333334</c:v>
                </c:pt>
                <c:pt idx="6687">
                  <c:v>40315.277777777781</c:v>
                </c:pt>
                <c:pt idx="6688">
                  <c:v>40315.27847222222</c:v>
                </c:pt>
                <c:pt idx="6689">
                  <c:v>40315.279166666667</c:v>
                </c:pt>
                <c:pt idx="6690">
                  <c:v>40315.279861111114</c:v>
                </c:pt>
                <c:pt idx="6691">
                  <c:v>40315.280555555553</c:v>
                </c:pt>
                <c:pt idx="6692">
                  <c:v>40315.28125</c:v>
                </c:pt>
                <c:pt idx="6693">
                  <c:v>40315.281944444447</c:v>
                </c:pt>
                <c:pt idx="6694">
                  <c:v>40315.282638888886</c:v>
                </c:pt>
                <c:pt idx="6695">
                  <c:v>40315.283333333333</c:v>
                </c:pt>
                <c:pt idx="6696">
                  <c:v>40315.28402777778</c:v>
                </c:pt>
                <c:pt idx="6697">
                  <c:v>40315.284722222219</c:v>
                </c:pt>
                <c:pt idx="6698">
                  <c:v>40315.285416666666</c:v>
                </c:pt>
                <c:pt idx="6699">
                  <c:v>40315.286111111112</c:v>
                </c:pt>
                <c:pt idx="6700">
                  <c:v>40315.286805555559</c:v>
                </c:pt>
                <c:pt idx="6701">
                  <c:v>40315.287499999999</c:v>
                </c:pt>
                <c:pt idx="6702">
                  <c:v>40315.288194444445</c:v>
                </c:pt>
                <c:pt idx="6703">
                  <c:v>40315.288888888892</c:v>
                </c:pt>
                <c:pt idx="6704">
                  <c:v>40315.289583333331</c:v>
                </c:pt>
                <c:pt idx="6705">
                  <c:v>40315.290277777778</c:v>
                </c:pt>
                <c:pt idx="6706">
                  <c:v>40315.290972222225</c:v>
                </c:pt>
                <c:pt idx="6707">
                  <c:v>40315.291666666664</c:v>
                </c:pt>
                <c:pt idx="6708">
                  <c:v>40315.292361111111</c:v>
                </c:pt>
                <c:pt idx="6709">
                  <c:v>40315.293055555558</c:v>
                </c:pt>
                <c:pt idx="6710">
                  <c:v>40315.293749999997</c:v>
                </c:pt>
                <c:pt idx="6711">
                  <c:v>40315.294444444444</c:v>
                </c:pt>
                <c:pt idx="6712">
                  <c:v>40315.295138888891</c:v>
                </c:pt>
                <c:pt idx="6713">
                  <c:v>40315.29583333333</c:v>
                </c:pt>
                <c:pt idx="6714">
                  <c:v>40315.296527777777</c:v>
                </c:pt>
                <c:pt idx="6715">
                  <c:v>40315.297222222223</c:v>
                </c:pt>
                <c:pt idx="6716">
                  <c:v>40315.29791666667</c:v>
                </c:pt>
                <c:pt idx="6717">
                  <c:v>40315.298611111109</c:v>
                </c:pt>
                <c:pt idx="6718">
                  <c:v>40315.299305555556</c:v>
                </c:pt>
                <c:pt idx="6719">
                  <c:v>40315.300000000003</c:v>
                </c:pt>
                <c:pt idx="6720">
                  <c:v>40315.300694444442</c:v>
                </c:pt>
                <c:pt idx="6721">
                  <c:v>40315.301388888889</c:v>
                </c:pt>
                <c:pt idx="6722">
                  <c:v>40315.302083333336</c:v>
                </c:pt>
                <c:pt idx="6723">
                  <c:v>40315.302777777775</c:v>
                </c:pt>
                <c:pt idx="6724">
                  <c:v>40315.303472222222</c:v>
                </c:pt>
                <c:pt idx="6725">
                  <c:v>40315.304166666669</c:v>
                </c:pt>
                <c:pt idx="6726">
                  <c:v>40315.304861111108</c:v>
                </c:pt>
                <c:pt idx="6727">
                  <c:v>40315.305555555555</c:v>
                </c:pt>
                <c:pt idx="6728">
                  <c:v>40315.306250000001</c:v>
                </c:pt>
                <c:pt idx="6729">
                  <c:v>40315.306944444441</c:v>
                </c:pt>
                <c:pt idx="6730">
                  <c:v>40315.307638888888</c:v>
                </c:pt>
                <c:pt idx="6731">
                  <c:v>40315.308333333334</c:v>
                </c:pt>
                <c:pt idx="6732">
                  <c:v>40315.309027777781</c:v>
                </c:pt>
                <c:pt idx="6733">
                  <c:v>40315.30972222222</c:v>
                </c:pt>
                <c:pt idx="6734">
                  <c:v>40315.310416666667</c:v>
                </c:pt>
                <c:pt idx="6735">
                  <c:v>40315.311111111114</c:v>
                </c:pt>
                <c:pt idx="6736">
                  <c:v>40315.311805555553</c:v>
                </c:pt>
                <c:pt idx="6737">
                  <c:v>40315.3125</c:v>
                </c:pt>
                <c:pt idx="6738">
                  <c:v>40315.313194444447</c:v>
                </c:pt>
                <c:pt idx="6739">
                  <c:v>40315.313888888886</c:v>
                </c:pt>
                <c:pt idx="6740">
                  <c:v>40315.314583333333</c:v>
                </c:pt>
                <c:pt idx="6741">
                  <c:v>40315.31527777778</c:v>
                </c:pt>
                <c:pt idx="6742">
                  <c:v>40315.315972222219</c:v>
                </c:pt>
                <c:pt idx="6743">
                  <c:v>40315.316666666666</c:v>
                </c:pt>
                <c:pt idx="6744">
                  <c:v>40315.317361111112</c:v>
                </c:pt>
                <c:pt idx="6745">
                  <c:v>40315.318055555559</c:v>
                </c:pt>
                <c:pt idx="6746">
                  <c:v>40315.318749999999</c:v>
                </c:pt>
                <c:pt idx="6747">
                  <c:v>40315.319444444445</c:v>
                </c:pt>
                <c:pt idx="6748">
                  <c:v>40315.320138888892</c:v>
                </c:pt>
                <c:pt idx="6749">
                  <c:v>40315.320833333331</c:v>
                </c:pt>
                <c:pt idx="6750">
                  <c:v>40315.321527777778</c:v>
                </c:pt>
                <c:pt idx="6751">
                  <c:v>40315.322222222225</c:v>
                </c:pt>
                <c:pt idx="6752">
                  <c:v>40315.322916666664</c:v>
                </c:pt>
                <c:pt idx="6753">
                  <c:v>40315.323611111111</c:v>
                </c:pt>
                <c:pt idx="6754">
                  <c:v>40315.324305555558</c:v>
                </c:pt>
                <c:pt idx="6755">
                  <c:v>40315.324999999997</c:v>
                </c:pt>
                <c:pt idx="6756">
                  <c:v>40315.325694444444</c:v>
                </c:pt>
                <c:pt idx="6757">
                  <c:v>40315.326388888891</c:v>
                </c:pt>
                <c:pt idx="6758">
                  <c:v>40315.32708333333</c:v>
                </c:pt>
                <c:pt idx="6759">
                  <c:v>40315.327777777777</c:v>
                </c:pt>
                <c:pt idx="6760">
                  <c:v>40315.328472222223</c:v>
                </c:pt>
                <c:pt idx="6761">
                  <c:v>40315.32916666667</c:v>
                </c:pt>
                <c:pt idx="6762">
                  <c:v>40315.329861111109</c:v>
                </c:pt>
                <c:pt idx="6763">
                  <c:v>40315.330555555556</c:v>
                </c:pt>
                <c:pt idx="6764">
                  <c:v>40315.331250000003</c:v>
                </c:pt>
                <c:pt idx="6765">
                  <c:v>40315.331944444442</c:v>
                </c:pt>
                <c:pt idx="6766">
                  <c:v>40315.332638888889</c:v>
                </c:pt>
                <c:pt idx="6767">
                  <c:v>40315.333333333336</c:v>
                </c:pt>
                <c:pt idx="6768">
                  <c:v>40315.334027777775</c:v>
                </c:pt>
                <c:pt idx="6769">
                  <c:v>40315.334722222222</c:v>
                </c:pt>
                <c:pt idx="6770">
                  <c:v>40315.335416666669</c:v>
                </c:pt>
                <c:pt idx="6771">
                  <c:v>40315.336111111108</c:v>
                </c:pt>
                <c:pt idx="6772">
                  <c:v>40315.336805555555</c:v>
                </c:pt>
                <c:pt idx="6773">
                  <c:v>40315.337500000001</c:v>
                </c:pt>
                <c:pt idx="6774">
                  <c:v>40315.338194444441</c:v>
                </c:pt>
                <c:pt idx="6775">
                  <c:v>40315.338888888888</c:v>
                </c:pt>
                <c:pt idx="6776">
                  <c:v>40315.339583333334</c:v>
                </c:pt>
                <c:pt idx="6777">
                  <c:v>40315.340277777781</c:v>
                </c:pt>
                <c:pt idx="6778">
                  <c:v>40315.34097222222</c:v>
                </c:pt>
                <c:pt idx="6779">
                  <c:v>40315.341666666667</c:v>
                </c:pt>
                <c:pt idx="6780">
                  <c:v>40315.342361111114</c:v>
                </c:pt>
                <c:pt idx="6781">
                  <c:v>40315.343055555553</c:v>
                </c:pt>
                <c:pt idx="6782">
                  <c:v>40315.34375</c:v>
                </c:pt>
                <c:pt idx="6783">
                  <c:v>40315.344444444447</c:v>
                </c:pt>
                <c:pt idx="6784">
                  <c:v>40315.345138888886</c:v>
                </c:pt>
                <c:pt idx="6785">
                  <c:v>40315.345833333333</c:v>
                </c:pt>
                <c:pt idx="6786">
                  <c:v>40315.34652777778</c:v>
                </c:pt>
                <c:pt idx="6787">
                  <c:v>40315.347222222219</c:v>
                </c:pt>
                <c:pt idx="6788">
                  <c:v>40315.347916666666</c:v>
                </c:pt>
                <c:pt idx="6789">
                  <c:v>40315.348611111112</c:v>
                </c:pt>
                <c:pt idx="6790">
                  <c:v>40315.349305555559</c:v>
                </c:pt>
                <c:pt idx="6791">
                  <c:v>40315.35</c:v>
                </c:pt>
                <c:pt idx="6792">
                  <c:v>40315.350694444445</c:v>
                </c:pt>
                <c:pt idx="6793">
                  <c:v>40315.351388888892</c:v>
                </c:pt>
                <c:pt idx="6794">
                  <c:v>40315.352083333331</c:v>
                </c:pt>
                <c:pt idx="6795">
                  <c:v>40315.352777777778</c:v>
                </c:pt>
                <c:pt idx="6796">
                  <c:v>40315.353472222225</c:v>
                </c:pt>
                <c:pt idx="6797">
                  <c:v>40315.354166666664</c:v>
                </c:pt>
                <c:pt idx="6798">
                  <c:v>40315.354861111111</c:v>
                </c:pt>
                <c:pt idx="6799">
                  <c:v>40315.355555555558</c:v>
                </c:pt>
                <c:pt idx="6800">
                  <c:v>40315.356249999997</c:v>
                </c:pt>
                <c:pt idx="6801">
                  <c:v>40315.356944444444</c:v>
                </c:pt>
                <c:pt idx="6802">
                  <c:v>40315.357638888891</c:v>
                </c:pt>
                <c:pt idx="6803">
                  <c:v>40315.35833333333</c:v>
                </c:pt>
                <c:pt idx="6804">
                  <c:v>40315.359027777777</c:v>
                </c:pt>
                <c:pt idx="6805">
                  <c:v>40315.359722222223</c:v>
                </c:pt>
                <c:pt idx="6806">
                  <c:v>40315.36041666667</c:v>
                </c:pt>
                <c:pt idx="6807">
                  <c:v>40315.361111111109</c:v>
                </c:pt>
                <c:pt idx="6808">
                  <c:v>40315.361805555556</c:v>
                </c:pt>
                <c:pt idx="6809">
                  <c:v>40315.362500000003</c:v>
                </c:pt>
                <c:pt idx="6810">
                  <c:v>40315.363194444442</c:v>
                </c:pt>
                <c:pt idx="6811">
                  <c:v>40315.363888888889</c:v>
                </c:pt>
                <c:pt idx="6812">
                  <c:v>40315.364583333336</c:v>
                </c:pt>
                <c:pt idx="6813">
                  <c:v>40315.365277777775</c:v>
                </c:pt>
                <c:pt idx="6814">
                  <c:v>40315.365972222222</c:v>
                </c:pt>
                <c:pt idx="6815">
                  <c:v>40315.366666666669</c:v>
                </c:pt>
                <c:pt idx="6816">
                  <c:v>40315.367361111108</c:v>
                </c:pt>
                <c:pt idx="6817">
                  <c:v>40315.368055555555</c:v>
                </c:pt>
                <c:pt idx="6818">
                  <c:v>40315.368750000001</c:v>
                </c:pt>
                <c:pt idx="6819">
                  <c:v>40315.369444444441</c:v>
                </c:pt>
                <c:pt idx="6820">
                  <c:v>40315.370138888888</c:v>
                </c:pt>
                <c:pt idx="6821">
                  <c:v>40315.370833333334</c:v>
                </c:pt>
                <c:pt idx="6822">
                  <c:v>40315.371527777781</c:v>
                </c:pt>
                <c:pt idx="6823">
                  <c:v>40315.37222222222</c:v>
                </c:pt>
                <c:pt idx="6824">
                  <c:v>40315.372916666667</c:v>
                </c:pt>
                <c:pt idx="6825">
                  <c:v>40315.373611111114</c:v>
                </c:pt>
                <c:pt idx="6826">
                  <c:v>40315.374305555553</c:v>
                </c:pt>
                <c:pt idx="6827">
                  <c:v>40315.375</c:v>
                </c:pt>
                <c:pt idx="6828">
                  <c:v>40315.375694444447</c:v>
                </c:pt>
                <c:pt idx="6829">
                  <c:v>40315.376388888886</c:v>
                </c:pt>
                <c:pt idx="6830">
                  <c:v>40315.377083333333</c:v>
                </c:pt>
                <c:pt idx="6831">
                  <c:v>40315.37777777778</c:v>
                </c:pt>
                <c:pt idx="6832">
                  <c:v>40315.378472222219</c:v>
                </c:pt>
                <c:pt idx="6833">
                  <c:v>40315.379166666666</c:v>
                </c:pt>
                <c:pt idx="6834">
                  <c:v>40315.379861111112</c:v>
                </c:pt>
                <c:pt idx="6835">
                  <c:v>40315.380555555559</c:v>
                </c:pt>
                <c:pt idx="6836">
                  <c:v>40315.381249999999</c:v>
                </c:pt>
                <c:pt idx="6837">
                  <c:v>40315.381944444445</c:v>
                </c:pt>
                <c:pt idx="6838">
                  <c:v>40315.382638888892</c:v>
                </c:pt>
                <c:pt idx="6839">
                  <c:v>40315.383333333331</c:v>
                </c:pt>
                <c:pt idx="6840">
                  <c:v>40315.384027777778</c:v>
                </c:pt>
                <c:pt idx="6841">
                  <c:v>40315.384722222225</c:v>
                </c:pt>
                <c:pt idx="6842">
                  <c:v>40315.385416666664</c:v>
                </c:pt>
                <c:pt idx="6843">
                  <c:v>40315.386111111111</c:v>
                </c:pt>
                <c:pt idx="6844">
                  <c:v>40315.386805555558</c:v>
                </c:pt>
                <c:pt idx="6845">
                  <c:v>40315.387499999997</c:v>
                </c:pt>
                <c:pt idx="6846">
                  <c:v>40315.388194444444</c:v>
                </c:pt>
                <c:pt idx="6847">
                  <c:v>40315.388888888891</c:v>
                </c:pt>
                <c:pt idx="6848">
                  <c:v>40315.38958333333</c:v>
                </c:pt>
                <c:pt idx="6849">
                  <c:v>40315.390277777777</c:v>
                </c:pt>
                <c:pt idx="6850">
                  <c:v>40315.390972222223</c:v>
                </c:pt>
                <c:pt idx="6851">
                  <c:v>40315.39166666667</c:v>
                </c:pt>
                <c:pt idx="6852">
                  <c:v>40315.392361111109</c:v>
                </c:pt>
                <c:pt idx="6853">
                  <c:v>40315.393055555556</c:v>
                </c:pt>
                <c:pt idx="6854">
                  <c:v>40315.393750000003</c:v>
                </c:pt>
                <c:pt idx="6855">
                  <c:v>40315.394444444442</c:v>
                </c:pt>
                <c:pt idx="6856">
                  <c:v>40315.395138888889</c:v>
                </c:pt>
                <c:pt idx="6857">
                  <c:v>40315.395833333336</c:v>
                </c:pt>
                <c:pt idx="6858">
                  <c:v>40315.396527777775</c:v>
                </c:pt>
                <c:pt idx="6859">
                  <c:v>40315.397222222222</c:v>
                </c:pt>
                <c:pt idx="6860">
                  <c:v>40315.397916666669</c:v>
                </c:pt>
                <c:pt idx="6861">
                  <c:v>40315.398611111108</c:v>
                </c:pt>
                <c:pt idx="6862">
                  <c:v>40315.399305555555</c:v>
                </c:pt>
                <c:pt idx="6863">
                  <c:v>40315.4</c:v>
                </c:pt>
                <c:pt idx="6864">
                  <c:v>40315.400694444441</c:v>
                </c:pt>
                <c:pt idx="6865">
                  <c:v>40315.401388888888</c:v>
                </c:pt>
                <c:pt idx="6866">
                  <c:v>40315.402083333334</c:v>
                </c:pt>
                <c:pt idx="6867">
                  <c:v>40315.402777777781</c:v>
                </c:pt>
                <c:pt idx="6868">
                  <c:v>40315.40347222222</c:v>
                </c:pt>
                <c:pt idx="6869">
                  <c:v>40315.404166666667</c:v>
                </c:pt>
                <c:pt idx="6870">
                  <c:v>40315.404861111114</c:v>
                </c:pt>
                <c:pt idx="6871">
                  <c:v>40315.405555555553</c:v>
                </c:pt>
                <c:pt idx="6872">
                  <c:v>40315.40625</c:v>
                </c:pt>
                <c:pt idx="6873">
                  <c:v>40315.406944444447</c:v>
                </c:pt>
                <c:pt idx="6874">
                  <c:v>40315.407638888886</c:v>
                </c:pt>
                <c:pt idx="6875">
                  <c:v>40315.408333333333</c:v>
                </c:pt>
                <c:pt idx="6876">
                  <c:v>40315.40902777778</c:v>
                </c:pt>
                <c:pt idx="6877">
                  <c:v>40315.409722222219</c:v>
                </c:pt>
                <c:pt idx="6878">
                  <c:v>40315.410416666666</c:v>
                </c:pt>
                <c:pt idx="6879">
                  <c:v>40315.411111111112</c:v>
                </c:pt>
                <c:pt idx="6880">
                  <c:v>40315.411805555559</c:v>
                </c:pt>
                <c:pt idx="6881">
                  <c:v>40315.412499999999</c:v>
                </c:pt>
                <c:pt idx="6882">
                  <c:v>40315.413194444445</c:v>
                </c:pt>
                <c:pt idx="6883">
                  <c:v>40315.413888888892</c:v>
                </c:pt>
                <c:pt idx="6884">
                  <c:v>40315.414583333331</c:v>
                </c:pt>
                <c:pt idx="6885">
                  <c:v>40315.415277777778</c:v>
                </c:pt>
                <c:pt idx="6886">
                  <c:v>40315.415972222225</c:v>
                </c:pt>
                <c:pt idx="6887">
                  <c:v>40315.416666666664</c:v>
                </c:pt>
                <c:pt idx="6888">
                  <c:v>40315.417361111111</c:v>
                </c:pt>
                <c:pt idx="6889">
                  <c:v>40315.418055555558</c:v>
                </c:pt>
                <c:pt idx="6890">
                  <c:v>40315.418749999997</c:v>
                </c:pt>
                <c:pt idx="6891">
                  <c:v>40315.419444444444</c:v>
                </c:pt>
                <c:pt idx="6892">
                  <c:v>40315.420138888891</c:v>
                </c:pt>
                <c:pt idx="6893">
                  <c:v>40315.42083333333</c:v>
                </c:pt>
                <c:pt idx="6894">
                  <c:v>40315.421527777777</c:v>
                </c:pt>
                <c:pt idx="6895">
                  <c:v>40315.422222222223</c:v>
                </c:pt>
                <c:pt idx="6896">
                  <c:v>40315.42291666667</c:v>
                </c:pt>
                <c:pt idx="6897">
                  <c:v>40315.423611111109</c:v>
                </c:pt>
                <c:pt idx="6898">
                  <c:v>40315.424305555556</c:v>
                </c:pt>
                <c:pt idx="6899">
                  <c:v>40315.425000000003</c:v>
                </c:pt>
                <c:pt idx="6900">
                  <c:v>40315.425694444442</c:v>
                </c:pt>
                <c:pt idx="6901">
                  <c:v>40315.426388888889</c:v>
                </c:pt>
                <c:pt idx="6902">
                  <c:v>40315.427083333336</c:v>
                </c:pt>
                <c:pt idx="6903">
                  <c:v>40315.427777777775</c:v>
                </c:pt>
                <c:pt idx="6904">
                  <c:v>40315.428472222222</c:v>
                </c:pt>
                <c:pt idx="6905">
                  <c:v>40315.429166666669</c:v>
                </c:pt>
                <c:pt idx="6906">
                  <c:v>40315.429861111108</c:v>
                </c:pt>
                <c:pt idx="6907">
                  <c:v>40315.430555555555</c:v>
                </c:pt>
                <c:pt idx="6908">
                  <c:v>40315.431250000001</c:v>
                </c:pt>
                <c:pt idx="6909">
                  <c:v>40315.431944444441</c:v>
                </c:pt>
                <c:pt idx="6910">
                  <c:v>40315.432638888888</c:v>
                </c:pt>
                <c:pt idx="6911">
                  <c:v>40315.433333333334</c:v>
                </c:pt>
                <c:pt idx="6912">
                  <c:v>40315.434027777781</c:v>
                </c:pt>
                <c:pt idx="6913">
                  <c:v>40315.43472222222</c:v>
                </c:pt>
                <c:pt idx="6914">
                  <c:v>40315.435416666667</c:v>
                </c:pt>
                <c:pt idx="6915">
                  <c:v>40315.436111111114</c:v>
                </c:pt>
                <c:pt idx="6916">
                  <c:v>40315.436805555553</c:v>
                </c:pt>
                <c:pt idx="6917">
                  <c:v>40315.4375</c:v>
                </c:pt>
                <c:pt idx="6918">
                  <c:v>40315.438194444447</c:v>
                </c:pt>
                <c:pt idx="6919">
                  <c:v>40315.438888888886</c:v>
                </c:pt>
                <c:pt idx="6920">
                  <c:v>40315.439583333333</c:v>
                </c:pt>
                <c:pt idx="6921">
                  <c:v>40315.44027777778</c:v>
                </c:pt>
                <c:pt idx="6922">
                  <c:v>40315.440972222219</c:v>
                </c:pt>
                <c:pt idx="6923">
                  <c:v>40315.441666666666</c:v>
                </c:pt>
                <c:pt idx="6924">
                  <c:v>40315.442361111112</c:v>
                </c:pt>
                <c:pt idx="6925">
                  <c:v>40315.443055555559</c:v>
                </c:pt>
                <c:pt idx="6926">
                  <c:v>40315.443749999999</c:v>
                </c:pt>
                <c:pt idx="6927">
                  <c:v>40315.444444444445</c:v>
                </c:pt>
                <c:pt idx="6928">
                  <c:v>40315.445138888892</c:v>
                </c:pt>
                <c:pt idx="6929">
                  <c:v>40315.445833333331</c:v>
                </c:pt>
                <c:pt idx="6930">
                  <c:v>40315.446527777778</c:v>
                </c:pt>
                <c:pt idx="6931">
                  <c:v>40315.447222222225</c:v>
                </c:pt>
                <c:pt idx="6932">
                  <c:v>40315.447916666664</c:v>
                </c:pt>
                <c:pt idx="6933">
                  <c:v>40315.448611111111</c:v>
                </c:pt>
                <c:pt idx="6934">
                  <c:v>40315.449305555558</c:v>
                </c:pt>
                <c:pt idx="6935">
                  <c:v>40315.449999999997</c:v>
                </c:pt>
                <c:pt idx="6936">
                  <c:v>40315.450694444444</c:v>
                </c:pt>
                <c:pt idx="6937">
                  <c:v>40315.451388888891</c:v>
                </c:pt>
                <c:pt idx="6938">
                  <c:v>40315.45208333333</c:v>
                </c:pt>
                <c:pt idx="6939">
                  <c:v>40315.452777777777</c:v>
                </c:pt>
                <c:pt idx="6940">
                  <c:v>40315.453472222223</c:v>
                </c:pt>
                <c:pt idx="6941">
                  <c:v>40315.45416666667</c:v>
                </c:pt>
                <c:pt idx="6942">
                  <c:v>40315.454861111109</c:v>
                </c:pt>
                <c:pt idx="6943">
                  <c:v>40315.455555555556</c:v>
                </c:pt>
                <c:pt idx="6944">
                  <c:v>40315.456250000003</c:v>
                </c:pt>
                <c:pt idx="6945">
                  <c:v>40315.456944444442</c:v>
                </c:pt>
                <c:pt idx="6946">
                  <c:v>40315.457638888889</c:v>
                </c:pt>
                <c:pt idx="6947">
                  <c:v>40315.458333333336</c:v>
                </c:pt>
                <c:pt idx="6948">
                  <c:v>40315.459027777775</c:v>
                </c:pt>
                <c:pt idx="6949">
                  <c:v>40315.459722222222</c:v>
                </c:pt>
                <c:pt idx="6950">
                  <c:v>40315.460416666669</c:v>
                </c:pt>
                <c:pt idx="6951">
                  <c:v>40315.461111111108</c:v>
                </c:pt>
                <c:pt idx="6952">
                  <c:v>40315.461805555555</c:v>
                </c:pt>
                <c:pt idx="6953">
                  <c:v>40315.462500000001</c:v>
                </c:pt>
                <c:pt idx="6954">
                  <c:v>40315.463194444441</c:v>
                </c:pt>
                <c:pt idx="6955">
                  <c:v>40315.463888888888</c:v>
                </c:pt>
                <c:pt idx="6956">
                  <c:v>40315.464583333334</c:v>
                </c:pt>
                <c:pt idx="6957">
                  <c:v>40315.465277777781</c:v>
                </c:pt>
                <c:pt idx="6958">
                  <c:v>40315.46597222222</c:v>
                </c:pt>
                <c:pt idx="6959">
                  <c:v>40315.466666666667</c:v>
                </c:pt>
                <c:pt idx="6960">
                  <c:v>40315.467361111114</c:v>
                </c:pt>
                <c:pt idx="6961">
                  <c:v>40315.468055555553</c:v>
                </c:pt>
                <c:pt idx="6962">
                  <c:v>40315.46875</c:v>
                </c:pt>
                <c:pt idx="6963">
                  <c:v>40315.469444444447</c:v>
                </c:pt>
                <c:pt idx="6964">
                  <c:v>40315.470138888886</c:v>
                </c:pt>
                <c:pt idx="6965">
                  <c:v>40315.470833333333</c:v>
                </c:pt>
                <c:pt idx="6966">
                  <c:v>40315.47152777778</c:v>
                </c:pt>
                <c:pt idx="6967">
                  <c:v>40315.472222222219</c:v>
                </c:pt>
                <c:pt idx="6968">
                  <c:v>40315.472916666666</c:v>
                </c:pt>
                <c:pt idx="6969">
                  <c:v>40315.473611111112</c:v>
                </c:pt>
                <c:pt idx="6970">
                  <c:v>40315.474305555559</c:v>
                </c:pt>
                <c:pt idx="6971">
                  <c:v>40315.474999999999</c:v>
                </c:pt>
                <c:pt idx="6972">
                  <c:v>40315.475694444445</c:v>
                </c:pt>
                <c:pt idx="6973">
                  <c:v>40315.476388888892</c:v>
                </c:pt>
                <c:pt idx="6974">
                  <c:v>40315.477083333331</c:v>
                </c:pt>
                <c:pt idx="6975">
                  <c:v>40315.477777777778</c:v>
                </c:pt>
                <c:pt idx="6976">
                  <c:v>40315.478472222225</c:v>
                </c:pt>
                <c:pt idx="6977">
                  <c:v>40315.479166666664</c:v>
                </c:pt>
                <c:pt idx="6978">
                  <c:v>40315.479861111111</c:v>
                </c:pt>
                <c:pt idx="6979">
                  <c:v>40315.480555555558</c:v>
                </c:pt>
                <c:pt idx="6980">
                  <c:v>40315.481249999997</c:v>
                </c:pt>
                <c:pt idx="6981">
                  <c:v>40315.481944444444</c:v>
                </c:pt>
                <c:pt idx="6982">
                  <c:v>40315.482638888891</c:v>
                </c:pt>
                <c:pt idx="6983">
                  <c:v>40315.48333333333</c:v>
                </c:pt>
                <c:pt idx="6984">
                  <c:v>40315.484027777777</c:v>
                </c:pt>
                <c:pt idx="6985">
                  <c:v>40315.484722222223</c:v>
                </c:pt>
                <c:pt idx="6986">
                  <c:v>40315.48541666667</c:v>
                </c:pt>
                <c:pt idx="6987">
                  <c:v>40315.486111111109</c:v>
                </c:pt>
                <c:pt idx="6988">
                  <c:v>40315.486805555556</c:v>
                </c:pt>
                <c:pt idx="6989">
                  <c:v>40315.487500000003</c:v>
                </c:pt>
                <c:pt idx="6990">
                  <c:v>40315.488194444442</c:v>
                </c:pt>
                <c:pt idx="6991">
                  <c:v>40315.488888888889</c:v>
                </c:pt>
                <c:pt idx="6992">
                  <c:v>40315.489583333336</c:v>
                </c:pt>
                <c:pt idx="6993">
                  <c:v>40315.490277777775</c:v>
                </c:pt>
                <c:pt idx="6994">
                  <c:v>40315.490972222222</c:v>
                </c:pt>
                <c:pt idx="6995">
                  <c:v>40315.491666666669</c:v>
                </c:pt>
                <c:pt idx="6996">
                  <c:v>40315.492361111108</c:v>
                </c:pt>
                <c:pt idx="6997">
                  <c:v>40315.493055555555</c:v>
                </c:pt>
                <c:pt idx="6998">
                  <c:v>40315.493750000001</c:v>
                </c:pt>
                <c:pt idx="6999">
                  <c:v>40315.494444444441</c:v>
                </c:pt>
              </c:numCache>
            </c:numRef>
          </c:xVal>
          <c:yVal>
            <c:numRef>
              <c:f>'Dati-CSV'!$J$3:$J$7003</c:f>
              <c:numCache>
                <c:formatCode>0.0000</c:formatCode>
                <c:ptCount val="7001"/>
                <c:pt idx="0">
                  <c:v>5.6282379999999993E-2</c:v>
                </c:pt>
                <c:pt idx="1">
                  <c:v>5.6217494666666659E-2</c:v>
                </c:pt>
                <c:pt idx="2">
                  <c:v>5.6821573600000001E-2</c:v>
                </c:pt>
                <c:pt idx="3">
                  <c:v>5.6937784933333332E-2</c:v>
                </c:pt>
                <c:pt idx="4">
                  <c:v>5.6750531200000003E-2</c:v>
                </c:pt>
                <c:pt idx="5">
                  <c:v>5.6490514666666672E-2</c:v>
                </c:pt>
                <c:pt idx="6">
                  <c:v>5.6491864000000003E-2</c:v>
                </c:pt>
                <c:pt idx="7">
                  <c:v>5.67707712E-2</c:v>
                </c:pt>
                <c:pt idx="8">
                  <c:v>5.6565402666666674E-2</c:v>
                </c:pt>
                <c:pt idx="9">
                  <c:v>5.6914879999999994E-2</c:v>
                </c:pt>
                <c:pt idx="10">
                  <c:v>5.6594838300000005E-2</c:v>
                </c:pt>
                <c:pt idx="11">
                  <c:v>5.6495939500000002E-2</c:v>
                </c:pt>
                <c:pt idx="12">
                  <c:v>5.6455398999999989E-2</c:v>
                </c:pt>
                <c:pt idx="13">
                  <c:v>5.6427571199999998E-2</c:v>
                </c:pt>
                <c:pt idx="14">
                  <c:v>5.6347090799999992E-2</c:v>
                </c:pt>
                <c:pt idx="15">
                  <c:v>5.6335746133333336E-2</c:v>
                </c:pt>
                <c:pt idx="16">
                  <c:v>5.6228172E-2</c:v>
                </c:pt>
                <c:pt idx="17">
                  <c:v>5.6570113599999999E-2</c:v>
                </c:pt>
                <c:pt idx="18">
                  <c:v>5.6941799199999997E-2</c:v>
                </c:pt>
                <c:pt idx="19">
                  <c:v>5.6841813599999999E-2</c:v>
                </c:pt>
                <c:pt idx="20">
                  <c:v>5.6670380799999996E-2</c:v>
                </c:pt>
                <c:pt idx="21">
                  <c:v>5.6693252000000006E-2</c:v>
                </c:pt>
                <c:pt idx="22">
                  <c:v>5.6722768666666673E-2</c:v>
                </c:pt>
                <c:pt idx="23">
                  <c:v>5.6644675999999998E-2</c:v>
                </c:pt>
                <c:pt idx="24">
                  <c:v>5.6363812266666674E-2</c:v>
                </c:pt>
                <c:pt idx="25">
                  <c:v>5.6511463066666663E-2</c:v>
                </c:pt>
                <c:pt idx="26">
                  <c:v>5.6591377333333338E-2</c:v>
                </c:pt>
                <c:pt idx="27">
                  <c:v>5.6693252000000006E-2</c:v>
                </c:pt>
                <c:pt idx="28">
                  <c:v>5.6409318533333336E-2</c:v>
                </c:pt>
                <c:pt idx="29">
                  <c:v>5.6353523600000004E-2</c:v>
                </c:pt>
                <c:pt idx="30">
                  <c:v>5.624530706666666E-2</c:v>
                </c:pt>
                <c:pt idx="31">
                  <c:v>5.6389247200000006E-2</c:v>
                </c:pt>
                <c:pt idx="32">
                  <c:v>5.644355786666666E-2</c:v>
                </c:pt>
                <c:pt idx="33">
                  <c:v>5.6445177066666678E-2</c:v>
                </c:pt>
                <c:pt idx="34">
                  <c:v>5.6570631333333336E-2</c:v>
                </c:pt>
                <c:pt idx="35">
                  <c:v>5.6877435999999996E-2</c:v>
                </c:pt>
                <c:pt idx="36">
                  <c:v>5.7345288000000008E-2</c:v>
                </c:pt>
                <c:pt idx="37">
                  <c:v>5.6962612666666662E-2</c:v>
                </c:pt>
                <c:pt idx="38">
                  <c:v>5.7176077200000001E-2</c:v>
                </c:pt>
                <c:pt idx="39">
                  <c:v>5.7684910800000003E-2</c:v>
                </c:pt>
                <c:pt idx="40">
                  <c:v>5.6106116733333329E-2</c:v>
                </c:pt>
                <c:pt idx="41">
                  <c:v>5.6203947799999994E-2</c:v>
                </c:pt>
                <c:pt idx="42">
                  <c:v>5.6301778866666666E-2</c:v>
                </c:pt>
                <c:pt idx="43">
                  <c:v>5.6403547200000001E-2</c:v>
                </c:pt>
                <c:pt idx="44">
                  <c:v>5.6277554666666667E-2</c:v>
                </c:pt>
                <c:pt idx="45">
                  <c:v>5.6280624400000007E-2</c:v>
                </c:pt>
                <c:pt idx="46">
                  <c:v>5.6314925333333342E-2</c:v>
                </c:pt>
                <c:pt idx="47">
                  <c:v>5.7044112399999999E-2</c:v>
                </c:pt>
                <c:pt idx="48">
                  <c:v>5.6347090799999992E-2</c:v>
                </c:pt>
                <c:pt idx="49">
                  <c:v>5.6266210000000004E-2</c:v>
                </c:pt>
                <c:pt idx="50">
                  <c:v>5.6367678033333334E-2</c:v>
                </c:pt>
                <c:pt idx="51">
                  <c:v>5.6387998333333335E-2</c:v>
                </c:pt>
                <c:pt idx="52">
                  <c:v>5.6168779333333335E-2</c:v>
                </c:pt>
                <c:pt idx="53">
                  <c:v>5.7004475733333337E-2</c:v>
                </c:pt>
                <c:pt idx="54">
                  <c:v>5.6796847066666677E-2</c:v>
                </c:pt>
                <c:pt idx="55">
                  <c:v>5.6570814300000001E-2</c:v>
                </c:pt>
                <c:pt idx="56">
                  <c:v>5.6518061599999996E-2</c:v>
                </c:pt>
                <c:pt idx="57">
                  <c:v>5.7364208E-2</c:v>
                </c:pt>
                <c:pt idx="58">
                  <c:v>5.6427571199999998E-2</c:v>
                </c:pt>
                <c:pt idx="59">
                  <c:v>5.6262072533333325E-2</c:v>
                </c:pt>
                <c:pt idx="60">
                  <c:v>5.6335746133333336E-2</c:v>
                </c:pt>
                <c:pt idx="61">
                  <c:v>5.6891806400000001E-2</c:v>
                </c:pt>
                <c:pt idx="62">
                  <c:v>5.7101222933333334E-2</c:v>
                </c:pt>
                <c:pt idx="63">
                  <c:v>5.700069759999999E-2</c:v>
                </c:pt>
                <c:pt idx="64">
                  <c:v>5.6693252000000006E-2</c:v>
                </c:pt>
                <c:pt idx="65">
                  <c:v>5.6718282133333332E-2</c:v>
                </c:pt>
                <c:pt idx="66">
                  <c:v>5.719891466666667E-2</c:v>
                </c:pt>
                <c:pt idx="67">
                  <c:v>5.6479923500000001E-2</c:v>
                </c:pt>
                <c:pt idx="68">
                  <c:v>5.6204781966666659E-2</c:v>
                </c:pt>
                <c:pt idx="69">
                  <c:v>5.6432375999999992E-2</c:v>
                </c:pt>
                <c:pt idx="70">
                  <c:v>5.6359403099999997E-2</c:v>
                </c:pt>
                <c:pt idx="71">
                  <c:v>5.6266210000000004E-2</c:v>
                </c:pt>
                <c:pt idx="72">
                  <c:v>5.6973373600000002E-2</c:v>
                </c:pt>
                <c:pt idx="73">
                  <c:v>5.7195743733333339E-2</c:v>
                </c:pt>
                <c:pt idx="74">
                  <c:v>5.801809493333334E-2</c:v>
                </c:pt>
                <c:pt idx="75">
                  <c:v>5.8248190000000005E-2</c:v>
                </c:pt>
                <c:pt idx="76">
                  <c:v>5.671585333333333E-2</c:v>
                </c:pt>
                <c:pt idx="77">
                  <c:v>5.6824812000000002E-2</c:v>
                </c:pt>
                <c:pt idx="78">
                  <c:v>5.7904818400000009E-2</c:v>
                </c:pt>
                <c:pt idx="79">
                  <c:v>5.8756214000000001E-2</c:v>
                </c:pt>
                <c:pt idx="80">
                  <c:v>5.9301580799999996E-2</c:v>
                </c:pt>
                <c:pt idx="81">
                  <c:v>5.8504226000000006E-2</c:v>
                </c:pt>
                <c:pt idx="82">
                  <c:v>6.0047492266666669E-2</c:v>
                </c:pt>
                <c:pt idx="83">
                  <c:v>5.6855509333333339E-2</c:v>
                </c:pt>
                <c:pt idx="84">
                  <c:v>5.697041349999999E-2</c:v>
                </c:pt>
                <c:pt idx="85">
                  <c:v>5.6684761466666678E-2</c:v>
                </c:pt>
                <c:pt idx="86">
                  <c:v>5.6538415266666663E-2</c:v>
                </c:pt>
                <c:pt idx="87">
                  <c:v>5.7504572399999995E-2</c:v>
                </c:pt>
                <c:pt idx="88">
                  <c:v>5.6704114133333337E-2</c:v>
                </c:pt>
                <c:pt idx="89">
                  <c:v>5.7521573999999992E-2</c:v>
                </c:pt>
                <c:pt idx="90">
                  <c:v>5.6871026666666664E-2</c:v>
                </c:pt>
                <c:pt idx="91">
                  <c:v>6.0715580933333332E-2</c:v>
                </c:pt>
                <c:pt idx="92">
                  <c:v>6.3938591199999992E-2</c:v>
                </c:pt>
                <c:pt idx="93">
                  <c:v>6.4401737400000006E-2</c:v>
                </c:pt>
                <c:pt idx="94">
                  <c:v>5.7569306666666667E-2</c:v>
                </c:pt>
                <c:pt idx="95">
                  <c:v>5.7264357333333335E-2</c:v>
                </c:pt>
                <c:pt idx="96">
                  <c:v>5.72917488E-2</c:v>
                </c:pt>
                <c:pt idx="97">
                  <c:v>5.7134483999999992E-2</c:v>
                </c:pt>
                <c:pt idx="98">
                  <c:v>5.6966795599999995E-2</c:v>
                </c:pt>
                <c:pt idx="99">
                  <c:v>5.6703878000000006E-2</c:v>
                </c:pt>
                <c:pt idx="100">
                  <c:v>5.6810846400000004E-2</c:v>
                </c:pt>
                <c:pt idx="101">
                  <c:v>5.6661475200000005E-2</c:v>
                </c:pt>
                <c:pt idx="102">
                  <c:v>5.6666838800000008E-2</c:v>
                </c:pt>
                <c:pt idx="103">
                  <c:v>5.6837967999999996E-2</c:v>
                </c:pt>
                <c:pt idx="104">
                  <c:v>5.6666838800000008E-2</c:v>
                </c:pt>
                <c:pt idx="105">
                  <c:v>5.6785951200000004E-2</c:v>
                </c:pt>
                <c:pt idx="106">
                  <c:v>5.6843432800000003E-2</c:v>
                </c:pt>
                <c:pt idx="107">
                  <c:v>5.7241755999999998E-2</c:v>
                </c:pt>
                <c:pt idx="108">
                  <c:v>5.6479923500000001E-2</c:v>
                </c:pt>
                <c:pt idx="109">
                  <c:v>5.6378588933333328E-2</c:v>
                </c:pt>
                <c:pt idx="110">
                  <c:v>5.638182550000001E-2</c:v>
                </c:pt>
                <c:pt idx="111">
                  <c:v>5.6141785700000002E-2</c:v>
                </c:pt>
                <c:pt idx="112">
                  <c:v>5.6720576000000002E-2</c:v>
                </c:pt>
                <c:pt idx="113">
                  <c:v>5.6794721866666675E-2</c:v>
                </c:pt>
                <c:pt idx="114">
                  <c:v>5.6620185599999998E-2</c:v>
                </c:pt>
                <c:pt idx="115">
                  <c:v>5.679586880000001E-2</c:v>
                </c:pt>
                <c:pt idx="116">
                  <c:v>5.6670380799999996E-2</c:v>
                </c:pt>
                <c:pt idx="117">
                  <c:v>5.7202827733333329E-2</c:v>
                </c:pt>
                <c:pt idx="118">
                  <c:v>5.6772390399999997E-2</c:v>
                </c:pt>
                <c:pt idx="119">
                  <c:v>5.6874130133333339E-2</c:v>
                </c:pt>
                <c:pt idx="120">
                  <c:v>5.6719530266666658E-2</c:v>
                </c:pt>
                <c:pt idx="121">
                  <c:v>5.66968952E-2</c:v>
                </c:pt>
                <c:pt idx="122">
                  <c:v>5.7582496400000002E-2</c:v>
                </c:pt>
                <c:pt idx="123">
                  <c:v>5.8594800000000002E-2</c:v>
                </c:pt>
                <c:pt idx="124">
                  <c:v>5.7044820800000007E-2</c:v>
                </c:pt>
                <c:pt idx="125">
                  <c:v>5.6822484400000012E-2</c:v>
                </c:pt>
                <c:pt idx="126">
                  <c:v>5.6744189333333327E-2</c:v>
                </c:pt>
                <c:pt idx="127">
                  <c:v>5.6914879999999994E-2</c:v>
                </c:pt>
                <c:pt idx="128">
                  <c:v>5.6720879600000003E-2</c:v>
                </c:pt>
                <c:pt idx="129">
                  <c:v>5.700069759999999E-2</c:v>
                </c:pt>
                <c:pt idx="130">
                  <c:v>5.6691835199999992E-2</c:v>
                </c:pt>
                <c:pt idx="131">
                  <c:v>5.6668221866666674E-2</c:v>
                </c:pt>
                <c:pt idx="132">
                  <c:v>5.6821944666666666E-2</c:v>
                </c:pt>
                <c:pt idx="133">
                  <c:v>5.6974486799999995E-2</c:v>
                </c:pt>
                <c:pt idx="134">
                  <c:v>5.6869913466666658E-2</c:v>
                </c:pt>
                <c:pt idx="135">
                  <c:v>5.6996649599999998E-2</c:v>
                </c:pt>
                <c:pt idx="136">
                  <c:v>5.6715178666666664E-2</c:v>
                </c:pt>
                <c:pt idx="137">
                  <c:v>5.6924089199999993E-2</c:v>
                </c:pt>
                <c:pt idx="138">
                  <c:v>5.6571171066666669E-2</c:v>
                </c:pt>
                <c:pt idx="139">
                  <c:v>5.6797757866666659E-2</c:v>
                </c:pt>
                <c:pt idx="140">
                  <c:v>5.6646902399999997E-2</c:v>
                </c:pt>
                <c:pt idx="141">
                  <c:v>5.6975060266666669E-2</c:v>
                </c:pt>
                <c:pt idx="142">
                  <c:v>5.6948545866666658E-2</c:v>
                </c:pt>
                <c:pt idx="143">
                  <c:v>5.6823833733333336E-2</c:v>
                </c:pt>
                <c:pt idx="144">
                  <c:v>5.6672236133333331E-2</c:v>
                </c:pt>
                <c:pt idx="145">
                  <c:v>5.7198442400000007E-2</c:v>
                </c:pt>
                <c:pt idx="146">
                  <c:v>5.6971113466666667E-2</c:v>
                </c:pt>
                <c:pt idx="147">
                  <c:v>5.7628576133333338E-2</c:v>
                </c:pt>
                <c:pt idx="148">
                  <c:v>5.6916802799999999E-2</c:v>
                </c:pt>
                <c:pt idx="149">
                  <c:v>5.6885532000000003E-2</c:v>
                </c:pt>
                <c:pt idx="150">
                  <c:v>5.6943553333333327E-2</c:v>
                </c:pt>
                <c:pt idx="151">
                  <c:v>5.84270104E-2</c:v>
                </c:pt>
                <c:pt idx="152">
                  <c:v>5.8144965999999992E-2</c:v>
                </c:pt>
                <c:pt idx="153">
                  <c:v>5.7863191466666672E-2</c:v>
                </c:pt>
                <c:pt idx="154">
                  <c:v>5.636786026666666E-2</c:v>
                </c:pt>
                <c:pt idx="155">
                  <c:v>5.7456907200000004E-2</c:v>
                </c:pt>
                <c:pt idx="156">
                  <c:v>5.6344449333333345E-2</c:v>
                </c:pt>
                <c:pt idx="157">
                  <c:v>5.7228903599999999E-2</c:v>
                </c:pt>
                <c:pt idx="158">
                  <c:v>5.87529756E-2</c:v>
                </c:pt>
                <c:pt idx="159">
                  <c:v>5.7530175999999995E-2</c:v>
                </c:pt>
                <c:pt idx="160">
                  <c:v>5.6390663999999993E-2</c:v>
                </c:pt>
                <c:pt idx="161">
                  <c:v>5.6243924000000001E-2</c:v>
                </c:pt>
                <c:pt idx="162">
                  <c:v>5.6419573466666671E-2</c:v>
                </c:pt>
                <c:pt idx="163">
                  <c:v>5.6470106000000006E-2</c:v>
                </c:pt>
                <c:pt idx="164">
                  <c:v>5.6239673600000005E-2</c:v>
                </c:pt>
                <c:pt idx="165">
                  <c:v>5.6188466399999998E-2</c:v>
                </c:pt>
                <c:pt idx="166">
                  <c:v>5.6163571199999998E-2</c:v>
                </c:pt>
                <c:pt idx="167">
                  <c:v>5.64418712E-2</c:v>
                </c:pt>
                <c:pt idx="168">
                  <c:v>5.6240888000000003E-2</c:v>
                </c:pt>
                <c:pt idx="169">
                  <c:v>5.6266896399999995E-2</c:v>
                </c:pt>
                <c:pt idx="170">
                  <c:v>5.6091111999999999E-2</c:v>
                </c:pt>
                <c:pt idx="171">
                  <c:v>5.5875758399999996E-2</c:v>
                </c:pt>
                <c:pt idx="172">
                  <c:v>5.5873059733333327E-2</c:v>
                </c:pt>
                <c:pt idx="173">
                  <c:v>5.5646709066666668E-2</c:v>
                </c:pt>
                <c:pt idx="174">
                  <c:v>5.5669242933333328E-2</c:v>
                </c:pt>
                <c:pt idx="175">
                  <c:v>5.6959914000000007E-2</c:v>
                </c:pt>
                <c:pt idx="176">
                  <c:v>6.5838778133333331E-2</c:v>
                </c:pt>
                <c:pt idx="177">
                  <c:v>6.566337726666667E-2</c:v>
                </c:pt>
                <c:pt idx="178">
                  <c:v>6.5480738400000002E-2</c:v>
                </c:pt>
                <c:pt idx="179">
                  <c:v>6.5376132066666662E-2</c:v>
                </c:pt>
                <c:pt idx="180">
                  <c:v>6.5399810666666669E-2</c:v>
                </c:pt>
                <c:pt idx="181">
                  <c:v>6.5267941199999999E-2</c:v>
                </c:pt>
                <c:pt idx="182">
                  <c:v>6.5602095533333335E-2</c:v>
                </c:pt>
                <c:pt idx="183">
                  <c:v>6.5675888666666668E-2</c:v>
                </c:pt>
                <c:pt idx="184">
                  <c:v>6.5686090799999999E-2</c:v>
                </c:pt>
                <c:pt idx="185">
                  <c:v>6.5865799999999988E-2</c:v>
                </c:pt>
                <c:pt idx="186">
                  <c:v>6.5850358933333339E-2</c:v>
                </c:pt>
                <c:pt idx="187">
                  <c:v>6.5620121599999998E-2</c:v>
                </c:pt>
                <c:pt idx="188">
                  <c:v>6.5399810666666669E-2</c:v>
                </c:pt>
                <c:pt idx="189">
                  <c:v>6.5288311000000002E-2</c:v>
                </c:pt>
                <c:pt idx="190">
                  <c:v>6.4271888999999999E-2</c:v>
                </c:pt>
                <c:pt idx="191">
                  <c:v>6.2564238000000008E-2</c:v>
                </c:pt>
                <c:pt idx="192">
                  <c:v>5.4368688000000005E-2</c:v>
                </c:pt>
                <c:pt idx="193">
                  <c:v>5.4497212000000003E-2</c:v>
                </c:pt>
                <c:pt idx="194">
                  <c:v>5.4363526799999999E-2</c:v>
                </c:pt>
                <c:pt idx="195">
                  <c:v>4.9707755999999999E-2</c:v>
                </c:pt>
                <c:pt idx="196">
                  <c:v>4.9903489999999995E-2</c:v>
                </c:pt>
                <c:pt idx="197">
                  <c:v>4.9684320000000004E-2</c:v>
                </c:pt>
                <c:pt idx="198">
                  <c:v>5.2136388999999998E-2</c:v>
                </c:pt>
                <c:pt idx="199">
                  <c:v>5.1123173333333334E-2</c:v>
                </c:pt>
                <c:pt idx="200">
                  <c:v>5.0966466666666668E-2</c:v>
                </c:pt>
                <c:pt idx="201">
                  <c:v>5.1211861333333338E-2</c:v>
                </c:pt>
                <c:pt idx="202">
                  <c:v>5.0782558666666672E-2</c:v>
                </c:pt>
                <c:pt idx="203">
                  <c:v>5.1089930666666665E-2</c:v>
                </c:pt>
                <c:pt idx="204">
                  <c:v>5.0924208000000006E-2</c:v>
                </c:pt>
                <c:pt idx="205">
                  <c:v>5.1085422666666672E-2</c:v>
                </c:pt>
                <c:pt idx="206">
                  <c:v>5.1154944000000008E-2</c:v>
                </c:pt>
                <c:pt idx="207">
                  <c:v>5.1085422666666672E-2</c:v>
                </c:pt>
                <c:pt idx="208">
                  <c:v>5.1075946666666663E-2</c:v>
                </c:pt>
                <c:pt idx="209">
                  <c:v>5.0985725333333336E-2</c:v>
                </c:pt>
                <c:pt idx="210">
                  <c:v>5.0923686666666669E-2</c:v>
                </c:pt>
                <c:pt idx="211">
                  <c:v>5.0994250666666671E-2</c:v>
                </c:pt>
                <c:pt idx="212">
                  <c:v>5.0239820000000004E-2</c:v>
                </c:pt>
                <c:pt idx="213">
                  <c:v>4.9857682666666674E-2</c:v>
                </c:pt>
                <c:pt idx="214">
                  <c:v>5.0039168000000002E-2</c:v>
                </c:pt>
                <c:pt idx="215">
                  <c:v>4.9633999999999998E-2</c:v>
                </c:pt>
                <c:pt idx="216">
                  <c:v>4.9789418666666668E-2</c:v>
                </c:pt>
                <c:pt idx="217">
                  <c:v>4.9564999999999998E-2</c:v>
                </c:pt>
                <c:pt idx="218">
                  <c:v>4.9501642666666672E-2</c:v>
                </c:pt>
                <c:pt idx="219">
                  <c:v>4.9912361333333335E-2</c:v>
                </c:pt>
                <c:pt idx="220">
                  <c:v>4.9677730666666677E-2</c:v>
                </c:pt>
                <c:pt idx="221">
                  <c:v>4.9721093333333334E-2</c:v>
                </c:pt>
                <c:pt idx="222">
                  <c:v>6.1890853333333336E-2</c:v>
                </c:pt>
                <c:pt idx="223">
                  <c:v>6.3123193333333341E-2</c:v>
                </c:pt>
                <c:pt idx="224">
                  <c:v>6.324070833333334E-2</c:v>
                </c:pt>
                <c:pt idx="225">
                  <c:v>6.2967234999999996E-2</c:v>
                </c:pt>
                <c:pt idx="226">
                  <c:v>6.3441633333333344E-2</c:v>
                </c:pt>
                <c:pt idx="227">
                  <c:v>6.4832053333333348E-2</c:v>
                </c:pt>
                <c:pt idx="228">
                  <c:v>6.5575143333333336E-2</c:v>
                </c:pt>
                <c:pt idx="229">
                  <c:v>6.5990388333333344E-2</c:v>
                </c:pt>
                <c:pt idx="230">
                  <c:v>6.899685333333333E-2</c:v>
                </c:pt>
                <c:pt idx="231">
                  <c:v>7.1849925000000009E-2</c:v>
                </c:pt>
                <c:pt idx="232">
                  <c:v>7.0680000000000007E-2</c:v>
                </c:pt>
                <c:pt idx="233">
                  <c:v>6.5599400000000016E-2</c:v>
                </c:pt>
                <c:pt idx="234">
                  <c:v>6.5550000000000011E-2</c:v>
                </c:pt>
                <c:pt idx="235">
                  <c:v>6.5596708333333323E-2</c:v>
                </c:pt>
                <c:pt idx="236">
                  <c:v>6.567853500000001E-2</c:v>
                </c:pt>
                <c:pt idx="237">
                  <c:v>6.5950488333333335E-2</c:v>
                </c:pt>
                <c:pt idx="238">
                  <c:v>6.6725339999999994E-2</c:v>
                </c:pt>
                <c:pt idx="239">
                  <c:v>6.6009451666666663E-2</c:v>
                </c:pt>
                <c:pt idx="240">
                  <c:v>6.5696680000000007E-2</c:v>
                </c:pt>
                <c:pt idx="241">
                  <c:v>6.6049130000000011E-2</c:v>
                </c:pt>
                <c:pt idx="242">
                  <c:v>6.6750198333333344E-2</c:v>
                </c:pt>
                <c:pt idx="243">
                  <c:v>6.6233714999999999E-2</c:v>
                </c:pt>
                <c:pt idx="244">
                  <c:v>6.6350375000000003E-2</c:v>
                </c:pt>
                <c:pt idx="245">
                  <c:v>6.6061226666666681E-2</c:v>
                </c:pt>
                <c:pt idx="246">
                  <c:v>6.6139379999999998E-2</c:v>
                </c:pt>
                <c:pt idx="247">
                  <c:v>6.5813910000000017E-2</c:v>
                </c:pt>
                <c:pt idx="248">
                  <c:v>6.536753666666667E-2</c:v>
                </c:pt>
                <c:pt idx="249">
                  <c:v>6.5146725000000003E-2</c:v>
                </c:pt>
                <c:pt idx="250">
                  <c:v>6.5275703333333338E-2</c:v>
                </c:pt>
                <c:pt idx="251">
                  <c:v>6.5994283333333348E-2</c:v>
                </c:pt>
                <c:pt idx="252">
                  <c:v>6.5349550000000006E-2</c:v>
                </c:pt>
                <c:pt idx="253">
                  <c:v>6.519058333333333E-2</c:v>
                </c:pt>
                <c:pt idx="254">
                  <c:v>6.5456773333333343E-2</c:v>
                </c:pt>
                <c:pt idx="255">
                  <c:v>6.4782969999999995E-2</c:v>
                </c:pt>
                <c:pt idx="256">
                  <c:v>6.4495215000000009E-2</c:v>
                </c:pt>
                <c:pt idx="257">
                  <c:v>6.4278013333333342E-2</c:v>
                </c:pt>
                <c:pt idx="258">
                  <c:v>6.5602313333333342E-2</c:v>
                </c:pt>
                <c:pt idx="259">
                  <c:v>6.4859540000000007E-2</c:v>
                </c:pt>
                <c:pt idx="260">
                  <c:v>6.4623813333333349E-2</c:v>
                </c:pt>
                <c:pt idx="261">
                  <c:v>6.4927940000000003E-2</c:v>
                </c:pt>
                <c:pt idx="262">
                  <c:v>6.5097799999999997E-2</c:v>
                </c:pt>
                <c:pt idx="263">
                  <c:v>6.4786485000000005E-2</c:v>
                </c:pt>
                <c:pt idx="264">
                  <c:v>6.4974585000000001E-2</c:v>
                </c:pt>
                <c:pt idx="265">
                  <c:v>6.5071326666666665E-2</c:v>
                </c:pt>
                <c:pt idx="266">
                  <c:v>6.5323013333333346E-2</c:v>
                </c:pt>
                <c:pt idx="267">
                  <c:v>6.5154483333333346E-2</c:v>
                </c:pt>
                <c:pt idx="268">
                  <c:v>6.4687273333333337E-2</c:v>
                </c:pt>
                <c:pt idx="269">
                  <c:v>6.4945356666666676E-2</c:v>
                </c:pt>
                <c:pt idx="270">
                  <c:v>6.4786485000000005E-2</c:v>
                </c:pt>
                <c:pt idx="271">
                  <c:v>6.4727775000000001E-2</c:v>
                </c:pt>
                <c:pt idx="272">
                  <c:v>6.5056791666666669E-2</c:v>
                </c:pt>
                <c:pt idx="273">
                  <c:v>6.5098243333333333E-2</c:v>
                </c:pt>
                <c:pt idx="274">
                  <c:v>6.5478781666666666E-2</c:v>
                </c:pt>
                <c:pt idx="275">
                  <c:v>6.5763180000000004E-2</c:v>
                </c:pt>
                <c:pt idx="276">
                  <c:v>6.4800703333333334E-2</c:v>
                </c:pt>
                <c:pt idx="277">
                  <c:v>6.5337010000000001E-2</c:v>
                </c:pt>
                <c:pt idx="278">
                  <c:v>6.5544711666666672E-2</c:v>
                </c:pt>
                <c:pt idx="279">
                  <c:v>6.4585370000000003E-2</c:v>
                </c:pt>
                <c:pt idx="280">
                  <c:v>6.4870971666666666E-2</c:v>
                </c:pt>
                <c:pt idx="281">
                  <c:v>6.4664156666666681E-2</c:v>
                </c:pt>
                <c:pt idx="282">
                  <c:v>6.546133333333333E-2</c:v>
                </c:pt>
                <c:pt idx="283">
                  <c:v>6.4713746666666669E-2</c:v>
                </c:pt>
                <c:pt idx="284">
                  <c:v>6.4488375000000014E-2</c:v>
                </c:pt>
                <c:pt idx="285">
                  <c:v>6.4534133333333341E-2</c:v>
                </c:pt>
                <c:pt idx="286">
                  <c:v>6.4398125000000014E-2</c:v>
                </c:pt>
                <c:pt idx="287">
                  <c:v>6.532399500000001E-2</c:v>
                </c:pt>
                <c:pt idx="288">
                  <c:v>6.498050666666666E-2</c:v>
                </c:pt>
                <c:pt idx="289">
                  <c:v>6.4653295E-2</c:v>
                </c:pt>
                <c:pt idx="290">
                  <c:v>6.4753425000000017E-2</c:v>
                </c:pt>
                <c:pt idx="291">
                  <c:v>6.5149954999999996E-2</c:v>
                </c:pt>
                <c:pt idx="292">
                  <c:v>6.6316174999999991E-2</c:v>
                </c:pt>
                <c:pt idx="293">
                  <c:v>6.5761849999999997E-2</c:v>
                </c:pt>
                <c:pt idx="294">
                  <c:v>6.5837660000000006E-2</c:v>
                </c:pt>
                <c:pt idx="295">
                  <c:v>6.5520360000000014E-2</c:v>
                </c:pt>
                <c:pt idx="296">
                  <c:v>6.546165000000001E-2</c:v>
                </c:pt>
                <c:pt idx="297">
                  <c:v>6.5760108333333331E-2</c:v>
                </c:pt>
                <c:pt idx="298">
                  <c:v>6.5320099999999992E-2</c:v>
                </c:pt>
                <c:pt idx="299">
                  <c:v>6.4945356666666676E-2</c:v>
                </c:pt>
                <c:pt idx="300">
                  <c:v>6.5591040000000003E-2</c:v>
                </c:pt>
                <c:pt idx="301">
                  <c:v>6.6192580000000015E-2</c:v>
                </c:pt>
                <c:pt idx="302">
                  <c:v>6.6080353333333341E-2</c:v>
                </c:pt>
                <c:pt idx="303">
                  <c:v>6.603614666666667E-2</c:v>
                </c:pt>
                <c:pt idx="304">
                  <c:v>6.5655671666666679E-2</c:v>
                </c:pt>
                <c:pt idx="305">
                  <c:v>6.5692500000000001E-2</c:v>
                </c:pt>
                <c:pt idx="306">
                  <c:v>6.5776480000000012E-2</c:v>
                </c:pt>
                <c:pt idx="307">
                  <c:v>6.5832561666666678E-2</c:v>
                </c:pt>
                <c:pt idx="308">
                  <c:v>6.5719353333333341E-2</c:v>
                </c:pt>
                <c:pt idx="309">
                  <c:v>6.5763749999999996E-2</c:v>
                </c:pt>
                <c:pt idx="310">
                  <c:v>6.5867648333333334E-2</c:v>
                </c:pt>
                <c:pt idx="311">
                  <c:v>6.5578626666666681E-2</c:v>
                </c:pt>
                <c:pt idx="312">
                  <c:v>6.5446735000000006E-2</c:v>
                </c:pt>
                <c:pt idx="313">
                  <c:v>6.5146725000000003E-2</c:v>
                </c:pt>
                <c:pt idx="314">
                  <c:v>6.5872620000000007E-2</c:v>
                </c:pt>
                <c:pt idx="315">
                  <c:v>6.545601333333334E-2</c:v>
                </c:pt>
                <c:pt idx="316">
                  <c:v>6.5968348333333329E-2</c:v>
                </c:pt>
                <c:pt idx="317">
                  <c:v>6.5876958333333333E-2</c:v>
                </c:pt>
                <c:pt idx="318">
                  <c:v>6.651064000000001E-2</c:v>
                </c:pt>
                <c:pt idx="319">
                  <c:v>6.6266933333333347E-2</c:v>
                </c:pt>
                <c:pt idx="320">
                  <c:v>6.8398385000000006E-2</c:v>
                </c:pt>
                <c:pt idx="321">
                  <c:v>6.7438980000000009E-2</c:v>
                </c:pt>
                <c:pt idx="322">
                  <c:v>6.9704065000000009E-2</c:v>
                </c:pt>
                <c:pt idx="323">
                  <c:v>6.6042860000000009E-2</c:v>
                </c:pt>
                <c:pt idx="324">
                  <c:v>6.5944376666666679E-2</c:v>
                </c:pt>
                <c:pt idx="325">
                  <c:v>6.5514660000000002E-2</c:v>
                </c:pt>
                <c:pt idx="326">
                  <c:v>6.7726259999999996E-2</c:v>
                </c:pt>
                <c:pt idx="327">
                  <c:v>6.7320039999999998E-2</c:v>
                </c:pt>
                <c:pt idx="328">
                  <c:v>6.4916920000000003E-2</c:v>
                </c:pt>
                <c:pt idx="329">
                  <c:v>6.5496166666666661E-2</c:v>
                </c:pt>
                <c:pt idx="330">
                  <c:v>1.9515533333333335E-2</c:v>
                </c:pt>
                <c:pt idx="331">
                  <c:v>6.4590933333333331E-3</c:v>
                </c:pt>
                <c:pt idx="332">
                  <c:v>6.3292320000000006E-3</c:v>
                </c:pt>
                <c:pt idx="333">
                  <c:v>6.3392933333333342E-3</c:v>
                </c:pt>
                <c:pt idx="334">
                  <c:v>6.3248266666666667E-3</c:v>
                </c:pt>
                <c:pt idx="335">
                  <c:v>6.3025200000000007E-3</c:v>
                </c:pt>
                <c:pt idx="336">
                  <c:v>6.3025200000000007E-3</c:v>
                </c:pt>
                <c:pt idx="337">
                  <c:v>6.3550206666666675E-3</c:v>
                </c:pt>
                <c:pt idx="338">
                  <c:v>6.4420430000000006E-3</c:v>
                </c:pt>
                <c:pt idx="339">
                  <c:v>6.3053900000000001E-3</c:v>
                </c:pt>
                <c:pt idx="340">
                  <c:v>6.3479733333333338E-3</c:v>
                </c:pt>
                <c:pt idx="341">
                  <c:v>6.3248266666666667E-3</c:v>
                </c:pt>
                <c:pt idx="342">
                  <c:v>6.310360000000001E-3</c:v>
                </c:pt>
                <c:pt idx="343">
                  <c:v>6.2814266666666677E-3</c:v>
                </c:pt>
                <c:pt idx="344">
                  <c:v>6.2987866666666678E-3</c:v>
                </c:pt>
                <c:pt idx="345">
                  <c:v>6.2387499999999995E-3</c:v>
                </c:pt>
                <c:pt idx="346">
                  <c:v>6.3163749999999999E-3</c:v>
                </c:pt>
                <c:pt idx="347">
                  <c:v>6.3422500000000007E-3</c:v>
                </c:pt>
                <c:pt idx="348">
                  <c:v>6.3393750000000004E-3</c:v>
                </c:pt>
                <c:pt idx="349">
                  <c:v>6.3292320000000006E-3</c:v>
                </c:pt>
                <c:pt idx="350">
                  <c:v>6.1718160000000001E-3</c:v>
                </c:pt>
                <c:pt idx="351">
                  <c:v>6.0945000000000001E-3</c:v>
                </c:pt>
                <c:pt idx="352">
                  <c:v>6.0633333333333338E-3</c:v>
                </c:pt>
                <c:pt idx="353">
                  <c:v>6.1118400000000003E-3</c:v>
                </c:pt>
                <c:pt idx="354">
                  <c:v>6.2625780000000004E-3</c:v>
                </c:pt>
                <c:pt idx="355">
                  <c:v>6.0718333333333336E-3</c:v>
                </c:pt>
                <c:pt idx="356">
                  <c:v>6.0293333333333336E-3</c:v>
                </c:pt>
                <c:pt idx="357">
                  <c:v>5.3241599999999997E-3</c:v>
                </c:pt>
                <c:pt idx="358">
                  <c:v>4.8393333333333344E-3</c:v>
                </c:pt>
                <c:pt idx="359">
                  <c:v>4.960330666666667E-3</c:v>
                </c:pt>
                <c:pt idx="360">
                  <c:v>5.1085440000000005E-3</c:v>
                </c:pt>
                <c:pt idx="361">
                  <c:v>5.1002280000000009E-3</c:v>
                </c:pt>
                <c:pt idx="362">
                  <c:v>5.0675939999999999E-3</c:v>
                </c:pt>
                <c:pt idx="363">
                  <c:v>5.1532319999999998E-3</c:v>
                </c:pt>
                <c:pt idx="364">
                  <c:v>5.2120320000000001E-3</c:v>
                </c:pt>
                <c:pt idx="365">
                  <c:v>5.2120320000000001E-3</c:v>
                </c:pt>
                <c:pt idx="366">
                  <c:v>5.2972160000000004E-3</c:v>
                </c:pt>
                <c:pt idx="367">
                  <c:v>5.2877440000000005E-3</c:v>
                </c:pt>
                <c:pt idx="368">
                  <c:v>5.2877440000000005E-3</c:v>
                </c:pt>
                <c:pt idx="369">
                  <c:v>5.3137920000000003E-3</c:v>
                </c:pt>
                <c:pt idx="370">
                  <c:v>5.2121160000000001E-3</c:v>
                </c:pt>
                <c:pt idx="371">
                  <c:v>5.2664320000000006E-3</c:v>
                </c:pt>
                <c:pt idx="372">
                  <c:v>5.2402560000000004E-3</c:v>
                </c:pt>
                <c:pt idx="373">
                  <c:v>5.2735360000000005E-3</c:v>
                </c:pt>
                <c:pt idx="374">
                  <c:v>5.2474879999999998E-3</c:v>
                </c:pt>
                <c:pt idx="375">
                  <c:v>5.1555840000000004E-3</c:v>
                </c:pt>
                <c:pt idx="376">
                  <c:v>5.0529173333333337E-3</c:v>
                </c:pt>
                <c:pt idx="377">
                  <c:v>5.084020666666667E-3</c:v>
                </c:pt>
                <c:pt idx="378">
                  <c:v>5.1156000000000005E-3</c:v>
                </c:pt>
                <c:pt idx="379">
                  <c:v>5.1626400000000005E-3</c:v>
                </c:pt>
                <c:pt idx="380">
                  <c:v>4.9642159999999996E-3</c:v>
                </c:pt>
                <c:pt idx="381">
                  <c:v>4.8097280000000001E-3</c:v>
                </c:pt>
                <c:pt idx="382">
                  <c:v>4.816560000000001E-3</c:v>
                </c:pt>
                <c:pt idx="383">
                  <c:v>4.8848393333333334E-3</c:v>
                </c:pt>
                <c:pt idx="384">
                  <c:v>4.9009229999999997E-3</c:v>
                </c:pt>
                <c:pt idx="385">
                  <c:v>4.9929426666666674E-3</c:v>
                </c:pt>
                <c:pt idx="386">
                  <c:v>4.9999486666666669E-3</c:v>
                </c:pt>
                <c:pt idx="387">
                  <c:v>4.9261973333333342E-3</c:v>
                </c:pt>
                <c:pt idx="388">
                  <c:v>5.0092900000000004E-3</c:v>
                </c:pt>
                <c:pt idx="389">
                  <c:v>5.0162959999999999E-3</c:v>
                </c:pt>
                <c:pt idx="390">
                  <c:v>5.0991360000000006E-3</c:v>
                </c:pt>
                <c:pt idx="391">
                  <c:v>5.0372910000000002E-3</c:v>
                </c:pt>
                <c:pt idx="392">
                  <c:v>5.0279669999999995E-3</c:v>
                </c:pt>
                <c:pt idx="393">
                  <c:v>5.1392E-3</c:v>
                </c:pt>
                <c:pt idx="394">
                  <c:v>5.1532799999999997E-3</c:v>
                </c:pt>
                <c:pt idx="395">
                  <c:v>5.0815800000000005E-3</c:v>
                </c:pt>
                <c:pt idx="396">
                  <c:v>5.200128E-3</c:v>
                </c:pt>
                <c:pt idx="397">
                  <c:v>5.2096E-3</c:v>
                </c:pt>
                <c:pt idx="398">
                  <c:v>5.121207E-3</c:v>
                </c:pt>
                <c:pt idx="399">
                  <c:v>5.1398550000000005E-3</c:v>
                </c:pt>
                <c:pt idx="400">
                  <c:v>5.2474879999999998E-3</c:v>
                </c:pt>
                <c:pt idx="401">
                  <c:v>5.1165450000000001E-3</c:v>
                </c:pt>
                <c:pt idx="402">
                  <c:v>5.1328620000000002E-3</c:v>
                </c:pt>
                <c:pt idx="403">
                  <c:v>5.1297120000000007E-3</c:v>
                </c:pt>
                <c:pt idx="404">
                  <c:v>5.0320853333333335E-3</c:v>
                </c:pt>
                <c:pt idx="405">
                  <c:v>5.0489906666666669E-3</c:v>
                </c:pt>
                <c:pt idx="406">
                  <c:v>4.9996800000000003E-3</c:v>
                </c:pt>
                <c:pt idx="407">
                  <c:v>5.0920800000000006E-3</c:v>
                </c:pt>
                <c:pt idx="408">
                  <c:v>4.9464426666666669E-3</c:v>
                </c:pt>
                <c:pt idx="409">
                  <c:v>4.8393333333333344E-3</c:v>
                </c:pt>
                <c:pt idx="410">
                  <c:v>4.9232959999999997E-3</c:v>
                </c:pt>
                <c:pt idx="411">
                  <c:v>5.0442840000000004E-3</c:v>
                </c:pt>
                <c:pt idx="412">
                  <c:v>5.1368533333333343E-3</c:v>
                </c:pt>
                <c:pt idx="413">
                  <c:v>5.1532799999999997E-3</c:v>
                </c:pt>
                <c:pt idx="414">
                  <c:v>5.1462400000000007E-3</c:v>
                </c:pt>
                <c:pt idx="415">
                  <c:v>5.0699250000000003E-3</c:v>
                </c:pt>
                <c:pt idx="416">
                  <c:v>5.1532799999999997E-3</c:v>
                </c:pt>
                <c:pt idx="417">
                  <c:v>5.336283333333333E-3</c:v>
                </c:pt>
                <c:pt idx="418">
                  <c:v>5.275963333333333E-3</c:v>
                </c:pt>
                <c:pt idx="419">
                  <c:v>5.2806866666666669E-3</c:v>
                </c:pt>
                <c:pt idx="420">
                  <c:v>5.2523466666666669E-3</c:v>
                </c:pt>
                <c:pt idx="421">
                  <c:v>5.1720533333333334E-3</c:v>
                </c:pt>
                <c:pt idx="422">
                  <c:v>5.2854099999999999E-3</c:v>
                </c:pt>
                <c:pt idx="423">
                  <c:v>5.290133333333333E-3</c:v>
                </c:pt>
                <c:pt idx="424">
                  <c:v>5.3293680000000001E-3</c:v>
                </c:pt>
                <c:pt idx="425">
                  <c:v>5.2924950000000004E-3</c:v>
                </c:pt>
                <c:pt idx="426">
                  <c:v>5.3019416666666664E-3</c:v>
                </c:pt>
                <c:pt idx="427">
                  <c:v>5.2948566666666669E-3</c:v>
                </c:pt>
                <c:pt idx="428">
                  <c:v>5.3255583333333334E-3</c:v>
                </c:pt>
                <c:pt idx="429">
                  <c:v>5.3302816666666664E-3</c:v>
                </c:pt>
                <c:pt idx="430">
                  <c:v>5.3562599999999998E-3</c:v>
                </c:pt>
                <c:pt idx="431">
                  <c:v>5.3001000000000003E-3</c:v>
                </c:pt>
                <c:pt idx="432">
                  <c:v>5.3001000000000003E-3</c:v>
                </c:pt>
                <c:pt idx="433">
                  <c:v>5.3047800000000003E-3</c:v>
                </c:pt>
                <c:pt idx="434">
                  <c:v>5.3141400000000002E-3</c:v>
                </c:pt>
                <c:pt idx="435">
                  <c:v>5.3255583333333334E-3</c:v>
                </c:pt>
                <c:pt idx="436">
                  <c:v>5.2977600000000003E-3</c:v>
                </c:pt>
                <c:pt idx="437">
                  <c:v>5.3094600000000011E-3</c:v>
                </c:pt>
                <c:pt idx="438">
                  <c:v>5.3397283333333333E-3</c:v>
                </c:pt>
                <c:pt idx="439">
                  <c:v>5.3468133333333338E-3</c:v>
                </c:pt>
                <c:pt idx="440">
                  <c:v>5.3420899999999999E-3</c:v>
                </c:pt>
                <c:pt idx="441">
                  <c:v>5.3680683333333333E-3</c:v>
                </c:pt>
                <c:pt idx="442">
                  <c:v>5.3188200000000001E-3</c:v>
                </c:pt>
                <c:pt idx="443">
                  <c:v>5.3164799999999993E-3</c:v>
                </c:pt>
                <c:pt idx="444">
                  <c:v>5.3118000000000002E-3</c:v>
                </c:pt>
                <c:pt idx="445">
                  <c:v>5.3118000000000002E-3</c:v>
                </c:pt>
                <c:pt idx="446">
                  <c:v>5.3211600000000001E-3</c:v>
                </c:pt>
                <c:pt idx="447">
                  <c:v>5.3444516666666664E-3</c:v>
                </c:pt>
                <c:pt idx="448">
                  <c:v>5.3491750000000003E-3</c:v>
                </c:pt>
                <c:pt idx="449">
                  <c:v>5.2459520000000008E-3</c:v>
                </c:pt>
                <c:pt idx="450">
                  <c:v>5.3672666666666671E-3</c:v>
                </c:pt>
                <c:pt idx="451">
                  <c:v>5.3482E-3</c:v>
                </c:pt>
                <c:pt idx="452">
                  <c:v>5.3279199999999999E-3</c:v>
                </c:pt>
                <c:pt idx="453">
                  <c:v>5.3326433333333338E-3</c:v>
                </c:pt>
                <c:pt idx="454">
                  <c:v>5.3373666666666668E-3</c:v>
                </c:pt>
                <c:pt idx="455">
                  <c:v>5.2776533333333334E-3</c:v>
                </c:pt>
                <c:pt idx="456">
                  <c:v>5.2612266666666671E-3</c:v>
                </c:pt>
                <c:pt idx="457">
                  <c:v>5.2518399999999998E-3</c:v>
                </c:pt>
                <c:pt idx="458">
                  <c:v>5.2498559999999998E-3</c:v>
                </c:pt>
                <c:pt idx="459">
                  <c:v>5.2830080000000005E-3</c:v>
                </c:pt>
                <c:pt idx="460">
                  <c:v>5.3161600000000003E-3</c:v>
                </c:pt>
                <c:pt idx="461">
                  <c:v>5.3350050000000003E-3</c:v>
                </c:pt>
                <c:pt idx="462">
                  <c:v>5.3350050000000003E-3</c:v>
                </c:pt>
                <c:pt idx="463">
                  <c:v>5.3397283333333333E-3</c:v>
                </c:pt>
                <c:pt idx="464">
                  <c:v>5.3161116666666664E-3</c:v>
                </c:pt>
                <c:pt idx="465">
                  <c:v>5.2972183333333334E-3</c:v>
                </c:pt>
                <c:pt idx="466">
                  <c:v>5.304303333333333E-3</c:v>
                </c:pt>
                <c:pt idx="467">
                  <c:v>5.3208350000000003E-3</c:v>
                </c:pt>
                <c:pt idx="468">
                  <c:v>5.2995799999999999E-3</c:v>
                </c:pt>
                <c:pt idx="469">
                  <c:v>5.3066650000000003E-3</c:v>
                </c:pt>
                <c:pt idx="470">
                  <c:v>5.3208350000000003E-3</c:v>
                </c:pt>
                <c:pt idx="471">
                  <c:v>5.2972183333333334E-3</c:v>
                </c:pt>
                <c:pt idx="472">
                  <c:v>5.2830483333333334E-3</c:v>
                </c:pt>
                <c:pt idx="473">
                  <c:v>5.2307199999999995E-3</c:v>
                </c:pt>
                <c:pt idx="474">
                  <c:v>5.1971200000000004E-3</c:v>
                </c:pt>
                <c:pt idx="475">
                  <c:v>4.9662060000000008E-3</c:v>
                </c:pt>
                <c:pt idx="476">
                  <c:v>4.9483979999999997E-3</c:v>
                </c:pt>
                <c:pt idx="477">
                  <c:v>4.9684320000000001E-3</c:v>
                </c:pt>
                <c:pt idx="478">
                  <c:v>4.9795620000000007E-3</c:v>
                </c:pt>
                <c:pt idx="479">
                  <c:v>4.9546350000000006E-3</c:v>
                </c:pt>
                <c:pt idx="480">
                  <c:v>4.9810949999999996E-3</c:v>
                </c:pt>
                <c:pt idx="481">
                  <c:v>4.9678650000000001E-3</c:v>
                </c:pt>
                <c:pt idx="482">
                  <c:v>4.9766849999999998E-3</c:v>
                </c:pt>
                <c:pt idx="483">
                  <c:v>4.9568400000000006E-3</c:v>
                </c:pt>
                <c:pt idx="484">
                  <c:v>4.9546350000000006E-3</c:v>
                </c:pt>
                <c:pt idx="485">
                  <c:v>4.92597E-3</c:v>
                </c:pt>
                <c:pt idx="486">
                  <c:v>4.9215600000000002E-3</c:v>
                </c:pt>
                <c:pt idx="487">
                  <c:v>4.9720320000000004E-3</c:v>
                </c:pt>
                <c:pt idx="488">
                  <c:v>4.92597E-3</c:v>
                </c:pt>
                <c:pt idx="489">
                  <c:v>4.9546350000000006E-3</c:v>
                </c:pt>
                <c:pt idx="490">
                  <c:v>4.9392000000000004E-3</c:v>
                </c:pt>
                <c:pt idx="491">
                  <c:v>4.9634550000000003E-3</c:v>
                </c:pt>
                <c:pt idx="492">
                  <c:v>5.009749333333334E-3</c:v>
                </c:pt>
                <c:pt idx="493">
                  <c:v>4.9347900000000005E-3</c:v>
                </c:pt>
                <c:pt idx="494">
                  <c:v>5.0108800000000005E-3</c:v>
                </c:pt>
                <c:pt idx="495">
                  <c:v>4.9720320000000004E-3</c:v>
                </c:pt>
                <c:pt idx="496">
                  <c:v>4.9631573333333342E-3</c:v>
                </c:pt>
                <c:pt idx="497">
                  <c:v>4.9853440000000001E-3</c:v>
                </c:pt>
                <c:pt idx="498">
                  <c:v>5.0243200000000005E-3</c:v>
                </c:pt>
                <c:pt idx="499">
                  <c:v>4.9986559999999998E-3</c:v>
                </c:pt>
                <c:pt idx="500">
                  <c:v>5.0075306666666668E-3</c:v>
                </c:pt>
                <c:pt idx="501">
                  <c:v>4.9725653333333331E-3</c:v>
                </c:pt>
                <c:pt idx="502">
                  <c:v>4.9659733333333334E-3</c:v>
                </c:pt>
                <c:pt idx="503">
                  <c:v>5.0547250000000004E-3</c:v>
                </c:pt>
                <c:pt idx="504">
                  <c:v>5.0636516666666669E-3</c:v>
                </c:pt>
                <c:pt idx="505">
                  <c:v>5.0413350000000001E-3</c:v>
                </c:pt>
                <c:pt idx="506">
                  <c:v>5.0257133333333334E-3</c:v>
                </c:pt>
                <c:pt idx="507">
                  <c:v>5.0190183333333341E-3</c:v>
                </c:pt>
                <c:pt idx="508">
                  <c:v>5.0324083333333335E-3</c:v>
                </c:pt>
                <c:pt idx="509">
                  <c:v>5.0056500000000004E-3</c:v>
                </c:pt>
                <c:pt idx="510">
                  <c:v>5.01228E-3</c:v>
                </c:pt>
                <c:pt idx="511">
                  <c:v>4.9653759999999996E-3</c:v>
                </c:pt>
                <c:pt idx="512">
                  <c:v>4.9286186666666672E-3</c:v>
                </c:pt>
                <c:pt idx="513">
                  <c:v>4.9198293333333337E-3</c:v>
                </c:pt>
                <c:pt idx="514">
                  <c:v>5.0033966666666674E-3</c:v>
                </c:pt>
                <c:pt idx="515">
                  <c:v>4.9653759999999996E-3</c:v>
                </c:pt>
                <c:pt idx="516">
                  <c:v>4.9476266666666664E-3</c:v>
                </c:pt>
                <c:pt idx="517">
                  <c:v>4.9565013333333335E-3</c:v>
                </c:pt>
                <c:pt idx="518">
                  <c:v>4.9587199999999998E-3</c:v>
                </c:pt>
                <c:pt idx="519">
                  <c:v>4.9498453333333336E-3</c:v>
                </c:pt>
                <c:pt idx="520">
                  <c:v>4.9764693333333339E-3</c:v>
                </c:pt>
                <c:pt idx="521">
                  <c:v>5.0198400000000002E-3</c:v>
                </c:pt>
                <c:pt idx="522">
                  <c:v>5.0257133333333334E-3</c:v>
                </c:pt>
                <c:pt idx="523">
                  <c:v>5.0189100000000006E-3</c:v>
                </c:pt>
                <c:pt idx="524">
                  <c:v>5.0785800000000001E-3</c:v>
                </c:pt>
                <c:pt idx="525">
                  <c:v>5.0763700000000002E-3</c:v>
                </c:pt>
                <c:pt idx="526">
                  <c:v>5.0697400000000005E-3</c:v>
                </c:pt>
                <c:pt idx="527">
                  <c:v>5.06311E-3</c:v>
                </c:pt>
                <c:pt idx="528">
                  <c:v>5.0476400000000008E-3</c:v>
                </c:pt>
                <c:pt idx="529">
                  <c:v>5.0971266666666667E-3</c:v>
                </c:pt>
                <c:pt idx="530">
                  <c:v>5.0837366666666673E-3</c:v>
                </c:pt>
                <c:pt idx="531">
                  <c:v>5.0882000000000002E-3</c:v>
                </c:pt>
                <c:pt idx="532">
                  <c:v>5.0658833333333333E-3</c:v>
                </c:pt>
                <c:pt idx="533">
                  <c:v>5.0143146666666669E-3</c:v>
                </c:pt>
                <c:pt idx="534">
                  <c:v>5.1082849999999997E-3</c:v>
                </c:pt>
                <c:pt idx="535">
                  <c:v>5.110516666666667E-3</c:v>
                </c:pt>
                <c:pt idx="536">
                  <c:v>5.0318933333333331E-3</c:v>
                </c:pt>
                <c:pt idx="537">
                  <c:v>5.0675300000000006E-3</c:v>
                </c:pt>
                <c:pt idx="538">
                  <c:v>5.099358333333334E-3</c:v>
                </c:pt>
                <c:pt idx="539">
                  <c:v>5.099358333333334E-3</c:v>
                </c:pt>
                <c:pt idx="540">
                  <c:v>5.1330933333333332E-3</c:v>
                </c:pt>
                <c:pt idx="541">
                  <c:v>5.0474666666666668E-3</c:v>
                </c:pt>
                <c:pt idx="542">
                  <c:v>5.0519040000000003E-3</c:v>
                </c:pt>
                <c:pt idx="543">
                  <c:v>5.0541226666666675E-3</c:v>
                </c:pt>
                <c:pt idx="544">
                  <c:v>5.0452480000000004E-3</c:v>
                </c:pt>
                <c:pt idx="545">
                  <c:v>5.1330933333333332E-3</c:v>
                </c:pt>
                <c:pt idx="546">
                  <c:v>5.1330933333333332E-3</c:v>
                </c:pt>
                <c:pt idx="547">
                  <c:v>5.1285866666666664E-3</c:v>
                </c:pt>
                <c:pt idx="548">
                  <c:v>5.1240800000000005E-3</c:v>
                </c:pt>
                <c:pt idx="549">
                  <c:v>5.1218266666666666E-3</c:v>
                </c:pt>
                <c:pt idx="550">
                  <c:v>5.0837366666666673E-3</c:v>
                </c:pt>
                <c:pt idx="551">
                  <c:v>5.1376000000000008E-3</c:v>
                </c:pt>
                <c:pt idx="552">
                  <c:v>5.0629973333333337E-3</c:v>
                </c:pt>
                <c:pt idx="553">
                  <c:v>5.0187093333333328E-3</c:v>
                </c:pt>
                <c:pt idx="554">
                  <c:v>5.0384853333333337E-3</c:v>
                </c:pt>
                <c:pt idx="555">
                  <c:v>5.1462233333333333E-3</c:v>
                </c:pt>
                <c:pt idx="556">
                  <c:v>5.1551499999999998E-3</c:v>
                </c:pt>
                <c:pt idx="557">
                  <c:v>5.0785800000000001E-3</c:v>
                </c:pt>
                <c:pt idx="558">
                  <c:v>5.0697400000000005E-3</c:v>
                </c:pt>
                <c:pt idx="559">
                  <c:v>5.1082849999999997E-3</c:v>
                </c:pt>
                <c:pt idx="560">
                  <c:v>5.0971266666666667E-3</c:v>
                </c:pt>
                <c:pt idx="561">
                  <c:v>5.0971266666666667E-3</c:v>
                </c:pt>
                <c:pt idx="562">
                  <c:v>5.0321699999999999E-3</c:v>
                </c:pt>
                <c:pt idx="563">
                  <c:v>5.1015900000000005E-3</c:v>
                </c:pt>
                <c:pt idx="564">
                  <c:v>5.0255400000000002E-3</c:v>
                </c:pt>
                <c:pt idx="565">
                  <c:v>5.0277500000000001E-3</c:v>
                </c:pt>
                <c:pt idx="566">
                  <c:v>5.0432200000000002E-3</c:v>
                </c:pt>
                <c:pt idx="567">
                  <c:v>5.0725783333333335E-3</c:v>
                </c:pt>
                <c:pt idx="568">
                  <c:v>4.9809066666666665E-3</c:v>
                </c:pt>
                <c:pt idx="569">
                  <c:v>4.9853440000000001E-3</c:v>
                </c:pt>
                <c:pt idx="570">
                  <c:v>4.9505920000000002E-3</c:v>
                </c:pt>
                <c:pt idx="571">
                  <c:v>4.9308160000000002E-3</c:v>
                </c:pt>
                <c:pt idx="572">
                  <c:v>4.9653759999999996E-3</c:v>
                </c:pt>
                <c:pt idx="573">
                  <c:v>4.9461973333333334E-3</c:v>
                </c:pt>
                <c:pt idx="574">
                  <c:v>4.935210666666667E-3</c:v>
                </c:pt>
                <c:pt idx="575">
                  <c:v>4.9964373333333334E-3</c:v>
                </c:pt>
                <c:pt idx="576">
                  <c:v>4.9675946666666677E-3</c:v>
                </c:pt>
                <c:pt idx="577">
                  <c:v>4.9187840000000007E-3</c:v>
                </c:pt>
                <c:pt idx="578">
                  <c:v>4.9032533333333338E-3</c:v>
                </c:pt>
                <c:pt idx="579">
                  <c:v>4.9276586666666669E-3</c:v>
                </c:pt>
                <c:pt idx="580">
                  <c:v>4.9022506666666667E-3</c:v>
                </c:pt>
                <c:pt idx="581">
                  <c:v>4.8973050000000002E-3</c:v>
                </c:pt>
                <c:pt idx="582">
                  <c:v>4.8928950000000004E-3</c:v>
                </c:pt>
                <c:pt idx="583">
                  <c:v>4.8951000000000003E-3</c:v>
                </c:pt>
                <c:pt idx="584">
                  <c:v>4.8995100000000001E-3</c:v>
                </c:pt>
                <c:pt idx="585">
                  <c:v>4.9286186666666672E-3</c:v>
                </c:pt>
                <c:pt idx="586">
                  <c:v>4.9220266666666675E-3</c:v>
                </c:pt>
                <c:pt idx="587">
                  <c:v>5.0391033333333337E-3</c:v>
                </c:pt>
                <c:pt idx="588">
                  <c:v>5.0547250000000004E-3</c:v>
                </c:pt>
                <c:pt idx="589">
                  <c:v>5.0299600000000009E-3</c:v>
                </c:pt>
                <c:pt idx="590">
                  <c:v>5.0410100000000003E-3</c:v>
                </c:pt>
                <c:pt idx="591">
                  <c:v>5.0520600000000006E-3</c:v>
                </c:pt>
                <c:pt idx="592">
                  <c:v>5.0454300000000001E-3</c:v>
                </c:pt>
                <c:pt idx="593">
                  <c:v>5.0476400000000008E-3</c:v>
                </c:pt>
                <c:pt idx="594">
                  <c:v>5.0564800000000003E-3</c:v>
                </c:pt>
                <c:pt idx="595">
                  <c:v>5.060900000000001E-3</c:v>
                </c:pt>
                <c:pt idx="596">
                  <c:v>5.0564800000000003E-3</c:v>
                </c:pt>
                <c:pt idx="597">
                  <c:v>5.060900000000001E-3</c:v>
                </c:pt>
                <c:pt idx="598">
                  <c:v>5.0675300000000006E-3</c:v>
                </c:pt>
                <c:pt idx="599">
                  <c:v>5.0432200000000002E-3</c:v>
                </c:pt>
                <c:pt idx="600">
                  <c:v>5.0476400000000008E-3</c:v>
                </c:pt>
                <c:pt idx="601">
                  <c:v>5.0388000000000004E-3</c:v>
                </c:pt>
                <c:pt idx="602">
                  <c:v>5.0388000000000004E-3</c:v>
                </c:pt>
                <c:pt idx="603">
                  <c:v>5.0388000000000004E-3</c:v>
                </c:pt>
                <c:pt idx="604">
                  <c:v>5.0432200000000002E-3</c:v>
                </c:pt>
                <c:pt idx="605">
                  <c:v>5.0365899999999996E-3</c:v>
                </c:pt>
                <c:pt idx="606">
                  <c:v>5.0343800000000006E-3</c:v>
                </c:pt>
                <c:pt idx="607">
                  <c:v>5.0476400000000008E-3</c:v>
                </c:pt>
                <c:pt idx="608">
                  <c:v>5.0706040000000003E-3</c:v>
                </c:pt>
                <c:pt idx="609">
                  <c:v>5.0706040000000003E-3</c:v>
                </c:pt>
                <c:pt idx="610">
                  <c:v>5.0697400000000005E-3</c:v>
                </c:pt>
                <c:pt idx="611">
                  <c:v>5.0441083333333334E-3</c:v>
                </c:pt>
                <c:pt idx="612">
                  <c:v>5.0309783333333333E-3</c:v>
                </c:pt>
                <c:pt idx="613">
                  <c:v>5.0069066666666665E-3</c:v>
                </c:pt>
                <c:pt idx="614">
                  <c:v>5.07727E-3</c:v>
                </c:pt>
                <c:pt idx="615">
                  <c:v>5.0706040000000003E-3</c:v>
                </c:pt>
                <c:pt idx="616">
                  <c:v>5.0750480000000004E-3</c:v>
                </c:pt>
                <c:pt idx="617">
                  <c:v>5.0728259999999999E-3</c:v>
                </c:pt>
                <c:pt idx="618">
                  <c:v>5.0410100000000003E-3</c:v>
                </c:pt>
                <c:pt idx="619">
                  <c:v>5.0454300000000001E-3</c:v>
                </c:pt>
                <c:pt idx="620">
                  <c:v>4.9981533333333331E-3</c:v>
                </c:pt>
                <c:pt idx="621">
                  <c:v>5.0706040000000003E-3</c:v>
                </c:pt>
                <c:pt idx="622">
                  <c:v>5.0706040000000003E-3</c:v>
                </c:pt>
                <c:pt idx="623">
                  <c:v>5.0078600000000003E-3</c:v>
                </c:pt>
                <c:pt idx="624">
                  <c:v>5.0078600000000003E-3</c:v>
                </c:pt>
                <c:pt idx="625">
                  <c:v>4.9990199999999999E-3</c:v>
                </c:pt>
                <c:pt idx="626">
                  <c:v>5.01228E-3</c:v>
                </c:pt>
                <c:pt idx="627">
                  <c:v>5.0299600000000009E-3</c:v>
                </c:pt>
                <c:pt idx="628">
                  <c:v>5.0233300000000003E-3</c:v>
                </c:pt>
                <c:pt idx="629">
                  <c:v>4.9959649999999998E-3</c:v>
                </c:pt>
                <c:pt idx="630">
                  <c:v>5.0090949999999999E-3</c:v>
                </c:pt>
                <c:pt idx="631">
                  <c:v>5.0156599999999999E-3</c:v>
                </c:pt>
                <c:pt idx="632">
                  <c:v>5.0520600000000006E-3</c:v>
                </c:pt>
                <c:pt idx="633">
                  <c:v>5.0498499999999998E-3</c:v>
                </c:pt>
                <c:pt idx="634">
                  <c:v>4.9937766666666673E-3</c:v>
                </c:pt>
                <c:pt idx="635">
                  <c:v>5.004718333333334E-3</c:v>
                </c:pt>
                <c:pt idx="636">
                  <c:v>5.0972680000000012E-3</c:v>
                </c:pt>
                <c:pt idx="637">
                  <c:v>5.0950459999999998E-3</c:v>
                </c:pt>
                <c:pt idx="638">
                  <c:v>5.0156599999999999E-3</c:v>
                </c:pt>
                <c:pt idx="639">
                  <c:v>5.0564800000000003E-3</c:v>
                </c:pt>
                <c:pt idx="640">
                  <c:v>5.0906020000000005E-3</c:v>
                </c:pt>
                <c:pt idx="641">
                  <c:v>5.0719499999999995E-3</c:v>
                </c:pt>
                <c:pt idx="642">
                  <c:v>5.0896300000000004E-3</c:v>
                </c:pt>
                <c:pt idx="643">
                  <c:v>5.0896300000000004E-3</c:v>
                </c:pt>
                <c:pt idx="644">
                  <c:v>5.0616150000000002E-3</c:v>
                </c:pt>
                <c:pt idx="645">
                  <c:v>5.0528616666666677E-3</c:v>
                </c:pt>
                <c:pt idx="646">
                  <c:v>5.0441083333333334E-3</c:v>
                </c:pt>
                <c:pt idx="647">
                  <c:v>5.1061560000000006E-3</c:v>
                </c:pt>
                <c:pt idx="648">
                  <c:v>5.1039340000000001E-3</c:v>
                </c:pt>
                <c:pt idx="649">
                  <c:v>5.1017119999999996E-3</c:v>
                </c:pt>
                <c:pt idx="650">
                  <c:v>5.1039340000000001E-3</c:v>
                </c:pt>
                <c:pt idx="651">
                  <c:v>5.022225E-3</c:v>
                </c:pt>
                <c:pt idx="652">
                  <c:v>5.0244133333333333E-3</c:v>
                </c:pt>
                <c:pt idx="653">
                  <c:v>5.1105999999999999E-3</c:v>
                </c:pt>
                <c:pt idx="654">
                  <c:v>5.1061560000000006E-3</c:v>
                </c:pt>
                <c:pt idx="655">
                  <c:v>5.1217100000000007E-3</c:v>
                </c:pt>
                <c:pt idx="656">
                  <c:v>5.1350420000000003E-3</c:v>
                </c:pt>
                <c:pt idx="657">
                  <c:v>5.1372640000000008E-3</c:v>
                </c:pt>
                <c:pt idx="658">
                  <c:v>5.0572383333333335E-3</c:v>
                </c:pt>
                <c:pt idx="659">
                  <c:v>5.0731999999999999E-3</c:v>
                </c:pt>
                <c:pt idx="660">
                  <c:v>5.0798000000000006E-3</c:v>
                </c:pt>
                <c:pt idx="661">
                  <c:v>5.0886000000000004E-3</c:v>
                </c:pt>
                <c:pt idx="662">
                  <c:v>5.0864000000000005E-3</c:v>
                </c:pt>
                <c:pt idx="663">
                  <c:v>5.1217100000000007E-3</c:v>
                </c:pt>
                <c:pt idx="664">
                  <c:v>5.0930000000000003E-3</c:v>
                </c:pt>
                <c:pt idx="665">
                  <c:v>5.0930000000000003E-3</c:v>
                </c:pt>
                <c:pt idx="666">
                  <c:v>5.1372640000000008E-3</c:v>
                </c:pt>
                <c:pt idx="667">
                  <c:v>5.1394859999999995E-3</c:v>
                </c:pt>
                <c:pt idx="668">
                  <c:v>5.1483739999999998E-3</c:v>
                </c:pt>
                <c:pt idx="669">
                  <c:v>5.1372640000000008E-3</c:v>
                </c:pt>
                <c:pt idx="670">
                  <c:v>5.1328199999999997E-3</c:v>
                </c:pt>
                <c:pt idx="671">
                  <c:v>5.1328199999999997E-3</c:v>
                </c:pt>
                <c:pt idx="672">
                  <c:v>5.115044E-3</c:v>
                </c:pt>
                <c:pt idx="673">
                  <c:v>5.1105999999999999E-3</c:v>
                </c:pt>
                <c:pt idx="674">
                  <c:v>5.0622000000000002E-3</c:v>
                </c:pt>
                <c:pt idx="675">
                  <c:v>5.0622000000000002E-3</c:v>
                </c:pt>
                <c:pt idx="676">
                  <c:v>5.1545333333333334E-3</c:v>
                </c:pt>
                <c:pt idx="677">
                  <c:v>5.104E-3</c:v>
                </c:pt>
                <c:pt idx="678">
                  <c:v>5.1062E-3</c:v>
                </c:pt>
                <c:pt idx="679">
                  <c:v>5.0775999999999998E-3</c:v>
                </c:pt>
                <c:pt idx="680">
                  <c:v>5.0379999999999999E-3</c:v>
                </c:pt>
                <c:pt idx="681">
                  <c:v>5.0423999999999998E-3</c:v>
                </c:pt>
                <c:pt idx="682">
                  <c:v>5.0750480000000004E-3</c:v>
                </c:pt>
                <c:pt idx="683">
                  <c:v>5.0204000000000004E-3</c:v>
                </c:pt>
                <c:pt idx="684">
                  <c:v>5.0204000000000004E-3</c:v>
                </c:pt>
                <c:pt idx="685">
                  <c:v>5.0204000000000004E-3</c:v>
                </c:pt>
                <c:pt idx="686">
                  <c:v>5.0661600000000001E-3</c:v>
                </c:pt>
                <c:pt idx="687">
                  <c:v>5.0093999999999998E-3</c:v>
                </c:pt>
                <c:pt idx="688">
                  <c:v>5.0137999999999997E-3</c:v>
                </c:pt>
                <c:pt idx="689">
                  <c:v>5.0639380000000005E-3</c:v>
                </c:pt>
                <c:pt idx="690">
                  <c:v>5.0617160000000008E-3</c:v>
                </c:pt>
                <c:pt idx="691">
                  <c:v>5.050606E-3</c:v>
                </c:pt>
                <c:pt idx="692">
                  <c:v>5.0483839999999995E-3</c:v>
                </c:pt>
                <c:pt idx="693">
                  <c:v>5.0417180000000006E-3</c:v>
                </c:pt>
                <c:pt idx="694">
                  <c:v>5.0483839999999995E-3</c:v>
                </c:pt>
                <c:pt idx="695">
                  <c:v>5.0350519999999999E-3</c:v>
                </c:pt>
                <c:pt idx="696">
                  <c:v>5.0417180000000006E-3</c:v>
                </c:pt>
                <c:pt idx="697">
                  <c:v>5.0283860000000001E-3</c:v>
                </c:pt>
                <c:pt idx="698">
                  <c:v>5.0172760000000002E-3</c:v>
                </c:pt>
                <c:pt idx="699">
                  <c:v>5.0328300000000003E-3</c:v>
                </c:pt>
                <c:pt idx="700">
                  <c:v>5.0483839999999995E-3</c:v>
                </c:pt>
                <c:pt idx="701">
                  <c:v>5.0528280000000005E-3</c:v>
                </c:pt>
                <c:pt idx="702">
                  <c:v>5.0137999999999997E-3</c:v>
                </c:pt>
                <c:pt idx="703">
                  <c:v>5.0292000000000002E-3</c:v>
                </c:pt>
                <c:pt idx="704">
                  <c:v>5.0336000000000001E-3</c:v>
                </c:pt>
                <c:pt idx="705">
                  <c:v>5.0358000000000009E-3</c:v>
                </c:pt>
                <c:pt idx="706">
                  <c:v>5.0292000000000002E-3</c:v>
                </c:pt>
                <c:pt idx="707">
                  <c:v>5.031400000000001E-3</c:v>
                </c:pt>
                <c:pt idx="708">
                  <c:v>5.0204000000000004E-3</c:v>
                </c:pt>
                <c:pt idx="709">
                  <c:v>5.0071999999999998E-3</c:v>
                </c:pt>
                <c:pt idx="710">
                  <c:v>5.0116000000000006E-3</c:v>
                </c:pt>
                <c:pt idx="711">
                  <c:v>4.9984000000000009E-3</c:v>
                </c:pt>
                <c:pt idx="712">
                  <c:v>5.0106099999999995E-3</c:v>
                </c:pt>
                <c:pt idx="713">
                  <c:v>4.9215616666666677E-3</c:v>
                </c:pt>
                <c:pt idx="714">
                  <c:v>4.9592400000000002E-3</c:v>
                </c:pt>
                <c:pt idx="715">
                  <c:v>4.9548199999999995E-3</c:v>
                </c:pt>
                <c:pt idx="716">
                  <c:v>4.9658700000000007E-3</c:v>
                </c:pt>
                <c:pt idx="717">
                  <c:v>4.9747100000000002E-3</c:v>
                </c:pt>
                <c:pt idx="718">
                  <c:v>5.0056500000000004E-3</c:v>
                </c:pt>
                <c:pt idx="719">
                  <c:v>5.0572719999999998E-3</c:v>
                </c:pt>
                <c:pt idx="720">
                  <c:v>5.0394960000000001E-3</c:v>
                </c:pt>
                <c:pt idx="721">
                  <c:v>5.0439400000000002E-3</c:v>
                </c:pt>
                <c:pt idx="722">
                  <c:v>5.050606E-3</c:v>
                </c:pt>
                <c:pt idx="723">
                  <c:v>5.0728259999999999E-3</c:v>
                </c:pt>
                <c:pt idx="724">
                  <c:v>5.0817140000000002E-3</c:v>
                </c:pt>
                <c:pt idx="725">
                  <c:v>5.07727E-3</c:v>
                </c:pt>
                <c:pt idx="726">
                  <c:v>5.0750480000000004E-3</c:v>
                </c:pt>
                <c:pt idx="727">
                  <c:v>5.0388000000000004E-3</c:v>
                </c:pt>
                <c:pt idx="728">
                  <c:v>4.9740816666666672E-3</c:v>
                </c:pt>
                <c:pt idx="729">
                  <c:v>5.0572719999999998E-3</c:v>
                </c:pt>
                <c:pt idx="730">
                  <c:v>5.0639380000000005E-3</c:v>
                </c:pt>
                <c:pt idx="731">
                  <c:v>5.0321699999999999E-3</c:v>
                </c:pt>
                <c:pt idx="732">
                  <c:v>5.0706040000000003E-3</c:v>
                </c:pt>
                <c:pt idx="733">
                  <c:v>5.0839360000000007E-3</c:v>
                </c:pt>
                <c:pt idx="734">
                  <c:v>5.0883800000000009E-3</c:v>
                </c:pt>
                <c:pt idx="735">
                  <c:v>5.0839360000000007E-3</c:v>
                </c:pt>
                <c:pt idx="736">
                  <c:v>5.0706040000000003E-3</c:v>
                </c:pt>
                <c:pt idx="737">
                  <c:v>5.0594940000000003E-3</c:v>
                </c:pt>
                <c:pt idx="738">
                  <c:v>5.0401999999999999E-3</c:v>
                </c:pt>
                <c:pt idx="739">
                  <c:v>5.0446000000000006E-3</c:v>
                </c:pt>
                <c:pt idx="740">
                  <c:v>5.0906020000000005E-3</c:v>
                </c:pt>
                <c:pt idx="741">
                  <c:v>5.0972680000000012E-3</c:v>
                </c:pt>
                <c:pt idx="742">
                  <c:v>5.0950459999999998E-3</c:v>
                </c:pt>
                <c:pt idx="743">
                  <c:v>5.0534000000000004E-3</c:v>
                </c:pt>
                <c:pt idx="744">
                  <c:v>5.1017119999999996E-3</c:v>
                </c:pt>
                <c:pt idx="745">
                  <c:v>5.0490000000000005E-3</c:v>
                </c:pt>
                <c:pt idx="746">
                  <c:v>5.0534000000000004E-3</c:v>
                </c:pt>
                <c:pt idx="747">
                  <c:v>5.0446000000000006E-3</c:v>
                </c:pt>
                <c:pt idx="748">
                  <c:v>5.0906020000000005E-3</c:v>
                </c:pt>
                <c:pt idx="749">
                  <c:v>5.0861579999999995E-3</c:v>
                </c:pt>
                <c:pt idx="750">
                  <c:v>5.0839360000000007E-3</c:v>
                </c:pt>
                <c:pt idx="751">
                  <c:v>5.07727E-3</c:v>
                </c:pt>
                <c:pt idx="752">
                  <c:v>5.0639380000000005E-3</c:v>
                </c:pt>
                <c:pt idx="753">
                  <c:v>5.0550500000000002E-3</c:v>
                </c:pt>
                <c:pt idx="754">
                  <c:v>5.01228E-3</c:v>
                </c:pt>
                <c:pt idx="755">
                  <c:v>5.0167000000000007E-3</c:v>
                </c:pt>
                <c:pt idx="756">
                  <c:v>5.0439400000000002E-3</c:v>
                </c:pt>
                <c:pt idx="757">
                  <c:v>5.0439400000000002E-3</c:v>
                </c:pt>
                <c:pt idx="758">
                  <c:v>4.9990199999999999E-3</c:v>
                </c:pt>
                <c:pt idx="759">
                  <c:v>5.0736840000000002E-3</c:v>
                </c:pt>
                <c:pt idx="760">
                  <c:v>5.0350519999999999E-3</c:v>
                </c:pt>
                <c:pt idx="761">
                  <c:v>5.0417180000000006E-3</c:v>
                </c:pt>
                <c:pt idx="762">
                  <c:v>5.0550500000000002E-3</c:v>
                </c:pt>
                <c:pt idx="763">
                  <c:v>5.0550500000000002E-3</c:v>
                </c:pt>
                <c:pt idx="764">
                  <c:v>5.0439400000000002E-3</c:v>
                </c:pt>
                <c:pt idx="765">
                  <c:v>5.0550500000000002E-3</c:v>
                </c:pt>
                <c:pt idx="766">
                  <c:v>5.0528280000000005E-3</c:v>
                </c:pt>
                <c:pt idx="767">
                  <c:v>5.050606E-3</c:v>
                </c:pt>
                <c:pt idx="768">
                  <c:v>5.0594940000000003E-3</c:v>
                </c:pt>
                <c:pt idx="769">
                  <c:v>5.0617160000000008E-3</c:v>
                </c:pt>
                <c:pt idx="770">
                  <c:v>5.0270000000000002E-3</c:v>
                </c:pt>
                <c:pt idx="771">
                  <c:v>5.1277333333333338E-3</c:v>
                </c:pt>
                <c:pt idx="772">
                  <c:v>5.1277333333333338E-3</c:v>
                </c:pt>
                <c:pt idx="773">
                  <c:v>5.0401999999999999E-3</c:v>
                </c:pt>
                <c:pt idx="774">
                  <c:v>5.1098666666666674E-3</c:v>
                </c:pt>
                <c:pt idx="775">
                  <c:v>5.1098666666666674E-3</c:v>
                </c:pt>
                <c:pt idx="776">
                  <c:v>5.0839360000000007E-3</c:v>
                </c:pt>
                <c:pt idx="777">
                  <c:v>5.0817140000000002E-3</c:v>
                </c:pt>
                <c:pt idx="778">
                  <c:v>5.0204000000000004E-3</c:v>
                </c:pt>
                <c:pt idx="779">
                  <c:v>5.0071999999999998E-3</c:v>
                </c:pt>
                <c:pt idx="780">
                  <c:v>5.0594940000000003E-3</c:v>
                </c:pt>
                <c:pt idx="781">
                  <c:v>5.0750480000000004E-3</c:v>
                </c:pt>
                <c:pt idx="782">
                  <c:v>5.0661600000000001E-3</c:v>
                </c:pt>
                <c:pt idx="783">
                  <c:v>5.0706040000000003E-3</c:v>
                </c:pt>
                <c:pt idx="784">
                  <c:v>5.0661600000000001E-3</c:v>
                </c:pt>
                <c:pt idx="785">
                  <c:v>5.0594940000000003E-3</c:v>
                </c:pt>
                <c:pt idx="786">
                  <c:v>5.0750480000000004E-3</c:v>
                </c:pt>
                <c:pt idx="787">
                  <c:v>5.0861579999999995E-3</c:v>
                </c:pt>
                <c:pt idx="788">
                  <c:v>5.0750480000000004E-3</c:v>
                </c:pt>
                <c:pt idx="789">
                  <c:v>5.0683819999999997E-3</c:v>
                </c:pt>
                <c:pt idx="790">
                  <c:v>5.0683819999999997E-3</c:v>
                </c:pt>
                <c:pt idx="791">
                  <c:v>5.0661600000000001E-3</c:v>
                </c:pt>
                <c:pt idx="792">
                  <c:v>5.0728259999999999E-3</c:v>
                </c:pt>
                <c:pt idx="793">
                  <c:v>5.0817140000000002E-3</c:v>
                </c:pt>
                <c:pt idx="794">
                  <c:v>5.0728259999999999E-3</c:v>
                </c:pt>
                <c:pt idx="795">
                  <c:v>5.0639380000000005E-3</c:v>
                </c:pt>
                <c:pt idx="796">
                  <c:v>5.0528280000000005E-3</c:v>
                </c:pt>
                <c:pt idx="797">
                  <c:v>5.0189100000000006E-3</c:v>
                </c:pt>
                <c:pt idx="798">
                  <c:v>5.0078600000000003E-3</c:v>
                </c:pt>
                <c:pt idx="799">
                  <c:v>5.0100700000000001E-3</c:v>
                </c:pt>
                <c:pt idx="800">
                  <c:v>5.0255400000000002E-3</c:v>
                </c:pt>
                <c:pt idx="801">
                  <c:v>5.0639380000000005E-3</c:v>
                </c:pt>
                <c:pt idx="802">
                  <c:v>5.0255400000000002E-3</c:v>
                </c:pt>
                <c:pt idx="803">
                  <c:v>5.0277500000000001E-3</c:v>
                </c:pt>
                <c:pt idx="804">
                  <c:v>5.100612E-3</c:v>
                </c:pt>
                <c:pt idx="805">
                  <c:v>5.0728259999999999E-3</c:v>
                </c:pt>
                <c:pt idx="806">
                  <c:v>5.0728259999999999E-3</c:v>
                </c:pt>
                <c:pt idx="807">
                  <c:v>5.0794920000000006E-3</c:v>
                </c:pt>
                <c:pt idx="808">
                  <c:v>5.0661600000000001E-3</c:v>
                </c:pt>
                <c:pt idx="809">
                  <c:v>5.07727E-3</c:v>
                </c:pt>
                <c:pt idx="810">
                  <c:v>5.0379999999999999E-3</c:v>
                </c:pt>
                <c:pt idx="811">
                  <c:v>5.0358000000000009E-3</c:v>
                </c:pt>
                <c:pt idx="812">
                  <c:v>5.0292000000000002E-3</c:v>
                </c:pt>
                <c:pt idx="813">
                  <c:v>5.0270000000000002E-3</c:v>
                </c:pt>
                <c:pt idx="814">
                  <c:v>5.031400000000001E-3</c:v>
                </c:pt>
                <c:pt idx="815">
                  <c:v>5.0883800000000009E-3</c:v>
                </c:pt>
                <c:pt idx="816">
                  <c:v>5.0617160000000008E-3</c:v>
                </c:pt>
                <c:pt idx="817">
                  <c:v>5.0461620000000007E-3</c:v>
                </c:pt>
                <c:pt idx="818">
                  <c:v>5.0439400000000002E-3</c:v>
                </c:pt>
                <c:pt idx="819">
                  <c:v>4.9990199999999999E-3</c:v>
                </c:pt>
                <c:pt idx="820">
                  <c:v>5.0239420000000009E-3</c:v>
                </c:pt>
                <c:pt idx="821">
                  <c:v>4.9434450000000003E-3</c:v>
                </c:pt>
                <c:pt idx="822">
                  <c:v>4.9791300000000009E-3</c:v>
                </c:pt>
                <c:pt idx="823">
                  <c:v>4.9680799999999997E-3</c:v>
                </c:pt>
                <c:pt idx="824">
                  <c:v>4.9614500000000001E-3</c:v>
                </c:pt>
                <c:pt idx="825">
                  <c:v>4.9658700000000007E-3</c:v>
                </c:pt>
                <c:pt idx="826">
                  <c:v>4.9592400000000002E-3</c:v>
                </c:pt>
                <c:pt idx="827">
                  <c:v>5.0056283333333338E-3</c:v>
                </c:pt>
                <c:pt idx="828">
                  <c:v>4.9570300000000012E-3</c:v>
                </c:pt>
                <c:pt idx="829">
                  <c:v>4.9614500000000001E-3</c:v>
                </c:pt>
                <c:pt idx="830">
                  <c:v>4.9680799999999997E-3</c:v>
                </c:pt>
                <c:pt idx="831">
                  <c:v>4.9769200000000001E-3</c:v>
                </c:pt>
                <c:pt idx="832">
                  <c:v>5.0012300000000006E-3</c:v>
                </c:pt>
                <c:pt idx="833">
                  <c:v>5.0906020000000005E-3</c:v>
                </c:pt>
                <c:pt idx="834">
                  <c:v>5.0468000000000006E-3</c:v>
                </c:pt>
                <c:pt idx="835">
                  <c:v>5.0423999999999998E-3</c:v>
                </c:pt>
                <c:pt idx="836">
                  <c:v>5.0556000000000004E-3</c:v>
                </c:pt>
                <c:pt idx="837">
                  <c:v>5.1061560000000006E-3</c:v>
                </c:pt>
                <c:pt idx="838">
                  <c:v>5.1105999999999999E-3</c:v>
                </c:pt>
                <c:pt idx="839">
                  <c:v>5.1039340000000001E-3</c:v>
                </c:pt>
                <c:pt idx="840">
                  <c:v>5.0972680000000012E-3</c:v>
                </c:pt>
                <c:pt idx="841">
                  <c:v>5.0244133333333333E-3</c:v>
                </c:pt>
                <c:pt idx="842">
                  <c:v>5.0287900000000009E-3</c:v>
                </c:pt>
                <c:pt idx="843">
                  <c:v>5.0972680000000012E-3</c:v>
                </c:pt>
                <c:pt idx="844">
                  <c:v>5.0994900000000008E-3</c:v>
                </c:pt>
                <c:pt idx="845">
                  <c:v>5.0972680000000012E-3</c:v>
                </c:pt>
                <c:pt idx="846">
                  <c:v>5.0794920000000006E-3</c:v>
                </c:pt>
                <c:pt idx="847">
                  <c:v>5.07727E-3</c:v>
                </c:pt>
                <c:pt idx="848">
                  <c:v>5.0728259999999999E-3</c:v>
                </c:pt>
                <c:pt idx="849">
                  <c:v>5.0728259999999999E-3</c:v>
                </c:pt>
                <c:pt idx="850">
                  <c:v>5.0178483333333341E-3</c:v>
                </c:pt>
                <c:pt idx="851">
                  <c:v>5.1017119999999996E-3</c:v>
                </c:pt>
                <c:pt idx="852">
                  <c:v>5.1017119999999996E-3</c:v>
                </c:pt>
                <c:pt idx="853">
                  <c:v>5.0994900000000008E-3</c:v>
                </c:pt>
                <c:pt idx="854">
                  <c:v>5.0950459999999998E-3</c:v>
                </c:pt>
                <c:pt idx="855">
                  <c:v>5.0994900000000008E-3</c:v>
                </c:pt>
                <c:pt idx="856">
                  <c:v>5.1128220000000004E-3</c:v>
                </c:pt>
                <c:pt idx="857">
                  <c:v>5.1328199999999997E-3</c:v>
                </c:pt>
                <c:pt idx="858">
                  <c:v>5.1394859999999995E-3</c:v>
                </c:pt>
                <c:pt idx="859">
                  <c:v>5.1350420000000003E-3</c:v>
                </c:pt>
                <c:pt idx="860">
                  <c:v>5.1261540000000008E-3</c:v>
                </c:pt>
                <c:pt idx="861">
                  <c:v>5.1239320000000003E-3</c:v>
                </c:pt>
                <c:pt idx="862">
                  <c:v>5.0907999999999995E-3</c:v>
                </c:pt>
                <c:pt idx="863">
                  <c:v>5.104E-3</c:v>
                </c:pt>
                <c:pt idx="864">
                  <c:v>5.0769333333333336E-3</c:v>
                </c:pt>
                <c:pt idx="865">
                  <c:v>5.1105999999999999E-3</c:v>
                </c:pt>
                <c:pt idx="866">
                  <c:v>5.1097583333333339E-3</c:v>
                </c:pt>
                <c:pt idx="867">
                  <c:v>5.1075700000000005E-3</c:v>
                </c:pt>
                <c:pt idx="868">
                  <c:v>5.1010050000000005E-3</c:v>
                </c:pt>
                <c:pt idx="869">
                  <c:v>5.0944400000000004E-3</c:v>
                </c:pt>
                <c:pt idx="870">
                  <c:v>5.0878750000000004E-3</c:v>
                </c:pt>
                <c:pt idx="871">
                  <c:v>5.085686666666667E-3</c:v>
                </c:pt>
                <c:pt idx="872">
                  <c:v>5.0747450000000003E-3</c:v>
                </c:pt>
                <c:pt idx="873">
                  <c:v>5.0900633333333337E-3</c:v>
                </c:pt>
                <c:pt idx="874">
                  <c:v>5.0769333333333336E-3</c:v>
                </c:pt>
                <c:pt idx="875">
                  <c:v>5.0922516666666662E-3</c:v>
                </c:pt>
                <c:pt idx="876">
                  <c:v>5.085686666666667E-3</c:v>
                </c:pt>
                <c:pt idx="877">
                  <c:v>5.0834983333333337E-3</c:v>
                </c:pt>
                <c:pt idx="878">
                  <c:v>5.0813100000000003E-3</c:v>
                </c:pt>
                <c:pt idx="879">
                  <c:v>5.1316200000000008E-3</c:v>
                </c:pt>
                <c:pt idx="880">
                  <c:v>5.0813100000000003E-3</c:v>
                </c:pt>
                <c:pt idx="881">
                  <c:v>5.0747450000000003E-3</c:v>
                </c:pt>
                <c:pt idx="882">
                  <c:v>5.0747450000000003E-3</c:v>
                </c:pt>
                <c:pt idx="883">
                  <c:v>5.1031933333333338E-3</c:v>
                </c:pt>
                <c:pt idx="884">
                  <c:v>5.079121666666667E-3</c:v>
                </c:pt>
                <c:pt idx="885">
                  <c:v>5.0769333333333336E-3</c:v>
                </c:pt>
                <c:pt idx="886">
                  <c:v>5.079121666666667E-3</c:v>
                </c:pt>
                <c:pt idx="887">
                  <c:v>5.0616150000000002E-3</c:v>
                </c:pt>
                <c:pt idx="888">
                  <c:v>5.1006800000000007E-3</c:v>
                </c:pt>
                <c:pt idx="889">
                  <c:v>5.0896300000000004E-3</c:v>
                </c:pt>
                <c:pt idx="890">
                  <c:v>4.9873920000000002E-3</c:v>
                </c:pt>
                <c:pt idx="891">
                  <c:v>4.9808640000000006E-3</c:v>
                </c:pt>
                <c:pt idx="892">
                  <c:v>4.9786880000000002E-3</c:v>
                </c:pt>
                <c:pt idx="893">
                  <c:v>5.0362880000000007E-3</c:v>
                </c:pt>
                <c:pt idx="894">
                  <c:v>5.0340906666666669E-3</c:v>
                </c:pt>
                <c:pt idx="895">
                  <c:v>5.0143146666666669E-3</c:v>
                </c:pt>
                <c:pt idx="896">
                  <c:v>5.0296960000000002E-3</c:v>
                </c:pt>
                <c:pt idx="897">
                  <c:v>5.0428800000000005E-3</c:v>
                </c:pt>
                <c:pt idx="898">
                  <c:v>5.0450773333333334E-3</c:v>
                </c:pt>
                <c:pt idx="899">
                  <c:v>5.0450773333333334E-3</c:v>
                </c:pt>
                <c:pt idx="900">
                  <c:v>5.0846293333333334E-3</c:v>
                </c:pt>
                <c:pt idx="901">
                  <c:v>5.0352640000000002E-3</c:v>
                </c:pt>
                <c:pt idx="902">
                  <c:v>5.0309120000000011E-3</c:v>
                </c:pt>
                <c:pt idx="903">
                  <c:v>5.0265600000000002E-3</c:v>
                </c:pt>
                <c:pt idx="904">
                  <c:v>5.1282000000000003E-3</c:v>
                </c:pt>
                <c:pt idx="905">
                  <c:v>5.1150000000000006E-3</c:v>
                </c:pt>
                <c:pt idx="906">
                  <c:v>5.079096E-3</c:v>
                </c:pt>
                <c:pt idx="907">
                  <c:v>5.1194000000000005E-3</c:v>
                </c:pt>
                <c:pt idx="908">
                  <c:v>5.0842000000000005E-3</c:v>
                </c:pt>
                <c:pt idx="909">
                  <c:v>5.0864000000000005E-3</c:v>
                </c:pt>
                <c:pt idx="910">
                  <c:v>4.9985000000000003E-3</c:v>
                </c:pt>
                <c:pt idx="911">
                  <c:v>4.9703333333333335E-3</c:v>
                </c:pt>
                <c:pt idx="912">
                  <c:v>4.976833333333334E-3</c:v>
                </c:pt>
                <c:pt idx="913">
                  <c:v>5.0156599999999999E-3</c:v>
                </c:pt>
                <c:pt idx="914">
                  <c:v>5.0156599999999999E-3</c:v>
                </c:pt>
                <c:pt idx="915">
                  <c:v>5.0178483333333341E-3</c:v>
                </c:pt>
                <c:pt idx="916">
                  <c:v>5.0200366666666666E-3</c:v>
                </c:pt>
                <c:pt idx="917">
                  <c:v>5.0266016666666675E-3</c:v>
                </c:pt>
                <c:pt idx="918">
                  <c:v>5.0506733333333335E-3</c:v>
                </c:pt>
                <c:pt idx="919">
                  <c:v>5.0114999999999995E-3</c:v>
                </c:pt>
                <c:pt idx="920">
                  <c:v>5.0114999999999995E-3</c:v>
                </c:pt>
                <c:pt idx="921">
                  <c:v>5.0136666666666671E-3</c:v>
                </c:pt>
                <c:pt idx="922">
                  <c:v>5.0071666666666667E-3</c:v>
                </c:pt>
                <c:pt idx="923">
                  <c:v>5.0114999999999995E-3</c:v>
                </c:pt>
                <c:pt idx="924">
                  <c:v>4.9985000000000003E-3</c:v>
                </c:pt>
                <c:pt idx="925">
                  <c:v>4.9855000000000003E-3</c:v>
                </c:pt>
                <c:pt idx="926">
                  <c:v>4.9681666666666667E-3</c:v>
                </c:pt>
                <c:pt idx="927">
                  <c:v>4.9789999999999999E-3</c:v>
                </c:pt>
                <c:pt idx="928">
                  <c:v>5.0069066666666665E-3</c:v>
                </c:pt>
                <c:pt idx="929">
                  <c:v>4.9147946666666673E-3</c:v>
                </c:pt>
                <c:pt idx="930">
                  <c:v>4.9438720000000002E-3</c:v>
                </c:pt>
                <c:pt idx="931">
                  <c:v>4.927722666666667E-3</c:v>
                </c:pt>
                <c:pt idx="932">
                  <c:v>5.0048000000000002E-3</c:v>
                </c:pt>
                <c:pt idx="933">
                  <c:v>5.0026240000000007E-3</c:v>
                </c:pt>
                <c:pt idx="934">
                  <c:v>4.9286400000000006E-3</c:v>
                </c:pt>
                <c:pt idx="935">
                  <c:v>4.9199360000000006E-3</c:v>
                </c:pt>
                <c:pt idx="936">
                  <c:v>4.8938239999999997E-3</c:v>
                </c:pt>
                <c:pt idx="937">
                  <c:v>4.9199360000000006E-3</c:v>
                </c:pt>
                <c:pt idx="938">
                  <c:v>4.9104853333333332E-3</c:v>
                </c:pt>
                <c:pt idx="939">
                  <c:v>4.9981533333333331E-3</c:v>
                </c:pt>
                <c:pt idx="940">
                  <c:v>5.0003416666666673E-3</c:v>
                </c:pt>
                <c:pt idx="941">
                  <c:v>5.0069066666666665E-3</c:v>
                </c:pt>
                <c:pt idx="942">
                  <c:v>4.9100100000000002E-3</c:v>
                </c:pt>
                <c:pt idx="943">
                  <c:v>4.851045333333334E-3</c:v>
                </c:pt>
                <c:pt idx="944">
                  <c:v>4.9136653333333342E-3</c:v>
                </c:pt>
                <c:pt idx="945">
                  <c:v>4.9172199999999999E-3</c:v>
                </c:pt>
                <c:pt idx="946">
                  <c:v>5.0868266666666672E-3</c:v>
                </c:pt>
                <c:pt idx="947">
                  <c:v>5.1725226666666669E-3</c:v>
                </c:pt>
                <c:pt idx="948">
                  <c:v>5.1395626666666666E-3</c:v>
                </c:pt>
                <c:pt idx="949">
                  <c:v>5.1736100000000004E-3</c:v>
                </c:pt>
                <c:pt idx="950">
                  <c:v>5.1890799999999996E-3</c:v>
                </c:pt>
                <c:pt idx="951">
                  <c:v>5.1703253333333339E-3</c:v>
                </c:pt>
                <c:pt idx="952">
                  <c:v>5.2045500000000005E-3</c:v>
                </c:pt>
                <c:pt idx="953">
                  <c:v>5.21339E-3</c:v>
                </c:pt>
                <c:pt idx="954">
                  <c:v>5.1857066666666663E-3</c:v>
                </c:pt>
                <c:pt idx="955">
                  <c:v>5.1439573333333342E-3</c:v>
                </c:pt>
                <c:pt idx="956">
                  <c:v>5.0679039999999998E-3</c:v>
                </c:pt>
                <c:pt idx="957">
                  <c:v>5.0657280000000002E-3</c:v>
                </c:pt>
                <c:pt idx="958">
                  <c:v>5.0722559999999998E-3</c:v>
                </c:pt>
                <c:pt idx="959">
                  <c:v>5.0657280000000002E-3</c:v>
                </c:pt>
                <c:pt idx="960">
                  <c:v>5.1625600000000001E-3</c:v>
                </c:pt>
                <c:pt idx="961">
                  <c:v>5.1736100000000004E-3</c:v>
                </c:pt>
                <c:pt idx="962">
                  <c:v>5.1890799999999996E-3</c:v>
                </c:pt>
                <c:pt idx="963">
                  <c:v>5.1005440000000003E-3</c:v>
                </c:pt>
                <c:pt idx="964">
                  <c:v>5.1329706666666669E-3</c:v>
                </c:pt>
                <c:pt idx="965">
                  <c:v>5.1175893333333337E-3</c:v>
                </c:pt>
                <c:pt idx="966">
                  <c:v>5.1153919999999999E-3</c:v>
                </c:pt>
                <c:pt idx="967">
                  <c:v>5.1197866666666675E-3</c:v>
                </c:pt>
                <c:pt idx="968">
                  <c:v>5.1439573333333342E-3</c:v>
                </c:pt>
                <c:pt idx="969">
                  <c:v>5.1725226666666669E-3</c:v>
                </c:pt>
                <c:pt idx="970">
                  <c:v>5.2032853333333342E-3</c:v>
                </c:pt>
                <c:pt idx="971">
                  <c:v>5.2010880000000004E-3</c:v>
                </c:pt>
                <c:pt idx="972">
                  <c:v>5.2249599999999998E-3</c:v>
                </c:pt>
                <c:pt idx="973">
                  <c:v>5.1637333333333334E-3</c:v>
                </c:pt>
                <c:pt idx="974">
                  <c:v>5.1266560000000003E-3</c:v>
                </c:pt>
                <c:pt idx="975">
                  <c:v>5.0918400000000003E-3</c:v>
                </c:pt>
                <c:pt idx="976">
                  <c:v>5.1417600000000004E-3</c:v>
                </c:pt>
                <c:pt idx="977">
                  <c:v>5.2332799999999999E-3</c:v>
                </c:pt>
                <c:pt idx="978">
                  <c:v>5.0309120000000011E-3</c:v>
                </c:pt>
                <c:pt idx="979">
                  <c:v>5.0570240000000002E-3</c:v>
                </c:pt>
                <c:pt idx="980">
                  <c:v>5.1266560000000003E-3</c:v>
                </c:pt>
                <c:pt idx="981">
                  <c:v>5.0940160000000007E-3</c:v>
                </c:pt>
                <c:pt idx="982">
                  <c:v>5.2023399999999997E-3</c:v>
                </c:pt>
                <c:pt idx="983">
                  <c:v>5.1736100000000004E-3</c:v>
                </c:pt>
                <c:pt idx="984">
                  <c:v>5.1197866666666675E-3</c:v>
                </c:pt>
                <c:pt idx="985">
                  <c:v>5.1044053333333334E-3</c:v>
                </c:pt>
                <c:pt idx="986">
                  <c:v>5.018832E-3</c:v>
                </c:pt>
                <c:pt idx="987">
                  <c:v>4.9042000000000001E-3</c:v>
                </c:pt>
                <c:pt idx="988">
                  <c:v>4.8825000000000006E-3</c:v>
                </c:pt>
                <c:pt idx="989">
                  <c:v>4.9576799999999999E-3</c:v>
                </c:pt>
                <c:pt idx="990">
                  <c:v>4.8629700000000003E-3</c:v>
                </c:pt>
                <c:pt idx="991">
                  <c:v>4.9005213333333337E-3</c:v>
                </c:pt>
                <c:pt idx="992">
                  <c:v>4.9795200000000003E-3</c:v>
                </c:pt>
                <c:pt idx="993">
                  <c:v>5.0396160000000002E-3</c:v>
                </c:pt>
                <c:pt idx="994">
                  <c:v>5.0396160000000002E-3</c:v>
                </c:pt>
                <c:pt idx="995">
                  <c:v>5.0582613333333337E-3</c:v>
                </c:pt>
                <c:pt idx="996">
                  <c:v>1.1800448000000002E-2</c:v>
                </c:pt>
                <c:pt idx="997">
                  <c:v>5.8348056000000002E-2</c:v>
                </c:pt>
                <c:pt idx="998">
                  <c:v>5.3522533333333337E-2</c:v>
                </c:pt>
                <c:pt idx="999">
                  <c:v>5.4247432000000005E-2</c:v>
                </c:pt>
                <c:pt idx="1000">
                  <c:v>5.3796079999999996E-2</c:v>
                </c:pt>
                <c:pt idx="1001">
                  <c:v>5.4821910666666668E-2</c:v>
                </c:pt>
                <c:pt idx="1002">
                  <c:v>5.4993000000000007E-2</c:v>
                </c:pt>
                <c:pt idx="1003">
                  <c:v>5.1187136000000001E-2</c:v>
                </c:pt>
                <c:pt idx="1004">
                  <c:v>5.116462866666667E-2</c:v>
                </c:pt>
                <c:pt idx="1005">
                  <c:v>5.1209339999999999E-2</c:v>
                </c:pt>
                <c:pt idx="1006">
                  <c:v>5.124334366666667E-2</c:v>
                </c:pt>
                <c:pt idx="1007">
                  <c:v>5.1125013333333344E-2</c:v>
                </c:pt>
                <c:pt idx="1008">
                  <c:v>5.1494716000000003E-2</c:v>
                </c:pt>
                <c:pt idx="1009">
                  <c:v>5.1173243333333333E-2</c:v>
                </c:pt>
                <c:pt idx="1010">
                  <c:v>5.1440389000000003E-2</c:v>
                </c:pt>
                <c:pt idx="1011">
                  <c:v>5.0814430333333334E-2</c:v>
                </c:pt>
                <c:pt idx="1012">
                  <c:v>5.0711175666666664E-2</c:v>
                </c:pt>
                <c:pt idx="1013">
                  <c:v>5.0696645999999998E-2</c:v>
                </c:pt>
                <c:pt idx="1014">
                  <c:v>5.2741392000000005E-2</c:v>
                </c:pt>
                <c:pt idx="1015">
                  <c:v>5.7316644E-2</c:v>
                </c:pt>
                <c:pt idx="1016">
                  <c:v>5.7904962000000011E-2</c:v>
                </c:pt>
                <c:pt idx="1017">
                  <c:v>5.3084582666666665E-2</c:v>
                </c:pt>
                <c:pt idx="1018">
                  <c:v>5.3069743999999995E-2</c:v>
                </c:pt>
                <c:pt idx="1019">
                  <c:v>5.1174396000000004E-2</c:v>
                </c:pt>
                <c:pt idx="1020">
                  <c:v>5.0821558666666669E-2</c:v>
                </c:pt>
                <c:pt idx="1021">
                  <c:v>5.0732287666666667E-2</c:v>
                </c:pt>
                <c:pt idx="1022">
                  <c:v>5.0891750000000006E-2</c:v>
                </c:pt>
                <c:pt idx="1023">
                  <c:v>5.0589781666666667E-2</c:v>
                </c:pt>
                <c:pt idx="1024">
                  <c:v>5.0642592E-2</c:v>
                </c:pt>
                <c:pt idx="1025">
                  <c:v>5.0885076666666668E-2</c:v>
                </c:pt>
                <c:pt idx="1026">
                  <c:v>5.100835133333334E-2</c:v>
                </c:pt>
                <c:pt idx="1027">
                  <c:v>5.0966370000000004E-2</c:v>
                </c:pt>
                <c:pt idx="1028">
                  <c:v>5.1200846666666668E-2</c:v>
                </c:pt>
                <c:pt idx="1029">
                  <c:v>5.1571520000000003E-2</c:v>
                </c:pt>
                <c:pt idx="1030">
                  <c:v>5.1472329999999997E-2</c:v>
                </c:pt>
                <c:pt idx="1031">
                  <c:v>5.1750183333333338E-2</c:v>
                </c:pt>
                <c:pt idx="1032">
                  <c:v>5.2217013333333333E-2</c:v>
                </c:pt>
                <c:pt idx="1033">
                  <c:v>5.2757189333333336E-2</c:v>
                </c:pt>
                <c:pt idx="1034">
                  <c:v>5.1957360000000008E-2</c:v>
                </c:pt>
                <c:pt idx="1035">
                  <c:v>5.1412725000000006E-2</c:v>
                </c:pt>
                <c:pt idx="1036">
                  <c:v>5.0874733000000005E-2</c:v>
                </c:pt>
                <c:pt idx="1037">
                  <c:v>5.08599E-2</c:v>
                </c:pt>
                <c:pt idx="1038">
                  <c:v>5.1065954333333344E-2</c:v>
                </c:pt>
                <c:pt idx="1039">
                  <c:v>5.0988877333333335E-2</c:v>
                </c:pt>
                <c:pt idx="1040">
                  <c:v>5.0818950000000009E-2</c:v>
                </c:pt>
                <c:pt idx="1041">
                  <c:v>5.0844733333333336E-2</c:v>
                </c:pt>
                <c:pt idx="1042">
                  <c:v>5.0892842000000001E-2</c:v>
                </c:pt>
                <c:pt idx="1043">
                  <c:v>5.0892265666666665E-2</c:v>
                </c:pt>
                <c:pt idx="1044">
                  <c:v>5.2425463999999998E-2</c:v>
                </c:pt>
                <c:pt idx="1045">
                  <c:v>5.08872E-2</c:v>
                </c:pt>
                <c:pt idx="1046">
                  <c:v>5.1100049000000002E-2</c:v>
                </c:pt>
                <c:pt idx="1047">
                  <c:v>5.0926512000000007E-2</c:v>
                </c:pt>
                <c:pt idx="1048">
                  <c:v>5.1207277333333343E-2</c:v>
                </c:pt>
                <c:pt idx="1049">
                  <c:v>5.0976349666666664E-2</c:v>
                </c:pt>
                <c:pt idx="1050">
                  <c:v>5.1220259999999997E-2</c:v>
                </c:pt>
                <c:pt idx="1051">
                  <c:v>5.1045994999999997E-2</c:v>
                </c:pt>
                <c:pt idx="1052">
                  <c:v>5.1574856666666669E-2</c:v>
                </c:pt>
                <c:pt idx="1053">
                  <c:v>5.0984387999999999E-2</c:v>
                </c:pt>
                <c:pt idx="1054">
                  <c:v>5.1707474000000003E-2</c:v>
                </c:pt>
                <c:pt idx="1055">
                  <c:v>5.051877133333333E-2</c:v>
                </c:pt>
                <c:pt idx="1056">
                  <c:v>4.9755069000000006E-2</c:v>
                </c:pt>
                <c:pt idx="1057">
                  <c:v>5.130079500000001E-2</c:v>
                </c:pt>
                <c:pt idx="1058">
                  <c:v>1.97524E-2</c:v>
                </c:pt>
                <c:pt idx="1059">
                  <c:v>6.6470000000000001E-3</c:v>
                </c:pt>
                <c:pt idx="1060">
                  <c:v>6.4335366666666664E-3</c:v>
                </c:pt>
                <c:pt idx="1061">
                  <c:v>5.14709E-3</c:v>
                </c:pt>
                <c:pt idx="1062">
                  <c:v>5.0439680000000002E-3</c:v>
                </c:pt>
                <c:pt idx="1063">
                  <c:v>5.0846293333333334E-3</c:v>
                </c:pt>
                <c:pt idx="1064">
                  <c:v>5.6522752000000001E-3</c:v>
                </c:pt>
                <c:pt idx="1065">
                  <c:v>5.5375319999999995E-3</c:v>
                </c:pt>
                <c:pt idx="1066">
                  <c:v>5.5544191999999997E-3</c:v>
                </c:pt>
                <c:pt idx="1067">
                  <c:v>5.6253340000000001E-3</c:v>
                </c:pt>
                <c:pt idx="1068">
                  <c:v>5.6496440000000005E-3</c:v>
                </c:pt>
                <c:pt idx="1069">
                  <c:v>5.5364833333333341E-3</c:v>
                </c:pt>
                <c:pt idx="1070">
                  <c:v>5.4621952000000005E-3</c:v>
                </c:pt>
                <c:pt idx="1071">
                  <c:v>5.6472130000000008E-3</c:v>
                </c:pt>
                <c:pt idx="1072">
                  <c:v>5.6269312E-3</c:v>
                </c:pt>
                <c:pt idx="1073">
                  <c:v>5.6075946666666668E-3</c:v>
                </c:pt>
                <c:pt idx="1074">
                  <c:v>5.5906751999999999E-3</c:v>
                </c:pt>
                <c:pt idx="1075">
                  <c:v>5.529216E-3</c:v>
                </c:pt>
                <c:pt idx="1076">
                  <c:v>5.5955093333333325E-3</c:v>
                </c:pt>
                <c:pt idx="1077">
                  <c:v>5.5663608000000005E-3</c:v>
                </c:pt>
                <c:pt idx="1078">
                  <c:v>5.6293482666666663E-3</c:v>
                </c:pt>
                <c:pt idx="1079">
                  <c:v>5.6003434666666669E-3</c:v>
                </c:pt>
                <c:pt idx="1080">
                  <c:v>5.5363968000000001E-3</c:v>
                </c:pt>
                <c:pt idx="1081">
                  <c:v>5.5231176000000003E-3</c:v>
                </c:pt>
                <c:pt idx="1082">
                  <c:v>5.4390336000000004E-3</c:v>
                </c:pt>
                <c:pt idx="1083">
                  <c:v>5.5010340000000001E-3</c:v>
                </c:pt>
                <c:pt idx="1084">
                  <c:v>5.4351989999999999E-3</c:v>
                </c:pt>
                <c:pt idx="1085">
                  <c:v>5.4754824666666674E-3</c:v>
                </c:pt>
                <c:pt idx="1086">
                  <c:v>5.4351989999999999E-3</c:v>
                </c:pt>
                <c:pt idx="1087">
                  <c:v>5.5543488E-3</c:v>
                </c:pt>
                <c:pt idx="1088">
                  <c:v>5.4894840000000002E-3</c:v>
                </c:pt>
                <c:pt idx="1089">
                  <c:v>5.4638430000000003E-3</c:v>
                </c:pt>
                <c:pt idx="1090">
                  <c:v>5.5786500000000001E-3</c:v>
                </c:pt>
                <c:pt idx="1091">
                  <c:v>5.4423600000000003E-3</c:v>
                </c:pt>
                <c:pt idx="1092">
                  <c:v>5.4990114666666661E-3</c:v>
                </c:pt>
                <c:pt idx="1093">
                  <c:v>5.5616715000000004E-3</c:v>
                </c:pt>
                <c:pt idx="1094">
                  <c:v>5.5932029999999997E-3</c:v>
                </c:pt>
                <c:pt idx="1095">
                  <c:v>5.5231176000000003E-3</c:v>
                </c:pt>
                <c:pt idx="1096">
                  <c:v>5.4700946666666663E-3</c:v>
                </c:pt>
                <c:pt idx="1097">
                  <c:v>5.4495209999999997E-3</c:v>
                </c:pt>
                <c:pt idx="1098">
                  <c:v>5.549544E-3</c:v>
                </c:pt>
                <c:pt idx="1099">
                  <c:v>5.5951895999999997E-3</c:v>
                </c:pt>
                <c:pt idx="1100">
                  <c:v>5.5351295999999999E-3</c:v>
                </c:pt>
                <c:pt idx="1101">
                  <c:v>5.5038983999999994E-3</c:v>
                </c:pt>
                <c:pt idx="1102">
                  <c:v>5.4798744000000002E-3</c:v>
                </c:pt>
                <c:pt idx="1103">
                  <c:v>5.4702648000000001E-3</c:v>
                </c:pt>
                <c:pt idx="1104">
                  <c:v>5.3826849999999999E-3</c:v>
                </c:pt>
                <c:pt idx="1105">
                  <c:v>5.5107359999999996E-3</c:v>
                </c:pt>
                <c:pt idx="1106">
                  <c:v>5.4375860000000003E-3</c:v>
                </c:pt>
                <c:pt idx="1107">
                  <c:v>5.5325655000000003E-3</c:v>
                </c:pt>
                <c:pt idx="1108">
                  <c:v>5.4582527999999996E-3</c:v>
                </c:pt>
                <c:pt idx="1109">
                  <c:v>5.4113290000000003E-3</c:v>
                </c:pt>
                <c:pt idx="1110">
                  <c:v>5.4000760000000002E-3</c:v>
                </c:pt>
                <c:pt idx="1111">
                  <c:v>5.4268331333333338E-3</c:v>
                </c:pt>
                <c:pt idx="1112">
                  <c:v>5.4268331333333338E-3</c:v>
                </c:pt>
                <c:pt idx="1113">
                  <c:v>5.3712956000000001E-3</c:v>
                </c:pt>
                <c:pt idx="1114">
                  <c:v>5.3206911999999999E-3</c:v>
                </c:pt>
                <c:pt idx="1115">
                  <c:v>5.3255106666666666E-3</c:v>
                </c:pt>
                <c:pt idx="1116">
                  <c:v>5.3492669999999996E-3</c:v>
                </c:pt>
                <c:pt idx="1117">
                  <c:v>5.3993939999999992E-3</c:v>
                </c:pt>
                <c:pt idx="1118">
                  <c:v>5.4821433333333332E-3</c:v>
                </c:pt>
                <c:pt idx="1119">
                  <c:v>5.4267194666666662E-3</c:v>
                </c:pt>
                <c:pt idx="1120">
                  <c:v>5.3605295333333334E-3</c:v>
                </c:pt>
                <c:pt idx="1121">
                  <c:v>5.4292656000000002E-3</c:v>
                </c:pt>
                <c:pt idx="1122">
                  <c:v>5.3680223666666667E-3</c:v>
                </c:pt>
                <c:pt idx="1123">
                  <c:v>5.4171032666666665E-3</c:v>
                </c:pt>
                <c:pt idx="1124">
                  <c:v>5.3177644666666662E-3</c:v>
                </c:pt>
                <c:pt idx="1125">
                  <c:v>5.4195357333333329E-3</c:v>
                </c:pt>
                <c:pt idx="1126">
                  <c:v>5.4074415999999991E-3</c:v>
                </c:pt>
                <c:pt idx="1127">
                  <c:v>5.3225956666666666E-3</c:v>
                </c:pt>
                <c:pt idx="1128">
                  <c:v>5.2708392000000003E-3</c:v>
                </c:pt>
                <c:pt idx="1129">
                  <c:v>5.3441292666666666E-3</c:v>
                </c:pt>
                <c:pt idx="1130">
                  <c:v>5.3027773333333339E-3</c:v>
                </c:pt>
                <c:pt idx="1131">
                  <c:v>5.353859133333333E-3</c:v>
                </c:pt>
                <c:pt idx="1132">
                  <c:v>5.3343994000000002E-3</c:v>
                </c:pt>
                <c:pt idx="1133">
                  <c:v>5.3271020000000002E-3</c:v>
                </c:pt>
                <c:pt idx="1134">
                  <c:v>5.3368318666666666E-3</c:v>
                </c:pt>
                <c:pt idx="1135">
                  <c:v>5.2394364000000002E-3</c:v>
                </c:pt>
                <c:pt idx="1136">
                  <c:v>5.2539300000000004E-3</c:v>
                </c:pt>
                <c:pt idx="1137">
                  <c:v>5.4098058666666666E-3</c:v>
                </c:pt>
                <c:pt idx="1138">
                  <c:v>5.4339486666666664E-3</c:v>
                </c:pt>
                <c:pt idx="1139">
                  <c:v>5.4519080000000001E-3</c:v>
                </c:pt>
                <c:pt idx="1140">
                  <c:v>5.4351989999999999E-3</c:v>
                </c:pt>
                <c:pt idx="1141">
                  <c:v>5.4590690000000004E-3</c:v>
                </c:pt>
                <c:pt idx="1142">
                  <c:v>5.4065550000000004E-3</c:v>
                </c:pt>
                <c:pt idx="1143">
                  <c:v>5.4702648000000001E-3</c:v>
                </c:pt>
                <c:pt idx="1144">
                  <c:v>5.3635889999999993E-3</c:v>
                </c:pt>
                <c:pt idx="1145">
                  <c:v>5.383344266666667E-3</c:v>
                </c:pt>
                <c:pt idx="1146">
                  <c:v>5.3905734666666672E-3</c:v>
                </c:pt>
                <c:pt idx="1147">
                  <c:v>5.4291292000000005E-3</c:v>
                </c:pt>
                <c:pt idx="1148">
                  <c:v>5.4170805333333336E-3</c:v>
                </c:pt>
                <c:pt idx="1149">
                  <c:v>5.329708266666666E-3</c:v>
                </c:pt>
                <c:pt idx="1150">
                  <c:v>5.4510456000000001E-3</c:v>
                </c:pt>
                <c:pt idx="1151">
                  <c:v>5.4774720000000006E-3</c:v>
                </c:pt>
                <c:pt idx="1152">
                  <c:v>5.4846792000000002E-3</c:v>
                </c:pt>
                <c:pt idx="1153">
                  <c:v>5.3850720000000003E-3</c:v>
                </c:pt>
                <c:pt idx="1154">
                  <c:v>5.3444929999999996E-3</c:v>
                </c:pt>
                <c:pt idx="1155">
                  <c:v>5.3327398666666668E-3</c:v>
                </c:pt>
                <c:pt idx="1156">
                  <c:v>5.3447885333333337E-3</c:v>
                </c:pt>
                <c:pt idx="1157">
                  <c:v>5.2962253666666665E-3</c:v>
                </c:pt>
                <c:pt idx="1158">
                  <c:v>5.3351496000000002E-3</c:v>
                </c:pt>
                <c:pt idx="1159">
                  <c:v>5.3182814666666665E-3</c:v>
                </c:pt>
                <c:pt idx="1160">
                  <c:v>5.3471982666666671E-3</c:v>
                </c:pt>
                <c:pt idx="1161">
                  <c:v>5.3544274666666664E-3</c:v>
                </c:pt>
                <c:pt idx="1162">
                  <c:v>5.3544274666666664E-3</c:v>
                </c:pt>
                <c:pt idx="1163">
                  <c:v>5.3441292666666666E-3</c:v>
                </c:pt>
                <c:pt idx="1164">
                  <c:v>5.3119043999999994E-3</c:v>
                </c:pt>
                <c:pt idx="1165">
                  <c:v>5.3360604000000002E-3</c:v>
                </c:pt>
                <c:pt idx="1166">
                  <c:v>5.3433072000000003E-3</c:v>
                </c:pt>
                <c:pt idx="1167">
                  <c:v>5.3239823999999998E-3</c:v>
                </c:pt>
                <c:pt idx="1168">
                  <c:v>5.3153712333333337E-3</c:v>
                </c:pt>
                <c:pt idx="1169">
                  <c:v>5.3129780000000003E-3</c:v>
                </c:pt>
                <c:pt idx="1170">
                  <c:v>5.3177644666666662E-3</c:v>
                </c:pt>
                <c:pt idx="1171">
                  <c:v>5.281865966666667E-3</c:v>
                </c:pt>
                <c:pt idx="1172">
                  <c:v>5.3879136666666666E-3</c:v>
                </c:pt>
                <c:pt idx="1173">
                  <c:v>5.3399690666666661E-3</c:v>
                </c:pt>
                <c:pt idx="1174">
                  <c:v>5.3255106666666666E-3</c:v>
                </c:pt>
                <c:pt idx="1175">
                  <c:v>5.3325580000000003E-3</c:v>
                </c:pt>
                <c:pt idx="1176">
                  <c:v>5.3540409999999995E-3</c:v>
                </c:pt>
                <c:pt idx="1177">
                  <c:v>5.3946200000000001E-3</c:v>
                </c:pt>
                <c:pt idx="1178">
                  <c:v>5.4484070666666667E-3</c:v>
                </c:pt>
                <c:pt idx="1179">
                  <c:v>5.3368208666666663E-3</c:v>
                </c:pt>
                <c:pt idx="1180">
                  <c:v>5.3874590000000007E-3</c:v>
                </c:pt>
                <c:pt idx="1181">
                  <c:v>5.3320791333333331E-3</c:v>
                </c:pt>
                <c:pt idx="1182">
                  <c:v>5.4017809999999996E-3</c:v>
                </c:pt>
                <c:pt idx="1183">
                  <c:v>5.3645210666666667E-3</c:v>
                </c:pt>
                <c:pt idx="1184">
                  <c:v>5.4846792000000002E-3</c:v>
                </c:pt>
                <c:pt idx="1185">
                  <c:v>5.4113290000000003E-3</c:v>
                </c:pt>
                <c:pt idx="1186">
                  <c:v>5.4232640000000006E-3</c:v>
                </c:pt>
                <c:pt idx="1187">
                  <c:v>5.4375860000000003E-3</c:v>
                </c:pt>
                <c:pt idx="1188">
                  <c:v>5.4351989999999999E-3</c:v>
                </c:pt>
                <c:pt idx="1189">
                  <c:v>5.3960925333333331E-3</c:v>
                </c:pt>
                <c:pt idx="1190">
                  <c:v>5.3676421333333328E-3</c:v>
                </c:pt>
                <c:pt idx="1191">
                  <c:v>5.4676849333333338E-3</c:v>
                </c:pt>
                <c:pt idx="1192">
                  <c:v>5.4184899999999998E-3</c:v>
                </c:pt>
                <c:pt idx="1193">
                  <c:v>5.3249665333333336E-3</c:v>
                </c:pt>
                <c:pt idx="1194">
                  <c:v>5.3970070000000005E-3</c:v>
                </c:pt>
                <c:pt idx="1195">
                  <c:v>5.3898459999999994E-3</c:v>
                </c:pt>
                <c:pt idx="1196">
                  <c:v>5.3605295333333334E-3</c:v>
                </c:pt>
                <c:pt idx="1197">
                  <c:v>5.4399729999999999E-3</c:v>
                </c:pt>
                <c:pt idx="1198">
                  <c:v>5.4232640000000006E-3</c:v>
                </c:pt>
                <c:pt idx="1199">
                  <c:v>5.4590690000000004E-3</c:v>
                </c:pt>
                <c:pt idx="1200">
                  <c:v>5.3716138666666672E-3</c:v>
                </c:pt>
                <c:pt idx="1201">
                  <c:v>5.5231176000000003E-3</c:v>
                </c:pt>
                <c:pt idx="1202">
                  <c:v>5.4089419999999999E-3</c:v>
                </c:pt>
                <c:pt idx="1203">
                  <c:v>5.343242666666667E-3</c:v>
                </c:pt>
                <c:pt idx="1204">
                  <c:v>5.3668853333333332E-3</c:v>
                </c:pt>
                <c:pt idx="1205">
                  <c:v>5.4351989999999999E-3</c:v>
                </c:pt>
                <c:pt idx="1206">
                  <c:v>5.4165349333333331E-3</c:v>
                </c:pt>
                <c:pt idx="1207">
                  <c:v>5.3857994666666664E-3</c:v>
                </c:pt>
                <c:pt idx="1208">
                  <c:v>5.4726672000000006E-3</c:v>
                </c:pt>
                <c:pt idx="1209">
                  <c:v>5.4894840000000002E-3</c:v>
                </c:pt>
                <c:pt idx="1210">
                  <c:v>5.3810709333333342E-3</c:v>
                </c:pt>
                <c:pt idx="1211">
                  <c:v>5.4990936000000002E-3</c:v>
                </c:pt>
                <c:pt idx="1212">
                  <c:v>5.4846792000000002E-3</c:v>
                </c:pt>
                <c:pt idx="1213">
                  <c:v>5.4184899999999998E-3</c:v>
                </c:pt>
                <c:pt idx="1214">
                  <c:v>5.430425E-3</c:v>
                </c:pt>
                <c:pt idx="1215">
                  <c:v>5.4399729999999999E-3</c:v>
                </c:pt>
                <c:pt idx="1216">
                  <c:v>5.3668853333333332E-3</c:v>
                </c:pt>
                <c:pt idx="1217">
                  <c:v>5.4894840000000002E-3</c:v>
                </c:pt>
                <c:pt idx="1218">
                  <c:v>5.3739781333333328E-3</c:v>
                </c:pt>
                <c:pt idx="1219">
                  <c:v>5.3739781333333328E-3</c:v>
                </c:pt>
                <c:pt idx="1220">
                  <c:v>5.3763423999999994E-3</c:v>
                </c:pt>
                <c:pt idx="1221">
                  <c:v>5.5063007999999998E-3</c:v>
                </c:pt>
                <c:pt idx="1222">
                  <c:v>5.5087031999999994E-3</c:v>
                </c:pt>
                <c:pt idx="1223">
                  <c:v>5.5135080000000003E-3</c:v>
                </c:pt>
                <c:pt idx="1224">
                  <c:v>5.5038983999999994E-3</c:v>
                </c:pt>
                <c:pt idx="1225">
                  <c:v>5.5159103999999999E-3</c:v>
                </c:pt>
                <c:pt idx="1226">
                  <c:v>5.4966911999999998E-3</c:v>
                </c:pt>
                <c:pt idx="1227">
                  <c:v>5.3993939999999992E-3</c:v>
                </c:pt>
                <c:pt idx="1228">
                  <c:v>5.4137159999999998E-3</c:v>
                </c:pt>
                <c:pt idx="1229">
                  <c:v>5.4017809999999996E-3</c:v>
                </c:pt>
                <c:pt idx="1230">
                  <c:v>5.4232640000000006E-3</c:v>
                </c:pt>
                <c:pt idx="1231">
                  <c:v>5.3668853333333332E-3</c:v>
                </c:pt>
                <c:pt idx="1232">
                  <c:v>5.4232640000000006E-3</c:v>
                </c:pt>
                <c:pt idx="1233">
                  <c:v>5.3635889999999993E-3</c:v>
                </c:pt>
                <c:pt idx="1234">
                  <c:v>5.3635889999999993E-3</c:v>
                </c:pt>
                <c:pt idx="1235">
                  <c:v>5.3444929999999996E-3</c:v>
                </c:pt>
                <c:pt idx="1236">
                  <c:v>5.3612020000000007E-3</c:v>
                </c:pt>
                <c:pt idx="1237">
                  <c:v>5.3905734666666672E-3</c:v>
                </c:pt>
                <c:pt idx="1238">
                  <c:v>5.4208770000000002E-3</c:v>
                </c:pt>
                <c:pt idx="1239">
                  <c:v>5.4508168000000001E-3</c:v>
                </c:pt>
                <c:pt idx="1240">
                  <c:v>5.5087031999999994E-3</c:v>
                </c:pt>
                <c:pt idx="1241">
                  <c:v>5.4870815999999998E-3</c:v>
                </c:pt>
                <c:pt idx="1242">
                  <c:v>5.4702648000000001E-3</c:v>
                </c:pt>
                <c:pt idx="1243">
                  <c:v>5.4798744000000002E-3</c:v>
                </c:pt>
                <c:pt idx="1244">
                  <c:v>5.4990936000000002E-3</c:v>
                </c:pt>
                <c:pt idx="1245">
                  <c:v>5.4966911999999998E-3</c:v>
                </c:pt>
                <c:pt idx="1246">
                  <c:v>5.4846792000000002E-3</c:v>
                </c:pt>
                <c:pt idx="1247">
                  <c:v>5.4447469999999998E-3</c:v>
                </c:pt>
                <c:pt idx="1248">
                  <c:v>5.4797335999999999E-3</c:v>
                </c:pt>
                <c:pt idx="1249">
                  <c:v>5.3752020666666669E-3</c:v>
                </c:pt>
                <c:pt idx="1250">
                  <c:v>5.3704155999999992E-3</c:v>
                </c:pt>
                <c:pt idx="1251">
                  <c:v>5.3700129999999999E-3</c:v>
                </c:pt>
                <c:pt idx="1252">
                  <c:v>5.431538933333333E-3</c:v>
                </c:pt>
                <c:pt idx="1253">
                  <c:v>5.4243097333333328E-3</c:v>
                </c:pt>
                <c:pt idx="1254">
                  <c:v>5.4002124000000007E-3</c:v>
                </c:pt>
                <c:pt idx="1255">
                  <c:v>5.4170805333333336E-3</c:v>
                </c:pt>
                <c:pt idx="1256">
                  <c:v>5.4146708000000002E-3</c:v>
                </c:pt>
                <c:pt idx="1257">
                  <c:v>5.4532265333333335E-3</c:v>
                </c:pt>
                <c:pt idx="1258">
                  <c:v>5.4797335999999999E-3</c:v>
                </c:pt>
                <c:pt idx="1259">
                  <c:v>5.404168E-3</c:v>
                </c:pt>
                <c:pt idx="1260">
                  <c:v>5.4774720000000006E-3</c:v>
                </c:pt>
                <c:pt idx="1261">
                  <c:v>5.3946200000000001E-3</c:v>
                </c:pt>
                <c:pt idx="1262">
                  <c:v>5.3826849999999999E-3</c:v>
                </c:pt>
                <c:pt idx="1263">
                  <c:v>5.3946200000000001E-3</c:v>
                </c:pt>
                <c:pt idx="1264">
                  <c:v>5.441436E-3</c:v>
                </c:pt>
                <c:pt idx="1265">
                  <c:v>5.3588150000000003E-3</c:v>
                </c:pt>
                <c:pt idx="1266">
                  <c:v>5.3564279999999999E-3</c:v>
                </c:pt>
                <c:pt idx="1267">
                  <c:v>5.320623E-3</c:v>
                </c:pt>
                <c:pt idx="1268">
                  <c:v>5.3255106666666666E-3</c:v>
                </c:pt>
                <c:pt idx="1269">
                  <c:v>5.3110750000000002E-3</c:v>
                </c:pt>
                <c:pt idx="1270">
                  <c:v>5.3444929999999996E-3</c:v>
                </c:pt>
                <c:pt idx="1271">
                  <c:v>5.2869549333333325E-3</c:v>
                </c:pt>
                <c:pt idx="1272">
                  <c:v>5.2127760666666667E-3</c:v>
                </c:pt>
                <c:pt idx="1273">
                  <c:v>5.2589929333333339E-3</c:v>
                </c:pt>
                <c:pt idx="1274">
                  <c:v>5.1742152000000003E-3</c:v>
                </c:pt>
                <c:pt idx="1275">
                  <c:v>5.2395332000000003E-3</c:v>
                </c:pt>
                <c:pt idx="1276">
                  <c:v>5.2435797333333341E-3</c:v>
                </c:pt>
                <c:pt idx="1277">
                  <c:v>5.3343994000000002E-3</c:v>
                </c:pt>
                <c:pt idx="1278">
                  <c:v>5.2708392000000003E-3</c:v>
                </c:pt>
                <c:pt idx="1279">
                  <c:v>5.3098913999999999E-3</c:v>
                </c:pt>
                <c:pt idx="1280">
                  <c:v>5.338476E-3</c:v>
                </c:pt>
                <c:pt idx="1281">
                  <c:v>5.3067740000000002E-3</c:v>
                </c:pt>
                <c:pt idx="1282">
                  <c:v>5.308370466666666E-3</c:v>
                </c:pt>
                <c:pt idx="1283">
                  <c:v>5.3847750000000005E-3</c:v>
                </c:pt>
                <c:pt idx="1284">
                  <c:v>5.4700946666666663E-3</c:v>
                </c:pt>
                <c:pt idx="1285">
                  <c:v>5.5158795999999998E-3</c:v>
                </c:pt>
                <c:pt idx="1286">
                  <c:v>5.4966017333333336E-3</c:v>
                </c:pt>
                <c:pt idx="1287">
                  <c:v>1.588125E-2</c:v>
                </c:pt>
                <c:pt idx="1288">
                  <c:v>6.3221399999999997E-2</c:v>
                </c:pt>
                <c:pt idx="1289">
                  <c:v>5.9221126800000003E-2</c:v>
                </c:pt>
                <c:pt idx="1290">
                  <c:v>6.06649472E-2</c:v>
                </c:pt>
                <c:pt idx="1291">
                  <c:v>6.333315266666667E-2</c:v>
                </c:pt>
                <c:pt idx="1292">
                  <c:v>5.7424567199999998E-2</c:v>
                </c:pt>
                <c:pt idx="1293">
                  <c:v>5.8297778000000001E-2</c:v>
                </c:pt>
                <c:pt idx="1294">
                  <c:v>5.9474295466666667E-2</c:v>
                </c:pt>
                <c:pt idx="1295">
                  <c:v>5.8630962133333332E-2</c:v>
                </c:pt>
                <c:pt idx="1296">
                  <c:v>5.8371957600000003E-2</c:v>
                </c:pt>
                <c:pt idx="1297">
                  <c:v>5.6933476600000005E-2</c:v>
                </c:pt>
                <c:pt idx="1298">
                  <c:v>5.8502202000000003E-2</c:v>
                </c:pt>
                <c:pt idx="1299">
                  <c:v>5.7151687999999992E-2</c:v>
                </c:pt>
                <c:pt idx="1300">
                  <c:v>5.6975060266666669E-2</c:v>
                </c:pt>
                <c:pt idx="1301">
                  <c:v>5.6291835599999999E-2</c:v>
                </c:pt>
                <c:pt idx="1302">
                  <c:v>5.6324601666666668E-2</c:v>
                </c:pt>
                <c:pt idx="1303">
                  <c:v>5.5899610433333337E-2</c:v>
                </c:pt>
                <c:pt idx="1304">
                  <c:v>5.5983827899999998E-2</c:v>
                </c:pt>
                <c:pt idx="1305">
                  <c:v>6.1077539600000001E-2</c:v>
                </c:pt>
                <c:pt idx="1306">
                  <c:v>6.4629457200000004E-2</c:v>
                </c:pt>
                <c:pt idx="1307">
                  <c:v>6.0402400666666668E-2</c:v>
                </c:pt>
                <c:pt idx="1308">
                  <c:v>5.6011221933333341E-2</c:v>
                </c:pt>
                <c:pt idx="1309">
                  <c:v>5.6045589599999994E-2</c:v>
                </c:pt>
                <c:pt idx="1310">
                  <c:v>5.5917728533333329E-2</c:v>
                </c:pt>
                <c:pt idx="1311">
                  <c:v>5.5879857366666667E-2</c:v>
                </c:pt>
                <c:pt idx="1312">
                  <c:v>5.5748325966666672E-2</c:v>
                </c:pt>
                <c:pt idx="1313">
                  <c:v>5.5699143499999999E-2</c:v>
                </c:pt>
                <c:pt idx="1314">
                  <c:v>5.9319223333333324E-2</c:v>
                </c:pt>
                <c:pt idx="1315">
                  <c:v>6.5475512299999997E-2</c:v>
                </c:pt>
                <c:pt idx="1316">
                  <c:v>6.4987609500000001E-2</c:v>
                </c:pt>
                <c:pt idx="1317">
                  <c:v>6.475249000000001E-2</c:v>
                </c:pt>
                <c:pt idx="1318">
                  <c:v>6.4969843399999991E-2</c:v>
                </c:pt>
                <c:pt idx="1319">
                  <c:v>6.51846393E-2</c:v>
                </c:pt>
                <c:pt idx="1320">
                  <c:v>6.5361925200000004E-2</c:v>
                </c:pt>
                <c:pt idx="1321">
                  <c:v>6.5279676000000009E-2</c:v>
                </c:pt>
                <c:pt idx="1322">
                  <c:v>6.5419110900000008E-2</c:v>
                </c:pt>
                <c:pt idx="1323">
                  <c:v>6.5771602599999993E-2</c:v>
                </c:pt>
                <c:pt idx="1324">
                  <c:v>6.5653761066666663E-2</c:v>
                </c:pt>
                <c:pt idx="1325">
                  <c:v>6.5442893999999988E-2</c:v>
                </c:pt>
                <c:pt idx="1326">
                  <c:v>6.5835641666666667E-2</c:v>
                </c:pt>
                <c:pt idx="1327">
                  <c:v>6.5150232400000008E-2</c:v>
                </c:pt>
                <c:pt idx="1328">
                  <c:v>6.4755422600000001E-2</c:v>
                </c:pt>
                <c:pt idx="1329">
                  <c:v>6.5040089400000001E-2</c:v>
                </c:pt>
                <c:pt idx="1330">
                  <c:v>6.5104231499999998E-2</c:v>
                </c:pt>
                <c:pt idx="1331">
                  <c:v>6.4969843399999991E-2</c:v>
                </c:pt>
                <c:pt idx="1332">
                  <c:v>6.4491966000000012E-2</c:v>
                </c:pt>
                <c:pt idx="1333">
                  <c:v>6.4659738000000008E-2</c:v>
                </c:pt>
                <c:pt idx="1334">
                  <c:v>6.2921558700000005E-2</c:v>
                </c:pt>
                <c:pt idx="1335">
                  <c:v>5.8298992399999999E-2</c:v>
                </c:pt>
                <c:pt idx="1336">
                  <c:v>5.6805982566666663E-2</c:v>
                </c:pt>
                <c:pt idx="1337">
                  <c:v>5.5825636533333334E-2</c:v>
                </c:pt>
                <c:pt idx="1338">
                  <c:v>5.5631976399999998E-2</c:v>
                </c:pt>
                <c:pt idx="1339">
                  <c:v>5.5831308866666658E-2</c:v>
                </c:pt>
                <c:pt idx="1340">
                  <c:v>5.5582860666666664E-2</c:v>
                </c:pt>
                <c:pt idx="1341">
                  <c:v>5.5707151500000003E-2</c:v>
                </c:pt>
                <c:pt idx="1342">
                  <c:v>5.5815292866666665E-2</c:v>
                </c:pt>
                <c:pt idx="1343">
                  <c:v>5.5788165766666668E-2</c:v>
                </c:pt>
                <c:pt idx="1344">
                  <c:v>5.571479246666667E-2</c:v>
                </c:pt>
                <c:pt idx="1345">
                  <c:v>5.7428874800000002E-2</c:v>
                </c:pt>
                <c:pt idx="1346">
                  <c:v>5.5554398900000003E-2</c:v>
                </c:pt>
                <c:pt idx="1347">
                  <c:v>5.5601946399999998E-2</c:v>
                </c:pt>
                <c:pt idx="1348">
                  <c:v>5.6810846400000004E-2</c:v>
                </c:pt>
                <c:pt idx="1349">
                  <c:v>5.6524855200000002E-2</c:v>
                </c:pt>
                <c:pt idx="1350">
                  <c:v>5.6843432800000003E-2</c:v>
                </c:pt>
                <c:pt idx="1351">
                  <c:v>5.7172332799999996E-2</c:v>
                </c:pt>
                <c:pt idx="1352">
                  <c:v>5.7150170000000007E-2</c:v>
                </c:pt>
                <c:pt idx="1353">
                  <c:v>5.6200544400000003E-2</c:v>
                </c:pt>
                <c:pt idx="1354">
                  <c:v>5.6376495999999998E-2</c:v>
                </c:pt>
                <c:pt idx="1355">
                  <c:v>5.6381555999999999E-2</c:v>
                </c:pt>
                <c:pt idx="1356">
                  <c:v>5.6302316400000003E-2</c:v>
                </c:pt>
                <c:pt idx="1357">
                  <c:v>5.6216600000000012E-2</c:v>
                </c:pt>
                <c:pt idx="1358">
                  <c:v>5.6290813333333328E-2</c:v>
                </c:pt>
                <c:pt idx="1359">
                  <c:v>5.6621703599999997E-2</c:v>
                </c:pt>
                <c:pt idx="1360">
                  <c:v>5.6319318E-2</c:v>
                </c:pt>
                <c:pt idx="1361">
                  <c:v>5.6293242133333338E-2</c:v>
                </c:pt>
                <c:pt idx="1362">
                  <c:v>5.6097487599999996E-2</c:v>
                </c:pt>
                <c:pt idx="1363">
                  <c:v>5.5365305599999991E-2</c:v>
                </c:pt>
                <c:pt idx="1364">
                  <c:v>5.4564611200000002E-2</c:v>
                </c:pt>
                <c:pt idx="1365">
                  <c:v>5.4716661999999999E-2</c:v>
                </c:pt>
                <c:pt idx="1366">
                  <c:v>5.43551008E-2</c:v>
                </c:pt>
                <c:pt idx="1367">
                  <c:v>5.4582527999999991E-2</c:v>
                </c:pt>
                <c:pt idx="1368">
                  <c:v>5.5077492800000002E-2</c:v>
                </c:pt>
                <c:pt idx="1369">
                  <c:v>5.5902104133333332E-2</c:v>
                </c:pt>
                <c:pt idx="1370">
                  <c:v>5.5718830933333338E-2</c:v>
                </c:pt>
                <c:pt idx="1371">
                  <c:v>5.5862602400000003E-2</c:v>
                </c:pt>
                <c:pt idx="1372">
                  <c:v>5.5718830933333338E-2</c:v>
                </c:pt>
                <c:pt idx="1373">
                  <c:v>5.7127298800000004E-2</c:v>
                </c:pt>
                <c:pt idx="1374">
                  <c:v>5.6081225199999994E-2</c:v>
                </c:pt>
                <c:pt idx="1375">
                  <c:v>5.5980925000000001E-2</c:v>
                </c:pt>
                <c:pt idx="1376">
                  <c:v>5.6454898500000003E-2</c:v>
                </c:pt>
                <c:pt idx="1377">
                  <c:v>5.7527342400000001E-2</c:v>
                </c:pt>
                <c:pt idx="1378">
                  <c:v>5.7050555466666659E-2</c:v>
                </c:pt>
                <c:pt idx="1379">
                  <c:v>5.7424523200000008E-2</c:v>
                </c:pt>
                <c:pt idx="1380">
                  <c:v>5.6520908399999993E-2</c:v>
                </c:pt>
                <c:pt idx="1381">
                  <c:v>5.5853097300000001E-2</c:v>
                </c:pt>
                <c:pt idx="1382">
                  <c:v>5.6243721599999998E-2</c:v>
                </c:pt>
                <c:pt idx="1383">
                  <c:v>5.6109462933333333E-2</c:v>
                </c:pt>
                <c:pt idx="1384">
                  <c:v>5.6197034666666673E-2</c:v>
                </c:pt>
                <c:pt idx="1385">
                  <c:v>5.6444603600000004E-2</c:v>
                </c:pt>
                <c:pt idx="1386">
                  <c:v>5.6370626399999998E-2</c:v>
                </c:pt>
                <c:pt idx="1387">
                  <c:v>5.6238695333333338E-2</c:v>
                </c:pt>
                <c:pt idx="1388">
                  <c:v>5.6299583999999993E-2</c:v>
                </c:pt>
                <c:pt idx="1389">
                  <c:v>5.6422035999999995E-2</c:v>
                </c:pt>
                <c:pt idx="1390">
                  <c:v>5.5273011199999993E-2</c:v>
                </c:pt>
                <c:pt idx="1391">
                  <c:v>5.4538973866666667E-2</c:v>
                </c:pt>
                <c:pt idx="1392">
                  <c:v>5.5499024533333337E-2</c:v>
                </c:pt>
                <c:pt idx="1393">
                  <c:v>5.601075920000001E-2</c:v>
                </c:pt>
                <c:pt idx="1394">
                  <c:v>5.6062168800000006E-2</c:v>
                </c:pt>
                <c:pt idx="1395">
                  <c:v>5.8811300533333333E-2</c:v>
                </c:pt>
                <c:pt idx="1396">
                  <c:v>5.5773748799999995E-2</c:v>
                </c:pt>
                <c:pt idx="1397">
                  <c:v>5.5931418400000002E-2</c:v>
                </c:pt>
                <c:pt idx="1398">
                  <c:v>5.5060605600000007E-2</c:v>
                </c:pt>
                <c:pt idx="1399">
                  <c:v>5.6154598500000007E-2</c:v>
                </c:pt>
                <c:pt idx="1400">
                  <c:v>5.5981325400000004E-2</c:v>
                </c:pt>
                <c:pt idx="1401">
                  <c:v>5.5931275400000001E-2</c:v>
                </c:pt>
                <c:pt idx="1402">
                  <c:v>5.6256166633333334E-2</c:v>
                </c:pt>
                <c:pt idx="1403">
                  <c:v>5.6302646400000003E-2</c:v>
                </c:pt>
                <c:pt idx="1404">
                  <c:v>5.6262072533333325E-2</c:v>
                </c:pt>
                <c:pt idx="1405">
                  <c:v>5.5763708000000009E-2</c:v>
                </c:pt>
                <c:pt idx="1406">
                  <c:v>5.9502226666666665E-2</c:v>
                </c:pt>
                <c:pt idx="1407">
                  <c:v>5.5820030933333327E-2</c:v>
                </c:pt>
                <c:pt idx="1408">
                  <c:v>5.5837081300000001E-2</c:v>
                </c:pt>
                <c:pt idx="1409">
                  <c:v>5.6174518400000012E-2</c:v>
                </c:pt>
                <c:pt idx="1410">
                  <c:v>5.7699382400000006E-2</c:v>
                </c:pt>
                <c:pt idx="1411">
                  <c:v>5.8812312533333327E-2</c:v>
                </c:pt>
                <c:pt idx="1412">
                  <c:v>5.6846064000000002E-2</c:v>
                </c:pt>
                <c:pt idx="1413">
                  <c:v>5.6510113733333339E-2</c:v>
                </c:pt>
                <c:pt idx="1414">
                  <c:v>5.6747225333333338E-2</c:v>
                </c:pt>
                <c:pt idx="1415">
                  <c:v>5.5707151500000003E-2</c:v>
                </c:pt>
                <c:pt idx="1416">
                  <c:v>5.5806150400000004E-2</c:v>
                </c:pt>
                <c:pt idx="1417">
                  <c:v>5.5582393533333337E-2</c:v>
                </c:pt>
                <c:pt idx="1418">
                  <c:v>5.5533077600000001E-2</c:v>
                </c:pt>
                <c:pt idx="1419">
                  <c:v>5.5508252800000005E-2</c:v>
                </c:pt>
                <c:pt idx="1420">
                  <c:v>5.5632376799999994E-2</c:v>
                </c:pt>
                <c:pt idx="1421">
                  <c:v>5.5682026400000001E-2</c:v>
                </c:pt>
                <c:pt idx="1422">
                  <c:v>5.6056100099999992E-2</c:v>
                </c:pt>
                <c:pt idx="1423">
                  <c:v>5.5657468533333337E-2</c:v>
                </c:pt>
                <c:pt idx="1424">
                  <c:v>5.7819608000000002E-2</c:v>
                </c:pt>
                <c:pt idx="1425">
                  <c:v>5.5407352E-2</c:v>
                </c:pt>
                <c:pt idx="1426">
                  <c:v>5.5856300500000004E-2</c:v>
                </c:pt>
                <c:pt idx="1427">
                  <c:v>5.5433311266666674E-2</c:v>
                </c:pt>
                <c:pt idx="1428">
                  <c:v>5.5529740933333342E-2</c:v>
                </c:pt>
                <c:pt idx="1429">
                  <c:v>5.5458069333333339E-2</c:v>
                </c:pt>
                <c:pt idx="1430">
                  <c:v>5.5656767833333343E-2</c:v>
                </c:pt>
                <c:pt idx="1431">
                  <c:v>5.5502413633333338E-2</c:v>
                </c:pt>
                <c:pt idx="1432">
                  <c:v>5.5506117333333334E-2</c:v>
                </c:pt>
                <c:pt idx="1433">
                  <c:v>5.543204333333334E-2</c:v>
                </c:pt>
                <c:pt idx="1434">
                  <c:v>5.5482226800000006E-2</c:v>
                </c:pt>
                <c:pt idx="1435">
                  <c:v>6.47461815E-2</c:v>
                </c:pt>
                <c:pt idx="1436">
                  <c:v>6.5101605800000004E-2</c:v>
                </c:pt>
                <c:pt idx="1437">
                  <c:v>6.4995895800000009E-2</c:v>
                </c:pt>
                <c:pt idx="1438">
                  <c:v>6.5089841300000006E-2</c:v>
                </c:pt>
                <c:pt idx="1439">
                  <c:v>6.5039202800000001E-2</c:v>
                </c:pt>
                <c:pt idx="1440">
                  <c:v>6.4962955200000005E-2</c:v>
                </c:pt>
                <c:pt idx="1441">
                  <c:v>6.4579432499999992E-2</c:v>
                </c:pt>
                <c:pt idx="1442">
                  <c:v>6.5334747499999998E-2</c:v>
                </c:pt>
                <c:pt idx="1443">
                  <c:v>6.5515375200000003E-2</c:v>
                </c:pt>
                <c:pt idx="1444">
                  <c:v>6.5884064399999998E-2</c:v>
                </c:pt>
                <c:pt idx="1445">
                  <c:v>6.5920585500000003E-2</c:v>
                </c:pt>
                <c:pt idx="1446">
                  <c:v>6.5931395200000006E-2</c:v>
                </c:pt>
                <c:pt idx="1447">
                  <c:v>6.5745959400000012E-2</c:v>
                </c:pt>
                <c:pt idx="1448">
                  <c:v>6.6210333199999999E-2</c:v>
                </c:pt>
                <c:pt idx="1449">
                  <c:v>6.6246411000000005E-2</c:v>
                </c:pt>
                <c:pt idx="1450">
                  <c:v>6.5154665400000006E-2</c:v>
                </c:pt>
                <c:pt idx="1451">
                  <c:v>6.281335573333334E-2</c:v>
                </c:pt>
                <c:pt idx="1452">
                  <c:v>2.1218266666666669E-2</c:v>
                </c:pt>
                <c:pt idx="1453">
                  <c:v>7.3518206666666674E-3</c:v>
                </c:pt>
                <c:pt idx="1454">
                  <c:v>7.0720408000000002E-3</c:v>
                </c:pt>
                <c:pt idx="1455">
                  <c:v>6.3863800000000005E-3</c:v>
                </c:pt>
                <c:pt idx="1456">
                  <c:v>5.6146372333333331E-3</c:v>
                </c:pt>
                <c:pt idx="1457">
                  <c:v>7.7522573333333343E-3</c:v>
                </c:pt>
                <c:pt idx="1458">
                  <c:v>6.7277936000000012E-3</c:v>
                </c:pt>
                <c:pt idx="1459">
                  <c:v>5.7773811333333329E-3</c:v>
                </c:pt>
                <c:pt idx="1460">
                  <c:v>5.7645368000000001E-3</c:v>
                </c:pt>
                <c:pt idx="1461">
                  <c:v>5.7084309333333338E-3</c:v>
                </c:pt>
                <c:pt idx="1462">
                  <c:v>5.7186154666666661E-3</c:v>
                </c:pt>
                <c:pt idx="1463">
                  <c:v>5.7033386666666668E-3</c:v>
                </c:pt>
                <c:pt idx="1464">
                  <c:v>5.7415306666666671E-3</c:v>
                </c:pt>
                <c:pt idx="1465">
                  <c:v>5.7491690666666663E-3</c:v>
                </c:pt>
                <c:pt idx="1466">
                  <c:v>5.7593536000000002E-3</c:v>
                </c:pt>
                <c:pt idx="1467">
                  <c:v>5.7440768000000001E-3</c:v>
                </c:pt>
                <c:pt idx="1468">
                  <c:v>5.7160693333333339E-3</c:v>
                </c:pt>
                <c:pt idx="1469">
                  <c:v>5.7135231999999999E-3</c:v>
                </c:pt>
                <c:pt idx="1470">
                  <c:v>5.7288000000000009E-3</c:v>
                </c:pt>
                <c:pt idx="1471">
                  <c:v>5.7871736999999994E-3</c:v>
                </c:pt>
                <c:pt idx="1472">
                  <c:v>5.7846095999999998E-3</c:v>
                </c:pt>
                <c:pt idx="1473">
                  <c:v>5.7410198999999999E-3</c:v>
                </c:pt>
                <c:pt idx="1474">
                  <c:v>5.5969012000000005E-3</c:v>
                </c:pt>
                <c:pt idx="1475">
                  <c:v>5.6676927999999996E-3</c:v>
                </c:pt>
                <c:pt idx="1476">
                  <c:v>5.7487121999999996E-3</c:v>
                </c:pt>
                <c:pt idx="1477">
                  <c:v>5.7307635000000004E-3</c:v>
                </c:pt>
                <c:pt idx="1478">
                  <c:v>5.6829695999999997E-3</c:v>
                </c:pt>
                <c:pt idx="1479">
                  <c:v>5.7160693333333339E-3</c:v>
                </c:pt>
                <c:pt idx="1480">
                  <c:v>5.723707733333333E-3</c:v>
                </c:pt>
                <c:pt idx="1481">
                  <c:v>5.8444847999999999E-3</c:v>
                </c:pt>
                <c:pt idx="1482">
                  <c:v>4.0404302399999995E-2</c:v>
                </c:pt>
                <c:pt idx="1483">
                  <c:v>6.2064387000000006E-2</c:v>
                </c:pt>
                <c:pt idx="1484">
                  <c:v>5.9717175466666675E-2</c:v>
                </c:pt>
                <c:pt idx="1485">
                  <c:v>6.0951090200000002E-2</c:v>
                </c:pt>
                <c:pt idx="1486">
                  <c:v>6.3990491400000002E-2</c:v>
                </c:pt>
                <c:pt idx="1487">
                  <c:v>5.71018976E-2</c:v>
                </c:pt>
                <c:pt idx="1488">
                  <c:v>5.803914453333333E-2</c:v>
                </c:pt>
                <c:pt idx="1489">
                  <c:v>5.7051432533333335E-2</c:v>
                </c:pt>
                <c:pt idx="1490">
                  <c:v>5.8540320666666666E-2</c:v>
                </c:pt>
                <c:pt idx="1491">
                  <c:v>5.780719413333333E-2</c:v>
                </c:pt>
                <c:pt idx="1492">
                  <c:v>5.9237251333333338E-2</c:v>
                </c:pt>
                <c:pt idx="1493">
                  <c:v>5.7608100000000002E-2</c:v>
                </c:pt>
                <c:pt idx="1494">
                  <c:v>5.7075281999999998E-2</c:v>
                </c:pt>
                <c:pt idx="1495">
                  <c:v>5.7073257999999995E-2</c:v>
                </c:pt>
                <c:pt idx="1496">
                  <c:v>5.6744189333333327E-2</c:v>
                </c:pt>
                <c:pt idx="1497">
                  <c:v>5.6719901333333336E-2</c:v>
                </c:pt>
                <c:pt idx="1498">
                  <c:v>5.65388208E-2</c:v>
                </c:pt>
                <c:pt idx="1499">
                  <c:v>5.6823125333333335E-2</c:v>
                </c:pt>
                <c:pt idx="1500">
                  <c:v>5.6798432533333339E-2</c:v>
                </c:pt>
                <c:pt idx="1501">
                  <c:v>5.6747900000000004E-2</c:v>
                </c:pt>
                <c:pt idx="1502">
                  <c:v>5.7051432533333335E-2</c:v>
                </c:pt>
                <c:pt idx="1503">
                  <c:v>5.664703733333333E-2</c:v>
                </c:pt>
                <c:pt idx="1504">
                  <c:v>5.7101425333333324E-2</c:v>
                </c:pt>
                <c:pt idx="1505">
                  <c:v>5.70704244E-2</c:v>
                </c:pt>
                <c:pt idx="1506">
                  <c:v>5.6773200000000003E-2</c:v>
                </c:pt>
                <c:pt idx="1507">
                  <c:v>5.6748034933333337E-2</c:v>
                </c:pt>
                <c:pt idx="1508">
                  <c:v>5.7888255333333326E-2</c:v>
                </c:pt>
                <c:pt idx="1509">
                  <c:v>5.7607088000000001E-2</c:v>
                </c:pt>
                <c:pt idx="1510">
                  <c:v>5.7839038399999994E-2</c:v>
                </c:pt>
                <c:pt idx="1511">
                  <c:v>5.7380905999999995E-2</c:v>
                </c:pt>
                <c:pt idx="1512">
                  <c:v>5.8092847999999989E-2</c:v>
                </c:pt>
                <c:pt idx="1513">
                  <c:v>5.8093623866666666E-2</c:v>
                </c:pt>
                <c:pt idx="1514">
                  <c:v>5.6924595199999997E-2</c:v>
                </c:pt>
                <c:pt idx="1515">
                  <c:v>5.7533414399999996E-2</c:v>
                </c:pt>
                <c:pt idx="1516">
                  <c:v>5.7430999999999996E-2</c:v>
                </c:pt>
                <c:pt idx="1517">
                  <c:v>5.7736118000000003E-2</c:v>
                </c:pt>
                <c:pt idx="1518">
                  <c:v>5.8142233599999996E-2</c:v>
                </c:pt>
                <c:pt idx="1519">
                  <c:v>5.9005503333333341E-2</c:v>
                </c:pt>
                <c:pt idx="1520">
                  <c:v>5.9922544000000001E-2</c:v>
                </c:pt>
                <c:pt idx="1521">
                  <c:v>5.8144257599999999E-2</c:v>
                </c:pt>
                <c:pt idx="1522">
                  <c:v>5.8341159066666676E-2</c:v>
                </c:pt>
                <c:pt idx="1523">
                  <c:v>5.8450590000000004E-2</c:v>
                </c:pt>
                <c:pt idx="1524">
                  <c:v>5.755824213333334E-2</c:v>
                </c:pt>
                <c:pt idx="1525">
                  <c:v>5.76861252E-2</c:v>
                </c:pt>
                <c:pt idx="1526">
                  <c:v>5.7506022933333331E-2</c:v>
                </c:pt>
                <c:pt idx="1527">
                  <c:v>5.8018027466666663E-2</c:v>
                </c:pt>
                <c:pt idx="1528">
                  <c:v>5.8196847866666665E-2</c:v>
                </c:pt>
                <c:pt idx="1529">
                  <c:v>5.8884569333333338E-2</c:v>
                </c:pt>
                <c:pt idx="1530">
                  <c:v>5.7099536266666674E-2</c:v>
                </c:pt>
                <c:pt idx="1531">
                  <c:v>5.6761055999999997E-2</c:v>
                </c:pt>
                <c:pt idx="1532">
                  <c:v>5.6709005466666663E-2</c:v>
                </c:pt>
                <c:pt idx="1533">
                  <c:v>5.6716831599999996E-2</c:v>
                </c:pt>
                <c:pt idx="1534">
                  <c:v>5.6949827733333326E-2</c:v>
                </c:pt>
                <c:pt idx="1535">
                  <c:v>5.6924898799999998E-2</c:v>
                </c:pt>
                <c:pt idx="1536">
                  <c:v>5.6823294000000003E-2</c:v>
                </c:pt>
                <c:pt idx="1537">
                  <c:v>5.6899699999999998E-2</c:v>
                </c:pt>
                <c:pt idx="1538">
                  <c:v>5.6796813333333335E-2</c:v>
                </c:pt>
                <c:pt idx="1539">
                  <c:v>5.6945105066666668E-2</c:v>
                </c:pt>
                <c:pt idx="1540">
                  <c:v>6.54466296E-2</c:v>
                </c:pt>
                <c:pt idx="1541">
                  <c:v>6.6542242799999998E-2</c:v>
                </c:pt>
                <c:pt idx="1542">
                  <c:v>6.5495733599999995E-2</c:v>
                </c:pt>
                <c:pt idx="1543">
                  <c:v>5.6815029333333343E-2</c:v>
                </c:pt>
                <c:pt idx="1544">
                  <c:v>5.6964805333333333E-2</c:v>
                </c:pt>
                <c:pt idx="1545">
                  <c:v>5.8940769066666676E-2</c:v>
                </c:pt>
                <c:pt idx="1546">
                  <c:v>5.9117531733333332E-2</c:v>
                </c:pt>
                <c:pt idx="1547">
                  <c:v>5.8602086399999996E-2</c:v>
                </c:pt>
                <c:pt idx="1548">
                  <c:v>5.7982438800000001E-2</c:v>
                </c:pt>
                <c:pt idx="1549">
                  <c:v>5.6884520000000001E-2</c:v>
                </c:pt>
                <c:pt idx="1550">
                  <c:v>5.660588266666667E-2</c:v>
                </c:pt>
                <c:pt idx="1551">
                  <c:v>5.6539765333333339E-2</c:v>
                </c:pt>
                <c:pt idx="1552">
                  <c:v>5.7255957733333328E-2</c:v>
                </c:pt>
                <c:pt idx="1553">
                  <c:v>5.696628959999999E-2</c:v>
                </c:pt>
                <c:pt idx="1554">
                  <c:v>5.7824870400000006E-2</c:v>
                </c:pt>
                <c:pt idx="1555">
                  <c:v>5.723109626666667E-2</c:v>
                </c:pt>
                <c:pt idx="1556">
                  <c:v>5.7258959999999998E-2</c:v>
                </c:pt>
                <c:pt idx="1557">
                  <c:v>5.6699796266666665E-2</c:v>
                </c:pt>
                <c:pt idx="1558">
                  <c:v>5.7217198133333334E-2</c:v>
                </c:pt>
                <c:pt idx="1559">
                  <c:v>5.8594800000000002E-2</c:v>
                </c:pt>
                <c:pt idx="1560">
                  <c:v>6.3883281E-2</c:v>
                </c:pt>
                <c:pt idx="1561">
                  <c:v>6.4226497500000007E-2</c:v>
                </c:pt>
                <c:pt idx="1562">
                  <c:v>5.6794721866666675E-2</c:v>
                </c:pt>
                <c:pt idx="1563">
                  <c:v>5.6948545866666658E-2</c:v>
                </c:pt>
                <c:pt idx="1564">
                  <c:v>5.8962493333333338E-2</c:v>
                </c:pt>
                <c:pt idx="1565">
                  <c:v>5.7380905999999995E-2</c:v>
                </c:pt>
                <c:pt idx="1566">
                  <c:v>5.7102167466666659E-2</c:v>
                </c:pt>
                <c:pt idx="1567">
                  <c:v>5.7127568666666663E-2</c:v>
                </c:pt>
                <c:pt idx="1568">
                  <c:v>5.7404013333333337E-2</c:v>
                </c:pt>
                <c:pt idx="1569">
                  <c:v>5.7577672533333332E-2</c:v>
                </c:pt>
                <c:pt idx="1570">
                  <c:v>5.7502177333333328E-2</c:v>
                </c:pt>
                <c:pt idx="1571">
                  <c:v>5.7421318533333335E-2</c:v>
                </c:pt>
                <c:pt idx="1572">
                  <c:v>5.624572286666666E-2</c:v>
                </c:pt>
                <c:pt idx="1573">
                  <c:v>6.0208737599999992E-2</c:v>
                </c:pt>
                <c:pt idx="1574">
                  <c:v>5.8000553599999997E-2</c:v>
                </c:pt>
                <c:pt idx="1575">
                  <c:v>5.7344777599999994E-2</c:v>
                </c:pt>
                <c:pt idx="1576">
                  <c:v>5.6156266833333329E-2</c:v>
                </c:pt>
                <c:pt idx="1577">
                  <c:v>5.6979648000000001E-2</c:v>
                </c:pt>
                <c:pt idx="1578">
                  <c:v>5.6976612000000003E-2</c:v>
                </c:pt>
                <c:pt idx="1579">
                  <c:v>5.726894506666666E-2</c:v>
                </c:pt>
                <c:pt idx="1580">
                  <c:v>5.6918523200000001E-2</c:v>
                </c:pt>
                <c:pt idx="1581">
                  <c:v>5.6968583466666667E-2</c:v>
                </c:pt>
                <c:pt idx="1582">
                  <c:v>5.6615327999999999E-2</c:v>
                </c:pt>
                <c:pt idx="1583">
                  <c:v>5.7152700000000001E-2</c:v>
                </c:pt>
                <c:pt idx="1584">
                  <c:v>5.7049206133333336E-2</c:v>
                </c:pt>
                <c:pt idx="1585">
                  <c:v>5.6846064000000002E-2</c:v>
                </c:pt>
                <c:pt idx="1586">
                  <c:v>5.66452832E-2</c:v>
                </c:pt>
                <c:pt idx="1587">
                  <c:v>5.6695478399999999E-2</c:v>
                </c:pt>
                <c:pt idx="1588">
                  <c:v>5.6783589866666671E-2</c:v>
                </c:pt>
                <c:pt idx="1589">
                  <c:v>5.6716831599999996E-2</c:v>
                </c:pt>
                <c:pt idx="1590">
                  <c:v>5.6815029333333343E-2</c:v>
                </c:pt>
                <c:pt idx="1591">
                  <c:v>5.6731370666666669E-2</c:v>
                </c:pt>
                <c:pt idx="1592">
                  <c:v>5.7676409999999997E-2</c:v>
                </c:pt>
                <c:pt idx="1593">
                  <c:v>5.6687517333333326E-2</c:v>
                </c:pt>
                <c:pt idx="1594">
                  <c:v>5.6205468000000008E-2</c:v>
                </c:pt>
                <c:pt idx="1595">
                  <c:v>5.6323703333333329E-2</c:v>
                </c:pt>
                <c:pt idx="1596">
                  <c:v>5.6304812666666669E-2</c:v>
                </c:pt>
                <c:pt idx="1597">
                  <c:v>5.6299246666666664E-2</c:v>
                </c:pt>
                <c:pt idx="1598">
                  <c:v>5.6246015466666667E-2</c:v>
                </c:pt>
                <c:pt idx="1599">
                  <c:v>5.6433842666666671E-2</c:v>
                </c:pt>
                <c:pt idx="1600">
                  <c:v>5.5842987200000006E-2</c:v>
                </c:pt>
                <c:pt idx="1601">
                  <c:v>5.644598666666667E-2</c:v>
                </c:pt>
                <c:pt idx="1602">
                  <c:v>5.6285483466666668E-2</c:v>
                </c:pt>
                <c:pt idx="1603">
                  <c:v>5.638486186666667E-2</c:v>
                </c:pt>
                <c:pt idx="1604">
                  <c:v>5.6572824000000008E-2</c:v>
                </c:pt>
                <c:pt idx="1605">
                  <c:v>5.6523843199999993E-2</c:v>
                </c:pt>
                <c:pt idx="1606">
                  <c:v>5.634596733333333E-2</c:v>
                </c:pt>
                <c:pt idx="1607">
                  <c:v>5.7604456800000002E-2</c:v>
                </c:pt>
                <c:pt idx="1608">
                  <c:v>5.1736751999999997E-2</c:v>
                </c:pt>
                <c:pt idx="1609">
                  <c:v>5.1099375999999995E-2</c:v>
                </c:pt>
                <c:pt idx="1610">
                  <c:v>5.1405920000000001E-2</c:v>
                </c:pt>
                <c:pt idx="1611">
                  <c:v>5.1214621333333335E-2</c:v>
                </c:pt>
                <c:pt idx="1612">
                  <c:v>5.1194964000000003E-2</c:v>
                </c:pt>
                <c:pt idx="1613">
                  <c:v>5.1129736000000002E-2</c:v>
                </c:pt>
                <c:pt idx="1614">
                  <c:v>5.1358816000000002E-2</c:v>
                </c:pt>
                <c:pt idx="1615">
                  <c:v>5.0925312000000007E-2</c:v>
                </c:pt>
                <c:pt idx="1616">
                  <c:v>5.097091333333334E-2</c:v>
                </c:pt>
                <c:pt idx="1617">
                  <c:v>5.0925312000000007E-2</c:v>
                </c:pt>
                <c:pt idx="1618">
                  <c:v>5.1015380000000006E-2</c:v>
                </c:pt>
                <c:pt idx="1619">
                  <c:v>5.0902434666666663E-2</c:v>
                </c:pt>
                <c:pt idx="1620">
                  <c:v>5.0901576000000004E-2</c:v>
                </c:pt>
                <c:pt idx="1621">
                  <c:v>5.0856680000000008E-2</c:v>
                </c:pt>
                <c:pt idx="1622">
                  <c:v>5.097091333333334E-2</c:v>
                </c:pt>
                <c:pt idx="1623">
                  <c:v>5.0970698666666668E-2</c:v>
                </c:pt>
                <c:pt idx="1624">
                  <c:v>5.1900328000000003E-2</c:v>
                </c:pt>
                <c:pt idx="1625">
                  <c:v>5.224741333333334E-2</c:v>
                </c:pt>
                <c:pt idx="1626">
                  <c:v>5.1039024000000002E-2</c:v>
                </c:pt>
                <c:pt idx="1627">
                  <c:v>5.0970300000000003E-2</c:v>
                </c:pt>
                <c:pt idx="1628">
                  <c:v>5.1084840000000006E-2</c:v>
                </c:pt>
                <c:pt idx="1629">
                  <c:v>5.1106981333333336E-2</c:v>
                </c:pt>
                <c:pt idx="1630">
                  <c:v>5.1016116000000007E-2</c:v>
                </c:pt>
                <c:pt idx="1631">
                  <c:v>5.1062300000000005E-2</c:v>
                </c:pt>
                <c:pt idx="1632">
                  <c:v>5.1062208000000005E-2</c:v>
                </c:pt>
                <c:pt idx="1633">
                  <c:v>5.1106981333333336E-2</c:v>
                </c:pt>
                <c:pt idx="1634">
                  <c:v>5.1471056000000008E-2</c:v>
                </c:pt>
                <c:pt idx="1635">
                  <c:v>5.1175674666666671E-2</c:v>
                </c:pt>
                <c:pt idx="1636">
                  <c:v>5.110734933333333E-2</c:v>
                </c:pt>
                <c:pt idx="1637">
                  <c:v>5.1176533333333329E-2</c:v>
                </c:pt>
                <c:pt idx="1638">
                  <c:v>5.1103914666666674E-2</c:v>
                </c:pt>
                <c:pt idx="1639">
                  <c:v>5.1137372000000007E-2</c:v>
                </c:pt>
                <c:pt idx="1640">
                  <c:v>5.0942485333333343E-2</c:v>
                </c:pt>
                <c:pt idx="1641">
                  <c:v>5.0749775999999996E-2</c:v>
                </c:pt>
                <c:pt idx="1642">
                  <c:v>5.1045218666666677E-2</c:v>
                </c:pt>
                <c:pt idx="1643">
                  <c:v>5.0782037333333335E-2</c:v>
                </c:pt>
                <c:pt idx="1644">
                  <c:v>5.1205942666666671E-2</c:v>
                </c:pt>
                <c:pt idx="1645">
                  <c:v>5.0935248000000002E-2</c:v>
                </c:pt>
                <c:pt idx="1646">
                  <c:v>5.093297866666667E-2</c:v>
                </c:pt>
                <c:pt idx="1647">
                  <c:v>5.1084717333333342E-2</c:v>
                </c:pt>
                <c:pt idx="1648">
                  <c:v>5.1099989333333339E-2</c:v>
                </c:pt>
                <c:pt idx="1649">
                  <c:v>5.1440634666666665E-2</c:v>
                </c:pt>
                <c:pt idx="1650">
                  <c:v>5.1463236000000002E-2</c:v>
                </c:pt>
                <c:pt idx="1651">
                  <c:v>5.1553641333333337E-2</c:v>
                </c:pt>
                <c:pt idx="1652">
                  <c:v>5.1543582666666671E-2</c:v>
                </c:pt>
                <c:pt idx="1653">
                  <c:v>5.1533063999999996E-2</c:v>
                </c:pt>
                <c:pt idx="1654">
                  <c:v>5.1465167999999999E-2</c:v>
                </c:pt>
                <c:pt idx="1655">
                  <c:v>5.1280554666666672E-2</c:v>
                </c:pt>
                <c:pt idx="1656">
                  <c:v>5.1276261333333344E-2</c:v>
                </c:pt>
                <c:pt idx="1657">
                  <c:v>5.1400400000000006E-2</c:v>
                </c:pt>
                <c:pt idx="1658">
                  <c:v>5.1143260000000003E-2</c:v>
                </c:pt>
                <c:pt idx="1659">
                  <c:v>5.1465167999999999E-2</c:v>
                </c:pt>
                <c:pt idx="1660">
                  <c:v>5.1573973333333335E-2</c:v>
                </c:pt>
                <c:pt idx="1661">
                  <c:v>5.1268441333333338E-2</c:v>
                </c:pt>
                <c:pt idx="1662">
                  <c:v>5.1366912000000008E-2</c:v>
                </c:pt>
                <c:pt idx="1663">
                  <c:v>5.1239951999999998E-2</c:v>
                </c:pt>
                <c:pt idx="1664">
                  <c:v>5.1318796E-2</c:v>
                </c:pt>
                <c:pt idx="1665">
                  <c:v>5.1098180000000007E-2</c:v>
                </c:pt>
                <c:pt idx="1666">
                  <c:v>5.2067553333333336E-2</c:v>
                </c:pt>
                <c:pt idx="1667">
                  <c:v>5.1476146666666667E-2</c:v>
                </c:pt>
                <c:pt idx="1668">
                  <c:v>5.1374639999999999E-2</c:v>
                </c:pt>
                <c:pt idx="1669">
                  <c:v>5.1611724000000005E-2</c:v>
                </c:pt>
                <c:pt idx="1670">
                  <c:v>5.1589122666666667E-2</c:v>
                </c:pt>
                <c:pt idx="1671">
                  <c:v>5.1634938666666678E-2</c:v>
                </c:pt>
                <c:pt idx="1672">
                  <c:v>5.1588693333333331E-2</c:v>
                </c:pt>
                <c:pt idx="1673">
                  <c:v>5.2024896000000001E-2</c:v>
                </c:pt>
                <c:pt idx="1674">
                  <c:v>5.1796000000000009E-2</c:v>
                </c:pt>
                <c:pt idx="1675">
                  <c:v>5.1702987999999998E-2</c:v>
                </c:pt>
                <c:pt idx="1676">
                  <c:v>5.2026275999999996E-2</c:v>
                </c:pt>
                <c:pt idx="1677">
                  <c:v>5.1977638666666666E-2</c:v>
                </c:pt>
                <c:pt idx="1678">
                  <c:v>5.1679160000000002E-2</c:v>
                </c:pt>
                <c:pt idx="1679">
                  <c:v>5.1495160000000005E-2</c:v>
                </c:pt>
                <c:pt idx="1680">
                  <c:v>5.1815135999999998E-2</c:v>
                </c:pt>
                <c:pt idx="1681">
                  <c:v>5.1840313333333332E-2</c:v>
                </c:pt>
                <c:pt idx="1682">
                  <c:v>5.1586669333333335E-2</c:v>
                </c:pt>
                <c:pt idx="1683">
                  <c:v>5.2083408000000005E-2</c:v>
                </c:pt>
                <c:pt idx="1684">
                  <c:v>5.1910386666666662E-2</c:v>
                </c:pt>
                <c:pt idx="1685">
                  <c:v>5.1634141333333335E-2</c:v>
                </c:pt>
                <c:pt idx="1686">
                  <c:v>5.1726570666666666E-2</c:v>
                </c:pt>
                <c:pt idx="1687">
                  <c:v>5.2187920000000006E-2</c:v>
                </c:pt>
                <c:pt idx="1688">
                  <c:v>5.1716205333333341E-2</c:v>
                </c:pt>
                <c:pt idx="1689">
                  <c:v>5.188401333333334E-2</c:v>
                </c:pt>
                <c:pt idx="1690">
                  <c:v>5.2409088E-2</c:v>
                </c:pt>
                <c:pt idx="1691">
                  <c:v>5.1929032E-2</c:v>
                </c:pt>
                <c:pt idx="1692">
                  <c:v>5.1809984000000003E-2</c:v>
                </c:pt>
                <c:pt idx="1693">
                  <c:v>5.1919648000000013E-2</c:v>
                </c:pt>
                <c:pt idx="1694">
                  <c:v>5.2680733333333334E-2</c:v>
                </c:pt>
                <c:pt idx="1695">
                  <c:v>5.2120698666666666E-2</c:v>
                </c:pt>
                <c:pt idx="1696">
                  <c:v>5.2541506666666668E-2</c:v>
                </c:pt>
                <c:pt idx="1697">
                  <c:v>5.200870400000001E-2</c:v>
                </c:pt>
                <c:pt idx="1698">
                  <c:v>5.2137166666666665E-2</c:v>
                </c:pt>
                <c:pt idx="1699">
                  <c:v>5.6387263999999993E-2</c:v>
                </c:pt>
                <c:pt idx="1700">
                  <c:v>5.9343829333333327E-2</c:v>
                </c:pt>
                <c:pt idx="1701">
                  <c:v>5.6460362000000014E-2</c:v>
                </c:pt>
                <c:pt idx="1702">
                  <c:v>5.200870400000001E-2</c:v>
                </c:pt>
                <c:pt idx="1703">
                  <c:v>5.2112480000000003E-2</c:v>
                </c:pt>
                <c:pt idx="1704">
                  <c:v>5.2237446666666673E-2</c:v>
                </c:pt>
                <c:pt idx="1705">
                  <c:v>5.2093098666666664E-2</c:v>
                </c:pt>
                <c:pt idx="1706">
                  <c:v>5.2244714666666664E-2</c:v>
                </c:pt>
                <c:pt idx="1707">
                  <c:v>5.2387406666666664E-2</c:v>
                </c:pt>
                <c:pt idx="1708">
                  <c:v>5.2346037333333338E-2</c:v>
                </c:pt>
                <c:pt idx="1709">
                  <c:v>5.1906399999999998E-2</c:v>
                </c:pt>
                <c:pt idx="1710">
                  <c:v>5.2118398666666677E-2</c:v>
                </c:pt>
                <c:pt idx="1711">
                  <c:v>5.1864938666666673E-2</c:v>
                </c:pt>
                <c:pt idx="1712">
                  <c:v>5.1957184000000003E-2</c:v>
                </c:pt>
                <c:pt idx="1713">
                  <c:v>5.2072460000000001E-2</c:v>
                </c:pt>
                <c:pt idx="1714">
                  <c:v>5.2511208000000004E-2</c:v>
                </c:pt>
                <c:pt idx="1715">
                  <c:v>5.1791062666666672E-2</c:v>
                </c:pt>
                <c:pt idx="1716">
                  <c:v>5.1745492000000004E-2</c:v>
                </c:pt>
                <c:pt idx="1717">
                  <c:v>5.1816240000000006E-2</c:v>
                </c:pt>
                <c:pt idx="1718">
                  <c:v>5.1840037333333339E-2</c:v>
                </c:pt>
                <c:pt idx="1719">
                  <c:v>5.2164000000000002E-2</c:v>
                </c:pt>
                <c:pt idx="1720">
                  <c:v>5.1395432000000005E-2</c:v>
                </c:pt>
                <c:pt idx="1721">
                  <c:v>5.1763493333333341E-2</c:v>
                </c:pt>
                <c:pt idx="1722">
                  <c:v>5.2389093333333338E-2</c:v>
                </c:pt>
                <c:pt idx="1723">
                  <c:v>5.1740800000000003E-2</c:v>
                </c:pt>
                <c:pt idx="1724">
                  <c:v>5.1901616000000005E-2</c:v>
                </c:pt>
                <c:pt idx="1725">
                  <c:v>5.2240053333333328E-2</c:v>
                </c:pt>
                <c:pt idx="1726">
                  <c:v>5.1932160000000005E-2</c:v>
                </c:pt>
                <c:pt idx="1727">
                  <c:v>5.1684220000000003E-2</c:v>
                </c:pt>
                <c:pt idx="1728">
                  <c:v>5.1596544000000008E-2</c:v>
                </c:pt>
                <c:pt idx="1729">
                  <c:v>5.1631565333333337E-2</c:v>
                </c:pt>
                <c:pt idx="1730">
                  <c:v>5.2280349333333337E-2</c:v>
                </c:pt>
                <c:pt idx="1731">
                  <c:v>5.1540424000000001E-2</c:v>
                </c:pt>
                <c:pt idx="1732">
                  <c:v>5.2918239999999998E-2</c:v>
                </c:pt>
                <c:pt idx="1733">
                  <c:v>5.3434080000000002E-2</c:v>
                </c:pt>
                <c:pt idx="1734">
                  <c:v>6.7594780000000007E-2</c:v>
                </c:pt>
                <c:pt idx="1735">
                  <c:v>6.6651936666666675E-2</c:v>
                </c:pt>
                <c:pt idx="1736">
                  <c:v>5.2701240000000003E-2</c:v>
                </c:pt>
                <c:pt idx="1737">
                  <c:v>5.1661680000000001E-2</c:v>
                </c:pt>
                <c:pt idx="1738">
                  <c:v>5.1580229333333338E-2</c:v>
                </c:pt>
                <c:pt idx="1739">
                  <c:v>5.1423093333333343E-2</c:v>
                </c:pt>
                <c:pt idx="1740">
                  <c:v>5.1424412000000003E-2</c:v>
                </c:pt>
                <c:pt idx="1741">
                  <c:v>5.1358141333333336E-2</c:v>
                </c:pt>
                <c:pt idx="1742">
                  <c:v>5.1865000000000001E-2</c:v>
                </c:pt>
                <c:pt idx="1743">
                  <c:v>5.1405000000000006E-2</c:v>
                </c:pt>
                <c:pt idx="1744">
                  <c:v>5.1726938666666666E-2</c:v>
                </c:pt>
                <c:pt idx="1745">
                  <c:v>5.4041680000000009E-2</c:v>
                </c:pt>
                <c:pt idx="1746">
                  <c:v>6.0138066666666663E-2</c:v>
                </c:pt>
                <c:pt idx="1747">
                  <c:v>5.9952354000000006E-2</c:v>
                </c:pt>
                <c:pt idx="1748">
                  <c:v>5.9801296000000004E-2</c:v>
                </c:pt>
                <c:pt idx="1749">
                  <c:v>5.9793117999999999E-2</c:v>
                </c:pt>
                <c:pt idx="1750">
                  <c:v>5.9862176666666669E-2</c:v>
                </c:pt>
                <c:pt idx="1751">
                  <c:v>5.9730858666666671E-2</c:v>
                </c:pt>
                <c:pt idx="1752">
                  <c:v>5.9793117999999999E-2</c:v>
                </c:pt>
                <c:pt idx="1753">
                  <c:v>5.9943173333333336E-2</c:v>
                </c:pt>
                <c:pt idx="1754">
                  <c:v>5.9801296000000004E-2</c:v>
                </c:pt>
                <c:pt idx="1755">
                  <c:v>6.0040619999999996E-2</c:v>
                </c:pt>
                <c:pt idx="1756">
                  <c:v>6.0271233333333347E-2</c:v>
                </c:pt>
                <c:pt idx="1757">
                  <c:v>6.0348000000000006E-2</c:v>
                </c:pt>
                <c:pt idx="1758">
                  <c:v>6.0197129999999995E-2</c:v>
                </c:pt>
                <c:pt idx="1759">
                  <c:v>5.9865216000000006E-2</c:v>
                </c:pt>
                <c:pt idx="1760">
                  <c:v>6.0010226666666666E-2</c:v>
                </c:pt>
                <c:pt idx="1761">
                  <c:v>5.9949408666666669E-2</c:v>
                </c:pt>
                <c:pt idx="1762">
                  <c:v>6.0093636000000006E-2</c:v>
                </c:pt>
                <c:pt idx="1763">
                  <c:v>6.0092695999999994E-2</c:v>
                </c:pt>
                <c:pt idx="1764">
                  <c:v>5.2867430999999999E-2</c:v>
                </c:pt>
                <c:pt idx="1765">
                  <c:v>5.2172720999999998E-2</c:v>
                </c:pt>
                <c:pt idx="1766">
                  <c:v>5.1616488000000009E-2</c:v>
                </c:pt>
                <c:pt idx="1767">
                  <c:v>5.1704745000000003E-2</c:v>
                </c:pt>
                <c:pt idx="1768">
                  <c:v>5.1803046000000005E-2</c:v>
                </c:pt>
                <c:pt idx="1769">
                  <c:v>5.1708558000000009E-2</c:v>
                </c:pt>
                <c:pt idx="1770">
                  <c:v>5.1189060000000002E-2</c:v>
                </c:pt>
                <c:pt idx="1771">
                  <c:v>5.1311324000000005E-2</c:v>
                </c:pt>
                <c:pt idx="1772">
                  <c:v>5.4176220000000004E-2</c:v>
                </c:pt>
                <c:pt idx="1773">
                  <c:v>5.7424036000000005E-2</c:v>
                </c:pt>
                <c:pt idx="1774">
                  <c:v>5.4025126E-2</c:v>
                </c:pt>
                <c:pt idx="1775">
                  <c:v>5.1146480000000001E-2</c:v>
                </c:pt>
                <c:pt idx="1776">
                  <c:v>5.7006767999999999E-2</c:v>
                </c:pt>
                <c:pt idx="1777">
                  <c:v>6.6401896666666668E-2</c:v>
                </c:pt>
                <c:pt idx="1778">
                  <c:v>6.5287926666666662E-2</c:v>
                </c:pt>
                <c:pt idx="1779">
                  <c:v>6.627358333333333E-2</c:v>
                </c:pt>
                <c:pt idx="1780">
                  <c:v>6.7478753333333336E-2</c:v>
                </c:pt>
                <c:pt idx="1781">
                  <c:v>6.7457505000000001E-2</c:v>
                </c:pt>
                <c:pt idx="1782">
                  <c:v>6.705391333333334E-2</c:v>
                </c:pt>
                <c:pt idx="1783">
                  <c:v>6.6044158333333339E-2</c:v>
                </c:pt>
                <c:pt idx="1784">
                  <c:v>6.6683983333333335E-2</c:v>
                </c:pt>
                <c:pt idx="1785">
                  <c:v>6.6286946666666666E-2</c:v>
                </c:pt>
                <c:pt idx="1786">
                  <c:v>6.6314180000000014E-2</c:v>
                </c:pt>
                <c:pt idx="1787">
                  <c:v>6.6034309999999999E-2</c:v>
                </c:pt>
                <c:pt idx="1788">
                  <c:v>6.5892760000000009E-2</c:v>
                </c:pt>
                <c:pt idx="1789">
                  <c:v>6.6203315000000013E-2</c:v>
                </c:pt>
                <c:pt idx="1790">
                  <c:v>6.5654880000000013E-2</c:v>
                </c:pt>
                <c:pt idx="1791">
                  <c:v>6.5874710000000003E-2</c:v>
                </c:pt>
                <c:pt idx="1792">
                  <c:v>6.570554666666667E-2</c:v>
                </c:pt>
                <c:pt idx="1793">
                  <c:v>6.5953940000000003E-2</c:v>
                </c:pt>
                <c:pt idx="1794">
                  <c:v>6.5745225000000004E-2</c:v>
                </c:pt>
                <c:pt idx="1795">
                  <c:v>6.6563839999999999E-2</c:v>
                </c:pt>
                <c:pt idx="1796">
                  <c:v>6.5952230000000001E-2</c:v>
                </c:pt>
                <c:pt idx="1797">
                  <c:v>6.5914895000000001E-2</c:v>
                </c:pt>
                <c:pt idx="1798">
                  <c:v>6.570295000000001E-2</c:v>
                </c:pt>
                <c:pt idx="1799">
                  <c:v>6.5926485000000007E-2</c:v>
                </c:pt>
                <c:pt idx="1800">
                  <c:v>6.5717960000000006E-2</c:v>
                </c:pt>
                <c:pt idx="1801">
                  <c:v>6.6541800000000012E-2</c:v>
                </c:pt>
                <c:pt idx="1802">
                  <c:v>6.8653776666666666E-2</c:v>
                </c:pt>
                <c:pt idx="1803">
                  <c:v>6.5926390000000001E-2</c:v>
                </c:pt>
                <c:pt idx="1804">
                  <c:v>6.5445120000000009E-2</c:v>
                </c:pt>
                <c:pt idx="1805">
                  <c:v>6.5387360000000005E-2</c:v>
                </c:pt>
                <c:pt idx="1806">
                  <c:v>6.6609186666666667E-2</c:v>
                </c:pt>
                <c:pt idx="1807">
                  <c:v>6.6086686666666672E-2</c:v>
                </c:pt>
                <c:pt idx="1808">
                  <c:v>6.5879301666666668E-2</c:v>
                </c:pt>
                <c:pt idx="1809">
                  <c:v>6.6631574999999998E-2</c:v>
                </c:pt>
                <c:pt idx="1810">
                  <c:v>6.6767076666666675E-2</c:v>
                </c:pt>
                <c:pt idx="1811">
                  <c:v>6.5695033333333347E-2</c:v>
                </c:pt>
                <c:pt idx="1812">
                  <c:v>6.5337326666666667E-2</c:v>
                </c:pt>
                <c:pt idx="1813">
                  <c:v>6.6159900000000008E-2</c:v>
                </c:pt>
                <c:pt idx="1814">
                  <c:v>6.5644461666666667E-2</c:v>
                </c:pt>
                <c:pt idx="1815">
                  <c:v>6.5662891666666667E-2</c:v>
                </c:pt>
                <c:pt idx="1816">
                  <c:v>6.533549000000001E-2</c:v>
                </c:pt>
                <c:pt idx="1817">
                  <c:v>6.5014706666666672E-2</c:v>
                </c:pt>
                <c:pt idx="1818">
                  <c:v>6.5083359999999993E-2</c:v>
                </c:pt>
                <c:pt idx="1819">
                  <c:v>6.5257146666666682E-2</c:v>
                </c:pt>
                <c:pt idx="1820">
                  <c:v>6.536718833333334E-2</c:v>
                </c:pt>
                <c:pt idx="1821">
                  <c:v>6.5228551666666676E-2</c:v>
                </c:pt>
                <c:pt idx="1822">
                  <c:v>6.5188018333333334E-2</c:v>
                </c:pt>
                <c:pt idx="1823">
                  <c:v>6.5595410000000007E-2</c:v>
                </c:pt>
                <c:pt idx="1824">
                  <c:v>6.5903400000000001E-2</c:v>
                </c:pt>
                <c:pt idx="1825">
                  <c:v>6.5655829999999998E-2</c:v>
                </c:pt>
                <c:pt idx="1826">
                  <c:v>6.5137573333333337E-2</c:v>
                </c:pt>
                <c:pt idx="1827">
                  <c:v>6.5763180000000004E-2</c:v>
                </c:pt>
                <c:pt idx="1828">
                  <c:v>6.5317946666666682E-2</c:v>
                </c:pt>
                <c:pt idx="1829">
                  <c:v>6.5413579999999999E-2</c:v>
                </c:pt>
                <c:pt idx="1830">
                  <c:v>6.5496736666666666E-2</c:v>
                </c:pt>
                <c:pt idx="1831">
                  <c:v>6.5783098333333345E-2</c:v>
                </c:pt>
                <c:pt idx="1832">
                  <c:v>6.5695666666666666E-2</c:v>
                </c:pt>
                <c:pt idx="1833">
                  <c:v>6.5585973333333339E-2</c:v>
                </c:pt>
                <c:pt idx="1834">
                  <c:v>6.5662891666666667E-2</c:v>
                </c:pt>
                <c:pt idx="1835">
                  <c:v>6.5833859999999994E-2</c:v>
                </c:pt>
                <c:pt idx="1836">
                  <c:v>6.4819450000000015E-2</c:v>
                </c:pt>
                <c:pt idx="1837">
                  <c:v>6.4786485000000005E-2</c:v>
                </c:pt>
                <c:pt idx="1838">
                  <c:v>6.5584960000000012E-2</c:v>
                </c:pt>
                <c:pt idx="1839">
                  <c:v>6.4985098333333338E-2</c:v>
                </c:pt>
                <c:pt idx="1840">
                  <c:v>6.5331373333333331E-2</c:v>
                </c:pt>
                <c:pt idx="1841">
                  <c:v>6.8379670000000017E-2</c:v>
                </c:pt>
                <c:pt idx="1842">
                  <c:v>7.2729344000000001E-2</c:v>
                </c:pt>
                <c:pt idx="1843">
                  <c:v>6.8531290000000009E-2</c:v>
                </c:pt>
                <c:pt idx="1844">
                  <c:v>6.5080035000000008E-2</c:v>
                </c:pt>
                <c:pt idx="1845">
                  <c:v>6.5172850000000004E-2</c:v>
                </c:pt>
                <c:pt idx="1846">
                  <c:v>6.5671283333333344E-2</c:v>
                </c:pt>
                <c:pt idx="1847">
                  <c:v>6.519127999999999E-2</c:v>
                </c:pt>
                <c:pt idx="1848">
                  <c:v>6.5007074999999997E-2</c:v>
                </c:pt>
                <c:pt idx="1849">
                  <c:v>6.5025600000000003E-2</c:v>
                </c:pt>
                <c:pt idx="1850">
                  <c:v>6.5215093333333349E-2</c:v>
                </c:pt>
                <c:pt idx="1851">
                  <c:v>6.5173958333333337E-2</c:v>
                </c:pt>
                <c:pt idx="1852">
                  <c:v>6.5291125000000019E-2</c:v>
                </c:pt>
                <c:pt idx="1853">
                  <c:v>6.5559151666666676E-2</c:v>
                </c:pt>
                <c:pt idx="1854">
                  <c:v>6.5671916666666677E-2</c:v>
                </c:pt>
                <c:pt idx="1855">
                  <c:v>6.5496166666666661E-2</c:v>
                </c:pt>
                <c:pt idx="1856">
                  <c:v>6.5591040000000003E-2</c:v>
                </c:pt>
                <c:pt idx="1857">
                  <c:v>6.5344230000000003E-2</c:v>
                </c:pt>
                <c:pt idx="1858">
                  <c:v>6.5444106666666682E-2</c:v>
                </c:pt>
                <c:pt idx="1859">
                  <c:v>4.7248319999999996E-2</c:v>
                </c:pt>
                <c:pt idx="1860">
                  <c:v>5.3892053333333334E-3</c:v>
                </c:pt>
                <c:pt idx="1861">
                  <c:v>5.38062E-3</c:v>
                </c:pt>
                <c:pt idx="1862">
                  <c:v>5.1761920000000005E-3</c:v>
                </c:pt>
                <c:pt idx="1863">
                  <c:v>5.0987520000000007E-3</c:v>
                </c:pt>
                <c:pt idx="1864">
                  <c:v>5.0958599999999998E-3</c:v>
                </c:pt>
                <c:pt idx="1865">
                  <c:v>5.1397500000000002E-3</c:v>
                </c:pt>
                <c:pt idx="1866">
                  <c:v>5.2401066666666668E-3</c:v>
                </c:pt>
                <c:pt idx="1867">
                  <c:v>5.2518399999999998E-3</c:v>
                </c:pt>
                <c:pt idx="1868">
                  <c:v>5.1888060000000007E-3</c:v>
                </c:pt>
                <c:pt idx="1869">
                  <c:v>5.2214399999999999E-3</c:v>
                </c:pt>
                <c:pt idx="1870">
                  <c:v>5.2273493333333341E-3</c:v>
                </c:pt>
                <c:pt idx="1871">
                  <c:v>5.2261019999999998E-3</c:v>
                </c:pt>
                <c:pt idx="1872">
                  <c:v>5.2354260000000005E-3</c:v>
                </c:pt>
                <c:pt idx="1873">
                  <c:v>5.2121160000000001E-3</c:v>
                </c:pt>
                <c:pt idx="1874">
                  <c:v>5.2191090000000004E-3</c:v>
                </c:pt>
                <c:pt idx="1875">
                  <c:v>5.216778E-3</c:v>
                </c:pt>
                <c:pt idx="1876">
                  <c:v>5.2144469999999997E-3</c:v>
                </c:pt>
                <c:pt idx="1877">
                  <c:v>5.1478186666666665E-3</c:v>
                </c:pt>
                <c:pt idx="1878">
                  <c:v>5.1617066666666675E-3</c:v>
                </c:pt>
                <c:pt idx="1879">
                  <c:v>5.1559200000000005E-3</c:v>
                </c:pt>
                <c:pt idx="1880">
                  <c:v>5.1934680000000006E-3</c:v>
                </c:pt>
                <c:pt idx="1881">
                  <c:v>5.2027920000000004E-3</c:v>
                </c:pt>
                <c:pt idx="1882">
                  <c:v>5.2097849999999998E-3</c:v>
                </c:pt>
                <c:pt idx="1883">
                  <c:v>5.1610866666666668E-3</c:v>
                </c:pt>
                <c:pt idx="1884">
                  <c:v>5.1501333333333343E-3</c:v>
                </c:pt>
                <c:pt idx="1885">
                  <c:v>5.2284330000000002E-3</c:v>
                </c:pt>
                <c:pt idx="1886">
                  <c:v>5.2614240000000007E-3</c:v>
                </c:pt>
                <c:pt idx="1887">
                  <c:v>5.2708320000000005E-3</c:v>
                </c:pt>
                <c:pt idx="1888">
                  <c:v>5.249412000000001E-3</c:v>
                </c:pt>
                <c:pt idx="1889">
                  <c:v>5.3034666666666669E-3</c:v>
                </c:pt>
                <c:pt idx="1890">
                  <c:v>5.3081600000000001E-3</c:v>
                </c:pt>
                <c:pt idx="1891">
                  <c:v>5.3527466666666674E-3</c:v>
                </c:pt>
                <c:pt idx="1892">
                  <c:v>5.3738666666666678E-3</c:v>
                </c:pt>
                <c:pt idx="1893">
                  <c:v>5.3574400000000006E-3</c:v>
                </c:pt>
                <c:pt idx="1894">
                  <c:v>5.3691733333333337E-3</c:v>
                </c:pt>
                <c:pt idx="1895">
                  <c:v>5.3030250000000003E-3</c:v>
                </c:pt>
                <c:pt idx="1896">
                  <c:v>5.275053E-3</c:v>
                </c:pt>
                <c:pt idx="1897">
                  <c:v>5.3296320000000008E-3</c:v>
                </c:pt>
                <c:pt idx="1898">
                  <c:v>5.3390399999999998E-3</c:v>
                </c:pt>
                <c:pt idx="1899">
                  <c:v>5.3555039999999996E-3</c:v>
                </c:pt>
                <c:pt idx="1900">
                  <c:v>5.2731826666666667E-3</c:v>
                </c:pt>
                <c:pt idx="1901">
                  <c:v>5.2218880000000001E-3</c:v>
                </c:pt>
                <c:pt idx="1902">
                  <c:v>5.247494000000001E-3</c:v>
                </c:pt>
                <c:pt idx="1903">
                  <c:v>5.263841333333334E-3</c:v>
                </c:pt>
                <c:pt idx="1904">
                  <c:v>5.3555039999999996E-3</c:v>
                </c:pt>
                <c:pt idx="1905">
                  <c:v>5.3263350000000006E-3</c:v>
                </c:pt>
                <c:pt idx="1906">
                  <c:v>5.3123490000000001E-3</c:v>
                </c:pt>
                <c:pt idx="1907">
                  <c:v>5.3309970000000005E-3</c:v>
                </c:pt>
                <c:pt idx="1908">
                  <c:v>5.2657289999999994E-3</c:v>
                </c:pt>
                <c:pt idx="1909">
                  <c:v>5.2797150000000008E-3</c:v>
                </c:pt>
                <c:pt idx="1910">
                  <c:v>5.338666666666666E-3</c:v>
                </c:pt>
                <c:pt idx="1911">
                  <c:v>5.3339733333333328E-3</c:v>
                </c:pt>
                <c:pt idx="1912">
                  <c:v>5.3222400000000007E-3</c:v>
                </c:pt>
                <c:pt idx="1913">
                  <c:v>5.2924586666666671E-3</c:v>
                </c:pt>
                <c:pt idx="1914">
                  <c:v>5.3040853333333332E-3</c:v>
                </c:pt>
                <c:pt idx="1915">
                  <c:v>5.3024400000000003E-3</c:v>
                </c:pt>
                <c:pt idx="1916">
                  <c:v>5.3071200000000002E-3</c:v>
                </c:pt>
                <c:pt idx="1917">
                  <c:v>5.2575786666666669E-3</c:v>
                </c:pt>
                <c:pt idx="1918">
                  <c:v>5.2930800000000004E-3</c:v>
                </c:pt>
                <c:pt idx="1919">
                  <c:v>5.3258400000000001E-3</c:v>
                </c:pt>
                <c:pt idx="1920">
                  <c:v>5.2907400000000004E-3</c:v>
                </c:pt>
                <c:pt idx="1921">
                  <c:v>5.2738559999999995E-3</c:v>
                </c:pt>
                <c:pt idx="1922">
                  <c:v>5.2930800000000004E-3</c:v>
                </c:pt>
                <c:pt idx="1923">
                  <c:v>5.3047800000000003E-3</c:v>
                </c:pt>
                <c:pt idx="1924">
                  <c:v>5.3164799999999993E-3</c:v>
                </c:pt>
                <c:pt idx="1925">
                  <c:v>5.2715306666666671E-3</c:v>
                </c:pt>
                <c:pt idx="1926">
                  <c:v>5.2645546666666666E-3</c:v>
                </c:pt>
                <c:pt idx="1927">
                  <c:v>5.338666666666666E-3</c:v>
                </c:pt>
                <c:pt idx="1928">
                  <c:v>5.1974999999999999E-3</c:v>
                </c:pt>
                <c:pt idx="1929">
                  <c:v>5.2987733333333328E-3</c:v>
                </c:pt>
                <c:pt idx="1930">
                  <c:v>5.2870399999999998E-3</c:v>
                </c:pt>
                <c:pt idx="1931">
                  <c:v>5.236650666666667E-3</c:v>
                </c:pt>
                <c:pt idx="1932">
                  <c:v>5.248277333333334E-3</c:v>
                </c:pt>
                <c:pt idx="1933">
                  <c:v>5.2413013333333335E-3</c:v>
                </c:pt>
                <c:pt idx="1934">
                  <c:v>5.3094600000000011E-3</c:v>
                </c:pt>
                <c:pt idx="1935">
                  <c:v>5.2813799999999996E-3</c:v>
                </c:pt>
                <c:pt idx="1936">
                  <c:v>5.2954200000000003E-3</c:v>
                </c:pt>
                <c:pt idx="1937">
                  <c:v>5.3047800000000003E-3</c:v>
                </c:pt>
                <c:pt idx="1938">
                  <c:v>5.3001000000000003E-3</c:v>
                </c:pt>
                <c:pt idx="1939">
                  <c:v>5.2649350000000001E-3</c:v>
                </c:pt>
                <c:pt idx="1940">
                  <c:v>5.2954200000000003E-3</c:v>
                </c:pt>
                <c:pt idx="1941">
                  <c:v>5.2860600000000004E-3</c:v>
                </c:pt>
                <c:pt idx="1942">
                  <c:v>5.2813799999999996E-3</c:v>
                </c:pt>
                <c:pt idx="1943">
                  <c:v>5.2742083333333339E-3</c:v>
                </c:pt>
                <c:pt idx="1944">
                  <c:v>5.3469000000000008E-3</c:v>
                </c:pt>
                <c:pt idx="1945">
                  <c:v>5.2742083333333339E-3</c:v>
                </c:pt>
                <c:pt idx="1946">
                  <c:v>5.3235000000000001E-3</c:v>
                </c:pt>
                <c:pt idx="1947">
                  <c:v>5.3047800000000003E-3</c:v>
                </c:pt>
                <c:pt idx="1948">
                  <c:v>5.2977600000000003E-3</c:v>
                </c:pt>
                <c:pt idx="1949">
                  <c:v>5.3047800000000003E-3</c:v>
                </c:pt>
                <c:pt idx="1950">
                  <c:v>5.3047800000000003E-3</c:v>
                </c:pt>
                <c:pt idx="1951">
                  <c:v>5.2790400000000005E-3</c:v>
                </c:pt>
                <c:pt idx="1952">
                  <c:v>5.2255233333333333E-3</c:v>
                </c:pt>
                <c:pt idx="1953">
                  <c:v>5.3365180000000002E-3</c:v>
                </c:pt>
                <c:pt idx="1954">
                  <c:v>5.3459340000000001E-3</c:v>
                </c:pt>
                <c:pt idx="1955">
                  <c:v>5.3341640000000006E-3</c:v>
                </c:pt>
                <c:pt idx="1956">
                  <c:v>5.3577039999999996E-3</c:v>
                </c:pt>
                <c:pt idx="1957">
                  <c:v>5.3071200000000002E-3</c:v>
                </c:pt>
                <c:pt idx="1958">
                  <c:v>5.3164799999999993E-3</c:v>
                </c:pt>
                <c:pt idx="1959">
                  <c:v>5.3047800000000003E-3</c:v>
                </c:pt>
                <c:pt idx="1960">
                  <c:v>5.2907400000000004E-3</c:v>
                </c:pt>
                <c:pt idx="1961">
                  <c:v>5.3001000000000003E-3</c:v>
                </c:pt>
                <c:pt idx="1962">
                  <c:v>5.2837200000000004E-3</c:v>
                </c:pt>
                <c:pt idx="1963">
                  <c:v>5.2440700000000008E-3</c:v>
                </c:pt>
                <c:pt idx="1964">
                  <c:v>5.360058E-3</c:v>
                </c:pt>
                <c:pt idx="1965">
                  <c:v>5.3412260000000001E-3</c:v>
                </c:pt>
                <c:pt idx="1966">
                  <c:v>5.2440700000000008E-3</c:v>
                </c:pt>
                <c:pt idx="1967">
                  <c:v>5.3388719999999997E-3</c:v>
                </c:pt>
                <c:pt idx="1968">
                  <c:v>5.2301600000000011E-3</c:v>
                </c:pt>
                <c:pt idx="1969">
                  <c:v>5.2462799999999999E-3</c:v>
                </c:pt>
                <c:pt idx="1970">
                  <c:v>5.2232050000000007E-3</c:v>
                </c:pt>
                <c:pt idx="1971">
                  <c:v>5.2228800000000001E-3</c:v>
                </c:pt>
                <c:pt idx="1972">
                  <c:v>5.2603200000000006E-3</c:v>
                </c:pt>
                <c:pt idx="1973">
                  <c:v>5.2556400000000007E-3</c:v>
                </c:pt>
                <c:pt idx="1974">
                  <c:v>5.2069766666666666E-3</c:v>
                </c:pt>
                <c:pt idx="1975">
                  <c:v>5.2392600000000008E-3</c:v>
                </c:pt>
                <c:pt idx="1976">
                  <c:v>5.2299000000000009E-3</c:v>
                </c:pt>
                <c:pt idx="1977">
                  <c:v>5.1930666666666677E-3</c:v>
                </c:pt>
                <c:pt idx="1978">
                  <c:v>5.2228800000000001E-3</c:v>
                </c:pt>
                <c:pt idx="1979">
                  <c:v>5.2046583333333332E-3</c:v>
                </c:pt>
                <c:pt idx="1980">
                  <c:v>5.2870840000000001E-3</c:v>
                </c:pt>
                <c:pt idx="1981">
                  <c:v>5.1977033333333337E-3</c:v>
                </c:pt>
                <c:pt idx="1982">
                  <c:v>5.3059159999999999E-3</c:v>
                </c:pt>
                <c:pt idx="1983">
                  <c:v>5.2046583333333332E-3</c:v>
                </c:pt>
                <c:pt idx="1984">
                  <c:v>5.1977033333333337E-3</c:v>
                </c:pt>
                <c:pt idx="1985">
                  <c:v>5.2069766666666666E-3</c:v>
                </c:pt>
                <c:pt idx="1986">
                  <c:v>5.2369200000000008E-3</c:v>
                </c:pt>
                <c:pt idx="1987">
                  <c:v>5.2439399999999999E-3</c:v>
                </c:pt>
                <c:pt idx="1988">
                  <c:v>5.2532999999999998E-3</c:v>
                </c:pt>
                <c:pt idx="1989">
                  <c:v>5.2092950000000001E-3</c:v>
                </c:pt>
                <c:pt idx="1990">
                  <c:v>5.2532999999999998E-3</c:v>
                </c:pt>
                <c:pt idx="1991">
                  <c:v>5.2532999999999998E-3</c:v>
                </c:pt>
                <c:pt idx="1992">
                  <c:v>5.2000216666666672E-3</c:v>
                </c:pt>
                <c:pt idx="1993">
                  <c:v>5.3059159999999999E-3</c:v>
                </c:pt>
                <c:pt idx="1994">
                  <c:v>5.2988540000000004E-3</c:v>
                </c:pt>
                <c:pt idx="1995">
                  <c:v>5.2423360000000002E-3</c:v>
                </c:pt>
                <c:pt idx="1996">
                  <c:v>5.2236800000000005E-3</c:v>
                </c:pt>
                <c:pt idx="1997">
                  <c:v>5.2353399999999998E-3</c:v>
                </c:pt>
                <c:pt idx="1998">
                  <c:v>5.2423360000000002E-3</c:v>
                </c:pt>
                <c:pt idx="1999">
                  <c:v>5.2563280000000002E-3</c:v>
                </c:pt>
                <c:pt idx="2000">
                  <c:v>5.2563280000000002E-3</c:v>
                </c:pt>
                <c:pt idx="2001">
                  <c:v>5.2400040000000004E-3</c:v>
                </c:pt>
                <c:pt idx="2002">
                  <c:v>5.2306760000000009E-3</c:v>
                </c:pt>
                <c:pt idx="2003">
                  <c:v>5.2753139999999997E-3</c:v>
                </c:pt>
                <c:pt idx="2004">
                  <c:v>5.2353399999999998E-3</c:v>
                </c:pt>
                <c:pt idx="2005">
                  <c:v>5.2469999999999999E-3</c:v>
                </c:pt>
                <c:pt idx="2006">
                  <c:v>5.2563280000000002E-3</c:v>
                </c:pt>
                <c:pt idx="2007">
                  <c:v>5.2633240000000006E-3</c:v>
                </c:pt>
                <c:pt idx="2008">
                  <c:v>5.2633240000000006E-3</c:v>
                </c:pt>
                <c:pt idx="2009">
                  <c:v>5.2633240000000006E-3</c:v>
                </c:pt>
                <c:pt idx="2010">
                  <c:v>5.2703200000000002E-3</c:v>
                </c:pt>
                <c:pt idx="2011">
                  <c:v>5.3596426666666667E-3</c:v>
                </c:pt>
                <c:pt idx="2012">
                  <c:v>5.3254950000000004E-3</c:v>
                </c:pt>
                <c:pt idx="2013">
                  <c:v>5.3301850000000003E-3</c:v>
                </c:pt>
                <c:pt idx="2014">
                  <c:v>5.3301850000000003E-3</c:v>
                </c:pt>
                <c:pt idx="2015">
                  <c:v>5.2983040000000002E-3</c:v>
                </c:pt>
                <c:pt idx="2016">
                  <c:v>5.3325300000000003E-3</c:v>
                </c:pt>
                <c:pt idx="2017">
                  <c:v>5.3466E-3</c:v>
                </c:pt>
                <c:pt idx="2018">
                  <c:v>5.3583249999999997E-3</c:v>
                </c:pt>
                <c:pt idx="2019">
                  <c:v>5.3466E-3</c:v>
                </c:pt>
                <c:pt idx="2020">
                  <c:v>5.3231500000000005E-3</c:v>
                </c:pt>
                <c:pt idx="2021">
                  <c:v>5.3208050000000005E-3</c:v>
                </c:pt>
                <c:pt idx="2022">
                  <c:v>5.3067349999999999E-3</c:v>
                </c:pt>
                <c:pt idx="2023">
                  <c:v>5.3090799999999999E-3</c:v>
                </c:pt>
                <c:pt idx="2024">
                  <c:v>5.2773160000000006E-3</c:v>
                </c:pt>
                <c:pt idx="2025">
                  <c:v>5.302045E-3</c:v>
                </c:pt>
                <c:pt idx="2026">
                  <c:v>5.19981E-3</c:v>
                </c:pt>
                <c:pt idx="2027">
                  <c:v>5.2469999999999999E-3</c:v>
                </c:pt>
                <c:pt idx="2028">
                  <c:v>5.295010000000001E-3</c:v>
                </c:pt>
                <c:pt idx="2029">
                  <c:v>5.3667446666666677E-3</c:v>
                </c:pt>
                <c:pt idx="2030">
                  <c:v>5.3231500000000005E-3</c:v>
                </c:pt>
                <c:pt idx="2031">
                  <c:v>5.3184600000000005E-3</c:v>
                </c:pt>
                <c:pt idx="2032">
                  <c:v>5.3231500000000005E-3</c:v>
                </c:pt>
                <c:pt idx="2033">
                  <c:v>5.3442550000000009E-3</c:v>
                </c:pt>
                <c:pt idx="2034">
                  <c:v>5.3348750000000002E-3</c:v>
                </c:pt>
                <c:pt idx="2035">
                  <c:v>5.3231500000000005E-3</c:v>
                </c:pt>
                <c:pt idx="2036">
                  <c:v>5.3231500000000005E-3</c:v>
                </c:pt>
                <c:pt idx="2037">
                  <c:v>5.3572753333333339E-3</c:v>
                </c:pt>
                <c:pt idx="2038">
                  <c:v>5.3325300000000003E-3</c:v>
                </c:pt>
                <c:pt idx="2039">
                  <c:v>5.3325300000000003E-3</c:v>
                </c:pt>
                <c:pt idx="2040">
                  <c:v>5.3348750000000002E-3</c:v>
                </c:pt>
                <c:pt idx="2041">
                  <c:v>5.3301850000000003E-3</c:v>
                </c:pt>
                <c:pt idx="2042">
                  <c:v>5.339565000000001E-3</c:v>
                </c:pt>
                <c:pt idx="2043">
                  <c:v>5.3301850000000003E-3</c:v>
                </c:pt>
                <c:pt idx="2044">
                  <c:v>5.2889759999999999E-3</c:v>
                </c:pt>
                <c:pt idx="2045">
                  <c:v>5.373846666666667E-3</c:v>
                </c:pt>
                <c:pt idx="2046">
                  <c:v>5.2889759999999999E-3</c:v>
                </c:pt>
                <c:pt idx="2047">
                  <c:v>5.373846666666667E-3</c:v>
                </c:pt>
                <c:pt idx="2048">
                  <c:v>5.2866440000000001E-3</c:v>
                </c:pt>
                <c:pt idx="2049">
                  <c:v>5.2889759999999999E-3</c:v>
                </c:pt>
                <c:pt idx="2050">
                  <c:v>5.2703200000000002E-3</c:v>
                </c:pt>
                <c:pt idx="2051">
                  <c:v>5.2773160000000006E-3</c:v>
                </c:pt>
                <c:pt idx="2052">
                  <c:v>5.2843120000000002E-3</c:v>
                </c:pt>
                <c:pt idx="2053">
                  <c:v>5.2959720000000004E-3</c:v>
                </c:pt>
                <c:pt idx="2054">
                  <c:v>5.3624120000000004E-3</c:v>
                </c:pt>
                <c:pt idx="2055">
                  <c:v>5.3529960000000005E-3</c:v>
                </c:pt>
                <c:pt idx="2056">
                  <c:v>5.3529960000000005E-3</c:v>
                </c:pt>
                <c:pt idx="2057">
                  <c:v>5.364766E-3</c:v>
                </c:pt>
                <c:pt idx="2058">
                  <c:v>5.3788899999999999E-3</c:v>
                </c:pt>
                <c:pt idx="2059">
                  <c:v>5.3566040000000001E-3</c:v>
                </c:pt>
                <c:pt idx="2060">
                  <c:v>5.4401319999999994E-3</c:v>
                </c:pt>
                <c:pt idx="2061">
                  <c:v>5.4377646666666666E-3</c:v>
                </c:pt>
                <c:pt idx="2062">
                  <c:v>5.4259280000000009E-3</c:v>
                </c:pt>
                <c:pt idx="2063">
                  <c:v>5.4282953333333337E-3</c:v>
                </c:pt>
                <c:pt idx="2064">
                  <c:v>5.4330300000000002E-3</c:v>
                </c:pt>
                <c:pt idx="2065">
                  <c:v>5.3402800000000002E-3</c:v>
                </c:pt>
                <c:pt idx="2066">
                  <c:v>5.4235606666666672E-3</c:v>
                </c:pt>
                <c:pt idx="2067">
                  <c:v>5.4282953333333337E-3</c:v>
                </c:pt>
                <c:pt idx="2068">
                  <c:v>5.4282953333333337E-3</c:v>
                </c:pt>
                <c:pt idx="2069">
                  <c:v>5.4211933333333344E-3</c:v>
                </c:pt>
                <c:pt idx="2070">
                  <c:v>5.4259280000000009E-3</c:v>
                </c:pt>
                <c:pt idx="2071">
                  <c:v>5.4330300000000002E-3</c:v>
                </c:pt>
                <c:pt idx="2072">
                  <c:v>5.4401319999999994E-3</c:v>
                </c:pt>
                <c:pt idx="2073">
                  <c:v>5.3332840000000006E-3</c:v>
                </c:pt>
                <c:pt idx="2074">
                  <c:v>5.4046220000000004E-3</c:v>
                </c:pt>
                <c:pt idx="2075">
                  <c:v>5.3076319999999996E-3</c:v>
                </c:pt>
                <c:pt idx="2076">
                  <c:v>5.3006360000000009E-3</c:v>
                </c:pt>
                <c:pt idx="2077">
                  <c:v>5.2889759999999999E-3</c:v>
                </c:pt>
                <c:pt idx="2078">
                  <c:v>5.2959720000000004E-3</c:v>
                </c:pt>
                <c:pt idx="2079">
                  <c:v>5.2936400000000005E-3</c:v>
                </c:pt>
                <c:pt idx="2080">
                  <c:v>5.3052999999999998E-3</c:v>
                </c:pt>
                <c:pt idx="2081">
                  <c:v>5.3216240000000005E-3</c:v>
                </c:pt>
                <c:pt idx="2082">
                  <c:v>5.3718280000000004E-3</c:v>
                </c:pt>
                <c:pt idx="2083">
                  <c:v>5.3309519999999999E-3</c:v>
                </c:pt>
                <c:pt idx="2084">
                  <c:v>5.3076319999999996E-3</c:v>
                </c:pt>
                <c:pt idx="2085">
                  <c:v>5.3153319999999999E-3</c:v>
                </c:pt>
                <c:pt idx="2086">
                  <c:v>5.3176860000000012E-3</c:v>
                </c:pt>
                <c:pt idx="2087">
                  <c:v>5.2556616666666663E-3</c:v>
                </c:pt>
                <c:pt idx="2088">
                  <c:v>5.3271020000000002E-3</c:v>
                </c:pt>
                <c:pt idx="2089">
                  <c:v>5.3247480000000007E-3</c:v>
                </c:pt>
                <c:pt idx="2090">
                  <c:v>5.3435800000000014E-3</c:v>
                </c:pt>
                <c:pt idx="2091">
                  <c:v>5.3388719999999997E-3</c:v>
                </c:pt>
                <c:pt idx="2092">
                  <c:v>5.2936400000000005E-3</c:v>
                </c:pt>
                <c:pt idx="2093">
                  <c:v>5.3341640000000006E-3</c:v>
                </c:pt>
                <c:pt idx="2094">
                  <c:v>5.3412260000000001E-3</c:v>
                </c:pt>
                <c:pt idx="2095">
                  <c:v>5.2959720000000004E-3</c:v>
                </c:pt>
                <c:pt idx="2096">
                  <c:v>5.3388719999999997E-3</c:v>
                </c:pt>
                <c:pt idx="2097">
                  <c:v>5.3412260000000001E-3</c:v>
                </c:pt>
                <c:pt idx="2098">
                  <c:v>5.2819800000000004E-3</c:v>
                </c:pt>
                <c:pt idx="2099">
                  <c:v>5.2936400000000005E-3</c:v>
                </c:pt>
                <c:pt idx="2100">
                  <c:v>5.2936400000000005E-3</c:v>
                </c:pt>
                <c:pt idx="2101">
                  <c:v>5.3006360000000009E-3</c:v>
                </c:pt>
                <c:pt idx="2102">
                  <c:v>5.3146280000000009E-3</c:v>
                </c:pt>
                <c:pt idx="2103">
                  <c:v>5.4188260000000007E-3</c:v>
                </c:pt>
                <c:pt idx="2104">
                  <c:v>5.386465E-3</c:v>
                </c:pt>
                <c:pt idx="2105">
                  <c:v>5.3934999999999999E-3</c:v>
                </c:pt>
                <c:pt idx="2106">
                  <c:v>5.3817750000000001E-3</c:v>
                </c:pt>
                <c:pt idx="2107">
                  <c:v>5.3723950000000003E-3</c:v>
                </c:pt>
                <c:pt idx="2108">
                  <c:v>5.379430000000001E-3</c:v>
                </c:pt>
                <c:pt idx="2109">
                  <c:v>5.386465E-3</c:v>
                </c:pt>
                <c:pt idx="2110">
                  <c:v>5.3700500000000003E-3</c:v>
                </c:pt>
                <c:pt idx="2111">
                  <c:v>5.3770850000000002E-3</c:v>
                </c:pt>
                <c:pt idx="2112">
                  <c:v>5.3888099999999991E-3</c:v>
                </c:pt>
                <c:pt idx="2113">
                  <c:v>5.3958450000000007E-3</c:v>
                </c:pt>
                <c:pt idx="2114">
                  <c:v>5.3934999999999999E-3</c:v>
                </c:pt>
                <c:pt idx="2115">
                  <c:v>5.3981899999999998E-3</c:v>
                </c:pt>
                <c:pt idx="2116">
                  <c:v>5.3934999999999999E-3</c:v>
                </c:pt>
                <c:pt idx="2117">
                  <c:v>5.3817750000000001E-3</c:v>
                </c:pt>
                <c:pt idx="2118">
                  <c:v>5.416458666666667E-3</c:v>
                </c:pt>
                <c:pt idx="2119">
                  <c:v>5.4235606666666672E-3</c:v>
                </c:pt>
                <c:pt idx="2120">
                  <c:v>5.4519686666666678E-3</c:v>
                </c:pt>
                <c:pt idx="2121">
                  <c:v>5.3958450000000007E-3</c:v>
                </c:pt>
                <c:pt idx="2122">
                  <c:v>5.4075700000000004E-3</c:v>
                </c:pt>
                <c:pt idx="2123">
                  <c:v>5.4216400000000001E-3</c:v>
                </c:pt>
                <c:pt idx="2124">
                  <c:v>5.4192950000000011E-3</c:v>
                </c:pt>
                <c:pt idx="2125">
                  <c:v>5.4239850000000001E-3</c:v>
                </c:pt>
                <c:pt idx="2126">
                  <c:v>5.2738400000000001E-3</c:v>
                </c:pt>
                <c:pt idx="2127">
                  <c:v>4.9746666666666663E-3</c:v>
                </c:pt>
                <c:pt idx="2128">
                  <c:v>4.9725000000000004E-3</c:v>
                </c:pt>
                <c:pt idx="2129">
                  <c:v>4.976833333333334E-3</c:v>
                </c:pt>
                <c:pt idx="2130">
                  <c:v>4.9681666666666667E-3</c:v>
                </c:pt>
                <c:pt idx="2131">
                  <c:v>4.9681666666666667E-3</c:v>
                </c:pt>
                <c:pt idx="2132">
                  <c:v>4.9746666666666663E-3</c:v>
                </c:pt>
                <c:pt idx="2133">
                  <c:v>4.9725000000000004E-3</c:v>
                </c:pt>
                <c:pt idx="2134">
                  <c:v>4.9659999999999999E-3</c:v>
                </c:pt>
                <c:pt idx="2135">
                  <c:v>5.0578000000000003E-3</c:v>
                </c:pt>
                <c:pt idx="2136">
                  <c:v>4.9811666666666667E-3</c:v>
                </c:pt>
                <c:pt idx="2137">
                  <c:v>4.976833333333334E-3</c:v>
                </c:pt>
                <c:pt idx="2138">
                  <c:v>5.0468000000000006E-3</c:v>
                </c:pt>
                <c:pt idx="2139">
                  <c:v>5.0358000000000009E-3</c:v>
                </c:pt>
                <c:pt idx="2140">
                  <c:v>4.9421666666666668E-3</c:v>
                </c:pt>
                <c:pt idx="2141">
                  <c:v>4.9378333333333331E-3</c:v>
                </c:pt>
                <c:pt idx="2142">
                  <c:v>4.9465000000000004E-3</c:v>
                </c:pt>
                <c:pt idx="2143">
                  <c:v>4.9508333333333331E-3</c:v>
                </c:pt>
                <c:pt idx="2144">
                  <c:v>4.9356666666666672E-3</c:v>
                </c:pt>
                <c:pt idx="2145">
                  <c:v>4.9675166666666671E-3</c:v>
                </c:pt>
                <c:pt idx="2146">
                  <c:v>4.9631399999999996E-3</c:v>
                </c:pt>
                <c:pt idx="2147">
                  <c:v>4.9270000000000008E-3</c:v>
                </c:pt>
                <c:pt idx="2148">
                  <c:v>4.9356666666666672E-3</c:v>
                </c:pt>
                <c:pt idx="2149">
                  <c:v>4.9443333333333336E-3</c:v>
                </c:pt>
                <c:pt idx="2150">
                  <c:v>4.9313333333333336E-3</c:v>
                </c:pt>
                <c:pt idx="2151">
                  <c:v>4.9313333333333336E-3</c:v>
                </c:pt>
                <c:pt idx="2152">
                  <c:v>5.0182000000000004E-3</c:v>
                </c:pt>
                <c:pt idx="2153">
                  <c:v>4.9985100000000003E-3</c:v>
                </c:pt>
                <c:pt idx="2154">
                  <c:v>5.0137560000000003E-3</c:v>
                </c:pt>
                <c:pt idx="2155">
                  <c:v>5.0159340000000005E-3</c:v>
                </c:pt>
                <c:pt idx="2156">
                  <c:v>5.0093999999999998E-3</c:v>
                </c:pt>
                <c:pt idx="2157">
                  <c:v>4.9985100000000003E-3</c:v>
                </c:pt>
                <c:pt idx="2158">
                  <c:v>4.9941540000000006E-3</c:v>
                </c:pt>
                <c:pt idx="2159">
                  <c:v>4.9876199999999999E-3</c:v>
                </c:pt>
                <c:pt idx="2160">
                  <c:v>4.9767300000000004E-3</c:v>
                </c:pt>
                <c:pt idx="2161">
                  <c:v>4.9810860000000009E-3</c:v>
                </c:pt>
                <c:pt idx="2162">
                  <c:v>4.9854420000000005E-3</c:v>
                </c:pt>
                <c:pt idx="2163">
                  <c:v>4.9897980000000001E-3</c:v>
                </c:pt>
                <c:pt idx="2164">
                  <c:v>4.996332E-3</c:v>
                </c:pt>
                <c:pt idx="2165">
                  <c:v>5.0072220000000004E-3</c:v>
                </c:pt>
                <c:pt idx="2166">
                  <c:v>5.011578E-3</c:v>
                </c:pt>
                <c:pt idx="2167">
                  <c:v>4.9985100000000003E-3</c:v>
                </c:pt>
                <c:pt idx="2168">
                  <c:v>5.0028659999999999E-3</c:v>
                </c:pt>
                <c:pt idx="2169">
                  <c:v>5.0295560000000001E-3</c:v>
                </c:pt>
                <c:pt idx="2170">
                  <c:v>4.9566440000000005E-3</c:v>
                </c:pt>
                <c:pt idx="2171">
                  <c:v>4.9985100000000003E-3</c:v>
                </c:pt>
                <c:pt idx="2172">
                  <c:v>4.996332E-3</c:v>
                </c:pt>
                <c:pt idx="2173">
                  <c:v>4.9919760000000004E-3</c:v>
                </c:pt>
                <c:pt idx="2174">
                  <c:v>4.9941540000000006E-3</c:v>
                </c:pt>
                <c:pt idx="2175">
                  <c:v>4.9897980000000001E-3</c:v>
                </c:pt>
                <c:pt idx="2176">
                  <c:v>4.9767300000000004E-3</c:v>
                </c:pt>
                <c:pt idx="2177">
                  <c:v>4.9919760000000004E-3</c:v>
                </c:pt>
                <c:pt idx="2178">
                  <c:v>5.0006880000000005E-3</c:v>
                </c:pt>
                <c:pt idx="2179">
                  <c:v>5.0006880000000005E-3</c:v>
                </c:pt>
                <c:pt idx="2180">
                  <c:v>5.0093999999999998E-3</c:v>
                </c:pt>
                <c:pt idx="2181">
                  <c:v>5.0181119999999999E-3</c:v>
                </c:pt>
                <c:pt idx="2182">
                  <c:v>4.9377900000000001E-3</c:v>
                </c:pt>
                <c:pt idx="2183">
                  <c:v>5.0137560000000003E-3</c:v>
                </c:pt>
                <c:pt idx="2184">
                  <c:v>5.0137560000000003E-3</c:v>
                </c:pt>
                <c:pt idx="2185">
                  <c:v>5.0224679999999996E-3</c:v>
                </c:pt>
                <c:pt idx="2186">
                  <c:v>4.9313550000000001E-3</c:v>
                </c:pt>
                <c:pt idx="2187">
                  <c:v>4.9206299999999996E-3</c:v>
                </c:pt>
                <c:pt idx="2188">
                  <c:v>4.9465000000000004E-3</c:v>
                </c:pt>
                <c:pt idx="2189">
                  <c:v>4.9876199999999999E-3</c:v>
                </c:pt>
                <c:pt idx="2190">
                  <c:v>4.9789080000000006E-3</c:v>
                </c:pt>
                <c:pt idx="2191">
                  <c:v>4.9595000000000004E-3</c:v>
                </c:pt>
                <c:pt idx="2192">
                  <c:v>4.8991800000000004E-3</c:v>
                </c:pt>
                <c:pt idx="2193">
                  <c:v>4.9335000000000004E-3</c:v>
                </c:pt>
                <c:pt idx="2194">
                  <c:v>4.8906000000000002E-3</c:v>
                </c:pt>
                <c:pt idx="2195">
                  <c:v>4.9421666666666668E-3</c:v>
                </c:pt>
                <c:pt idx="2196">
                  <c:v>4.8927450000000004E-3</c:v>
                </c:pt>
                <c:pt idx="2197">
                  <c:v>4.9400000000000008E-3</c:v>
                </c:pt>
                <c:pt idx="2198">
                  <c:v>4.9486666666666672E-3</c:v>
                </c:pt>
                <c:pt idx="2199">
                  <c:v>4.8991800000000004E-3</c:v>
                </c:pt>
                <c:pt idx="2200">
                  <c:v>4.9723740000000008E-3</c:v>
                </c:pt>
                <c:pt idx="2201">
                  <c:v>4.8948900000000007E-3</c:v>
                </c:pt>
                <c:pt idx="2202">
                  <c:v>4.9163400000000008E-3</c:v>
                </c:pt>
                <c:pt idx="2203">
                  <c:v>4.909905E-3</c:v>
                </c:pt>
                <c:pt idx="2204">
                  <c:v>4.9163400000000008E-3</c:v>
                </c:pt>
                <c:pt idx="2205">
                  <c:v>4.9810860000000009E-3</c:v>
                </c:pt>
                <c:pt idx="2206">
                  <c:v>4.8906000000000002E-3</c:v>
                </c:pt>
                <c:pt idx="2207">
                  <c:v>4.9291666666666668E-3</c:v>
                </c:pt>
                <c:pt idx="2208">
                  <c:v>4.9226666666666672E-3</c:v>
                </c:pt>
                <c:pt idx="2209">
                  <c:v>4.9313333333333336E-3</c:v>
                </c:pt>
                <c:pt idx="2210">
                  <c:v>4.9335000000000004E-3</c:v>
                </c:pt>
                <c:pt idx="2211">
                  <c:v>4.9421666666666668E-3</c:v>
                </c:pt>
                <c:pt idx="2212">
                  <c:v>4.9141950000000005E-3</c:v>
                </c:pt>
                <c:pt idx="2213">
                  <c:v>4.9919760000000004E-3</c:v>
                </c:pt>
                <c:pt idx="2214">
                  <c:v>4.9077600000000006E-3</c:v>
                </c:pt>
                <c:pt idx="2215">
                  <c:v>4.9529999999999999E-3</c:v>
                </c:pt>
                <c:pt idx="2216">
                  <c:v>4.9529999999999999E-3</c:v>
                </c:pt>
                <c:pt idx="2217">
                  <c:v>4.9595000000000004E-3</c:v>
                </c:pt>
                <c:pt idx="2218">
                  <c:v>4.9616666666666672E-3</c:v>
                </c:pt>
                <c:pt idx="2219">
                  <c:v>4.9551666666666676E-3</c:v>
                </c:pt>
                <c:pt idx="2220">
                  <c:v>4.9508333333333331E-3</c:v>
                </c:pt>
                <c:pt idx="2221">
                  <c:v>4.9465000000000004E-3</c:v>
                </c:pt>
                <c:pt idx="2222">
                  <c:v>4.9508333333333331E-3</c:v>
                </c:pt>
                <c:pt idx="2223">
                  <c:v>4.9421666666666668E-3</c:v>
                </c:pt>
                <c:pt idx="2224">
                  <c:v>4.9313333333333336E-3</c:v>
                </c:pt>
                <c:pt idx="2225">
                  <c:v>4.924833333333334E-3</c:v>
                </c:pt>
                <c:pt idx="2226">
                  <c:v>4.9313333333333336E-3</c:v>
                </c:pt>
                <c:pt idx="2227">
                  <c:v>4.9486666666666672E-3</c:v>
                </c:pt>
                <c:pt idx="2228">
                  <c:v>4.9767300000000004E-3</c:v>
                </c:pt>
                <c:pt idx="2229">
                  <c:v>4.9551666666666676E-3</c:v>
                </c:pt>
                <c:pt idx="2230">
                  <c:v>4.9573333333333336E-3</c:v>
                </c:pt>
                <c:pt idx="2231">
                  <c:v>4.9659999999999999E-3</c:v>
                </c:pt>
                <c:pt idx="2232">
                  <c:v>4.9616666666666672E-3</c:v>
                </c:pt>
                <c:pt idx="2233">
                  <c:v>4.963833333333334E-3</c:v>
                </c:pt>
                <c:pt idx="2234">
                  <c:v>4.9703333333333335E-3</c:v>
                </c:pt>
                <c:pt idx="2235">
                  <c:v>4.9703333333333335E-3</c:v>
                </c:pt>
                <c:pt idx="2236">
                  <c:v>4.9659999999999999E-3</c:v>
                </c:pt>
                <c:pt idx="2237">
                  <c:v>4.9420800000000006E-3</c:v>
                </c:pt>
                <c:pt idx="2238">
                  <c:v>4.9399350000000003E-3</c:v>
                </c:pt>
                <c:pt idx="2239">
                  <c:v>4.9335000000000004E-3</c:v>
                </c:pt>
                <c:pt idx="2240">
                  <c:v>4.9184850000000002E-3</c:v>
                </c:pt>
                <c:pt idx="2241">
                  <c:v>4.9941540000000006E-3</c:v>
                </c:pt>
                <c:pt idx="2242">
                  <c:v>4.9854420000000005E-3</c:v>
                </c:pt>
                <c:pt idx="2243">
                  <c:v>4.9876199999999999E-3</c:v>
                </c:pt>
                <c:pt idx="2244">
                  <c:v>4.9077600000000006E-3</c:v>
                </c:pt>
                <c:pt idx="2245">
                  <c:v>4.8863100000000005E-3</c:v>
                </c:pt>
                <c:pt idx="2246">
                  <c:v>4.9226666666666672E-3</c:v>
                </c:pt>
                <c:pt idx="2247">
                  <c:v>4.9226666666666672E-3</c:v>
                </c:pt>
                <c:pt idx="2248">
                  <c:v>4.8945000000000004E-3</c:v>
                </c:pt>
                <c:pt idx="2249">
                  <c:v>4.9521983333333337E-3</c:v>
                </c:pt>
                <c:pt idx="2250">
                  <c:v>4.911833333333334E-3</c:v>
                </c:pt>
                <c:pt idx="2251">
                  <c:v>4.9031666666666677E-3</c:v>
                </c:pt>
                <c:pt idx="2252">
                  <c:v>4.9140000000000008E-3</c:v>
                </c:pt>
                <c:pt idx="2253">
                  <c:v>4.9096666666666672E-3</c:v>
                </c:pt>
                <c:pt idx="2254">
                  <c:v>4.9140000000000008E-3</c:v>
                </c:pt>
                <c:pt idx="2255">
                  <c:v>4.9031666666666677E-3</c:v>
                </c:pt>
                <c:pt idx="2256">
                  <c:v>4.911833333333334E-3</c:v>
                </c:pt>
                <c:pt idx="2257">
                  <c:v>4.9205000000000004E-3</c:v>
                </c:pt>
                <c:pt idx="2258">
                  <c:v>4.9356666666666672E-3</c:v>
                </c:pt>
                <c:pt idx="2259">
                  <c:v>4.9335000000000004E-3</c:v>
                </c:pt>
                <c:pt idx="2260">
                  <c:v>4.9378333333333331E-3</c:v>
                </c:pt>
                <c:pt idx="2261">
                  <c:v>4.9486666666666672E-3</c:v>
                </c:pt>
                <c:pt idx="2262">
                  <c:v>4.9508333333333331E-3</c:v>
                </c:pt>
                <c:pt idx="2263">
                  <c:v>4.9443333333333336E-3</c:v>
                </c:pt>
                <c:pt idx="2264">
                  <c:v>4.9421666666666668E-3</c:v>
                </c:pt>
                <c:pt idx="2265">
                  <c:v>4.9400000000000008E-3</c:v>
                </c:pt>
                <c:pt idx="2266">
                  <c:v>4.9421666666666668E-3</c:v>
                </c:pt>
                <c:pt idx="2267">
                  <c:v>4.9421666666666668E-3</c:v>
                </c:pt>
                <c:pt idx="2268">
                  <c:v>4.9443333333333336E-3</c:v>
                </c:pt>
                <c:pt idx="2269">
                  <c:v>4.9356666666666672E-3</c:v>
                </c:pt>
                <c:pt idx="2270">
                  <c:v>4.9443333333333336E-3</c:v>
                </c:pt>
                <c:pt idx="2271">
                  <c:v>4.971893333333333E-3</c:v>
                </c:pt>
                <c:pt idx="2272">
                  <c:v>4.9653283333333338E-3</c:v>
                </c:pt>
                <c:pt idx="2273">
                  <c:v>4.9291666666666668E-3</c:v>
                </c:pt>
                <c:pt idx="2274">
                  <c:v>4.9356666666666672E-3</c:v>
                </c:pt>
                <c:pt idx="2275">
                  <c:v>4.9697050000000005E-3</c:v>
                </c:pt>
                <c:pt idx="2276">
                  <c:v>4.9521983333333337E-3</c:v>
                </c:pt>
                <c:pt idx="2277">
                  <c:v>4.9740816666666672E-3</c:v>
                </c:pt>
                <c:pt idx="2278">
                  <c:v>4.9400000000000008E-3</c:v>
                </c:pt>
                <c:pt idx="2279">
                  <c:v>4.9762700000000005E-3</c:v>
                </c:pt>
                <c:pt idx="2280">
                  <c:v>4.9806466666666672E-3</c:v>
                </c:pt>
                <c:pt idx="2281">
                  <c:v>4.9073220000000004E-3</c:v>
                </c:pt>
                <c:pt idx="2282">
                  <c:v>4.91589E-3</c:v>
                </c:pt>
                <c:pt idx="2283">
                  <c:v>4.9073220000000004E-3</c:v>
                </c:pt>
                <c:pt idx="2284">
                  <c:v>4.8592110000000004E-3</c:v>
                </c:pt>
                <c:pt idx="2285">
                  <c:v>4.8698159999999999E-3</c:v>
                </c:pt>
                <c:pt idx="2286">
                  <c:v>4.8698159999999999E-3</c:v>
                </c:pt>
                <c:pt idx="2287">
                  <c:v>4.9180320000000001E-3</c:v>
                </c:pt>
                <c:pt idx="2288">
                  <c:v>4.8719370000000007E-3</c:v>
                </c:pt>
                <c:pt idx="2289">
                  <c:v>4.8698159999999999E-3</c:v>
                </c:pt>
                <c:pt idx="2290">
                  <c:v>4.9030380000000002E-3</c:v>
                </c:pt>
                <c:pt idx="2291">
                  <c:v>4.9073220000000004E-3</c:v>
                </c:pt>
                <c:pt idx="2292">
                  <c:v>4.9137479999999999E-3</c:v>
                </c:pt>
                <c:pt idx="2293">
                  <c:v>4.9116059999999998E-3</c:v>
                </c:pt>
                <c:pt idx="2294">
                  <c:v>4.8549689999999998E-3</c:v>
                </c:pt>
                <c:pt idx="2295">
                  <c:v>4.9180320000000001E-3</c:v>
                </c:pt>
                <c:pt idx="2296">
                  <c:v>4.9201740000000002E-3</c:v>
                </c:pt>
                <c:pt idx="2297">
                  <c:v>4.8549689999999998E-3</c:v>
                </c:pt>
                <c:pt idx="2298">
                  <c:v>4.9384960000000006E-3</c:v>
                </c:pt>
                <c:pt idx="2299">
                  <c:v>4.9363413333333335E-3</c:v>
                </c:pt>
                <c:pt idx="2300">
                  <c:v>4.925568E-3</c:v>
                </c:pt>
                <c:pt idx="2301">
                  <c:v>4.927722666666667E-3</c:v>
                </c:pt>
                <c:pt idx="2302">
                  <c:v>4.8987540000000008E-3</c:v>
                </c:pt>
                <c:pt idx="2303">
                  <c:v>4.9201740000000002E-3</c:v>
                </c:pt>
                <c:pt idx="2304">
                  <c:v>4.9051800000000012E-3</c:v>
                </c:pt>
                <c:pt idx="2305">
                  <c:v>4.8773340000000005E-3</c:v>
                </c:pt>
                <c:pt idx="2306">
                  <c:v>4.9338030000000005E-3</c:v>
                </c:pt>
                <c:pt idx="2307">
                  <c:v>4.9532700000000001E-3</c:v>
                </c:pt>
                <c:pt idx="2308">
                  <c:v>4.9587299999999997E-3</c:v>
                </c:pt>
                <c:pt idx="2309">
                  <c:v>4.9587299999999997E-3</c:v>
                </c:pt>
                <c:pt idx="2310">
                  <c:v>4.94802E-3</c:v>
                </c:pt>
                <c:pt idx="2311">
                  <c:v>4.9986930000000002E-3</c:v>
                </c:pt>
                <c:pt idx="2312">
                  <c:v>4.9900409999999997E-3</c:v>
                </c:pt>
                <c:pt idx="2313">
                  <c:v>4.9597590000000002E-3</c:v>
                </c:pt>
                <c:pt idx="2314">
                  <c:v>4.9532700000000001E-3</c:v>
                </c:pt>
                <c:pt idx="2315">
                  <c:v>4.9294769999999998E-3</c:v>
                </c:pt>
                <c:pt idx="2316">
                  <c:v>4.9186620000000007E-3</c:v>
                </c:pt>
                <c:pt idx="2317">
                  <c:v>4.9186620000000007E-3</c:v>
                </c:pt>
                <c:pt idx="2318">
                  <c:v>4.9229880000000005E-3</c:v>
                </c:pt>
                <c:pt idx="2319">
                  <c:v>4.855488666666667E-3</c:v>
                </c:pt>
                <c:pt idx="2320">
                  <c:v>4.9035210000000001E-3</c:v>
                </c:pt>
                <c:pt idx="2321">
                  <c:v>4.8948690000000005E-3</c:v>
                </c:pt>
                <c:pt idx="2322">
                  <c:v>4.8559140000000002E-3</c:v>
                </c:pt>
                <c:pt idx="2323">
                  <c:v>4.9013579999999998E-3</c:v>
                </c:pt>
                <c:pt idx="2324">
                  <c:v>4.9294769999999998E-3</c:v>
                </c:pt>
                <c:pt idx="2325">
                  <c:v>4.88376E-3</c:v>
                </c:pt>
                <c:pt idx="2326">
                  <c:v>4.8987540000000008E-3</c:v>
                </c:pt>
                <c:pt idx="2327">
                  <c:v>4.8816179999999999E-3</c:v>
                </c:pt>
                <c:pt idx="2328">
                  <c:v>4.9008960000000009E-3</c:v>
                </c:pt>
                <c:pt idx="2329">
                  <c:v>4.9514240000000003E-3</c:v>
                </c:pt>
                <c:pt idx="2330">
                  <c:v>4.9492693333333341E-3</c:v>
                </c:pt>
                <c:pt idx="2331">
                  <c:v>4.9600426666666668E-3</c:v>
                </c:pt>
                <c:pt idx="2332">
                  <c:v>4.9215999999999999E-3</c:v>
                </c:pt>
                <c:pt idx="2333">
                  <c:v>4.9492693333333341E-3</c:v>
                </c:pt>
                <c:pt idx="2334">
                  <c:v>4.9341866666666664E-3</c:v>
                </c:pt>
                <c:pt idx="2335">
                  <c:v>4.9320320000000003E-3</c:v>
                </c:pt>
                <c:pt idx="2336">
                  <c:v>4.927722666666667E-3</c:v>
                </c:pt>
                <c:pt idx="2337">
                  <c:v>4.9578879999999997E-3</c:v>
                </c:pt>
                <c:pt idx="2338">
                  <c:v>4.9708160000000003E-3</c:v>
                </c:pt>
                <c:pt idx="2339">
                  <c:v>4.964352E-3</c:v>
                </c:pt>
                <c:pt idx="2340">
                  <c:v>4.8966119999999998E-3</c:v>
                </c:pt>
                <c:pt idx="2341">
                  <c:v>4.9073220000000004E-3</c:v>
                </c:pt>
                <c:pt idx="2342">
                  <c:v>4.9320320000000003E-3</c:v>
                </c:pt>
                <c:pt idx="2343">
                  <c:v>4.9320320000000003E-3</c:v>
                </c:pt>
                <c:pt idx="2344">
                  <c:v>4.9212586666666676E-3</c:v>
                </c:pt>
                <c:pt idx="2345">
                  <c:v>4.9634559999999998E-3</c:v>
                </c:pt>
                <c:pt idx="2346">
                  <c:v>4.8601979999999996E-3</c:v>
                </c:pt>
                <c:pt idx="2347">
                  <c:v>4.8797279999999998E-3</c:v>
                </c:pt>
                <c:pt idx="2348">
                  <c:v>4.9100100000000002E-3</c:v>
                </c:pt>
                <c:pt idx="2349">
                  <c:v>4.9208250000000002E-3</c:v>
                </c:pt>
                <c:pt idx="2350">
                  <c:v>4.9208250000000002E-3</c:v>
                </c:pt>
                <c:pt idx="2351">
                  <c:v>4.9208250000000002E-3</c:v>
                </c:pt>
                <c:pt idx="2352">
                  <c:v>4.925151E-3</c:v>
                </c:pt>
                <c:pt idx="2353">
                  <c:v>4.9619219999999997E-3</c:v>
                </c:pt>
                <c:pt idx="2354">
                  <c:v>4.8918826666666674E-3</c:v>
                </c:pt>
                <c:pt idx="2355">
                  <c:v>4.9454300000000007E-3</c:v>
                </c:pt>
                <c:pt idx="2356">
                  <c:v>4.9370186666666677E-3</c:v>
                </c:pt>
                <c:pt idx="2357">
                  <c:v>4.9576799999999999E-3</c:v>
                </c:pt>
                <c:pt idx="2358">
                  <c:v>4.9532700000000001E-3</c:v>
                </c:pt>
                <c:pt idx="2359">
                  <c:v>4.9813890000000001E-3</c:v>
                </c:pt>
                <c:pt idx="2360">
                  <c:v>4.9437359999999998E-3</c:v>
                </c:pt>
                <c:pt idx="2361">
                  <c:v>4.9727370000000005E-3</c:v>
                </c:pt>
                <c:pt idx="2362">
                  <c:v>4.9302400000000007E-3</c:v>
                </c:pt>
                <c:pt idx="2363">
                  <c:v>4.8895473333333333E-3</c:v>
                </c:pt>
                <c:pt idx="2364">
                  <c:v>4.9792260000000007E-3</c:v>
                </c:pt>
                <c:pt idx="2365">
                  <c:v>4.9069279999999996E-3</c:v>
                </c:pt>
                <c:pt idx="2366">
                  <c:v>4.9662480000000004E-3</c:v>
                </c:pt>
                <c:pt idx="2367">
                  <c:v>4.9273140000000003E-3</c:v>
                </c:pt>
                <c:pt idx="2368">
                  <c:v>4.9143360000000001E-3</c:v>
                </c:pt>
                <c:pt idx="2369">
                  <c:v>4.9266000000000006E-3</c:v>
                </c:pt>
                <c:pt idx="2370">
                  <c:v>4.9662480000000004E-3</c:v>
                </c:pt>
                <c:pt idx="2371">
                  <c:v>4.9813890000000001E-3</c:v>
                </c:pt>
                <c:pt idx="2372">
                  <c:v>4.964085E-3</c:v>
                </c:pt>
                <c:pt idx="2373">
                  <c:v>4.8533600000000001E-3</c:v>
                </c:pt>
                <c:pt idx="2374">
                  <c:v>4.9424550000000001E-3</c:v>
                </c:pt>
                <c:pt idx="2375">
                  <c:v>4.8278160000000004E-3</c:v>
                </c:pt>
                <c:pt idx="2376">
                  <c:v>4.819301333333333E-3</c:v>
                </c:pt>
                <c:pt idx="2377">
                  <c:v>4.9359660000000008E-3</c:v>
                </c:pt>
                <c:pt idx="2378">
                  <c:v>4.9094640000000005E-3</c:v>
                </c:pt>
                <c:pt idx="2379">
                  <c:v>5.0200319999999998E-3</c:v>
                </c:pt>
                <c:pt idx="2380">
                  <c:v>5.0203733333333339E-3</c:v>
                </c:pt>
                <c:pt idx="2381">
                  <c:v>5.0117546666666674E-3</c:v>
                </c:pt>
                <c:pt idx="2382">
                  <c:v>5.0182186666666668E-3</c:v>
                </c:pt>
                <c:pt idx="2383">
                  <c:v>5.0526933333333336E-3</c:v>
                </c:pt>
                <c:pt idx="2384">
                  <c:v>5.0940160000000007E-3</c:v>
                </c:pt>
                <c:pt idx="2385">
                  <c:v>5.0376106666666668E-3</c:v>
                </c:pt>
                <c:pt idx="2386">
                  <c:v>4.8464850000000002E-3</c:v>
                </c:pt>
                <c:pt idx="2387">
                  <c:v>4.8580560000000004E-3</c:v>
                </c:pt>
                <c:pt idx="2388">
                  <c:v>5.0309120000000011E-3</c:v>
                </c:pt>
                <c:pt idx="2389">
                  <c:v>5.0440746666666671E-3</c:v>
                </c:pt>
                <c:pt idx="2390">
                  <c:v>5.1244799999999998E-3</c:v>
                </c:pt>
                <c:pt idx="2391">
                  <c:v>5.0246826666666662E-3</c:v>
                </c:pt>
                <c:pt idx="2392">
                  <c:v>4.8880440000000002E-3</c:v>
                </c:pt>
                <c:pt idx="2393">
                  <c:v>5.2739060000000009E-3</c:v>
                </c:pt>
                <c:pt idx="2394">
                  <c:v>5.6596929999999997E-2</c:v>
                </c:pt>
                <c:pt idx="2395">
                  <c:v>5.5278456000000004E-2</c:v>
                </c:pt>
                <c:pt idx="2396">
                  <c:v>5.4215477333333338E-2</c:v>
                </c:pt>
                <c:pt idx="2397">
                  <c:v>5.4334463999999999E-2</c:v>
                </c:pt>
                <c:pt idx="2398">
                  <c:v>5.8251852000000014E-2</c:v>
                </c:pt>
                <c:pt idx="2399">
                  <c:v>5.4581514666666671E-2</c:v>
                </c:pt>
                <c:pt idx="2400">
                  <c:v>5.2208405333333333E-2</c:v>
                </c:pt>
                <c:pt idx="2401">
                  <c:v>5.1412330666666665E-2</c:v>
                </c:pt>
                <c:pt idx="2402">
                  <c:v>5.1792320000000003E-2</c:v>
                </c:pt>
                <c:pt idx="2403">
                  <c:v>5.1802255999999998E-2</c:v>
                </c:pt>
                <c:pt idx="2404">
                  <c:v>5.1842000000000006E-2</c:v>
                </c:pt>
                <c:pt idx="2405">
                  <c:v>5.1912533333333337E-2</c:v>
                </c:pt>
                <c:pt idx="2406">
                  <c:v>5.1909620000000004E-2</c:v>
                </c:pt>
                <c:pt idx="2407">
                  <c:v>5.1235821000000001E-2</c:v>
                </c:pt>
                <c:pt idx="2408">
                  <c:v>5.3271680000000002E-2</c:v>
                </c:pt>
                <c:pt idx="2409">
                  <c:v>5.9989463999999999E-2</c:v>
                </c:pt>
                <c:pt idx="2410">
                  <c:v>5.9645488000000003E-2</c:v>
                </c:pt>
                <c:pt idx="2411">
                  <c:v>5.9431960000000006E-2</c:v>
                </c:pt>
                <c:pt idx="2412">
                  <c:v>5.9865959999999996E-2</c:v>
                </c:pt>
                <c:pt idx="2413">
                  <c:v>6.0001368000000013E-2</c:v>
                </c:pt>
                <c:pt idx="2414">
                  <c:v>6.0328294000000005E-2</c:v>
                </c:pt>
                <c:pt idx="2415">
                  <c:v>6.0360347999999994E-2</c:v>
                </c:pt>
                <c:pt idx="2416">
                  <c:v>5.9698777000000001E-2</c:v>
                </c:pt>
                <c:pt idx="2417">
                  <c:v>5.6897400000000008E-2</c:v>
                </c:pt>
                <c:pt idx="2418">
                  <c:v>5.2166114E-2</c:v>
                </c:pt>
                <c:pt idx="2419">
                  <c:v>5.1230816000000005E-2</c:v>
                </c:pt>
                <c:pt idx="2420">
                  <c:v>5.1395677666666674E-2</c:v>
                </c:pt>
                <c:pt idx="2421">
                  <c:v>5.1361734666666665E-2</c:v>
                </c:pt>
                <c:pt idx="2422">
                  <c:v>5.1766866666666668E-2</c:v>
                </c:pt>
                <c:pt idx="2423">
                  <c:v>5.1280554666666672E-2</c:v>
                </c:pt>
                <c:pt idx="2424">
                  <c:v>5.0986086666666666E-2</c:v>
                </c:pt>
                <c:pt idx="2425">
                  <c:v>5.0944075000000005E-2</c:v>
                </c:pt>
                <c:pt idx="2426">
                  <c:v>5.1288570666666672E-2</c:v>
                </c:pt>
                <c:pt idx="2427">
                  <c:v>5.223812533333333E-2</c:v>
                </c:pt>
                <c:pt idx="2428">
                  <c:v>5.1840804000000004E-2</c:v>
                </c:pt>
                <c:pt idx="2429">
                  <c:v>5.2254620000000002E-2</c:v>
                </c:pt>
                <c:pt idx="2430">
                  <c:v>5.3475000000000002E-2</c:v>
                </c:pt>
                <c:pt idx="2431">
                  <c:v>5.3151712000000004E-2</c:v>
                </c:pt>
                <c:pt idx="2432">
                  <c:v>5.1942832000000001E-2</c:v>
                </c:pt>
                <c:pt idx="2433">
                  <c:v>5.1804648000000002E-2</c:v>
                </c:pt>
                <c:pt idx="2434">
                  <c:v>5.0801356666666665E-2</c:v>
                </c:pt>
                <c:pt idx="2435">
                  <c:v>5.090904000000001E-2</c:v>
                </c:pt>
                <c:pt idx="2436">
                  <c:v>5.1005014666666661E-2</c:v>
                </c:pt>
                <c:pt idx="2437">
                  <c:v>5.1225083000000005E-2</c:v>
                </c:pt>
                <c:pt idx="2438">
                  <c:v>5.1138966666666667E-2</c:v>
                </c:pt>
                <c:pt idx="2439">
                  <c:v>5.1066166666666669E-2</c:v>
                </c:pt>
                <c:pt idx="2440">
                  <c:v>5.104378066666667E-2</c:v>
                </c:pt>
                <c:pt idx="2441">
                  <c:v>5.0812458666666671E-2</c:v>
                </c:pt>
                <c:pt idx="2442">
                  <c:v>5.0948564333333335E-2</c:v>
                </c:pt>
                <c:pt idx="2443">
                  <c:v>5.0743419999999997E-2</c:v>
                </c:pt>
                <c:pt idx="2444">
                  <c:v>5.0824955999999998E-2</c:v>
                </c:pt>
                <c:pt idx="2445">
                  <c:v>5.0814430333333334E-2</c:v>
                </c:pt>
                <c:pt idx="2446">
                  <c:v>5.1090221000000005E-2</c:v>
                </c:pt>
                <c:pt idx="2447">
                  <c:v>5.4211766666666668E-2</c:v>
                </c:pt>
                <c:pt idx="2448">
                  <c:v>5.1714481E-2</c:v>
                </c:pt>
                <c:pt idx="2449">
                  <c:v>5.1412725000000006E-2</c:v>
                </c:pt>
                <c:pt idx="2450">
                  <c:v>5.1154648999999996E-2</c:v>
                </c:pt>
                <c:pt idx="2451">
                  <c:v>5.0832600000000006E-2</c:v>
                </c:pt>
                <c:pt idx="2452">
                  <c:v>5.0944075000000005E-2</c:v>
                </c:pt>
                <c:pt idx="2453">
                  <c:v>5.0872154666666676E-2</c:v>
                </c:pt>
                <c:pt idx="2454">
                  <c:v>5.0944712000000003E-2</c:v>
                </c:pt>
                <c:pt idx="2455">
                  <c:v>5.1180220000000005E-2</c:v>
                </c:pt>
                <c:pt idx="2456">
                  <c:v>5.0869364E-2</c:v>
                </c:pt>
                <c:pt idx="2457">
                  <c:v>5.1122435000000001E-2</c:v>
                </c:pt>
                <c:pt idx="2458">
                  <c:v>5.1174396000000004E-2</c:v>
                </c:pt>
                <c:pt idx="2459">
                  <c:v>5.1225083000000005E-2</c:v>
                </c:pt>
                <c:pt idx="2460">
                  <c:v>5.1251928000000009E-2</c:v>
                </c:pt>
                <c:pt idx="2461">
                  <c:v>5.1037987E-2</c:v>
                </c:pt>
                <c:pt idx="2462">
                  <c:v>5.0966370000000004E-2</c:v>
                </c:pt>
                <c:pt idx="2463">
                  <c:v>5.1266263999999999E-2</c:v>
                </c:pt>
                <c:pt idx="2464">
                  <c:v>5.1313184000000005E-2</c:v>
                </c:pt>
                <c:pt idx="2465">
                  <c:v>5.1542632000000005E-2</c:v>
                </c:pt>
                <c:pt idx="2466">
                  <c:v>5.1267920000000008E-2</c:v>
                </c:pt>
                <c:pt idx="2467">
                  <c:v>5.1220754666666667E-2</c:v>
                </c:pt>
                <c:pt idx="2468">
                  <c:v>5.1451306666666669E-2</c:v>
                </c:pt>
                <c:pt idx="2469">
                  <c:v>5.1312325333333332E-2</c:v>
                </c:pt>
                <c:pt idx="2470">
                  <c:v>5.1036999999999999E-2</c:v>
                </c:pt>
                <c:pt idx="2471">
                  <c:v>5.1327628000000007E-2</c:v>
                </c:pt>
                <c:pt idx="2472">
                  <c:v>5.196626133333334E-2</c:v>
                </c:pt>
                <c:pt idx="2473">
                  <c:v>5.1054848000000007E-2</c:v>
                </c:pt>
                <c:pt idx="2474">
                  <c:v>5.1016116000000007E-2</c:v>
                </c:pt>
                <c:pt idx="2475">
                  <c:v>5.1168866666666667E-2</c:v>
                </c:pt>
                <c:pt idx="2476">
                  <c:v>5.1451000000000004E-2</c:v>
                </c:pt>
                <c:pt idx="2477">
                  <c:v>5.6420113200000004E-2</c:v>
                </c:pt>
                <c:pt idx="2478">
                  <c:v>5.6218084266666669E-2</c:v>
                </c:pt>
                <c:pt idx="2479">
                  <c:v>5.6167619199999998E-2</c:v>
                </c:pt>
                <c:pt idx="2480">
                  <c:v>5.6243721599999998E-2</c:v>
                </c:pt>
                <c:pt idx="2481">
                  <c:v>5.6217443333333332E-2</c:v>
                </c:pt>
                <c:pt idx="2482">
                  <c:v>5.6470409600000007E-2</c:v>
                </c:pt>
                <c:pt idx="2483">
                  <c:v>5.636786026666666E-2</c:v>
                </c:pt>
                <c:pt idx="2484">
                  <c:v>5.6343572266666669E-2</c:v>
                </c:pt>
                <c:pt idx="2485">
                  <c:v>5.659576266666666E-2</c:v>
                </c:pt>
                <c:pt idx="2486">
                  <c:v>5.6468891599999994E-2</c:v>
                </c:pt>
                <c:pt idx="2487">
                  <c:v>5.5851796000000002E-2</c:v>
                </c:pt>
                <c:pt idx="2488">
                  <c:v>5.6469600000000002E-2</c:v>
                </c:pt>
                <c:pt idx="2489">
                  <c:v>5.6415626666666663E-2</c:v>
                </c:pt>
                <c:pt idx="2490">
                  <c:v>5.6365701333333323E-2</c:v>
                </c:pt>
                <c:pt idx="2491">
                  <c:v>5.5942820266666665E-2</c:v>
                </c:pt>
                <c:pt idx="2492">
                  <c:v>5.6369580666666662E-2</c:v>
                </c:pt>
                <c:pt idx="2493">
                  <c:v>5.6495709599999992E-2</c:v>
                </c:pt>
                <c:pt idx="2494">
                  <c:v>5.6444974666666675E-2</c:v>
                </c:pt>
                <c:pt idx="2495">
                  <c:v>5.6671561466666666E-2</c:v>
                </c:pt>
                <c:pt idx="2496">
                  <c:v>5.6644338666666662E-2</c:v>
                </c:pt>
                <c:pt idx="2497">
                  <c:v>5.6545904799999998E-2</c:v>
                </c:pt>
                <c:pt idx="2498">
                  <c:v>5.6671156666666674E-2</c:v>
                </c:pt>
                <c:pt idx="2499">
                  <c:v>5.6495642133333336E-2</c:v>
                </c:pt>
                <c:pt idx="2500">
                  <c:v>5.6181787200000007E-2</c:v>
                </c:pt>
                <c:pt idx="2501">
                  <c:v>5.6290408533333329E-2</c:v>
                </c:pt>
                <c:pt idx="2502">
                  <c:v>5.6166000000000008E-2</c:v>
                </c:pt>
                <c:pt idx="2503">
                  <c:v>5.6123091200000003E-2</c:v>
                </c:pt>
                <c:pt idx="2504">
                  <c:v>5.6003270399999999E-2</c:v>
                </c:pt>
                <c:pt idx="2505">
                  <c:v>5.6385806399999995E-2</c:v>
                </c:pt>
                <c:pt idx="2506">
                  <c:v>5.6166000000000008E-2</c:v>
                </c:pt>
                <c:pt idx="2507">
                  <c:v>5.6418999999999997E-2</c:v>
                </c:pt>
                <c:pt idx="2508">
                  <c:v>5.6318508399999995E-2</c:v>
                </c:pt>
                <c:pt idx="2509">
                  <c:v>5.6293781866666656E-2</c:v>
                </c:pt>
                <c:pt idx="2510">
                  <c:v>5.6192851733333334E-2</c:v>
                </c:pt>
                <c:pt idx="2511">
                  <c:v>5.6043210666666676E-2</c:v>
                </c:pt>
                <c:pt idx="2512">
                  <c:v>5.6319318E-2</c:v>
                </c:pt>
                <c:pt idx="2513">
                  <c:v>5.6267975866666667E-2</c:v>
                </c:pt>
                <c:pt idx="2514">
                  <c:v>5.6419404800000003E-2</c:v>
                </c:pt>
                <c:pt idx="2515">
                  <c:v>5.6055165833333337E-2</c:v>
                </c:pt>
                <c:pt idx="2516">
                  <c:v>5.6531475000000005E-2</c:v>
                </c:pt>
                <c:pt idx="2517">
                  <c:v>5.5899610433333337E-2</c:v>
                </c:pt>
                <c:pt idx="2518">
                  <c:v>5.6292769866666661E-2</c:v>
                </c:pt>
                <c:pt idx="2519">
                  <c:v>5.6243924000000001E-2</c:v>
                </c:pt>
                <c:pt idx="2520">
                  <c:v>5.6368400000000006E-2</c:v>
                </c:pt>
                <c:pt idx="2521">
                  <c:v>5.6365262800000003E-2</c:v>
                </c:pt>
                <c:pt idx="2522">
                  <c:v>5.6193964933333333E-2</c:v>
                </c:pt>
                <c:pt idx="2523">
                  <c:v>5.6373662399999996E-2</c:v>
                </c:pt>
                <c:pt idx="2524">
                  <c:v>5.6432695733333336E-2</c:v>
                </c:pt>
                <c:pt idx="2525">
                  <c:v>5.6646969866666667E-2</c:v>
                </c:pt>
                <c:pt idx="2526">
                  <c:v>5.5774718999999993E-2</c:v>
                </c:pt>
                <c:pt idx="2527">
                  <c:v>5.6005149200000007E-2</c:v>
                </c:pt>
                <c:pt idx="2528">
                  <c:v>5.5900844999999998E-2</c:v>
                </c:pt>
                <c:pt idx="2529">
                  <c:v>5.5953030466666671E-2</c:v>
                </c:pt>
                <c:pt idx="2530">
                  <c:v>5.592863943333333E-2</c:v>
                </c:pt>
                <c:pt idx="2531">
                  <c:v>5.6074985633333331E-2</c:v>
                </c:pt>
                <c:pt idx="2532">
                  <c:v>5.5744188500000007E-2</c:v>
                </c:pt>
                <c:pt idx="2533">
                  <c:v>5.5817761999999993E-2</c:v>
                </c:pt>
                <c:pt idx="2534">
                  <c:v>5.5970214300000001E-2</c:v>
                </c:pt>
                <c:pt idx="2535">
                  <c:v>5.6326136533333335E-2</c:v>
                </c:pt>
                <c:pt idx="2536">
                  <c:v>5.5874952466666662E-2</c:v>
                </c:pt>
                <c:pt idx="2537">
                  <c:v>5.6174518400000012E-2</c:v>
                </c:pt>
                <c:pt idx="2538">
                  <c:v>5.5945055833333333E-2</c:v>
                </c:pt>
                <c:pt idx="2539">
                  <c:v>5.5779924200000011E-2</c:v>
                </c:pt>
                <c:pt idx="2540">
                  <c:v>5.6571171066666669E-2</c:v>
                </c:pt>
                <c:pt idx="2541">
                  <c:v>5.6263657999999994E-2</c:v>
                </c:pt>
                <c:pt idx="2542">
                  <c:v>5.6216600000000012E-2</c:v>
                </c:pt>
                <c:pt idx="2543">
                  <c:v>5.6419573466666671E-2</c:v>
                </c:pt>
                <c:pt idx="2544">
                  <c:v>5.6217443333333332E-2</c:v>
                </c:pt>
                <c:pt idx="2545">
                  <c:v>5.6466867600000005E-2</c:v>
                </c:pt>
                <c:pt idx="2546">
                  <c:v>6.3315413700000003E-2</c:v>
                </c:pt>
                <c:pt idx="2547">
                  <c:v>6.4299948900000001E-2</c:v>
                </c:pt>
                <c:pt idx="2548">
                  <c:v>6.3818831999999992E-2</c:v>
                </c:pt>
                <c:pt idx="2549">
                  <c:v>5.6596437333333326E-2</c:v>
                </c:pt>
                <c:pt idx="2550">
                  <c:v>5.803914453333333E-2</c:v>
                </c:pt>
                <c:pt idx="2551">
                  <c:v>6.333393000000001E-2</c:v>
                </c:pt>
                <c:pt idx="2552">
                  <c:v>6.3945172499999994E-2</c:v>
                </c:pt>
                <c:pt idx="2553">
                  <c:v>6.254581666666667E-2</c:v>
                </c:pt>
                <c:pt idx="2554">
                  <c:v>6.4512698800000004E-2</c:v>
                </c:pt>
                <c:pt idx="2555">
                  <c:v>6.4516108799999999E-2</c:v>
                </c:pt>
                <c:pt idx="2556">
                  <c:v>6.4457729599999999E-2</c:v>
                </c:pt>
                <c:pt idx="2557">
                  <c:v>5.9716028533333333E-2</c:v>
                </c:pt>
                <c:pt idx="2558">
                  <c:v>5.5934912366666666E-2</c:v>
                </c:pt>
                <c:pt idx="2559">
                  <c:v>5.5919663799999998E-2</c:v>
                </c:pt>
                <c:pt idx="2560">
                  <c:v>5.5943787900000007E-2</c:v>
                </c:pt>
                <c:pt idx="2561">
                  <c:v>5.6497126399999993E-2</c:v>
                </c:pt>
                <c:pt idx="2562">
                  <c:v>5.6237514666666669E-2</c:v>
                </c:pt>
                <c:pt idx="2563">
                  <c:v>5.7526669200000005E-2</c:v>
                </c:pt>
                <c:pt idx="2564">
                  <c:v>5.6151695599999996E-2</c:v>
                </c:pt>
                <c:pt idx="2565">
                  <c:v>5.5848592799999999E-2</c:v>
                </c:pt>
                <c:pt idx="2566">
                  <c:v>5.6095706333333342E-2</c:v>
                </c:pt>
                <c:pt idx="2567">
                  <c:v>5.6182659866666665E-2</c:v>
                </c:pt>
                <c:pt idx="2568">
                  <c:v>5.6166376933333331E-2</c:v>
                </c:pt>
                <c:pt idx="2569">
                  <c:v>5.5848592799999999E-2</c:v>
                </c:pt>
                <c:pt idx="2570">
                  <c:v>5.6294137900000013E-2</c:v>
                </c:pt>
                <c:pt idx="2571">
                  <c:v>6.0600583999999992E-2</c:v>
                </c:pt>
                <c:pt idx="2572">
                  <c:v>6.4385369400000003E-2</c:v>
                </c:pt>
                <c:pt idx="2573">
                  <c:v>6.4452682800000008E-2</c:v>
                </c:pt>
                <c:pt idx="2574">
                  <c:v>6.4567565699999996E-2</c:v>
                </c:pt>
                <c:pt idx="2575">
                  <c:v>6.0495673333333333E-2</c:v>
                </c:pt>
                <c:pt idx="2576">
                  <c:v>5.6774217499999995E-2</c:v>
                </c:pt>
                <c:pt idx="2577">
                  <c:v>5.6151695599999996E-2</c:v>
                </c:pt>
                <c:pt idx="2578">
                  <c:v>5.6125836433333326E-2</c:v>
                </c:pt>
                <c:pt idx="2579">
                  <c:v>5.6010954999999994E-2</c:v>
                </c:pt>
                <c:pt idx="2580">
                  <c:v>5.60211652E-2</c:v>
                </c:pt>
                <c:pt idx="2581">
                  <c:v>5.6171115000000001E-2</c:v>
                </c:pt>
                <c:pt idx="2582">
                  <c:v>5.6122733333333341E-2</c:v>
                </c:pt>
                <c:pt idx="2583">
                  <c:v>5.5962773533333336E-2</c:v>
                </c:pt>
                <c:pt idx="2584">
                  <c:v>5.58205648E-2</c:v>
                </c:pt>
                <c:pt idx="2585">
                  <c:v>5.5921565700000002E-2</c:v>
                </c:pt>
                <c:pt idx="2586">
                  <c:v>5.6151695599999996E-2</c:v>
                </c:pt>
                <c:pt idx="2587">
                  <c:v>5.5750094399999998E-2</c:v>
                </c:pt>
                <c:pt idx="2588">
                  <c:v>5.6416874800000003E-2</c:v>
                </c:pt>
                <c:pt idx="2589">
                  <c:v>5.6360944933333337E-2</c:v>
                </c:pt>
                <c:pt idx="2590">
                  <c:v>5.6293916800000003E-2</c:v>
                </c:pt>
                <c:pt idx="2591">
                  <c:v>5.6419404800000003E-2</c:v>
                </c:pt>
                <c:pt idx="2592">
                  <c:v>5.64418712E-2</c:v>
                </c:pt>
                <c:pt idx="2593">
                  <c:v>5.6354366933333337E-2</c:v>
                </c:pt>
                <c:pt idx="2594">
                  <c:v>5.5657268333333336E-2</c:v>
                </c:pt>
                <c:pt idx="2595">
                  <c:v>5.5665876933333337E-2</c:v>
                </c:pt>
                <c:pt idx="2596">
                  <c:v>5.6267739733333336E-2</c:v>
                </c:pt>
                <c:pt idx="2597">
                  <c:v>5.7202625333333333E-2</c:v>
                </c:pt>
                <c:pt idx="2598">
                  <c:v>5.6344516800000001E-2</c:v>
                </c:pt>
                <c:pt idx="2599">
                  <c:v>5.6109462933333333E-2</c:v>
                </c:pt>
                <c:pt idx="2600">
                  <c:v>5.6344449333333345E-2</c:v>
                </c:pt>
                <c:pt idx="2601">
                  <c:v>5.59025467E-2</c:v>
                </c:pt>
                <c:pt idx="2602">
                  <c:v>5.6032743433333337E-2</c:v>
                </c:pt>
                <c:pt idx="2603">
                  <c:v>5.5855800000000004E-2</c:v>
                </c:pt>
                <c:pt idx="2604">
                  <c:v>5.6272816600000004E-2</c:v>
                </c:pt>
                <c:pt idx="2605">
                  <c:v>5.5904248399999995E-2</c:v>
                </c:pt>
                <c:pt idx="2606">
                  <c:v>5.6741828000000008E-2</c:v>
                </c:pt>
                <c:pt idx="2607">
                  <c:v>5.5953397500000009E-2</c:v>
                </c:pt>
                <c:pt idx="2608">
                  <c:v>5.5921565700000002E-2</c:v>
                </c:pt>
                <c:pt idx="2609">
                  <c:v>5.5895873366666668E-2</c:v>
                </c:pt>
                <c:pt idx="2610">
                  <c:v>5.5931876000000005E-2</c:v>
                </c:pt>
                <c:pt idx="2611">
                  <c:v>5.6083494133333335E-2</c:v>
                </c:pt>
                <c:pt idx="2612">
                  <c:v>5.6078422400000001E-2</c:v>
                </c:pt>
                <c:pt idx="2613">
                  <c:v>5.6022633333333328E-2</c:v>
                </c:pt>
                <c:pt idx="2614">
                  <c:v>5.608776506666667E-2</c:v>
                </c:pt>
                <c:pt idx="2615">
                  <c:v>5.5907451599999998E-2</c:v>
                </c:pt>
                <c:pt idx="2616">
                  <c:v>5.6262072533333325E-2</c:v>
                </c:pt>
                <c:pt idx="2617">
                  <c:v>5.5931876000000005E-2</c:v>
                </c:pt>
                <c:pt idx="2618">
                  <c:v>5.5809753999999996E-2</c:v>
                </c:pt>
                <c:pt idx="2619">
                  <c:v>5.5879857366666667E-2</c:v>
                </c:pt>
                <c:pt idx="2620">
                  <c:v>5.5990601333333327E-2</c:v>
                </c:pt>
                <c:pt idx="2621">
                  <c:v>5.6140484400000003E-2</c:v>
                </c:pt>
                <c:pt idx="2622">
                  <c:v>5.6256133266666668E-2</c:v>
                </c:pt>
                <c:pt idx="2623">
                  <c:v>5.6090167466666674E-2</c:v>
                </c:pt>
                <c:pt idx="2624">
                  <c:v>5.5977421499999999E-2</c:v>
                </c:pt>
                <c:pt idx="2625">
                  <c:v>5.6043187199999997E-2</c:v>
                </c:pt>
                <c:pt idx="2626">
                  <c:v>5.6176120000000003E-2</c:v>
                </c:pt>
                <c:pt idx="2627">
                  <c:v>5.6138081999999999E-2</c:v>
                </c:pt>
                <c:pt idx="2628">
                  <c:v>5.6025970000000008E-2</c:v>
                </c:pt>
                <c:pt idx="2629">
                  <c:v>5.592863943333333E-2</c:v>
                </c:pt>
                <c:pt idx="2630">
                  <c:v>5.5793237500000002E-2</c:v>
                </c:pt>
                <c:pt idx="2631">
                  <c:v>5.588599683333334E-2</c:v>
                </c:pt>
                <c:pt idx="2632">
                  <c:v>5.5865176033333332E-2</c:v>
                </c:pt>
                <c:pt idx="2633">
                  <c:v>5.6483093333333338E-2</c:v>
                </c:pt>
                <c:pt idx="2634">
                  <c:v>5.6293916800000003E-2</c:v>
                </c:pt>
                <c:pt idx="2635">
                  <c:v>5.6087468799999991E-2</c:v>
                </c:pt>
                <c:pt idx="2636">
                  <c:v>5.6671730133333341E-2</c:v>
                </c:pt>
                <c:pt idx="2637">
                  <c:v>5.63943072E-2</c:v>
                </c:pt>
                <c:pt idx="2638">
                  <c:v>5.6183878666666673E-2</c:v>
                </c:pt>
                <c:pt idx="2639">
                  <c:v>5.6139553066666667E-2</c:v>
                </c:pt>
                <c:pt idx="2640">
                  <c:v>5.61177276E-2</c:v>
                </c:pt>
                <c:pt idx="2641">
                  <c:v>5.6215554266666662E-2</c:v>
                </c:pt>
                <c:pt idx="2642">
                  <c:v>5.61177276E-2</c:v>
                </c:pt>
                <c:pt idx="2643">
                  <c:v>5.6394712000000007E-2</c:v>
                </c:pt>
                <c:pt idx="2644">
                  <c:v>5.7000899999999993E-2</c:v>
                </c:pt>
                <c:pt idx="2645">
                  <c:v>5.6236637599999993E-2</c:v>
                </c:pt>
                <c:pt idx="2646">
                  <c:v>5.6519019333333337E-2</c:v>
                </c:pt>
                <c:pt idx="2647">
                  <c:v>5.6211776133333335E-2</c:v>
                </c:pt>
                <c:pt idx="2648">
                  <c:v>5.5592503633333325E-2</c:v>
                </c:pt>
                <c:pt idx="2649">
                  <c:v>5.6183204000000007E-2</c:v>
                </c:pt>
                <c:pt idx="2650">
                  <c:v>5.5568045866666665E-2</c:v>
                </c:pt>
                <c:pt idx="2651">
                  <c:v>5.6265850666666659E-2</c:v>
                </c:pt>
                <c:pt idx="2652">
                  <c:v>5.6356761999999998E-2</c:v>
                </c:pt>
                <c:pt idx="2653">
                  <c:v>5.6078422400000001E-2</c:v>
                </c:pt>
                <c:pt idx="2654">
                  <c:v>5.5817761999999993E-2</c:v>
                </c:pt>
                <c:pt idx="2655">
                  <c:v>5.9835613200000012E-2</c:v>
                </c:pt>
                <c:pt idx="2656">
                  <c:v>6.4507822500000006E-2</c:v>
                </c:pt>
                <c:pt idx="2657">
                  <c:v>6.448828320000001E-2</c:v>
                </c:pt>
                <c:pt idx="2658">
                  <c:v>6.4329922800000008E-2</c:v>
                </c:pt>
                <c:pt idx="2659">
                  <c:v>6.3003501000000003E-2</c:v>
                </c:pt>
                <c:pt idx="2660">
                  <c:v>5.6559836666666662E-2</c:v>
                </c:pt>
                <c:pt idx="2661">
                  <c:v>5.6185160533333341E-2</c:v>
                </c:pt>
                <c:pt idx="2662">
                  <c:v>5.5739250233333329E-2</c:v>
                </c:pt>
                <c:pt idx="2663">
                  <c:v>5.6307174000000008E-2</c:v>
                </c:pt>
                <c:pt idx="2664">
                  <c:v>5.5546090600000007E-2</c:v>
                </c:pt>
                <c:pt idx="2665">
                  <c:v>5.5837081300000001E-2</c:v>
                </c:pt>
                <c:pt idx="2666">
                  <c:v>5.5620631733333328E-2</c:v>
                </c:pt>
                <c:pt idx="2667">
                  <c:v>5.5796474066666664E-2</c:v>
                </c:pt>
                <c:pt idx="2668">
                  <c:v>5.5783728000000005E-2</c:v>
                </c:pt>
                <c:pt idx="2669">
                  <c:v>5.63715152E-2</c:v>
                </c:pt>
                <c:pt idx="2670">
                  <c:v>5.9912423999999999E-2</c:v>
                </c:pt>
                <c:pt idx="2671">
                  <c:v>5.6176053266666665E-2</c:v>
                </c:pt>
                <c:pt idx="2672">
                  <c:v>5.6711265599999998E-2</c:v>
                </c:pt>
                <c:pt idx="2673">
                  <c:v>5.6230565599999997E-2</c:v>
                </c:pt>
                <c:pt idx="2674">
                  <c:v>5.6116378266666669E-2</c:v>
                </c:pt>
                <c:pt idx="2675">
                  <c:v>5.6389719466666668E-2</c:v>
                </c:pt>
                <c:pt idx="2676">
                  <c:v>5.6414682133333338E-2</c:v>
                </c:pt>
                <c:pt idx="2677">
                  <c:v>5.6632869333333342E-2</c:v>
                </c:pt>
                <c:pt idx="2678">
                  <c:v>5.8042247999999998E-2</c:v>
                </c:pt>
                <c:pt idx="2679">
                  <c:v>5.6231274000000005E-2</c:v>
                </c:pt>
                <c:pt idx="2680">
                  <c:v>5.6100287466666669E-2</c:v>
                </c:pt>
                <c:pt idx="2681">
                  <c:v>5.6160332799999997E-2</c:v>
                </c:pt>
                <c:pt idx="2682">
                  <c:v>5.6085849600000008E-2</c:v>
                </c:pt>
                <c:pt idx="2683">
                  <c:v>5.6093136000000002E-2</c:v>
                </c:pt>
                <c:pt idx="2684">
                  <c:v>5.6142926400000001E-2</c:v>
                </c:pt>
                <c:pt idx="2685">
                  <c:v>5.62688192E-2</c:v>
                </c:pt>
                <c:pt idx="2686">
                  <c:v>5.6340738666666668E-2</c:v>
                </c:pt>
                <c:pt idx="2687">
                  <c:v>5.66452832E-2</c:v>
                </c:pt>
                <c:pt idx="2688">
                  <c:v>5.8631906666666671E-2</c:v>
                </c:pt>
                <c:pt idx="2689">
                  <c:v>6.4224383299999993E-2</c:v>
                </c:pt>
                <c:pt idx="2690">
                  <c:v>6.4946996399999998E-2</c:v>
                </c:pt>
                <c:pt idx="2691">
                  <c:v>6.5960584799999999E-2</c:v>
                </c:pt>
                <c:pt idx="2692">
                  <c:v>6.5969996399999994E-2</c:v>
                </c:pt>
                <c:pt idx="2693">
                  <c:v>6.0113879466666673E-2</c:v>
                </c:pt>
                <c:pt idx="2694">
                  <c:v>5.9432938400000003E-2</c:v>
                </c:pt>
                <c:pt idx="2695">
                  <c:v>5.7202625333333333E-2</c:v>
                </c:pt>
                <c:pt idx="2696">
                  <c:v>5.6646902399999997E-2</c:v>
                </c:pt>
                <c:pt idx="2697">
                  <c:v>5.6697299999999999E-2</c:v>
                </c:pt>
                <c:pt idx="2698">
                  <c:v>5.6141785700000002E-2</c:v>
                </c:pt>
                <c:pt idx="2699">
                  <c:v>5.5837081300000001E-2</c:v>
                </c:pt>
                <c:pt idx="2700">
                  <c:v>5.6293511999999997E-2</c:v>
                </c:pt>
                <c:pt idx="2701">
                  <c:v>5.6433437866666672E-2</c:v>
                </c:pt>
                <c:pt idx="2702">
                  <c:v>5.5990601333333327E-2</c:v>
                </c:pt>
                <c:pt idx="2703">
                  <c:v>5.6761055999999997E-2</c:v>
                </c:pt>
                <c:pt idx="2704">
                  <c:v>5.6604702E-2</c:v>
                </c:pt>
                <c:pt idx="2705">
                  <c:v>5.6364318266666671E-2</c:v>
                </c:pt>
                <c:pt idx="2706">
                  <c:v>5.6582404266666671E-2</c:v>
                </c:pt>
                <c:pt idx="2707">
                  <c:v>5.6643191733333334E-2</c:v>
                </c:pt>
                <c:pt idx="2708">
                  <c:v>5.7100750666666672E-2</c:v>
                </c:pt>
                <c:pt idx="2709">
                  <c:v>5.6493010933333331E-2</c:v>
                </c:pt>
                <c:pt idx="2710">
                  <c:v>5.6973407333333344E-2</c:v>
                </c:pt>
                <c:pt idx="2711">
                  <c:v>5.6621703599999997E-2</c:v>
                </c:pt>
                <c:pt idx="2712">
                  <c:v>5.5676220599999993E-2</c:v>
                </c:pt>
                <c:pt idx="2713">
                  <c:v>5.6072216200000004E-2</c:v>
                </c:pt>
                <c:pt idx="2714">
                  <c:v>5.6013958000000003E-2</c:v>
                </c:pt>
                <c:pt idx="2715">
                  <c:v>5.64418712E-2</c:v>
                </c:pt>
                <c:pt idx="2716">
                  <c:v>6.1732457599999992E-2</c:v>
                </c:pt>
                <c:pt idx="2717">
                  <c:v>5.6697299999999999E-2</c:v>
                </c:pt>
                <c:pt idx="2718">
                  <c:v>5.6596504799999996E-2</c:v>
                </c:pt>
                <c:pt idx="2719">
                  <c:v>5.6026203566666662E-2</c:v>
                </c:pt>
                <c:pt idx="2720">
                  <c:v>5.5973584333333333E-2</c:v>
                </c:pt>
                <c:pt idx="2721">
                  <c:v>5.6190968166666667E-2</c:v>
                </c:pt>
                <c:pt idx="2722">
                  <c:v>5.6117194466666666E-2</c:v>
                </c:pt>
                <c:pt idx="2723">
                  <c:v>5.6217494666666659E-2</c:v>
                </c:pt>
                <c:pt idx="2724">
                  <c:v>5.5861005200000001E-2</c:v>
                </c:pt>
                <c:pt idx="2725">
                  <c:v>5.5763708000000009E-2</c:v>
                </c:pt>
                <c:pt idx="2726">
                  <c:v>5.69936136E-2</c:v>
                </c:pt>
                <c:pt idx="2727">
                  <c:v>5.5721799466666666E-2</c:v>
                </c:pt>
                <c:pt idx="2728">
                  <c:v>5.559487266666667E-2</c:v>
                </c:pt>
                <c:pt idx="2729">
                  <c:v>5.5750094399999998E-2</c:v>
                </c:pt>
                <c:pt idx="2730">
                  <c:v>5.5570381533333338E-2</c:v>
                </c:pt>
                <c:pt idx="2731">
                  <c:v>5.5570381533333338E-2</c:v>
                </c:pt>
                <c:pt idx="2732">
                  <c:v>5.5668346066666673E-2</c:v>
                </c:pt>
                <c:pt idx="2733">
                  <c:v>5.7941452800000001E-2</c:v>
                </c:pt>
                <c:pt idx="2734">
                  <c:v>6.5651024999999988E-2</c:v>
                </c:pt>
                <c:pt idx="2735">
                  <c:v>6.5377679399999999E-2</c:v>
                </c:pt>
                <c:pt idx="2736">
                  <c:v>6.5110369500000001E-2</c:v>
                </c:pt>
                <c:pt idx="2737">
                  <c:v>6.5193743999999998E-2</c:v>
                </c:pt>
                <c:pt idx="2738">
                  <c:v>6.5234118399999999E-2</c:v>
                </c:pt>
                <c:pt idx="2739">
                  <c:v>6.5119269600000002E-2</c:v>
                </c:pt>
                <c:pt idx="2740">
                  <c:v>6.491906850000001E-2</c:v>
                </c:pt>
                <c:pt idx="2741">
                  <c:v>6.5071325000000013E-2</c:v>
                </c:pt>
                <c:pt idx="2742">
                  <c:v>6.5485912800000004E-2</c:v>
                </c:pt>
                <c:pt idx="2743">
                  <c:v>6.5063140999999991E-2</c:v>
                </c:pt>
                <c:pt idx="2744">
                  <c:v>6.5293656999999991E-2</c:v>
                </c:pt>
                <c:pt idx="2745">
                  <c:v>6.5483252999999991E-2</c:v>
                </c:pt>
                <c:pt idx="2746">
                  <c:v>6.6083767200000004E-2</c:v>
                </c:pt>
                <c:pt idx="2747">
                  <c:v>6.3742993599999992E-2</c:v>
                </c:pt>
                <c:pt idx="2748">
                  <c:v>5.6975600000000008E-2</c:v>
                </c:pt>
                <c:pt idx="2749">
                  <c:v>6.0536288266666675E-2</c:v>
                </c:pt>
                <c:pt idx="2750">
                  <c:v>5.664359653333334E-2</c:v>
                </c:pt>
                <c:pt idx="2751">
                  <c:v>5.6209313600000005E-2</c:v>
                </c:pt>
                <c:pt idx="2752">
                  <c:v>5.6395589066666668E-2</c:v>
                </c:pt>
                <c:pt idx="2753">
                  <c:v>5.6067802266666661E-2</c:v>
                </c:pt>
                <c:pt idx="2754">
                  <c:v>5.6006475066666672E-2</c:v>
                </c:pt>
                <c:pt idx="2755">
                  <c:v>5.7117077599999996E-2</c:v>
                </c:pt>
                <c:pt idx="2756">
                  <c:v>5.5855923199999997E-2</c:v>
                </c:pt>
                <c:pt idx="2757">
                  <c:v>5.6276712800000003E-2</c:v>
                </c:pt>
                <c:pt idx="2758">
                  <c:v>5.6417245866666667E-2</c:v>
                </c:pt>
                <c:pt idx="2759">
                  <c:v>5.5532343533333327E-2</c:v>
                </c:pt>
                <c:pt idx="2760">
                  <c:v>5.5682026400000001E-2</c:v>
                </c:pt>
                <c:pt idx="2761">
                  <c:v>5.6266896399999995E-2</c:v>
                </c:pt>
                <c:pt idx="2762">
                  <c:v>5.6116378266666669E-2</c:v>
                </c:pt>
                <c:pt idx="2763">
                  <c:v>5.6012884399999997E-2</c:v>
                </c:pt>
                <c:pt idx="2764">
                  <c:v>5.6066689066666675E-2</c:v>
                </c:pt>
                <c:pt idx="2765">
                  <c:v>5.6319014399999999E-2</c:v>
                </c:pt>
                <c:pt idx="2766">
                  <c:v>5.6266896399999995E-2</c:v>
                </c:pt>
                <c:pt idx="2767">
                  <c:v>5.6719530266666658E-2</c:v>
                </c:pt>
                <c:pt idx="2768">
                  <c:v>5.6269055333333332E-2</c:v>
                </c:pt>
                <c:pt idx="2769">
                  <c:v>5.6141037333333338E-2</c:v>
                </c:pt>
                <c:pt idx="2770">
                  <c:v>5.6366881999999993E-2</c:v>
                </c:pt>
                <c:pt idx="2771">
                  <c:v>5.6899227733333328E-2</c:v>
                </c:pt>
                <c:pt idx="2772">
                  <c:v>5.748291560000001E-2</c:v>
                </c:pt>
                <c:pt idx="2773">
                  <c:v>5.6569990399999999E-2</c:v>
                </c:pt>
                <c:pt idx="2774">
                  <c:v>5.6366510933333336E-2</c:v>
                </c:pt>
                <c:pt idx="2775">
                  <c:v>5.6241899999999997E-2</c:v>
                </c:pt>
                <c:pt idx="2776">
                  <c:v>5.6116378266666669E-2</c:v>
                </c:pt>
                <c:pt idx="2777">
                  <c:v>5.6468891599999994E-2</c:v>
                </c:pt>
                <c:pt idx="2778">
                  <c:v>5.63943072E-2</c:v>
                </c:pt>
                <c:pt idx="2779">
                  <c:v>5.6392890399999999E-2</c:v>
                </c:pt>
                <c:pt idx="2780">
                  <c:v>5.7697830666666665E-2</c:v>
                </c:pt>
                <c:pt idx="2781">
                  <c:v>5.6520199999999993E-2</c:v>
                </c:pt>
                <c:pt idx="2782">
                  <c:v>5.63943072E-2</c:v>
                </c:pt>
                <c:pt idx="2783">
                  <c:v>5.6394712000000007E-2</c:v>
                </c:pt>
                <c:pt idx="2784">
                  <c:v>5.6419573466666671E-2</c:v>
                </c:pt>
                <c:pt idx="2785">
                  <c:v>5.587835586666666E-2</c:v>
                </c:pt>
                <c:pt idx="2786">
                  <c:v>5.6153856000000009E-2</c:v>
                </c:pt>
                <c:pt idx="2787">
                  <c:v>5.6202566933333337E-2</c:v>
                </c:pt>
                <c:pt idx="2788">
                  <c:v>5.6215554266666662E-2</c:v>
                </c:pt>
                <c:pt idx="2789">
                  <c:v>5.61177276E-2</c:v>
                </c:pt>
                <c:pt idx="2790">
                  <c:v>5.6114219333333333E-2</c:v>
                </c:pt>
                <c:pt idx="2791">
                  <c:v>5.6056535333333338E-2</c:v>
                </c:pt>
                <c:pt idx="2792">
                  <c:v>5.5840540800000005E-2</c:v>
                </c:pt>
                <c:pt idx="2793">
                  <c:v>5.5866448000000006E-2</c:v>
                </c:pt>
                <c:pt idx="2794">
                  <c:v>5.6213361599999997E-2</c:v>
                </c:pt>
                <c:pt idx="2795">
                  <c:v>5.6139957866666673E-2</c:v>
                </c:pt>
                <c:pt idx="2796">
                  <c:v>5.6289059199999998E-2</c:v>
                </c:pt>
                <c:pt idx="2797">
                  <c:v>5.6139553066666667E-2</c:v>
                </c:pt>
                <c:pt idx="2798">
                  <c:v>5.6117154133333333E-2</c:v>
                </c:pt>
                <c:pt idx="2799">
                  <c:v>5.6401222533333337E-2</c:v>
                </c:pt>
                <c:pt idx="2800">
                  <c:v>5.638486186666667E-2</c:v>
                </c:pt>
                <c:pt idx="2801">
                  <c:v>5.6271990133333331E-2</c:v>
                </c:pt>
                <c:pt idx="2802">
                  <c:v>5.5939514400000001E-2</c:v>
                </c:pt>
                <c:pt idx="2803">
                  <c:v>5.6239673600000005E-2</c:v>
                </c:pt>
                <c:pt idx="2804">
                  <c:v>5.6304846399999997E-2</c:v>
                </c:pt>
                <c:pt idx="2805">
                  <c:v>5.6304846399999997E-2</c:v>
                </c:pt>
                <c:pt idx="2806">
                  <c:v>5.6362732799999996E-2</c:v>
                </c:pt>
                <c:pt idx="2807">
                  <c:v>5.6643191733333334E-2</c:v>
                </c:pt>
                <c:pt idx="2808">
                  <c:v>5.6042940800000003E-2</c:v>
                </c:pt>
                <c:pt idx="2809">
                  <c:v>5.5917452799999989E-2</c:v>
                </c:pt>
                <c:pt idx="2810">
                  <c:v>5.6112330266666663E-2</c:v>
                </c:pt>
                <c:pt idx="2811">
                  <c:v>5.6893493066666669E-2</c:v>
                </c:pt>
                <c:pt idx="2812">
                  <c:v>6.1210111599999999E-2</c:v>
                </c:pt>
                <c:pt idx="2813">
                  <c:v>6.3888907500000008E-2</c:v>
                </c:pt>
                <c:pt idx="2814">
                  <c:v>5.9552826666666663E-2</c:v>
                </c:pt>
                <c:pt idx="2815">
                  <c:v>5.6370626399999998E-2</c:v>
                </c:pt>
                <c:pt idx="2816">
                  <c:v>5.6225505599999996E-2</c:v>
                </c:pt>
                <c:pt idx="2817">
                  <c:v>5.6679083999999991E-2</c:v>
                </c:pt>
                <c:pt idx="2818">
                  <c:v>5.6630440533333333E-2</c:v>
                </c:pt>
                <c:pt idx="2819">
                  <c:v>5.6712142666666666E-2</c:v>
                </c:pt>
                <c:pt idx="2820">
                  <c:v>5.6335746133333336E-2</c:v>
                </c:pt>
                <c:pt idx="2821">
                  <c:v>5.6556766933333336E-2</c:v>
                </c:pt>
                <c:pt idx="2822">
                  <c:v>5.6289531466666674E-2</c:v>
                </c:pt>
                <c:pt idx="2823">
                  <c:v>5.6268380666666666E-2</c:v>
                </c:pt>
                <c:pt idx="2824">
                  <c:v>5.6228136800000002E-2</c:v>
                </c:pt>
                <c:pt idx="2825">
                  <c:v>5.6565402666666674E-2</c:v>
                </c:pt>
                <c:pt idx="2826">
                  <c:v>5.6437418400000008E-2</c:v>
                </c:pt>
                <c:pt idx="2827">
                  <c:v>5.664703733333333E-2</c:v>
                </c:pt>
                <c:pt idx="2828">
                  <c:v>5.62169036E-2</c:v>
                </c:pt>
                <c:pt idx="2829">
                  <c:v>5.6188466399999998E-2</c:v>
                </c:pt>
                <c:pt idx="2830">
                  <c:v>5.619801293333334E-2</c:v>
                </c:pt>
                <c:pt idx="2831">
                  <c:v>5.6318137333333337E-2</c:v>
                </c:pt>
                <c:pt idx="2832">
                  <c:v>5.6406349999999994E-2</c:v>
                </c:pt>
                <c:pt idx="2833">
                  <c:v>5.6205805333333331E-2</c:v>
                </c:pt>
                <c:pt idx="2834">
                  <c:v>5.6604702E-2</c:v>
                </c:pt>
                <c:pt idx="2835">
                  <c:v>5.6368130133333333E-2</c:v>
                </c:pt>
                <c:pt idx="2836">
                  <c:v>5.65483336E-2</c:v>
                </c:pt>
                <c:pt idx="2837">
                  <c:v>5.67243204E-2</c:v>
                </c:pt>
                <c:pt idx="2838">
                  <c:v>5.6311188266666659E-2</c:v>
                </c:pt>
                <c:pt idx="2839">
                  <c:v>5.6505526E-2</c:v>
                </c:pt>
                <c:pt idx="2840">
                  <c:v>5.6244261333333337E-2</c:v>
                </c:pt>
                <c:pt idx="2841">
                  <c:v>5.5553364533333337E-2</c:v>
                </c:pt>
                <c:pt idx="2842">
                  <c:v>5.5608552999999998E-2</c:v>
                </c:pt>
                <c:pt idx="2843">
                  <c:v>5.5994538600000004E-2</c:v>
                </c:pt>
                <c:pt idx="2844">
                  <c:v>5.5957901999999997E-2</c:v>
                </c:pt>
                <c:pt idx="2845">
                  <c:v>5.5760905199999995E-2</c:v>
                </c:pt>
                <c:pt idx="2846">
                  <c:v>5.5983827899999998E-2</c:v>
                </c:pt>
                <c:pt idx="2847">
                  <c:v>5.6010721433333341E-2</c:v>
                </c:pt>
                <c:pt idx="2848">
                  <c:v>5.5808252500000002E-2</c:v>
                </c:pt>
                <c:pt idx="2849">
                  <c:v>5.5723401066666664E-2</c:v>
                </c:pt>
                <c:pt idx="2850">
                  <c:v>5.6026203566666662E-2</c:v>
                </c:pt>
                <c:pt idx="2851">
                  <c:v>5.6244261333333337E-2</c:v>
                </c:pt>
                <c:pt idx="2852">
                  <c:v>5.6114995200000004E-2</c:v>
                </c:pt>
                <c:pt idx="2853">
                  <c:v>5.6409419733333334E-2</c:v>
                </c:pt>
                <c:pt idx="2854">
                  <c:v>5.6421530000000004E-2</c:v>
                </c:pt>
                <c:pt idx="2855">
                  <c:v>5.5721866199999998E-2</c:v>
                </c:pt>
                <c:pt idx="2856">
                  <c:v>5.6303429600000003E-2</c:v>
                </c:pt>
                <c:pt idx="2857">
                  <c:v>5.6515139999999998E-2</c:v>
                </c:pt>
                <c:pt idx="2858">
                  <c:v>5.6388538800000006E-2</c:v>
                </c:pt>
                <c:pt idx="2859">
                  <c:v>5.6244261333333337E-2</c:v>
                </c:pt>
                <c:pt idx="2860">
                  <c:v>5.6293511999999997E-2</c:v>
                </c:pt>
                <c:pt idx="2861">
                  <c:v>5.6397073333333339E-2</c:v>
                </c:pt>
                <c:pt idx="2862">
                  <c:v>5.5865176033333332E-2</c:v>
                </c:pt>
                <c:pt idx="2863">
                  <c:v>5.5866410600000006E-2</c:v>
                </c:pt>
                <c:pt idx="2864">
                  <c:v>5.6014892266666665E-2</c:v>
                </c:pt>
                <c:pt idx="2865">
                  <c:v>5.6059236566666663E-2</c:v>
                </c:pt>
                <c:pt idx="2866">
                  <c:v>5.6148158733333335E-2</c:v>
                </c:pt>
                <c:pt idx="2867">
                  <c:v>5.6871026666666664E-2</c:v>
                </c:pt>
                <c:pt idx="2868">
                  <c:v>5.5784061666666676E-2</c:v>
                </c:pt>
                <c:pt idx="2869">
                  <c:v>5.6196940799999998E-2</c:v>
                </c:pt>
                <c:pt idx="2870">
                  <c:v>5.5933677799999998E-2</c:v>
                </c:pt>
                <c:pt idx="2871">
                  <c:v>5.5889433599999996E-2</c:v>
                </c:pt>
                <c:pt idx="2872">
                  <c:v>5.5962206299999998E-2</c:v>
                </c:pt>
                <c:pt idx="2873">
                  <c:v>5.6515139999999998E-2</c:v>
                </c:pt>
                <c:pt idx="2874">
                  <c:v>5.6376900800000011E-2</c:v>
                </c:pt>
                <c:pt idx="2875">
                  <c:v>5.6806595999999994E-2</c:v>
                </c:pt>
                <c:pt idx="2876">
                  <c:v>5.6607333199999998E-2</c:v>
                </c:pt>
                <c:pt idx="2877">
                  <c:v>5.6499386533333328E-2</c:v>
                </c:pt>
                <c:pt idx="2878">
                  <c:v>5.6978737200000004E-2</c:v>
                </c:pt>
                <c:pt idx="2879">
                  <c:v>5.665904640000001E-2</c:v>
                </c:pt>
                <c:pt idx="2880">
                  <c:v>5.6319284266666672E-2</c:v>
                </c:pt>
                <c:pt idx="2881">
                  <c:v>5.6343707200000009E-2</c:v>
                </c:pt>
                <c:pt idx="2882">
                  <c:v>5.6483093333333338E-2</c:v>
                </c:pt>
                <c:pt idx="2883">
                  <c:v>5.6412219599999994E-2</c:v>
                </c:pt>
                <c:pt idx="2884">
                  <c:v>5.6431616266666665E-2</c:v>
                </c:pt>
                <c:pt idx="2885">
                  <c:v>5.6426421333333338E-2</c:v>
                </c:pt>
                <c:pt idx="2886">
                  <c:v>5.5783728000000005E-2</c:v>
                </c:pt>
                <c:pt idx="2887">
                  <c:v>5.599994400000001E-2</c:v>
                </c:pt>
                <c:pt idx="2888">
                  <c:v>5.6144087999999995E-2</c:v>
                </c:pt>
                <c:pt idx="2889">
                  <c:v>5.608396126666667E-2</c:v>
                </c:pt>
                <c:pt idx="2890">
                  <c:v>5.5940217666666674E-2</c:v>
                </c:pt>
                <c:pt idx="2891">
                  <c:v>5.6029606966666673E-2</c:v>
                </c:pt>
                <c:pt idx="2892">
                  <c:v>5.5890501333333342E-2</c:v>
                </c:pt>
                <c:pt idx="2893">
                  <c:v>5.5794138399999998E-2</c:v>
                </c:pt>
                <c:pt idx="2894">
                  <c:v>5.5802213133333327E-2</c:v>
                </c:pt>
                <c:pt idx="2895">
                  <c:v>5.5876220399999996E-2</c:v>
                </c:pt>
                <c:pt idx="2896">
                  <c:v>5.5832443333333329E-2</c:v>
                </c:pt>
                <c:pt idx="2897">
                  <c:v>5.6069480133333335E-2</c:v>
                </c:pt>
                <c:pt idx="2898">
                  <c:v>5.6238582399999994E-2</c:v>
                </c:pt>
                <c:pt idx="2899">
                  <c:v>5.589553970000001E-2</c:v>
                </c:pt>
                <c:pt idx="2900">
                  <c:v>5.6001779166666668E-2</c:v>
                </c:pt>
                <c:pt idx="2901">
                  <c:v>5.5812556799999996E-2</c:v>
                </c:pt>
                <c:pt idx="2902">
                  <c:v>5.6040284300000007E-2</c:v>
                </c:pt>
                <c:pt idx="2903">
                  <c:v>5.6060004000000004E-2</c:v>
                </c:pt>
                <c:pt idx="2904">
                  <c:v>5.6179790333333333E-2</c:v>
                </c:pt>
                <c:pt idx="2905">
                  <c:v>5.6262206000000009E-2</c:v>
                </c:pt>
                <c:pt idx="2906">
                  <c:v>6.0307104E-2</c:v>
                </c:pt>
                <c:pt idx="2907">
                  <c:v>6.3728574800000007E-2</c:v>
                </c:pt>
                <c:pt idx="2908">
                  <c:v>6.3770876400000009E-2</c:v>
                </c:pt>
                <c:pt idx="2909">
                  <c:v>6.441217199999999E-2</c:v>
                </c:pt>
                <c:pt idx="2910">
                  <c:v>5.7308050799999996E-2</c:v>
                </c:pt>
                <c:pt idx="2911">
                  <c:v>5.6565041866666659E-2</c:v>
                </c:pt>
                <c:pt idx="2912">
                  <c:v>6.1332867199999995E-2</c:v>
                </c:pt>
                <c:pt idx="2913">
                  <c:v>5.6057401400000005E-2</c:v>
                </c:pt>
                <c:pt idx="2914">
                  <c:v>5.6094972266666661E-2</c:v>
                </c:pt>
                <c:pt idx="2915">
                  <c:v>5.6179790333333333E-2</c:v>
                </c:pt>
                <c:pt idx="2916">
                  <c:v>5.6270180633333333E-2</c:v>
                </c:pt>
                <c:pt idx="2917">
                  <c:v>5.6300043799999991E-2</c:v>
                </c:pt>
                <c:pt idx="2918">
                  <c:v>5.7724299966666677E-2</c:v>
                </c:pt>
                <c:pt idx="2919">
                  <c:v>5.6840783999999991E-2</c:v>
                </c:pt>
                <c:pt idx="2920">
                  <c:v>5.6294238000000003E-2</c:v>
                </c:pt>
                <c:pt idx="2921">
                  <c:v>5.6426269899999999E-2</c:v>
                </c:pt>
                <c:pt idx="2922">
                  <c:v>5.6509786666666673E-2</c:v>
                </c:pt>
                <c:pt idx="2923">
                  <c:v>5.650071093333333E-2</c:v>
                </c:pt>
                <c:pt idx="2924">
                  <c:v>5.6432375999999992E-2</c:v>
                </c:pt>
                <c:pt idx="2925">
                  <c:v>5.6186063266666662E-2</c:v>
                </c:pt>
                <c:pt idx="2926">
                  <c:v>5.6240183999999992E-2</c:v>
                </c:pt>
                <c:pt idx="2927">
                  <c:v>5.5788566166666664E-2</c:v>
                </c:pt>
                <c:pt idx="2928">
                  <c:v>5.6094972266666661E-2</c:v>
                </c:pt>
                <c:pt idx="2929">
                  <c:v>5.6023300666666671E-2</c:v>
                </c:pt>
                <c:pt idx="2930">
                  <c:v>5.5819163400000003E-2</c:v>
                </c:pt>
                <c:pt idx="2931">
                  <c:v>5.5938282400000004E-2</c:v>
                </c:pt>
                <c:pt idx="2932">
                  <c:v>5.6002680066666657E-2</c:v>
                </c:pt>
                <c:pt idx="2933">
                  <c:v>5.5796273866666676E-2</c:v>
                </c:pt>
                <c:pt idx="2934">
                  <c:v>5.7966213066666668E-2</c:v>
                </c:pt>
                <c:pt idx="2935">
                  <c:v>6.5745959400000012E-2</c:v>
                </c:pt>
                <c:pt idx="2936">
                  <c:v>6.5386068000000006E-2</c:v>
                </c:pt>
                <c:pt idx="2937">
                  <c:v>6.5165100000000004E-2</c:v>
                </c:pt>
                <c:pt idx="2938">
                  <c:v>6.5136456000000009E-2</c:v>
                </c:pt>
                <c:pt idx="2939">
                  <c:v>6.5612219200000002E-2</c:v>
                </c:pt>
                <c:pt idx="2940">
                  <c:v>6.6396586666666674E-2</c:v>
                </c:pt>
                <c:pt idx="2941">
                  <c:v>6.5544019199999998E-2</c:v>
                </c:pt>
                <c:pt idx="2942">
                  <c:v>6.54568596E-2</c:v>
                </c:pt>
                <c:pt idx="2943">
                  <c:v>6.5165100000000004E-2</c:v>
                </c:pt>
                <c:pt idx="2944">
                  <c:v>6.5152823999999984E-2</c:v>
                </c:pt>
                <c:pt idx="2945">
                  <c:v>6.5934216333333337E-2</c:v>
                </c:pt>
                <c:pt idx="2946">
                  <c:v>6.5274867900000005E-2</c:v>
                </c:pt>
                <c:pt idx="2947">
                  <c:v>6.5040293999999998E-2</c:v>
                </c:pt>
                <c:pt idx="2948">
                  <c:v>6.4946212100000011E-2</c:v>
                </c:pt>
                <c:pt idx="2949">
                  <c:v>6.4940039999999991E-2</c:v>
                </c:pt>
                <c:pt idx="2950">
                  <c:v>5.9402848266666669E-2</c:v>
                </c:pt>
                <c:pt idx="2951">
                  <c:v>5.5964308400000003E-2</c:v>
                </c:pt>
                <c:pt idx="2952">
                  <c:v>6.0940109999999992E-2</c:v>
                </c:pt>
                <c:pt idx="2953">
                  <c:v>6.2873511800000004E-2</c:v>
                </c:pt>
                <c:pt idx="2954">
                  <c:v>6.3897534800000003E-2</c:v>
                </c:pt>
                <c:pt idx="2955">
                  <c:v>5.8323988800000004E-2</c:v>
                </c:pt>
                <c:pt idx="2956">
                  <c:v>5.7093734133333338E-2</c:v>
                </c:pt>
                <c:pt idx="2957">
                  <c:v>5.6791820800000004E-2</c:v>
                </c:pt>
                <c:pt idx="2958">
                  <c:v>5.7120552133333329E-2</c:v>
                </c:pt>
                <c:pt idx="2959">
                  <c:v>5.6408610133333342E-2</c:v>
                </c:pt>
                <c:pt idx="2960">
                  <c:v>5.7148651999999994E-2</c:v>
                </c:pt>
                <c:pt idx="2961">
                  <c:v>5.6070214200000003E-2</c:v>
                </c:pt>
                <c:pt idx="2962">
                  <c:v>5.638182550000001E-2</c:v>
                </c:pt>
                <c:pt idx="2963">
                  <c:v>5.6026203566666662E-2</c:v>
                </c:pt>
                <c:pt idx="2964">
                  <c:v>5.6483093333333338E-2</c:v>
                </c:pt>
                <c:pt idx="2965">
                  <c:v>5.6350694400000012E-2</c:v>
                </c:pt>
                <c:pt idx="2966">
                  <c:v>5.6367678033333334E-2</c:v>
                </c:pt>
                <c:pt idx="2967">
                  <c:v>5.6461071333333335E-2</c:v>
                </c:pt>
                <c:pt idx="2968">
                  <c:v>5.6607217333333334E-2</c:v>
                </c:pt>
                <c:pt idx="2969">
                  <c:v>5.6617160600000001E-2</c:v>
                </c:pt>
                <c:pt idx="2970">
                  <c:v>5.6774217499999995E-2</c:v>
                </c:pt>
                <c:pt idx="2971">
                  <c:v>5.6959903000000006E-2</c:v>
                </c:pt>
                <c:pt idx="2972">
                  <c:v>5.6795004933333337E-2</c:v>
                </c:pt>
                <c:pt idx="2973">
                  <c:v>5.7769547733333336E-2</c:v>
                </c:pt>
                <c:pt idx="2974">
                  <c:v>5.7822340399999998E-2</c:v>
                </c:pt>
                <c:pt idx="2975">
                  <c:v>5.66441876E-2</c:v>
                </c:pt>
                <c:pt idx="2976">
                  <c:v>5.6010721433333341E-2</c:v>
                </c:pt>
                <c:pt idx="2977">
                  <c:v>5.6098542500000001E-2</c:v>
                </c:pt>
                <c:pt idx="2978">
                  <c:v>5.9845328400000002E-2</c:v>
                </c:pt>
                <c:pt idx="2979">
                  <c:v>6.4139065100000003E-2</c:v>
                </c:pt>
                <c:pt idx="2980">
                  <c:v>6.134437026666667E-2</c:v>
                </c:pt>
                <c:pt idx="2981">
                  <c:v>5.9715623733333334E-2</c:v>
                </c:pt>
                <c:pt idx="2982">
                  <c:v>5.7185128000000002E-2</c:v>
                </c:pt>
                <c:pt idx="2983">
                  <c:v>5.6151695599999996E-2</c:v>
                </c:pt>
                <c:pt idx="2984">
                  <c:v>5.8270211999999995E-2</c:v>
                </c:pt>
                <c:pt idx="2985">
                  <c:v>6.4142781999999995E-2</c:v>
                </c:pt>
                <c:pt idx="2986">
                  <c:v>6.4281739500000004E-2</c:v>
                </c:pt>
                <c:pt idx="2987">
                  <c:v>6.4428949200000002E-2</c:v>
                </c:pt>
                <c:pt idx="2988">
                  <c:v>6.2576210399999999E-2</c:v>
                </c:pt>
                <c:pt idx="2989">
                  <c:v>5.9170965333333332E-2</c:v>
                </c:pt>
                <c:pt idx="2990">
                  <c:v>6.1312222399999998E-2</c:v>
                </c:pt>
                <c:pt idx="2991">
                  <c:v>6.41330294E-2</c:v>
                </c:pt>
                <c:pt idx="2992">
                  <c:v>6.4267315200000008E-2</c:v>
                </c:pt>
                <c:pt idx="2993">
                  <c:v>6.2802999600000006E-2</c:v>
                </c:pt>
                <c:pt idx="2994">
                  <c:v>6.165997933333333E-2</c:v>
                </c:pt>
                <c:pt idx="2995">
                  <c:v>6.137928426666666E-2</c:v>
                </c:pt>
                <c:pt idx="2996">
                  <c:v>6.41658336E-2</c:v>
                </c:pt>
                <c:pt idx="2997">
                  <c:v>6.4373502599999993E-2</c:v>
                </c:pt>
                <c:pt idx="2998">
                  <c:v>6.4405079200000007E-2</c:v>
                </c:pt>
                <c:pt idx="2999">
                  <c:v>6.1664567066666676E-2</c:v>
                </c:pt>
                <c:pt idx="3000">
                  <c:v>5.5671115500000014E-2</c:v>
                </c:pt>
                <c:pt idx="3001">
                  <c:v>5.5913257399999999E-2</c:v>
                </c:pt>
                <c:pt idx="3002">
                  <c:v>5.578072500000001E-2</c:v>
                </c:pt>
                <c:pt idx="3003">
                  <c:v>5.6314460400000002E-2</c:v>
                </c:pt>
                <c:pt idx="3004">
                  <c:v>5.6467980799999998E-2</c:v>
                </c:pt>
                <c:pt idx="3005">
                  <c:v>5.5741819466666662E-2</c:v>
                </c:pt>
                <c:pt idx="3006">
                  <c:v>5.5643854933333327E-2</c:v>
                </c:pt>
                <c:pt idx="3007">
                  <c:v>5.6055733066666655E-2</c:v>
                </c:pt>
                <c:pt idx="3008">
                  <c:v>5.5829440333333341E-2</c:v>
                </c:pt>
                <c:pt idx="3009">
                  <c:v>5.6419404800000003E-2</c:v>
                </c:pt>
                <c:pt idx="3010">
                  <c:v>5.5973584333333333E-2</c:v>
                </c:pt>
                <c:pt idx="3011">
                  <c:v>5.5876487333333343E-2</c:v>
                </c:pt>
                <c:pt idx="3012">
                  <c:v>5.5837081300000001E-2</c:v>
                </c:pt>
                <c:pt idx="3013">
                  <c:v>5.5994538600000004E-2</c:v>
                </c:pt>
                <c:pt idx="3014">
                  <c:v>5.5768145766666673E-2</c:v>
                </c:pt>
                <c:pt idx="3015">
                  <c:v>5.5660338066666669E-2</c:v>
                </c:pt>
                <c:pt idx="3016">
                  <c:v>5.5589934400000006E-2</c:v>
                </c:pt>
                <c:pt idx="3017">
                  <c:v>5.5855466333333333E-2</c:v>
                </c:pt>
                <c:pt idx="3018">
                  <c:v>5.5691435800000008E-2</c:v>
                </c:pt>
                <c:pt idx="3019">
                  <c:v>5.5848592799999999E-2</c:v>
                </c:pt>
                <c:pt idx="3020">
                  <c:v>5.5933677799999998E-2</c:v>
                </c:pt>
                <c:pt idx="3021">
                  <c:v>5.638182550000001E-2</c:v>
                </c:pt>
                <c:pt idx="3022">
                  <c:v>5.6158168733333333E-2</c:v>
                </c:pt>
                <c:pt idx="3023">
                  <c:v>5.6144421666666666E-2</c:v>
                </c:pt>
                <c:pt idx="3024">
                  <c:v>5.5452797400000003E-2</c:v>
                </c:pt>
                <c:pt idx="3025">
                  <c:v>5.562260036666667E-2</c:v>
                </c:pt>
                <c:pt idx="3026">
                  <c:v>5.5549827666666662E-2</c:v>
                </c:pt>
                <c:pt idx="3027">
                  <c:v>5.5587164966666665E-2</c:v>
                </c:pt>
                <c:pt idx="3028">
                  <c:v>5.6118233600000005E-2</c:v>
                </c:pt>
                <c:pt idx="3029">
                  <c:v>5.5830975200000001E-2</c:v>
                </c:pt>
                <c:pt idx="3030">
                  <c:v>5.6418763866666666E-2</c:v>
                </c:pt>
                <c:pt idx="3031">
                  <c:v>5.6193661333333332E-2</c:v>
                </c:pt>
                <c:pt idx="3032">
                  <c:v>5.6823563866666663E-2</c:v>
                </c:pt>
                <c:pt idx="3033">
                  <c:v>5.6360944933333337E-2</c:v>
                </c:pt>
                <c:pt idx="3034">
                  <c:v>6.1609493000000001E-2</c:v>
                </c:pt>
                <c:pt idx="3035">
                  <c:v>6.3992946600000003E-2</c:v>
                </c:pt>
                <c:pt idx="3036">
                  <c:v>6.4016271E-2</c:v>
                </c:pt>
                <c:pt idx="3037">
                  <c:v>6.4195057299999997E-2</c:v>
                </c:pt>
                <c:pt idx="3038">
                  <c:v>6.2294562000000005E-2</c:v>
                </c:pt>
                <c:pt idx="3039">
                  <c:v>5.8503854933333328E-2</c:v>
                </c:pt>
                <c:pt idx="3040">
                  <c:v>5.6455938000000004E-2</c:v>
                </c:pt>
                <c:pt idx="3041">
                  <c:v>5.7247625599999998E-2</c:v>
                </c:pt>
                <c:pt idx="3042">
                  <c:v>5.6247331066666677E-2</c:v>
                </c:pt>
                <c:pt idx="3043">
                  <c:v>5.6034439999999998E-2</c:v>
                </c:pt>
                <c:pt idx="3044">
                  <c:v>5.5965455333333337E-2</c:v>
                </c:pt>
                <c:pt idx="3045">
                  <c:v>5.7175402533333336E-2</c:v>
                </c:pt>
                <c:pt idx="3046">
                  <c:v>5.6418763866666666E-2</c:v>
                </c:pt>
                <c:pt idx="3047">
                  <c:v>5.619318906666667E-2</c:v>
                </c:pt>
                <c:pt idx="3048">
                  <c:v>5.0991000000000009E-2</c:v>
                </c:pt>
                <c:pt idx="3049">
                  <c:v>5.1264240000000003E-2</c:v>
                </c:pt>
                <c:pt idx="3050">
                  <c:v>5.2048999999999998E-2</c:v>
                </c:pt>
                <c:pt idx="3051">
                  <c:v>5.1336000000000007E-2</c:v>
                </c:pt>
                <c:pt idx="3052">
                  <c:v>5.1312570666666675E-2</c:v>
                </c:pt>
                <c:pt idx="3053">
                  <c:v>5.1169418666666668E-2</c:v>
                </c:pt>
                <c:pt idx="3054">
                  <c:v>5.1038104000000001E-2</c:v>
                </c:pt>
                <c:pt idx="3055">
                  <c:v>5.1266263999999999E-2</c:v>
                </c:pt>
                <c:pt idx="3056">
                  <c:v>5.1037306666666664E-2</c:v>
                </c:pt>
                <c:pt idx="3057">
                  <c:v>5.1268104000000009E-2</c:v>
                </c:pt>
                <c:pt idx="3058">
                  <c:v>5.1495711999999999E-2</c:v>
                </c:pt>
                <c:pt idx="3059">
                  <c:v>5.160464E-2</c:v>
                </c:pt>
                <c:pt idx="3060">
                  <c:v>5.107901333333334E-2</c:v>
                </c:pt>
                <c:pt idx="3061">
                  <c:v>5.1106981333333336E-2</c:v>
                </c:pt>
                <c:pt idx="3062">
                  <c:v>5.1290858666666675E-2</c:v>
                </c:pt>
                <c:pt idx="3063">
                  <c:v>5.1313000000000004E-2</c:v>
                </c:pt>
                <c:pt idx="3064">
                  <c:v>5.1175674666666671E-2</c:v>
                </c:pt>
                <c:pt idx="3065">
                  <c:v>5.1358386666666672E-2</c:v>
                </c:pt>
                <c:pt idx="3066">
                  <c:v>5.0879526666666661E-2</c:v>
                </c:pt>
                <c:pt idx="3067">
                  <c:v>5.2294272000000003E-2</c:v>
                </c:pt>
                <c:pt idx="3068">
                  <c:v>5.1242282666666666E-2</c:v>
                </c:pt>
                <c:pt idx="3069">
                  <c:v>5.1313858666666663E-2</c:v>
                </c:pt>
                <c:pt idx="3070">
                  <c:v>5.115077333333333E-2</c:v>
                </c:pt>
                <c:pt idx="3071">
                  <c:v>5.1126976000000005E-2</c:v>
                </c:pt>
                <c:pt idx="3072">
                  <c:v>5.1176288E-2</c:v>
                </c:pt>
                <c:pt idx="3073">
                  <c:v>5.1038717333333337E-2</c:v>
                </c:pt>
                <c:pt idx="3074">
                  <c:v>5.1085024000000007E-2</c:v>
                </c:pt>
                <c:pt idx="3075">
                  <c:v>5.0969717333333338E-2</c:v>
                </c:pt>
                <c:pt idx="3076">
                  <c:v>5.1008602666666673E-2</c:v>
                </c:pt>
                <c:pt idx="3077">
                  <c:v>5.0912063999999993E-2</c:v>
                </c:pt>
                <c:pt idx="3078">
                  <c:v>5.0940952000000005E-2</c:v>
                </c:pt>
                <c:pt idx="3079">
                  <c:v>5.1079503999999998E-2</c:v>
                </c:pt>
                <c:pt idx="3080">
                  <c:v>5.0832085333333332E-2</c:v>
                </c:pt>
                <c:pt idx="3081">
                  <c:v>5.0979407999999997E-2</c:v>
                </c:pt>
                <c:pt idx="3082">
                  <c:v>5.1024304000000006E-2</c:v>
                </c:pt>
                <c:pt idx="3083">
                  <c:v>5.1208733333333339E-2</c:v>
                </c:pt>
                <c:pt idx="3084">
                  <c:v>5.1453668000000001E-2</c:v>
                </c:pt>
                <c:pt idx="3085">
                  <c:v>5.1309626666666663E-2</c:v>
                </c:pt>
                <c:pt idx="3086">
                  <c:v>5.1266263999999999E-2</c:v>
                </c:pt>
                <c:pt idx="3087">
                  <c:v>5.1174448000000004E-2</c:v>
                </c:pt>
                <c:pt idx="3088">
                  <c:v>5.0180633333333335E-2</c:v>
                </c:pt>
                <c:pt idx="3089">
                  <c:v>5.0341357333333336E-2</c:v>
                </c:pt>
                <c:pt idx="3090">
                  <c:v>4.9858173333333339E-2</c:v>
                </c:pt>
                <c:pt idx="3091">
                  <c:v>4.9877493333333335E-2</c:v>
                </c:pt>
                <c:pt idx="3092">
                  <c:v>5.0395759999999998E-2</c:v>
                </c:pt>
                <c:pt idx="3093">
                  <c:v>5.3890524000000009E-2</c:v>
                </c:pt>
                <c:pt idx="3094">
                  <c:v>5.6863232000000007E-2</c:v>
                </c:pt>
                <c:pt idx="3095">
                  <c:v>5.7509388000000002E-2</c:v>
                </c:pt>
                <c:pt idx="3096">
                  <c:v>5.1054519999999999E-2</c:v>
                </c:pt>
                <c:pt idx="3097">
                  <c:v>5.1108150000000005E-2</c:v>
                </c:pt>
                <c:pt idx="3098">
                  <c:v>5.096381400000001E-2</c:v>
                </c:pt>
                <c:pt idx="3099">
                  <c:v>5.1275860000000006E-2</c:v>
                </c:pt>
                <c:pt idx="3100">
                  <c:v>5.1272635999999996E-2</c:v>
                </c:pt>
                <c:pt idx="3101">
                  <c:v>5.1086140000000002E-2</c:v>
                </c:pt>
                <c:pt idx="3102">
                  <c:v>5.0877603000000007E-2</c:v>
                </c:pt>
                <c:pt idx="3103">
                  <c:v>5.0017880000000001E-2</c:v>
                </c:pt>
                <c:pt idx="3104">
                  <c:v>5.0041440000000006E-2</c:v>
                </c:pt>
                <c:pt idx="3105">
                  <c:v>4.9871374000000003E-2</c:v>
                </c:pt>
                <c:pt idx="3106">
                  <c:v>4.9894965000000006E-2</c:v>
                </c:pt>
                <c:pt idx="3107">
                  <c:v>4.9952067000000003E-2</c:v>
                </c:pt>
                <c:pt idx="3108">
                  <c:v>4.9742259000000004E-2</c:v>
                </c:pt>
                <c:pt idx="3109">
                  <c:v>4.991855600000001E-2</c:v>
                </c:pt>
                <c:pt idx="3110">
                  <c:v>4.9817744000000011E-2</c:v>
                </c:pt>
                <c:pt idx="3111">
                  <c:v>5.0100959999999993E-2</c:v>
                </c:pt>
                <c:pt idx="3112">
                  <c:v>4.9753967999999996E-2</c:v>
                </c:pt>
                <c:pt idx="3113">
                  <c:v>5.0183056000000004E-2</c:v>
                </c:pt>
                <c:pt idx="3114">
                  <c:v>5.330112E-2</c:v>
                </c:pt>
                <c:pt idx="3115">
                  <c:v>5.1173098666666667E-2</c:v>
                </c:pt>
                <c:pt idx="3116">
                  <c:v>5.1343359999999998E-2</c:v>
                </c:pt>
                <c:pt idx="3117">
                  <c:v>5.136945733333334E-2</c:v>
                </c:pt>
                <c:pt idx="3118">
                  <c:v>5.1106000000000006E-2</c:v>
                </c:pt>
                <c:pt idx="3119">
                  <c:v>5.1287332000000005E-2</c:v>
                </c:pt>
                <c:pt idx="3120">
                  <c:v>5.1020992000000001E-2</c:v>
                </c:pt>
                <c:pt idx="3121">
                  <c:v>5.1053100000000004E-2</c:v>
                </c:pt>
                <c:pt idx="3122">
                  <c:v>5.0896362666666667E-2</c:v>
                </c:pt>
                <c:pt idx="3123">
                  <c:v>5.0844720000000003E-2</c:v>
                </c:pt>
                <c:pt idx="3124">
                  <c:v>5.0745053333333338E-2</c:v>
                </c:pt>
                <c:pt idx="3125">
                  <c:v>5.0707455999999998E-2</c:v>
                </c:pt>
                <c:pt idx="3126">
                  <c:v>5.2953735000000009E-2</c:v>
                </c:pt>
                <c:pt idx="3127">
                  <c:v>5.0775106666666667E-2</c:v>
                </c:pt>
                <c:pt idx="3128">
                  <c:v>5.0828711999999998E-2</c:v>
                </c:pt>
                <c:pt idx="3129">
                  <c:v>5.1058988E-2</c:v>
                </c:pt>
                <c:pt idx="3130">
                  <c:v>5.0607973333333334E-2</c:v>
                </c:pt>
                <c:pt idx="3131">
                  <c:v>5.0793690666666669E-2</c:v>
                </c:pt>
                <c:pt idx="3132">
                  <c:v>5.0779307999999995E-2</c:v>
                </c:pt>
                <c:pt idx="3133">
                  <c:v>5.0897773333333333E-2</c:v>
                </c:pt>
                <c:pt idx="3134">
                  <c:v>5.0854104000000004E-2</c:v>
                </c:pt>
                <c:pt idx="3135">
                  <c:v>5.1029946666666673E-2</c:v>
                </c:pt>
                <c:pt idx="3136">
                  <c:v>5.0863334666666662E-2</c:v>
                </c:pt>
                <c:pt idx="3137">
                  <c:v>5.0919424000000005E-2</c:v>
                </c:pt>
                <c:pt idx="3138">
                  <c:v>5.1523680000000002E-2</c:v>
                </c:pt>
                <c:pt idx="3139">
                  <c:v>5.1391997333333335E-2</c:v>
                </c:pt>
                <c:pt idx="3140">
                  <c:v>5.1203519999999995E-2</c:v>
                </c:pt>
                <c:pt idx="3141">
                  <c:v>5.1108698666666674E-2</c:v>
                </c:pt>
                <c:pt idx="3142">
                  <c:v>5.068200266666667E-2</c:v>
                </c:pt>
                <c:pt idx="3143">
                  <c:v>5.0771242666666667E-2</c:v>
                </c:pt>
                <c:pt idx="3144">
                  <c:v>5.105954E-2</c:v>
                </c:pt>
                <c:pt idx="3145">
                  <c:v>5.3716800000000002E-2</c:v>
                </c:pt>
                <c:pt idx="3146">
                  <c:v>5.1479704000000001E-2</c:v>
                </c:pt>
                <c:pt idx="3147">
                  <c:v>5.2070497333333333E-2</c:v>
                </c:pt>
                <c:pt idx="3148">
                  <c:v>5.1818815999999997E-2</c:v>
                </c:pt>
                <c:pt idx="3149">
                  <c:v>5.4311876000000002E-2</c:v>
                </c:pt>
                <c:pt idx="3150">
                  <c:v>5.0958799999999999E-2</c:v>
                </c:pt>
                <c:pt idx="3151">
                  <c:v>5.0923012000000004E-2</c:v>
                </c:pt>
                <c:pt idx="3152">
                  <c:v>5.0900042666666673E-2</c:v>
                </c:pt>
                <c:pt idx="3153">
                  <c:v>5.0948127999999995E-2</c:v>
                </c:pt>
                <c:pt idx="3154">
                  <c:v>5.0878453333333337E-2</c:v>
                </c:pt>
                <c:pt idx="3155">
                  <c:v>5.083343466666667E-2</c:v>
                </c:pt>
                <c:pt idx="3156">
                  <c:v>5.0948066666666667E-2</c:v>
                </c:pt>
                <c:pt idx="3157">
                  <c:v>5.083343466666667E-2</c:v>
                </c:pt>
                <c:pt idx="3158">
                  <c:v>5.3538333E-2</c:v>
                </c:pt>
                <c:pt idx="3159">
                  <c:v>5.4714720999999994E-2</c:v>
                </c:pt>
                <c:pt idx="3160">
                  <c:v>5.3031204000000005E-2</c:v>
                </c:pt>
                <c:pt idx="3161">
                  <c:v>5.1494700000000011E-2</c:v>
                </c:pt>
                <c:pt idx="3162">
                  <c:v>5.1325696000000004E-2</c:v>
                </c:pt>
                <c:pt idx="3163">
                  <c:v>5.1406870666666667E-2</c:v>
                </c:pt>
                <c:pt idx="3164">
                  <c:v>5.1549808000000003E-2</c:v>
                </c:pt>
                <c:pt idx="3165">
                  <c:v>5.0515084000000009E-2</c:v>
                </c:pt>
                <c:pt idx="3166">
                  <c:v>5.0489231999999995E-2</c:v>
                </c:pt>
                <c:pt idx="3167">
                  <c:v>5.0468991999999997E-2</c:v>
                </c:pt>
                <c:pt idx="3168">
                  <c:v>5.0469513333333334E-2</c:v>
                </c:pt>
                <c:pt idx="3169">
                  <c:v>5.0878453333333337E-2</c:v>
                </c:pt>
                <c:pt idx="3170">
                  <c:v>5.0604385333333335E-2</c:v>
                </c:pt>
                <c:pt idx="3171">
                  <c:v>5.2317701333333334E-2</c:v>
                </c:pt>
                <c:pt idx="3172">
                  <c:v>5.1359429333333331E-2</c:v>
                </c:pt>
                <c:pt idx="3173">
                  <c:v>5.3734904E-2</c:v>
                </c:pt>
                <c:pt idx="3174">
                  <c:v>5.1266999999999993E-2</c:v>
                </c:pt>
                <c:pt idx="3175">
                  <c:v>5.124458266666667E-2</c:v>
                </c:pt>
                <c:pt idx="3176">
                  <c:v>5.1885537000000002E-2</c:v>
                </c:pt>
                <c:pt idx="3177">
                  <c:v>5.1445057999999995E-2</c:v>
                </c:pt>
                <c:pt idx="3178">
                  <c:v>5.1559200000000006E-2</c:v>
                </c:pt>
                <c:pt idx="3179">
                  <c:v>5.1405564000000001E-2</c:v>
                </c:pt>
                <c:pt idx="3180">
                  <c:v>5.1257570000000002E-2</c:v>
                </c:pt>
                <c:pt idx="3181">
                  <c:v>5.1208528000000003E-2</c:v>
                </c:pt>
                <c:pt idx="3182">
                  <c:v>5.1323165999999996E-2</c:v>
                </c:pt>
                <c:pt idx="3183">
                  <c:v>5.0797063999999996E-2</c:v>
                </c:pt>
                <c:pt idx="3184">
                  <c:v>5.1206372E-2</c:v>
                </c:pt>
                <c:pt idx="3185">
                  <c:v>5.3011395000000003E-2</c:v>
                </c:pt>
                <c:pt idx="3186">
                  <c:v>5.3737725E-2</c:v>
                </c:pt>
                <c:pt idx="3187">
                  <c:v>5.3885936000000002E-2</c:v>
                </c:pt>
                <c:pt idx="3188">
                  <c:v>5.3271701999999997E-2</c:v>
                </c:pt>
                <c:pt idx="3189">
                  <c:v>5.2889720000000008E-2</c:v>
                </c:pt>
                <c:pt idx="3190">
                  <c:v>5.3041496000000007E-2</c:v>
                </c:pt>
                <c:pt idx="3191">
                  <c:v>5.3350751999999994E-2</c:v>
                </c:pt>
                <c:pt idx="3192">
                  <c:v>5.3162705999999997E-2</c:v>
                </c:pt>
                <c:pt idx="3193">
                  <c:v>5.2678269000000007E-2</c:v>
                </c:pt>
                <c:pt idx="3194">
                  <c:v>5.2746066000000008E-2</c:v>
                </c:pt>
                <c:pt idx="3195">
                  <c:v>5.2784939999999995E-2</c:v>
                </c:pt>
                <c:pt idx="3196">
                  <c:v>5.3465947999999992E-2</c:v>
                </c:pt>
                <c:pt idx="3197">
                  <c:v>5.5788591999999998E-2</c:v>
                </c:pt>
                <c:pt idx="3198">
                  <c:v>5.9960250000000007E-2</c:v>
                </c:pt>
                <c:pt idx="3199">
                  <c:v>5.9835700000000006E-2</c:v>
                </c:pt>
                <c:pt idx="3200">
                  <c:v>5.9710867999999993E-2</c:v>
                </c:pt>
                <c:pt idx="3201">
                  <c:v>5.982912E-2</c:v>
                </c:pt>
                <c:pt idx="3202">
                  <c:v>5.9898366666666668E-2</c:v>
                </c:pt>
                <c:pt idx="3203">
                  <c:v>5.9628712E-2</c:v>
                </c:pt>
                <c:pt idx="3204">
                  <c:v>5.9671294E-2</c:v>
                </c:pt>
                <c:pt idx="3205">
                  <c:v>5.9663617333333328E-2</c:v>
                </c:pt>
                <c:pt idx="3206">
                  <c:v>5.8949342666666668E-2</c:v>
                </c:pt>
                <c:pt idx="3207">
                  <c:v>5.4682016000000007E-2</c:v>
                </c:pt>
                <c:pt idx="3208">
                  <c:v>5.4863334999999992E-2</c:v>
                </c:pt>
                <c:pt idx="3209">
                  <c:v>5.3428375999999993E-2</c:v>
                </c:pt>
                <c:pt idx="3210">
                  <c:v>5.1995578666666674E-2</c:v>
                </c:pt>
                <c:pt idx="3211">
                  <c:v>5.1887999999999997E-2</c:v>
                </c:pt>
                <c:pt idx="3212">
                  <c:v>5.2210521333333336E-2</c:v>
                </c:pt>
                <c:pt idx="3213">
                  <c:v>5.2303104000000003E-2</c:v>
                </c:pt>
                <c:pt idx="3214">
                  <c:v>5.1886620000000008E-2</c:v>
                </c:pt>
                <c:pt idx="3215">
                  <c:v>5.1704E-2</c:v>
                </c:pt>
                <c:pt idx="3216">
                  <c:v>5.1657386666666673E-2</c:v>
                </c:pt>
                <c:pt idx="3217">
                  <c:v>5.1611724000000005E-2</c:v>
                </c:pt>
                <c:pt idx="3218">
                  <c:v>5.2725885E-2</c:v>
                </c:pt>
                <c:pt idx="3219">
                  <c:v>5.2161515999999998E-2</c:v>
                </c:pt>
                <c:pt idx="3220">
                  <c:v>5.3269749000000005E-2</c:v>
                </c:pt>
                <c:pt idx="3221">
                  <c:v>5.2164858666666668E-2</c:v>
                </c:pt>
                <c:pt idx="3222">
                  <c:v>5.1622181333333336E-2</c:v>
                </c:pt>
                <c:pt idx="3223">
                  <c:v>5.1923695999999998E-2</c:v>
                </c:pt>
                <c:pt idx="3224">
                  <c:v>5.2737385999999997E-2</c:v>
                </c:pt>
                <c:pt idx="3225">
                  <c:v>5.2728830000000004E-2</c:v>
                </c:pt>
                <c:pt idx="3226">
                  <c:v>5.2522866000000001E-2</c:v>
                </c:pt>
                <c:pt idx="3227">
                  <c:v>5.2442390000000005E-2</c:v>
                </c:pt>
                <c:pt idx="3228">
                  <c:v>5.2886341000000003E-2</c:v>
                </c:pt>
                <c:pt idx="3229">
                  <c:v>5.2416815000000012E-2</c:v>
                </c:pt>
                <c:pt idx="3230">
                  <c:v>5.2502499000000001E-2</c:v>
                </c:pt>
                <c:pt idx="3231">
                  <c:v>5.2227560000000006E-2</c:v>
                </c:pt>
                <c:pt idx="3232">
                  <c:v>5.3478224000000005E-2</c:v>
                </c:pt>
                <c:pt idx="3233">
                  <c:v>5.5428744000000009E-2</c:v>
                </c:pt>
                <c:pt idx="3234">
                  <c:v>5.8623664000000006E-2</c:v>
                </c:pt>
                <c:pt idx="3235">
                  <c:v>5.4868853000000009E-2</c:v>
                </c:pt>
                <c:pt idx="3236">
                  <c:v>5.1336000000000007E-2</c:v>
                </c:pt>
                <c:pt idx="3237">
                  <c:v>5.1562074666666673E-2</c:v>
                </c:pt>
                <c:pt idx="3238">
                  <c:v>5.1563209333333332E-2</c:v>
                </c:pt>
                <c:pt idx="3239">
                  <c:v>5.1333516000000003E-2</c:v>
                </c:pt>
                <c:pt idx="3240">
                  <c:v>5.1704E-2</c:v>
                </c:pt>
                <c:pt idx="3241">
                  <c:v>5.1703509333333335E-2</c:v>
                </c:pt>
                <c:pt idx="3242">
                  <c:v>5.1432967999999996E-2</c:v>
                </c:pt>
                <c:pt idx="3243">
                  <c:v>5.1573175999999998E-2</c:v>
                </c:pt>
                <c:pt idx="3244">
                  <c:v>5.2350760000000003E-2</c:v>
                </c:pt>
                <c:pt idx="3245">
                  <c:v>5.2052710666666668E-2</c:v>
                </c:pt>
                <c:pt idx="3246">
                  <c:v>4.4698707333333337E-2</c:v>
                </c:pt>
                <c:pt idx="3247">
                  <c:v>6.3519573333333341E-3</c:v>
                </c:pt>
                <c:pt idx="3248">
                  <c:v>6.2881510000000005E-3</c:v>
                </c:pt>
                <c:pt idx="3249">
                  <c:v>6.1559040000000002E-3</c:v>
                </c:pt>
                <c:pt idx="3250">
                  <c:v>6.1418053333333333E-3</c:v>
                </c:pt>
                <c:pt idx="3251">
                  <c:v>6.1611626666666667E-3</c:v>
                </c:pt>
                <c:pt idx="3252">
                  <c:v>6.1860506666666674E-3</c:v>
                </c:pt>
                <c:pt idx="3253">
                  <c:v>6.1408306666666662E-3</c:v>
                </c:pt>
                <c:pt idx="3254">
                  <c:v>6.2506180000000012E-3</c:v>
                </c:pt>
                <c:pt idx="3255">
                  <c:v>6.2116560000000003E-3</c:v>
                </c:pt>
                <c:pt idx="3256">
                  <c:v>6.1528666666666671E-3</c:v>
                </c:pt>
                <c:pt idx="3257">
                  <c:v>6.1307440000000005E-3</c:v>
                </c:pt>
                <c:pt idx="3258">
                  <c:v>6.1419640000000006E-3</c:v>
                </c:pt>
                <c:pt idx="3259">
                  <c:v>6.1611626666666667E-3</c:v>
                </c:pt>
                <c:pt idx="3260">
                  <c:v>6.1141520000000003E-3</c:v>
                </c:pt>
                <c:pt idx="3261">
                  <c:v>6.0947946666666669E-3</c:v>
                </c:pt>
                <c:pt idx="3262">
                  <c:v>6.0920293333333337E-3</c:v>
                </c:pt>
                <c:pt idx="3263">
                  <c:v>6.139040000000001E-3</c:v>
                </c:pt>
                <c:pt idx="3264">
                  <c:v>6.284014000000001E-3</c:v>
                </c:pt>
                <c:pt idx="3265">
                  <c:v>6.2265600000000008E-3</c:v>
                </c:pt>
                <c:pt idx="3266">
                  <c:v>6.2514000000000007E-3</c:v>
                </c:pt>
                <c:pt idx="3267">
                  <c:v>6.2016000000000007E-3</c:v>
                </c:pt>
                <c:pt idx="3268">
                  <c:v>6.2587200000000006E-3</c:v>
                </c:pt>
                <c:pt idx="3269">
                  <c:v>6.264250666666667E-3</c:v>
                </c:pt>
                <c:pt idx="3270">
                  <c:v>6.2669933333333334E-3</c:v>
                </c:pt>
                <c:pt idx="3271">
                  <c:v>6.2148826666666669E-3</c:v>
                </c:pt>
                <c:pt idx="3272">
                  <c:v>6.187456E-3</c:v>
                </c:pt>
                <c:pt idx="3273">
                  <c:v>6.1764853333333329E-3</c:v>
                </c:pt>
                <c:pt idx="3274">
                  <c:v>6.1737426666666666E-3</c:v>
                </c:pt>
                <c:pt idx="3275">
                  <c:v>6.1518013333333342E-3</c:v>
                </c:pt>
                <c:pt idx="3276">
                  <c:v>6.1380879999999999E-3</c:v>
                </c:pt>
                <c:pt idx="3277">
                  <c:v>6.1079186666666667E-3</c:v>
                </c:pt>
                <c:pt idx="3278">
                  <c:v>6.1921750000000003E-3</c:v>
                </c:pt>
                <c:pt idx="3279">
                  <c:v>6.1977409999999997E-3</c:v>
                </c:pt>
                <c:pt idx="3280">
                  <c:v>6.20609E-3</c:v>
                </c:pt>
                <c:pt idx="3281">
                  <c:v>6.2506180000000012E-3</c:v>
                </c:pt>
                <c:pt idx="3282">
                  <c:v>6.2645330000000001E-3</c:v>
                </c:pt>
                <c:pt idx="3283">
                  <c:v>6.2100000000000002E-3</c:v>
                </c:pt>
                <c:pt idx="3284">
                  <c:v>6.22932E-3</c:v>
                </c:pt>
                <c:pt idx="3285">
                  <c:v>6.2348400000000002E-3</c:v>
                </c:pt>
                <c:pt idx="3286">
                  <c:v>6.174672E-3</c:v>
                </c:pt>
                <c:pt idx="3287">
                  <c:v>6.177409E-3</c:v>
                </c:pt>
                <c:pt idx="3288">
                  <c:v>6.1993050000000004E-3</c:v>
                </c:pt>
                <c:pt idx="3289">
                  <c:v>6.1906340000000004E-3</c:v>
                </c:pt>
                <c:pt idx="3290">
                  <c:v>6.2042039999999996E-3</c:v>
                </c:pt>
                <c:pt idx="3291">
                  <c:v>6.2075159999999997E-3</c:v>
                </c:pt>
                <c:pt idx="3292">
                  <c:v>6.2157270000000008E-3</c:v>
                </c:pt>
                <c:pt idx="3293">
                  <c:v>6.2075159999999997E-3</c:v>
                </c:pt>
                <c:pt idx="3294">
                  <c:v>6.1933480000000004E-3</c:v>
                </c:pt>
                <c:pt idx="3295">
                  <c:v>6.1824920000000004E-3</c:v>
                </c:pt>
                <c:pt idx="3296">
                  <c:v>6.1852060000000004E-3</c:v>
                </c:pt>
                <c:pt idx="3297">
                  <c:v>6.1662080000000003E-3</c:v>
                </c:pt>
                <c:pt idx="3298">
                  <c:v>5.037438E-3</c:v>
                </c:pt>
                <c:pt idx="3299">
                  <c:v>5.0441160000000004E-3</c:v>
                </c:pt>
                <c:pt idx="3300">
                  <c:v>5.0018220000000004E-3</c:v>
                </c:pt>
                <c:pt idx="3301">
                  <c:v>4.9461720000000004E-3</c:v>
                </c:pt>
                <c:pt idx="3302">
                  <c:v>4.9126320000000001E-3</c:v>
                </c:pt>
                <c:pt idx="3303">
                  <c:v>4.8501359999999997E-3</c:v>
                </c:pt>
                <c:pt idx="3304">
                  <c:v>4.8702240000000003E-3</c:v>
                </c:pt>
                <c:pt idx="3305">
                  <c:v>4.8813840000000008E-3</c:v>
                </c:pt>
                <c:pt idx="3306">
                  <c:v>4.8590640000000006E-3</c:v>
                </c:pt>
                <c:pt idx="3307">
                  <c:v>4.8383973333333335E-3</c:v>
                </c:pt>
                <c:pt idx="3308">
                  <c:v>4.9164360000000006E-3</c:v>
                </c:pt>
                <c:pt idx="3309">
                  <c:v>4.9411530000000002E-3</c:v>
                </c:pt>
                <c:pt idx="3310">
                  <c:v>4.8412080000000005E-3</c:v>
                </c:pt>
                <c:pt idx="3311">
                  <c:v>4.8882866666666667E-3</c:v>
                </c:pt>
                <c:pt idx="3312">
                  <c:v>4.8454860000000004E-3</c:v>
                </c:pt>
                <c:pt idx="3313">
                  <c:v>4.8278160000000004E-3</c:v>
                </c:pt>
                <c:pt idx="3314">
                  <c:v>4.9141890000000002E-3</c:v>
                </c:pt>
                <c:pt idx="3315">
                  <c:v>4.9014720000000005E-3</c:v>
                </c:pt>
                <c:pt idx="3316">
                  <c:v>4.9148640000000006E-3</c:v>
                </c:pt>
                <c:pt idx="3317">
                  <c:v>4.9411530000000002E-3</c:v>
                </c:pt>
                <c:pt idx="3318">
                  <c:v>4.9150080000000011E-3</c:v>
                </c:pt>
                <c:pt idx="3319">
                  <c:v>4.9239120000000008E-3</c:v>
                </c:pt>
                <c:pt idx="3320">
                  <c:v>4.8927479999999997E-3</c:v>
                </c:pt>
                <c:pt idx="3321">
                  <c:v>4.9029540000000002E-3</c:v>
                </c:pt>
                <c:pt idx="3322">
                  <c:v>4.8590640000000006E-3</c:v>
                </c:pt>
                <c:pt idx="3323">
                  <c:v>4.9038780000000004E-3</c:v>
                </c:pt>
                <c:pt idx="3324">
                  <c:v>4.9998080000000006E-3</c:v>
                </c:pt>
                <c:pt idx="3325">
                  <c:v>4.928364000000001E-3</c:v>
                </c:pt>
                <c:pt idx="3326">
                  <c:v>4.9411530000000002E-3</c:v>
                </c:pt>
                <c:pt idx="3327">
                  <c:v>4.9038780000000004E-3</c:v>
                </c:pt>
                <c:pt idx="3328">
                  <c:v>4.9164360000000006E-3</c:v>
                </c:pt>
                <c:pt idx="3329">
                  <c:v>4.8725180000000002E-3</c:v>
                </c:pt>
                <c:pt idx="3330">
                  <c:v>4.8233520000000004E-3</c:v>
                </c:pt>
                <c:pt idx="3331">
                  <c:v>4.8702653333333335E-3</c:v>
                </c:pt>
                <c:pt idx="3332">
                  <c:v>4.8472426666666679E-3</c:v>
                </c:pt>
                <c:pt idx="3333">
                  <c:v>4.8679920000000007E-3</c:v>
                </c:pt>
                <c:pt idx="3334">
                  <c:v>4.8724560000000007E-3</c:v>
                </c:pt>
                <c:pt idx="3335">
                  <c:v>4.8635279999999998E-3</c:v>
                </c:pt>
                <c:pt idx="3336">
                  <c:v>4.8836160000000003E-3</c:v>
                </c:pt>
                <c:pt idx="3337">
                  <c:v>4.8759900000000002E-3</c:v>
                </c:pt>
                <c:pt idx="3338">
                  <c:v>4.9595280000000004E-3</c:v>
                </c:pt>
                <c:pt idx="3339">
                  <c:v>4.981788E-3</c:v>
                </c:pt>
                <c:pt idx="3340">
                  <c:v>4.9751100000000005E-3</c:v>
                </c:pt>
                <c:pt idx="3341">
                  <c:v>4.9773360000000006E-3</c:v>
                </c:pt>
                <c:pt idx="3342">
                  <c:v>5.0467200000000002E-3</c:v>
                </c:pt>
                <c:pt idx="3343">
                  <c:v>5.0623999999999999E-3</c:v>
                </c:pt>
                <c:pt idx="3344">
                  <c:v>4.9855050000000003E-3</c:v>
                </c:pt>
                <c:pt idx="3345">
                  <c:v>5.0601600000000002E-3</c:v>
                </c:pt>
                <c:pt idx="3346">
                  <c:v>5.0691199999999999E-3</c:v>
                </c:pt>
                <c:pt idx="3347">
                  <c:v>4.9995960000000002E-3</c:v>
                </c:pt>
                <c:pt idx="3348">
                  <c:v>4.995144E-3</c:v>
                </c:pt>
                <c:pt idx="3349">
                  <c:v>5.0557500000000003E-3</c:v>
                </c:pt>
                <c:pt idx="3350">
                  <c:v>5.0285340000000003E-3</c:v>
                </c:pt>
                <c:pt idx="3351">
                  <c:v>5.0218560000000008E-3</c:v>
                </c:pt>
                <c:pt idx="3352">
                  <c:v>5.0151780000000003E-3</c:v>
                </c:pt>
                <c:pt idx="3353">
                  <c:v>5.0993066666666668E-3</c:v>
                </c:pt>
                <c:pt idx="3354">
                  <c:v>5.0713600000000005E-3</c:v>
                </c:pt>
                <c:pt idx="3355">
                  <c:v>5.0285340000000003E-3</c:v>
                </c:pt>
                <c:pt idx="3356">
                  <c:v>5.0129520000000002E-3</c:v>
                </c:pt>
                <c:pt idx="3357">
                  <c:v>4.9795620000000007E-3</c:v>
                </c:pt>
                <c:pt idx="3358">
                  <c:v>4.9639800000000006E-3</c:v>
                </c:pt>
                <c:pt idx="3359">
                  <c:v>4.9905870000000003E-3</c:v>
                </c:pt>
                <c:pt idx="3360">
                  <c:v>4.9860930000000005E-3</c:v>
                </c:pt>
                <c:pt idx="3361">
                  <c:v>4.9439459999999994E-3</c:v>
                </c:pt>
                <c:pt idx="3362">
                  <c:v>4.9417200000000001E-3</c:v>
                </c:pt>
                <c:pt idx="3363">
                  <c:v>4.9550760000000001E-3</c:v>
                </c:pt>
                <c:pt idx="3364">
                  <c:v>5.0310400000000005E-3</c:v>
                </c:pt>
                <c:pt idx="3365">
                  <c:v>5.0186240000000002E-3</c:v>
                </c:pt>
                <c:pt idx="3366">
                  <c:v>4.9967360000000008E-3</c:v>
                </c:pt>
                <c:pt idx="3367">
                  <c:v>5.0770416666666672E-3</c:v>
                </c:pt>
                <c:pt idx="3368">
                  <c:v>5.0430293333333332E-3</c:v>
                </c:pt>
                <c:pt idx="3369">
                  <c:v>5.0186240000000002E-3</c:v>
                </c:pt>
                <c:pt idx="3370">
                  <c:v>5.0230613333333337E-3</c:v>
                </c:pt>
                <c:pt idx="3371">
                  <c:v>5.0363733333333343E-3</c:v>
                </c:pt>
                <c:pt idx="3372">
                  <c:v>5.0385920000000006E-3</c:v>
                </c:pt>
                <c:pt idx="3373">
                  <c:v>5.0408106666666669E-3</c:v>
                </c:pt>
                <c:pt idx="3374">
                  <c:v>5.0208426666666674E-3</c:v>
                </c:pt>
                <c:pt idx="3375">
                  <c:v>5.0408106666666669E-3</c:v>
                </c:pt>
                <c:pt idx="3376">
                  <c:v>5.0452480000000004E-3</c:v>
                </c:pt>
                <c:pt idx="3377">
                  <c:v>5.0408106666666669E-3</c:v>
                </c:pt>
                <c:pt idx="3378">
                  <c:v>5.0053120000000005E-3</c:v>
                </c:pt>
                <c:pt idx="3379">
                  <c:v>5.0377599999999996E-3</c:v>
                </c:pt>
                <c:pt idx="3380">
                  <c:v>4.9986559999999998E-3</c:v>
                </c:pt>
                <c:pt idx="3381">
                  <c:v>5.0164053333333338E-3</c:v>
                </c:pt>
                <c:pt idx="3382">
                  <c:v>5.0713600000000005E-3</c:v>
                </c:pt>
                <c:pt idx="3383">
                  <c:v>5.0452480000000004E-3</c:v>
                </c:pt>
                <c:pt idx="3384">
                  <c:v>5.0297173333333335E-3</c:v>
                </c:pt>
                <c:pt idx="3385">
                  <c:v>5.0591883333333332E-3</c:v>
                </c:pt>
                <c:pt idx="3386">
                  <c:v>5.0055253333333334E-3</c:v>
                </c:pt>
                <c:pt idx="3387">
                  <c:v>5.0585600000000001E-3</c:v>
                </c:pt>
                <c:pt idx="3388">
                  <c:v>5.0141866666666667E-3</c:v>
                </c:pt>
                <c:pt idx="3389">
                  <c:v>5.0075306666666668E-3</c:v>
                </c:pt>
                <c:pt idx="3390">
                  <c:v>5.0141866666666667E-3</c:v>
                </c:pt>
                <c:pt idx="3391">
                  <c:v>5.0230613333333337E-3</c:v>
                </c:pt>
                <c:pt idx="3392">
                  <c:v>5.1015466666666665E-3</c:v>
                </c:pt>
                <c:pt idx="3393">
                  <c:v>5.0547250000000004E-3</c:v>
                </c:pt>
                <c:pt idx="3394">
                  <c:v>5.0406826666666675E-3</c:v>
                </c:pt>
                <c:pt idx="3395">
                  <c:v>5.0675300000000006E-3</c:v>
                </c:pt>
                <c:pt idx="3396">
                  <c:v>5.0653199999999999E-3</c:v>
                </c:pt>
                <c:pt idx="3397">
                  <c:v>5.0564800000000003E-3</c:v>
                </c:pt>
                <c:pt idx="3398">
                  <c:v>5.0520600000000006E-3</c:v>
                </c:pt>
                <c:pt idx="3399">
                  <c:v>5.0365899999999996E-3</c:v>
                </c:pt>
                <c:pt idx="3400">
                  <c:v>5.0410100000000003E-3</c:v>
                </c:pt>
                <c:pt idx="3401">
                  <c:v>5.0614200000000005E-3</c:v>
                </c:pt>
                <c:pt idx="3402">
                  <c:v>5.0189100000000006E-3</c:v>
                </c:pt>
                <c:pt idx="3403">
                  <c:v>5.0321699999999999E-3</c:v>
                </c:pt>
                <c:pt idx="3404">
                  <c:v>5.0365899999999996E-3</c:v>
                </c:pt>
                <c:pt idx="3405">
                  <c:v>5.0410100000000003E-3</c:v>
                </c:pt>
                <c:pt idx="3406">
                  <c:v>5.0277500000000001E-3</c:v>
                </c:pt>
                <c:pt idx="3407">
                  <c:v>5.0343800000000006E-3</c:v>
                </c:pt>
                <c:pt idx="3408">
                  <c:v>5.0454300000000001E-3</c:v>
                </c:pt>
                <c:pt idx="3409">
                  <c:v>5.0090949999999999E-3</c:v>
                </c:pt>
                <c:pt idx="3410">
                  <c:v>5.004718333333334E-3</c:v>
                </c:pt>
                <c:pt idx="3411">
                  <c:v>5.0069066666666665E-3</c:v>
                </c:pt>
                <c:pt idx="3412">
                  <c:v>5.0134716666666666E-3</c:v>
                </c:pt>
                <c:pt idx="3413">
                  <c:v>5.0586899999999994E-3</c:v>
                </c:pt>
                <c:pt idx="3414">
                  <c:v>5.0156599999999999E-3</c:v>
                </c:pt>
                <c:pt idx="3415">
                  <c:v>5.0410100000000003E-3</c:v>
                </c:pt>
                <c:pt idx="3416">
                  <c:v>5.0972680000000012E-3</c:v>
                </c:pt>
                <c:pt idx="3417">
                  <c:v>5.0244133333333333E-3</c:v>
                </c:pt>
                <c:pt idx="3418">
                  <c:v>5.0090949999999999E-3</c:v>
                </c:pt>
                <c:pt idx="3419">
                  <c:v>5.004718333333334E-3</c:v>
                </c:pt>
                <c:pt idx="3420">
                  <c:v>5.0432200000000002E-3</c:v>
                </c:pt>
                <c:pt idx="3421">
                  <c:v>5.0817140000000002E-3</c:v>
                </c:pt>
                <c:pt idx="3422">
                  <c:v>5.0661600000000001E-3</c:v>
                </c:pt>
                <c:pt idx="3423">
                  <c:v>5.0639380000000005E-3</c:v>
                </c:pt>
                <c:pt idx="3424">
                  <c:v>5.0439400000000002E-3</c:v>
                </c:pt>
                <c:pt idx="3425">
                  <c:v>5.0750480000000004E-3</c:v>
                </c:pt>
                <c:pt idx="3426">
                  <c:v>5.0600000000000003E-3</c:v>
                </c:pt>
                <c:pt idx="3427">
                  <c:v>5.0468000000000006E-3</c:v>
                </c:pt>
                <c:pt idx="3428">
                  <c:v>5.0512000000000005E-3</c:v>
                </c:pt>
                <c:pt idx="3429">
                  <c:v>5.0358000000000009E-3</c:v>
                </c:pt>
                <c:pt idx="3430">
                  <c:v>5.0639380000000005E-3</c:v>
                </c:pt>
                <c:pt idx="3431">
                  <c:v>5.0137999999999997E-3</c:v>
                </c:pt>
                <c:pt idx="3432">
                  <c:v>5.0572719999999998E-3</c:v>
                </c:pt>
                <c:pt idx="3433">
                  <c:v>5.0683819999999997E-3</c:v>
                </c:pt>
                <c:pt idx="3434">
                  <c:v>5.0661600000000001E-3</c:v>
                </c:pt>
                <c:pt idx="3435">
                  <c:v>5.0550500000000002E-3</c:v>
                </c:pt>
                <c:pt idx="3436">
                  <c:v>5.0137999999999997E-3</c:v>
                </c:pt>
                <c:pt idx="3437">
                  <c:v>5.0226000000000003E-3</c:v>
                </c:pt>
                <c:pt idx="3438">
                  <c:v>5.0270000000000002E-3</c:v>
                </c:pt>
                <c:pt idx="3439">
                  <c:v>4.9981533333333331E-3</c:v>
                </c:pt>
                <c:pt idx="3440">
                  <c:v>4.9784583333333339E-3</c:v>
                </c:pt>
                <c:pt idx="3441">
                  <c:v>5.0211200000000004E-3</c:v>
                </c:pt>
                <c:pt idx="3442">
                  <c:v>5.0277500000000001E-3</c:v>
                </c:pt>
                <c:pt idx="3443">
                  <c:v>5.0144899999999999E-3</c:v>
                </c:pt>
                <c:pt idx="3444">
                  <c:v>5.0034400000000005E-3</c:v>
                </c:pt>
                <c:pt idx="3445">
                  <c:v>5.0012300000000006E-3</c:v>
                </c:pt>
                <c:pt idx="3446">
                  <c:v>4.9946000000000001E-3</c:v>
                </c:pt>
                <c:pt idx="3447">
                  <c:v>4.9857600000000005E-3</c:v>
                </c:pt>
                <c:pt idx="3448">
                  <c:v>4.9946000000000001E-3</c:v>
                </c:pt>
                <c:pt idx="3449">
                  <c:v>4.9990199999999999E-3</c:v>
                </c:pt>
                <c:pt idx="3450">
                  <c:v>4.9923900000000002E-3</c:v>
                </c:pt>
                <c:pt idx="3451">
                  <c:v>4.9990199999999999E-3</c:v>
                </c:pt>
                <c:pt idx="3452">
                  <c:v>4.9923900000000002E-3</c:v>
                </c:pt>
                <c:pt idx="3453">
                  <c:v>4.9675166666666671E-3</c:v>
                </c:pt>
                <c:pt idx="3454">
                  <c:v>5.0938800000000003E-3</c:v>
                </c:pt>
                <c:pt idx="3455">
                  <c:v>5.0167000000000007E-3</c:v>
                </c:pt>
                <c:pt idx="3456">
                  <c:v>4.9565750000000013E-3</c:v>
                </c:pt>
                <c:pt idx="3457">
                  <c:v>5.0528280000000005E-3</c:v>
                </c:pt>
                <c:pt idx="3458">
                  <c:v>4.9740816666666672E-3</c:v>
                </c:pt>
                <c:pt idx="3459">
                  <c:v>4.985023333333333E-3</c:v>
                </c:pt>
                <c:pt idx="3460">
                  <c:v>4.985023333333333E-3</c:v>
                </c:pt>
                <c:pt idx="3461">
                  <c:v>5.0292000000000002E-3</c:v>
                </c:pt>
                <c:pt idx="3462">
                  <c:v>4.9897980000000001E-3</c:v>
                </c:pt>
                <c:pt idx="3463">
                  <c:v>4.9810860000000009E-3</c:v>
                </c:pt>
                <c:pt idx="3464">
                  <c:v>5.0986999999999994E-3</c:v>
                </c:pt>
                <c:pt idx="3465">
                  <c:v>5.0292000000000002E-3</c:v>
                </c:pt>
                <c:pt idx="3466">
                  <c:v>5.0270000000000002E-3</c:v>
                </c:pt>
                <c:pt idx="3467">
                  <c:v>5.0270000000000002E-3</c:v>
                </c:pt>
                <c:pt idx="3468">
                  <c:v>5.0358000000000009E-3</c:v>
                </c:pt>
                <c:pt idx="3469">
                  <c:v>5.0379999999999999E-3</c:v>
                </c:pt>
                <c:pt idx="3470">
                  <c:v>5.0446000000000006E-3</c:v>
                </c:pt>
                <c:pt idx="3471">
                  <c:v>5.1076333333333335E-3</c:v>
                </c:pt>
                <c:pt idx="3472">
                  <c:v>5.1098666666666674E-3</c:v>
                </c:pt>
                <c:pt idx="3473">
                  <c:v>5.1255000000000007E-3</c:v>
                </c:pt>
                <c:pt idx="3474">
                  <c:v>5.1121000000000005E-3</c:v>
                </c:pt>
                <c:pt idx="3475">
                  <c:v>5.0401999999999999E-3</c:v>
                </c:pt>
                <c:pt idx="3476">
                  <c:v>5.0423999999999998E-3</c:v>
                </c:pt>
                <c:pt idx="3477">
                  <c:v>5.0534000000000004E-3</c:v>
                </c:pt>
                <c:pt idx="3478">
                  <c:v>5.1456000000000002E-3</c:v>
                </c:pt>
                <c:pt idx="3479">
                  <c:v>5.1051990000000004E-3</c:v>
                </c:pt>
                <c:pt idx="3480">
                  <c:v>5.1007770000000008E-3</c:v>
                </c:pt>
                <c:pt idx="3481">
                  <c:v>5.0731999999999999E-3</c:v>
                </c:pt>
                <c:pt idx="3482">
                  <c:v>5.1239320000000003E-3</c:v>
                </c:pt>
                <c:pt idx="3483">
                  <c:v>5.1239320000000003E-3</c:v>
                </c:pt>
                <c:pt idx="3484">
                  <c:v>5.0134716666666666E-3</c:v>
                </c:pt>
                <c:pt idx="3485">
                  <c:v>5.060900000000001E-3</c:v>
                </c:pt>
                <c:pt idx="3486">
                  <c:v>5.0498499999999998E-3</c:v>
                </c:pt>
                <c:pt idx="3487">
                  <c:v>5.1061560000000006E-3</c:v>
                </c:pt>
                <c:pt idx="3488">
                  <c:v>5.1083780000000002E-3</c:v>
                </c:pt>
                <c:pt idx="3489">
                  <c:v>5.0994900000000008E-3</c:v>
                </c:pt>
                <c:pt idx="3490">
                  <c:v>5.1083780000000002E-3</c:v>
                </c:pt>
                <c:pt idx="3491">
                  <c:v>5.1105999999999999E-3</c:v>
                </c:pt>
                <c:pt idx="3492">
                  <c:v>5.1083780000000002E-3</c:v>
                </c:pt>
                <c:pt idx="3493">
                  <c:v>5.1105999999999999E-3</c:v>
                </c:pt>
                <c:pt idx="3494">
                  <c:v>5.0266016666666675E-3</c:v>
                </c:pt>
                <c:pt idx="3495">
                  <c:v>5.115044E-3</c:v>
                </c:pt>
                <c:pt idx="3496">
                  <c:v>5.1217100000000007E-3</c:v>
                </c:pt>
                <c:pt idx="3497">
                  <c:v>5.0287900000000009E-3</c:v>
                </c:pt>
                <c:pt idx="3498">
                  <c:v>5.0839360000000007E-3</c:v>
                </c:pt>
                <c:pt idx="3499">
                  <c:v>5.0336000000000001E-3</c:v>
                </c:pt>
                <c:pt idx="3500">
                  <c:v>5.0423999999999998E-3</c:v>
                </c:pt>
                <c:pt idx="3501">
                  <c:v>5.0817140000000002E-3</c:v>
                </c:pt>
                <c:pt idx="3502">
                  <c:v>5.0839360000000007E-3</c:v>
                </c:pt>
                <c:pt idx="3503">
                  <c:v>5.0794920000000006E-3</c:v>
                </c:pt>
                <c:pt idx="3504">
                  <c:v>5.0750480000000004E-3</c:v>
                </c:pt>
                <c:pt idx="3505">
                  <c:v>5.0706040000000003E-3</c:v>
                </c:pt>
                <c:pt idx="3506">
                  <c:v>5.0617160000000008E-3</c:v>
                </c:pt>
                <c:pt idx="3507">
                  <c:v>5.0661600000000001E-3</c:v>
                </c:pt>
                <c:pt idx="3508">
                  <c:v>5.0683819999999997E-3</c:v>
                </c:pt>
                <c:pt idx="3509">
                  <c:v>5.0706040000000003E-3</c:v>
                </c:pt>
                <c:pt idx="3510">
                  <c:v>5.0683819999999997E-3</c:v>
                </c:pt>
                <c:pt idx="3511">
                  <c:v>5.0683819999999997E-3</c:v>
                </c:pt>
                <c:pt idx="3512">
                  <c:v>5.0528280000000005E-3</c:v>
                </c:pt>
                <c:pt idx="3513">
                  <c:v>5.0550500000000002E-3</c:v>
                </c:pt>
                <c:pt idx="3514">
                  <c:v>5.0483839999999995E-3</c:v>
                </c:pt>
                <c:pt idx="3515">
                  <c:v>5.0617160000000008E-3</c:v>
                </c:pt>
                <c:pt idx="3516">
                  <c:v>5.0572719999999998E-3</c:v>
                </c:pt>
                <c:pt idx="3517">
                  <c:v>5.0639380000000005E-3</c:v>
                </c:pt>
                <c:pt idx="3518">
                  <c:v>5.0683819999999997E-3</c:v>
                </c:pt>
                <c:pt idx="3519">
                  <c:v>5.0292000000000002E-3</c:v>
                </c:pt>
                <c:pt idx="3520">
                  <c:v>5.0534000000000004E-3</c:v>
                </c:pt>
                <c:pt idx="3521">
                  <c:v>5.0512000000000005E-3</c:v>
                </c:pt>
                <c:pt idx="3522">
                  <c:v>5.0688000000000009E-3</c:v>
                </c:pt>
                <c:pt idx="3523">
                  <c:v>5.0358000000000009E-3</c:v>
                </c:pt>
                <c:pt idx="3524">
                  <c:v>5.0423999999999998E-3</c:v>
                </c:pt>
                <c:pt idx="3525">
                  <c:v>5.0512000000000005E-3</c:v>
                </c:pt>
                <c:pt idx="3526">
                  <c:v>5.0401999999999999E-3</c:v>
                </c:pt>
                <c:pt idx="3527">
                  <c:v>5.0490000000000005E-3</c:v>
                </c:pt>
                <c:pt idx="3528">
                  <c:v>5.0490000000000005E-3</c:v>
                </c:pt>
                <c:pt idx="3529">
                  <c:v>5.0446000000000006E-3</c:v>
                </c:pt>
                <c:pt idx="3530">
                  <c:v>5.0490000000000005E-3</c:v>
                </c:pt>
                <c:pt idx="3531">
                  <c:v>5.0950459999999998E-3</c:v>
                </c:pt>
                <c:pt idx="3532">
                  <c:v>5.1061560000000006E-3</c:v>
                </c:pt>
                <c:pt idx="3533">
                  <c:v>5.115044E-3</c:v>
                </c:pt>
                <c:pt idx="3534">
                  <c:v>5.1105999999999999E-3</c:v>
                </c:pt>
                <c:pt idx="3535">
                  <c:v>5.0906020000000005E-3</c:v>
                </c:pt>
                <c:pt idx="3536">
                  <c:v>5.0817140000000002E-3</c:v>
                </c:pt>
                <c:pt idx="3537">
                  <c:v>5.0728259999999999E-3</c:v>
                </c:pt>
                <c:pt idx="3538">
                  <c:v>5.0112833333333332E-3</c:v>
                </c:pt>
                <c:pt idx="3539">
                  <c:v>5.0839360000000007E-3</c:v>
                </c:pt>
                <c:pt idx="3540">
                  <c:v>5.0994900000000008E-3</c:v>
                </c:pt>
                <c:pt idx="3541">
                  <c:v>5.1083780000000002E-3</c:v>
                </c:pt>
                <c:pt idx="3542">
                  <c:v>5.1128220000000004E-3</c:v>
                </c:pt>
                <c:pt idx="3543">
                  <c:v>5.115044E-3</c:v>
                </c:pt>
                <c:pt idx="3544">
                  <c:v>5.0994900000000008E-3</c:v>
                </c:pt>
                <c:pt idx="3545">
                  <c:v>5.0928240000000001E-3</c:v>
                </c:pt>
                <c:pt idx="3546">
                  <c:v>5.1039340000000001E-3</c:v>
                </c:pt>
                <c:pt idx="3547">
                  <c:v>5.0622000000000002E-3</c:v>
                </c:pt>
                <c:pt idx="3548">
                  <c:v>5.0775999999999998E-3</c:v>
                </c:pt>
                <c:pt idx="3549">
                  <c:v>5.0578000000000003E-3</c:v>
                </c:pt>
                <c:pt idx="3550">
                  <c:v>5.0490000000000005E-3</c:v>
                </c:pt>
                <c:pt idx="3551">
                  <c:v>5.0534000000000004E-3</c:v>
                </c:pt>
                <c:pt idx="3552">
                  <c:v>5.0688000000000009E-3</c:v>
                </c:pt>
                <c:pt idx="3553">
                  <c:v>5.0688000000000009E-3</c:v>
                </c:pt>
                <c:pt idx="3554">
                  <c:v>5.0775999999999998E-3</c:v>
                </c:pt>
                <c:pt idx="3555">
                  <c:v>5.0820000000000006E-3</c:v>
                </c:pt>
                <c:pt idx="3556">
                  <c:v>5.0775999999999998E-3</c:v>
                </c:pt>
                <c:pt idx="3557">
                  <c:v>5.1105999999999999E-3</c:v>
                </c:pt>
                <c:pt idx="3558">
                  <c:v>5.1172660000000005E-3</c:v>
                </c:pt>
                <c:pt idx="3559">
                  <c:v>5.1239320000000003E-3</c:v>
                </c:pt>
                <c:pt idx="3560">
                  <c:v>5.0842000000000005E-3</c:v>
                </c:pt>
                <c:pt idx="3561">
                  <c:v>5.1061560000000006E-3</c:v>
                </c:pt>
                <c:pt idx="3562">
                  <c:v>5.0556000000000004E-3</c:v>
                </c:pt>
                <c:pt idx="3563">
                  <c:v>5.0534000000000004E-3</c:v>
                </c:pt>
                <c:pt idx="3564">
                  <c:v>5.0600000000000003E-3</c:v>
                </c:pt>
                <c:pt idx="3565">
                  <c:v>5.0600000000000003E-3</c:v>
                </c:pt>
                <c:pt idx="3566">
                  <c:v>5.0644000000000002E-3</c:v>
                </c:pt>
                <c:pt idx="3567">
                  <c:v>5.1083780000000002E-3</c:v>
                </c:pt>
                <c:pt idx="3568">
                  <c:v>5.0731999999999999E-3</c:v>
                </c:pt>
                <c:pt idx="3569">
                  <c:v>5.0617160000000008E-3</c:v>
                </c:pt>
                <c:pt idx="3570">
                  <c:v>5.0417180000000006E-3</c:v>
                </c:pt>
                <c:pt idx="3571">
                  <c:v>5.0483839999999995E-3</c:v>
                </c:pt>
                <c:pt idx="3572">
                  <c:v>5.0683819999999997E-3</c:v>
                </c:pt>
                <c:pt idx="3573">
                  <c:v>5.0270000000000002E-3</c:v>
                </c:pt>
                <c:pt idx="3574">
                  <c:v>5.0379999999999999E-3</c:v>
                </c:pt>
                <c:pt idx="3575">
                  <c:v>5.0379999999999999E-3</c:v>
                </c:pt>
                <c:pt idx="3576">
                  <c:v>5.0379999999999999E-3</c:v>
                </c:pt>
                <c:pt idx="3577">
                  <c:v>5.07727E-3</c:v>
                </c:pt>
                <c:pt idx="3578">
                  <c:v>5.031400000000001E-3</c:v>
                </c:pt>
                <c:pt idx="3579">
                  <c:v>5.0883800000000009E-3</c:v>
                </c:pt>
                <c:pt idx="3580">
                  <c:v>5.0839360000000007E-3</c:v>
                </c:pt>
                <c:pt idx="3581">
                  <c:v>5.0817140000000002E-3</c:v>
                </c:pt>
                <c:pt idx="3582">
                  <c:v>5.0817140000000002E-3</c:v>
                </c:pt>
                <c:pt idx="3583">
                  <c:v>5.0906020000000005E-3</c:v>
                </c:pt>
                <c:pt idx="3584">
                  <c:v>5.0928240000000001E-3</c:v>
                </c:pt>
                <c:pt idx="3585">
                  <c:v>5.0861579999999995E-3</c:v>
                </c:pt>
                <c:pt idx="3586">
                  <c:v>5.0861579999999995E-3</c:v>
                </c:pt>
                <c:pt idx="3587">
                  <c:v>5.0572719999999998E-3</c:v>
                </c:pt>
                <c:pt idx="3588">
                  <c:v>5.0461620000000007E-3</c:v>
                </c:pt>
                <c:pt idx="3589">
                  <c:v>5.1248746666666669E-3</c:v>
                </c:pt>
                <c:pt idx="3590">
                  <c:v>5.050606E-3</c:v>
                </c:pt>
                <c:pt idx="3591">
                  <c:v>5.0594940000000003E-3</c:v>
                </c:pt>
                <c:pt idx="3592">
                  <c:v>5.0461620000000007E-3</c:v>
                </c:pt>
                <c:pt idx="3593">
                  <c:v>5.0328300000000003E-3</c:v>
                </c:pt>
                <c:pt idx="3594">
                  <c:v>5.0239420000000009E-3</c:v>
                </c:pt>
                <c:pt idx="3595">
                  <c:v>5.0283860000000001E-3</c:v>
                </c:pt>
                <c:pt idx="3596">
                  <c:v>5.0283860000000001E-3</c:v>
                </c:pt>
                <c:pt idx="3597">
                  <c:v>5.0261640000000005E-3</c:v>
                </c:pt>
                <c:pt idx="3598">
                  <c:v>5.0283860000000001E-3</c:v>
                </c:pt>
                <c:pt idx="3599">
                  <c:v>5.0394960000000001E-3</c:v>
                </c:pt>
                <c:pt idx="3600">
                  <c:v>5.0417180000000006E-3</c:v>
                </c:pt>
                <c:pt idx="3601">
                  <c:v>5.0461620000000007E-3</c:v>
                </c:pt>
                <c:pt idx="3602">
                  <c:v>5.1203633333333342E-3</c:v>
                </c:pt>
                <c:pt idx="3603">
                  <c:v>5.0306080000000006E-3</c:v>
                </c:pt>
                <c:pt idx="3604">
                  <c:v>5.0372740000000004E-3</c:v>
                </c:pt>
                <c:pt idx="3605">
                  <c:v>5.0372740000000004E-3</c:v>
                </c:pt>
                <c:pt idx="3606">
                  <c:v>5.0461620000000007E-3</c:v>
                </c:pt>
                <c:pt idx="3607">
                  <c:v>5.0350519999999999E-3</c:v>
                </c:pt>
                <c:pt idx="3608">
                  <c:v>5.0328300000000003E-3</c:v>
                </c:pt>
                <c:pt idx="3609">
                  <c:v>5.0283860000000001E-3</c:v>
                </c:pt>
                <c:pt idx="3610">
                  <c:v>5.0306080000000006E-3</c:v>
                </c:pt>
                <c:pt idx="3611">
                  <c:v>5.0417180000000006E-3</c:v>
                </c:pt>
                <c:pt idx="3612">
                  <c:v>5.0550500000000002E-3</c:v>
                </c:pt>
                <c:pt idx="3613">
                  <c:v>5.050606E-3</c:v>
                </c:pt>
                <c:pt idx="3614">
                  <c:v>5.0049999999999999E-3</c:v>
                </c:pt>
                <c:pt idx="3615">
                  <c:v>5.0853000000000009E-3</c:v>
                </c:pt>
                <c:pt idx="3616">
                  <c:v>5.0763666666666677E-3</c:v>
                </c:pt>
                <c:pt idx="3617">
                  <c:v>5.122619000000001E-3</c:v>
                </c:pt>
                <c:pt idx="3618">
                  <c:v>5.1248746666666669E-3</c:v>
                </c:pt>
                <c:pt idx="3619">
                  <c:v>5.0853000000000009E-3</c:v>
                </c:pt>
                <c:pt idx="3620">
                  <c:v>5.0372740000000004E-3</c:v>
                </c:pt>
                <c:pt idx="3621">
                  <c:v>5.0217200000000004E-3</c:v>
                </c:pt>
                <c:pt idx="3622">
                  <c:v>5.0306080000000006E-3</c:v>
                </c:pt>
                <c:pt idx="3623">
                  <c:v>5.0283860000000001E-3</c:v>
                </c:pt>
                <c:pt idx="3624">
                  <c:v>5.0283860000000001E-3</c:v>
                </c:pt>
                <c:pt idx="3625">
                  <c:v>5.0283860000000001E-3</c:v>
                </c:pt>
                <c:pt idx="3626">
                  <c:v>5.0439400000000002E-3</c:v>
                </c:pt>
                <c:pt idx="3627">
                  <c:v>5.0572719999999998E-3</c:v>
                </c:pt>
                <c:pt idx="3628">
                  <c:v>5.0417180000000006E-3</c:v>
                </c:pt>
                <c:pt idx="3629">
                  <c:v>5.0594940000000003E-3</c:v>
                </c:pt>
                <c:pt idx="3630">
                  <c:v>5.0750480000000004E-3</c:v>
                </c:pt>
                <c:pt idx="3631">
                  <c:v>5.0817140000000002E-3</c:v>
                </c:pt>
                <c:pt idx="3632">
                  <c:v>5.0226000000000003E-3</c:v>
                </c:pt>
                <c:pt idx="3633">
                  <c:v>5.0986999999999994E-3</c:v>
                </c:pt>
                <c:pt idx="3634">
                  <c:v>5.0358000000000009E-3</c:v>
                </c:pt>
                <c:pt idx="3635">
                  <c:v>5.1165666666666675E-3</c:v>
                </c:pt>
                <c:pt idx="3636">
                  <c:v>5.0292000000000002E-3</c:v>
                </c:pt>
                <c:pt idx="3637">
                  <c:v>5.0248000000000003E-3</c:v>
                </c:pt>
                <c:pt idx="3638">
                  <c:v>5.0750480000000004E-3</c:v>
                </c:pt>
                <c:pt idx="3639">
                  <c:v>5.0661600000000001E-3</c:v>
                </c:pt>
                <c:pt idx="3640">
                  <c:v>5.0572719999999998E-3</c:v>
                </c:pt>
                <c:pt idx="3641">
                  <c:v>5.0594940000000003E-3</c:v>
                </c:pt>
                <c:pt idx="3642">
                  <c:v>5.0550500000000002E-3</c:v>
                </c:pt>
                <c:pt idx="3643">
                  <c:v>5.0728259999999999E-3</c:v>
                </c:pt>
                <c:pt idx="3644">
                  <c:v>5.0270000000000002E-3</c:v>
                </c:pt>
                <c:pt idx="3645">
                  <c:v>5.0270000000000002E-3</c:v>
                </c:pt>
                <c:pt idx="3646">
                  <c:v>5.0661600000000001E-3</c:v>
                </c:pt>
                <c:pt idx="3647">
                  <c:v>5.0661600000000001E-3</c:v>
                </c:pt>
                <c:pt idx="3648">
                  <c:v>5.0706040000000003E-3</c:v>
                </c:pt>
                <c:pt idx="3649">
                  <c:v>5.0683819999999997E-3</c:v>
                </c:pt>
                <c:pt idx="3650">
                  <c:v>5.0394960000000001E-3</c:v>
                </c:pt>
                <c:pt idx="3651">
                  <c:v>5.0439400000000002E-3</c:v>
                </c:pt>
                <c:pt idx="3652">
                  <c:v>5.0372740000000004E-3</c:v>
                </c:pt>
                <c:pt idx="3653">
                  <c:v>5.0172760000000002E-3</c:v>
                </c:pt>
                <c:pt idx="3654">
                  <c:v>5.0328300000000003E-3</c:v>
                </c:pt>
                <c:pt idx="3655">
                  <c:v>5.0461620000000007E-3</c:v>
                </c:pt>
                <c:pt idx="3656">
                  <c:v>5.0483839999999995E-3</c:v>
                </c:pt>
                <c:pt idx="3657">
                  <c:v>5.0217200000000004E-3</c:v>
                </c:pt>
                <c:pt idx="3658">
                  <c:v>5.0350519999999999E-3</c:v>
                </c:pt>
                <c:pt idx="3659">
                  <c:v>5.0461620000000007E-3</c:v>
                </c:pt>
                <c:pt idx="3660">
                  <c:v>5.050606E-3</c:v>
                </c:pt>
                <c:pt idx="3661">
                  <c:v>5.0528280000000005E-3</c:v>
                </c:pt>
                <c:pt idx="3662">
                  <c:v>5.0639380000000005E-3</c:v>
                </c:pt>
                <c:pt idx="3663">
                  <c:v>5.0683819999999997E-3</c:v>
                </c:pt>
                <c:pt idx="3664">
                  <c:v>5.0861579999999995E-3</c:v>
                </c:pt>
                <c:pt idx="3665">
                  <c:v>5.0750480000000004E-3</c:v>
                </c:pt>
                <c:pt idx="3666">
                  <c:v>5.0750480000000004E-3</c:v>
                </c:pt>
                <c:pt idx="3667">
                  <c:v>5.0883800000000009E-3</c:v>
                </c:pt>
                <c:pt idx="3668">
                  <c:v>5.1039340000000001E-3</c:v>
                </c:pt>
                <c:pt idx="3669">
                  <c:v>5.1039340000000001E-3</c:v>
                </c:pt>
                <c:pt idx="3670">
                  <c:v>5.0861579999999995E-3</c:v>
                </c:pt>
                <c:pt idx="3671">
                  <c:v>5.0639380000000005E-3</c:v>
                </c:pt>
                <c:pt idx="3672">
                  <c:v>5.0706040000000003E-3</c:v>
                </c:pt>
                <c:pt idx="3673">
                  <c:v>5.0750480000000004E-3</c:v>
                </c:pt>
                <c:pt idx="3674">
                  <c:v>5.0861579999999995E-3</c:v>
                </c:pt>
                <c:pt idx="3675">
                  <c:v>5.0594940000000003E-3</c:v>
                </c:pt>
                <c:pt idx="3676">
                  <c:v>5.0617160000000008E-3</c:v>
                </c:pt>
                <c:pt idx="3677">
                  <c:v>5.0639380000000005E-3</c:v>
                </c:pt>
                <c:pt idx="3678">
                  <c:v>5.1028560000000002E-3</c:v>
                </c:pt>
                <c:pt idx="3679">
                  <c:v>5.0983680000000007E-3</c:v>
                </c:pt>
                <c:pt idx="3680">
                  <c:v>5.0461620000000007E-3</c:v>
                </c:pt>
                <c:pt idx="3681">
                  <c:v>5.0550500000000002E-3</c:v>
                </c:pt>
                <c:pt idx="3682">
                  <c:v>5.0617160000000008E-3</c:v>
                </c:pt>
                <c:pt idx="3683">
                  <c:v>5.0594940000000003E-3</c:v>
                </c:pt>
                <c:pt idx="3684">
                  <c:v>5.0661600000000001E-3</c:v>
                </c:pt>
                <c:pt idx="3685">
                  <c:v>5.0794920000000006E-3</c:v>
                </c:pt>
                <c:pt idx="3686">
                  <c:v>5.0883800000000009E-3</c:v>
                </c:pt>
                <c:pt idx="3687">
                  <c:v>5.0401999999999999E-3</c:v>
                </c:pt>
                <c:pt idx="3688">
                  <c:v>5.0683819999999997E-3</c:v>
                </c:pt>
                <c:pt idx="3689">
                  <c:v>5.0750480000000004E-3</c:v>
                </c:pt>
                <c:pt idx="3690">
                  <c:v>4.9893999999999997E-3</c:v>
                </c:pt>
                <c:pt idx="3691">
                  <c:v>4.9872116666666664E-3</c:v>
                </c:pt>
                <c:pt idx="3692">
                  <c:v>5.0916360000000001E-3</c:v>
                </c:pt>
                <c:pt idx="3693">
                  <c:v>5.0078600000000003E-3</c:v>
                </c:pt>
                <c:pt idx="3694">
                  <c:v>5.0417180000000006E-3</c:v>
                </c:pt>
                <c:pt idx="3695">
                  <c:v>5.0871479999999997E-3</c:v>
                </c:pt>
                <c:pt idx="3696">
                  <c:v>5.0417180000000006E-3</c:v>
                </c:pt>
                <c:pt idx="3697">
                  <c:v>5.0893920000000007E-3</c:v>
                </c:pt>
                <c:pt idx="3698">
                  <c:v>5.0483839999999995E-3</c:v>
                </c:pt>
                <c:pt idx="3699">
                  <c:v>5.0594940000000003E-3</c:v>
                </c:pt>
                <c:pt idx="3700">
                  <c:v>5.1163199999999997E-3</c:v>
                </c:pt>
                <c:pt idx="3701">
                  <c:v>5.1118320000000002E-3</c:v>
                </c:pt>
                <c:pt idx="3702">
                  <c:v>5.0961240000000005E-3</c:v>
                </c:pt>
                <c:pt idx="3703">
                  <c:v>5.0759279999999995E-3</c:v>
                </c:pt>
                <c:pt idx="3704">
                  <c:v>5.0647080000000011E-3</c:v>
                </c:pt>
                <c:pt idx="3705">
                  <c:v>5.0602200000000007E-3</c:v>
                </c:pt>
                <c:pt idx="3706">
                  <c:v>5.0550500000000002E-3</c:v>
                </c:pt>
                <c:pt idx="3707">
                  <c:v>5.0639380000000005E-3</c:v>
                </c:pt>
                <c:pt idx="3708">
                  <c:v>5.0639380000000005E-3</c:v>
                </c:pt>
                <c:pt idx="3709">
                  <c:v>4.9828350000000006E-3</c:v>
                </c:pt>
                <c:pt idx="3710">
                  <c:v>5.0706040000000003E-3</c:v>
                </c:pt>
                <c:pt idx="3711">
                  <c:v>5.0025300000000007E-3</c:v>
                </c:pt>
                <c:pt idx="3712">
                  <c:v>5.0794920000000006E-3</c:v>
                </c:pt>
                <c:pt idx="3713">
                  <c:v>5.0861579999999995E-3</c:v>
                </c:pt>
                <c:pt idx="3714">
                  <c:v>5.0883800000000009E-3</c:v>
                </c:pt>
                <c:pt idx="3715">
                  <c:v>5.1039340000000001E-3</c:v>
                </c:pt>
                <c:pt idx="3716">
                  <c:v>5.1128220000000004E-3</c:v>
                </c:pt>
                <c:pt idx="3717">
                  <c:v>5.115044E-3</c:v>
                </c:pt>
                <c:pt idx="3718">
                  <c:v>5.1328199999999997E-3</c:v>
                </c:pt>
                <c:pt idx="3719">
                  <c:v>5.1172660000000005E-3</c:v>
                </c:pt>
                <c:pt idx="3720">
                  <c:v>5.0244133333333333E-3</c:v>
                </c:pt>
                <c:pt idx="3721">
                  <c:v>5.0287900000000009E-3</c:v>
                </c:pt>
                <c:pt idx="3722">
                  <c:v>5.0287900000000009E-3</c:v>
                </c:pt>
                <c:pt idx="3723">
                  <c:v>5.0874200000000005E-3</c:v>
                </c:pt>
                <c:pt idx="3724">
                  <c:v>5.0852099999999997E-3</c:v>
                </c:pt>
                <c:pt idx="3725">
                  <c:v>5.0918400000000003E-3</c:v>
                </c:pt>
                <c:pt idx="3726">
                  <c:v>5.0984699999999999E-3</c:v>
                </c:pt>
                <c:pt idx="3727">
                  <c:v>5.0918400000000003E-3</c:v>
                </c:pt>
                <c:pt idx="3728">
                  <c:v>5.0830000000000007E-3</c:v>
                </c:pt>
                <c:pt idx="3729">
                  <c:v>5.08079E-3</c:v>
                </c:pt>
                <c:pt idx="3730">
                  <c:v>5.0984699999999999E-3</c:v>
                </c:pt>
                <c:pt idx="3731">
                  <c:v>5.0594266666666669E-3</c:v>
                </c:pt>
                <c:pt idx="3732">
                  <c:v>5.0769333333333336E-3</c:v>
                </c:pt>
                <c:pt idx="3733">
                  <c:v>5.0834983333333337E-3</c:v>
                </c:pt>
                <c:pt idx="3734">
                  <c:v>5.0725566666666669E-3</c:v>
                </c:pt>
                <c:pt idx="3735">
                  <c:v>5.0725566666666669E-3</c:v>
                </c:pt>
                <c:pt idx="3736">
                  <c:v>5.0659916666666669E-3</c:v>
                </c:pt>
                <c:pt idx="3737">
                  <c:v>5.0528616666666677E-3</c:v>
                </c:pt>
                <c:pt idx="3738">
                  <c:v>5.0484850000000001E-3</c:v>
                </c:pt>
                <c:pt idx="3739">
                  <c:v>5.0484850000000001E-3</c:v>
                </c:pt>
                <c:pt idx="3740">
                  <c:v>5.0528616666666677E-3</c:v>
                </c:pt>
                <c:pt idx="3741">
                  <c:v>5.0594266666666669E-3</c:v>
                </c:pt>
                <c:pt idx="3742">
                  <c:v>5.0528616666666677E-3</c:v>
                </c:pt>
                <c:pt idx="3743">
                  <c:v>5.0594266666666669E-3</c:v>
                </c:pt>
                <c:pt idx="3744">
                  <c:v>5.0462966666666668E-3</c:v>
                </c:pt>
                <c:pt idx="3745">
                  <c:v>5.0004480000000002E-3</c:v>
                </c:pt>
                <c:pt idx="3746">
                  <c:v>4.9873920000000002E-3</c:v>
                </c:pt>
                <c:pt idx="3747">
                  <c:v>5.0830000000000007E-3</c:v>
                </c:pt>
                <c:pt idx="3748">
                  <c:v>5.0462966666666668E-3</c:v>
                </c:pt>
                <c:pt idx="3749">
                  <c:v>5.1117300000000001E-3</c:v>
                </c:pt>
                <c:pt idx="3750">
                  <c:v>5.1183600000000006E-3</c:v>
                </c:pt>
                <c:pt idx="3751">
                  <c:v>5.0178560000000002E-3</c:v>
                </c:pt>
                <c:pt idx="3752">
                  <c:v>5.0287360000000007E-3</c:v>
                </c:pt>
                <c:pt idx="3753">
                  <c:v>5.0362880000000007E-3</c:v>
                </c:pt>
                <c:pt idx="3754">
                  <c:v>5.0222080000000002E-3</c:v>
                </c:pt>
                <c:pt idx="3755">
                  <c:v>5.0548479999999998E-3</c:v>
                </c:pt>
                <c:pt idx="3756">
                  <c:v>5.0868266666666672E-3</c:v>
                </c:pt>
                <c:pt idx="3757">
                  <c:v>5.1117300000000001E-3</c:v>
                </c:pt>
                <c:pt idx="3758">
                  <c:v>5.1117300000000001E-3</c:v>
                </c:pt>
                <c:pt idx="3759">
                  <c:v>5.1249900000000003E-3</c:v>
                </c:pt>
                <c:pt idx="3760">
                  <c:v>5.1316200000000008E-3</c:v>
                </c:pt>
                <c:pt idx="3761">
                  <c:v>5.12941E-3</c:v>
                </c:pt>
                <c:pt idx="3762">
                  <c:v>5.1095200000000002E-3</c:v>
                </c:pt>
                <c:pt idx="3763">
                  <c:v>5.0940500000000001E-3</c:v>
                </c:pt>
                <c:pt idx="3764">
                  <c:v>5.1006800000000007E-3</c:v>
                </c:pt>
                <c:pt idx="3765">
                  <c:v>5.0506733333333335E-3</c:v>
                </c:pt>
                <c:pt idx="3766">
                  <c:v>5.0616150000000002E-3</c:v>
                </c:pt>
                <c:pt idx="3767">
                  <c:v>5.1051000000000004E-3</c:v>
                </c:pt>
                <c:pt idx="3768">
                  <c:v>5.0331666666666667E-3</c:v>
                </c:pt>
                <c:pt idx="3769">
                  <c:v>5.0506733333333335E-3</c:v>
                </c:pt>
                <c:pt idx="3770">
                  <c:v>5.0266016666666675E-3</c:v>
                </c:pt>
                <c:pt idx="3771">
                  <c:v>5.0266016666666675E-3</c:v>
                </c:pt>
                <c:pt idx="3772">
                  <c:v>5.035355E-3</c:v>
                </c:pt>
                <c:pt idx="3773">
                  <c:v>5.0178483333333341E-3</c:v>
                </c:pt>
                <c:pt idx="3774">
                  <c:v>5.0156599999999999E-3</c:v>
                </c:pt>
                <c:pt idx="3775">
                  <c:v>5.0331666666666667E-3</c:v>
                </c:pt>
                <c:pt idx="3776">
                  <c:v>5.0375433333333334E-3</c:v>
                </c:pt>
                <c:pt idx="3777">
                  <c:v>5.0653199999999999E-3</c:v>
                </c:pt>
                <c:pt idx="3778">
                  <c:v>5.0244133333333333E-3</c:v>
                </c:pt>
                <c:pt idx="3779">
                  <c:v>5.0830000000000007E-3</c:v>
                </c:pt>
                <c:pt idx="3780">
                  <c:v>5.0984699999999999E-3</c:v>
                </c:pt>
                <c:pt idx="3781">
                  <c:v>5.0741600000000003E-3</c:v>
                </c:pt>
                <c:pt idx="3782">
                  <c:v>4.9982720000000007E-3</c:v>
                </c:pt>
                <c:pt idx="3783">
                  <c:v>5.0852099999999997E-3</c:v>
                </c:pt>
                <c:pt idx="3784">
                  <c:v>5.0785800000000001E-3</c:v>
                </c:pt>
                <c:pt idx="3785">
                  <c:v>5.0940500000000001E-3</c:v>
                </c:pt>
                <c:pt idx="3786">
                  <c:v>5.0896300000000004E-3</c:v>
                </c:pt>
                <c:pt idx="3787">
                  <c:v>5.0852099999999997E-3</c:v>
                </c:pt>
                <c:pt idx="3788">
                  <c:v>5.0346400000000008E-3</c:v>
                </c:pt>
                <c:pt idx="3789">
                  <c:v>4.9879466666666664E-3</c:v>
                </c:pt>
                <c:pt idx="3790">
                  <c:v>5.168540000000001E-3</c:v>
                </c:pt>
                <c:pt idx="3791">
                  <c:v>5.1249900000000003E-3</c:v>
                </c:pt>
                <c:pt idx="3792">
                  <c:v>5.1183600000000006E-3</c:v>
                </c:pt>
                <c:pt idx="3793">
                  <c:v>5.5663444999999999E-2</c:v>
                </c:pt>
                <c:pt idx="3794">
                  <c:v>5.3957325333333334E-2</c:v>
                </c:pt>
                <c:pt idx="3795">
                  <c:v>5.5160470666666669E-2</c:v>
                </c:pt>
                <c:pt idx="3796">
                  <c:v>5.5963600000000009E-2</c:v>
                </c:pt>
                <c:pt idx="3797">
                  <c:v>5.9794691000000004E-2</c:v>
                </c:pt>
                <c:pt idx="3798">
                  <c:v>5.5152658000000007E-2</c:v>
                </c:pt>
                <c:pt idx="3799">
                  <c:v>5.2766784000000004E-2</c:v>
                </c:pt>
                <c:pt idx="3800">
                  <c:v>5.2929624000000002E-2</c:v>
                </c:pt>
                <c:pt idx="3801">
                  <c:v>5.2790152E-2</c:v>
                </c:pt>
                <c:pt idx="3802">
                  <c:v>5.1818815999999997E-2</c:v>
                </c:pt>
                <c:pt idx="3803">
                  <c:v>5.2256736000000005E-2</c:v>
                </c:pt>
                <c:pt idx="3804">
                  <c:v>5.2254282666666665E-2</c:v>
                </c:pt>
                <c:pt idx="3805">
                  <c:v>5.1697099999999996E-2</c:v>
                </c:pt>
                <c:pt idx="3806">
                  <c:v>5.1108633333333334E-2</c:v>
                </c:pt>
                <c:pt idx="3807">
                  <c:v>5.0974560000000002E-2</c:v>
                </c:pt>
                <c:pt idx="3808">
                  <c:v>5.1007198666666663E-2</c:v>
                </c:pt>
                <c:pt idx="3809">
                  <c:v>5.1001404999999993E-2</c:v>
                </c:pt>
                <c:pt idx="3810">
                  <c:v>5.3695524000000001E-2</c:v>
                </c:pt>
                <c:pt idx="3811">
                  <c:v>5.7714807999999999E-2</c:v>
                </c:pt>
                <c:pt idx="3812">
                  <c:v>5.8247264000000007E-2</c:v>
                </c:pt>
                <c:pt idx="3813">
                  <c:v>5.2947502666666674E-2</c:v>
                </c:pt>
                <c:pt idx="3814">
                  <c:v>5.2010819999999992E-2</c:v>
                </c:pt>
                <c:pt idx="3815">
                  <c:v>5.1498625333333339E-2</c:v>
                </c:pt>
                <c:pt idx="3816">
                  <c:v>5.1528832000000004E-2</c:v>
                </c:pt>
                <c:pt idx="3817">
                  <c:v>5.1749907999999997E-2</c:v>
                </c:pt>
                <c:pt idx="3818">
                  <c:v>5.1357589333333335E-2</c:v>
                </c:pt>
                <c:pt idx="3819">
                  <c:v>5.1471056000000008E-2</c:v>
                </c:pt>
                <c:pt idx="3820">
                  <c:v>5.2696956000000003E-2</c:v>
                </c:pt>
                <c:pt idx="3821">
                  <c:v>5.1870060000000009E-2</c:v>
                </c:pt>
                <c:pt idx="3822">
                  <c:v>5.2347816000000005E-2</c:v>
                </c:pt>
                <c:pt idx="3823">
                  <c:v>5.2452573333333335E-2</c:v>
                </c:pt>
                <c:pt idx="3824">
                  <c:v>5.2153695999999999E-2</c:v>
                </c:pt>
                <c:pt idx="3825">
                  <c:v>5.1699062666666663E-2</c:v>
                </c:pt>
                <c:pt idx="3826">
                  <c:v>5.1762205333333339E-2</c:v>
                </c:pt>
                <c:pt idx="3827">
                  <c:v>5.2057739999999998E-2</c:v>
                </c:pt>
                <c:pt idx="3828">
                  <c:v>5.2297338666666672E-2</c:v>
                </c:pt>
                <c:pt idx="3829">
                  <c:v>5.6639765000000002E-2</c:v>
                </c:pt>
                <c:pt idx="3830">
                  <c:v>5.5320477333333333E-2</c:v>
                </c:pt>
                <c:pt idx="3831">
                  <c:v>5.4149040000000009E-2</c:v>
                </c:pt>
                <c:pt idx="3832">
                  <c:v>5.4544950000000002E-2</c:v>
                </c:pt>
                <c:pt idx="3833">
                  <c:v>5.269248E-2</c:v>
                </c:pt>
                <c:pt idx="3834">
                  <c:v>5.5116880000000007E-2</c:v>
                </c:pt>
                <c:pt idx="3835">
                  <c:v>5.4483064999999997E-2</c:v>
                </c:pt>
                <c:pt idx="3836">
                  <c:v>5.4095219999999999E-2</c:v>
                </c:pt>
                <c:pt idx="3837">
                  <c:v>5.3479440000000003E-2</c:v>
                </c:pt>
                <c:pt idx="3838">
                  <c:v>5.3202755666666671E-2</c:v>
                </c:pt>
                <c:pt idx="3839">
                  <c:v>5.312677066666667E-2</c:v>
                </c:pt>
                <c:pt idx="3840">
                  <c:v>5.4043929333333338E-2</c:v>
                </c:pt>
                <c:pt idx="3841">
                  <c:v>5.3682295333333331E-2</c:v>
                </c:pt>
                <c:pt idx="3842">
                  <c:v>5.4760827333333331E-2</c:v>
                </c:pt>
                <c:pt idx="3843">
                  <c:v>5.7392544000000004E-2</c:v>
                </c:pt>
                <c:pt idx="3844">
                  <c:v>5.5980469999999997E-2</c:v>
                </c:pt>
                <c:pt idx="3845">
                  <c:v>5.5821630666666663E-2</c:v>
                </c:pt>
                <c:pt idx="3846">
                  <c:v>5.6364886666666676E-2</c:v>
                </c:pt>
                <c:pt idx="3847">
                  <c:v>5.6311842666666674E-2</c:v>
                </c:pt>
                <c:pt idx="3848">
                  <c:v>5.5231887E-2</c:v>
                </c:pt>
                <c:pt idx="3849">
                  <c:v>5.2739100000000004E-2</c:v>
                </c:pt>
                <c:pt idx="3850">
                  <c:v>5.4576340000000001E-2</c:v>
                </c:pt>
                <c:pt idx="3851">
                  <c:v>5.4732253333333342E-2</c:v>
                </c:pt>
                <c:pt idx="3852">
                  <c:v>5.3211600000000005E-2</c:v>
                </c:pt>
                <c:pt idx="3853">
                  <c:v>5.2927450333333341E-2</c:v>
                </c:pt>
                <c:pt idx="3854">
                  <c:v>5.2584228666666677E-2</c:v>
                </c:pt>
                <c:pt idx="3855">
                  <c:v>5.2353756000000008E-2</c:v>
                </c:pt>
                <c:pt idx="3856">
                  <c:v>5.0976380000000002E-2</c:v>
                </c:pt>
                <c:pt idx="3857">
                  <c:v>5.0838606000000001E-2</c:v>
                </c:pt>
                <c:pt idx="3858">
                  <c:v>5.0842973999999999E-2</c:v>
                </c:pt>
                <c:pt idx="3859">
                  <c:v>5.1274496000000003E-2</c:v>
                </c:pt>
                <c:pt idx="3860">
                  <c:v>5.1498568333333335E-2</c:v>
                </c:pt>
                <c:pt idx="3861">
                  <c:v>5.1299187333333336E-2</c:v>
                </c:pt>
                <c:pt idx="3862">
                  <c:v>5.2377173333333339E-2</c:v>
                </c:pt>
                <c:pt idx="3863">
                  <c:v>5.1551500000000007E-2</c:v>
                </c:pt>
                <c:pt idx="3864">
                  <c:v>5.0736139999999999E-2</c:v>
                </c:pt>
                <c:pt idx="3865">
                  <c:v>5.0749335E-2</c:v>
                </c:pt>
                <c:pt idx="3866">
                  <c:v>5.0884409333333339E-2</c:v>
                </c:pt>
                <c:pt idx="3867">
                  <c:v>5.0914864000000011E-2</c:v>
                </c:pt>
                <c:pt idx="3868">
                  <c:v>5.0778758333333333E-2</c:v>
                </c:pt>
                <c:pt idx="3869">
                  <c:v>5.1246832000000006E-2</c:v>
                </c:pt>
                <c:pt idx="3870">
                  <c:v>5.106252666666667E-2</c:v>
                </c:pt>
                <c:pt idx="3871">
                  <c:v>5.1002588000000008E-2</c:v>
                </c:pt>
                <c:pt idx="3872">
                  <c:v>5.0852498666666662E-2</c:v>
                </c:pt>
                <c:pt idx="3873">
                  <c:v>5.0827686000000004E-2</c:v>
                </c:pt>
                <c:pt idx="3874">
                  <c:v>5.0963822000000006E-2</c:v>
                </c:pt>
                <c:pt idx="3875">
                  <c:v>5.0899485000000001E-2</c:v>
                </c:pt>
                <c:pt idx="3876">
                  <c:v>5.0572431000000008E-2</c:v>
                </c:pt>
                <c:pt idx="3877">
                  <c:v>5.0607587333333343E-2</c:v>
                </c:pt>
                <c:pt idx="3878">
                  <c:v>5.0447488000000006E-2</c:v>
                </c:pt>
                <c:pt idx="3879">
                  <c:v>5.0491896000000001E-2</c:v>
                </c:pt>
                <c:pt idx="3880">
                  <c:v>5.077769666666667E-2</c:v>
                </c:pt>
                <c:pt idx="3881">
                  <c:v>5.1334527999999997E-2</c:v>
                </c:pt>
                <c:pt idx="3882">
                  <c:v>5.1266999999999993E-2</c:v>
                </c:pt>
                <c:pt idx="3883">
                  <c:v>5.1015594666666671E-2</c:v>
                </c:pt>
                <c:pt idx="3884">
                  <c:v>5.1439960000000007E-2</c:v>
                </c:pt>
                <c:pt idx="3885">
                  <c:v>5.1534903999999999E-2</c:v>
                </c:pt>
                <c:pt idx="3886">
                  <c:v>5.0896362666666667E-2</c:v>
                </c:pt>
                <c:pt idx="3887">
                  <c:v>5.1211554666666666E-2</c:v>
                </c:pt>
                <c:pt idx="3888">
                  <c:v>5.1027984000000005E-2</c:v>
                </c:pt>
                <c:pt idx="3889">
                  <c:v>5.0987136000000002E-2</c:v>
                </c:pt>
                <c:pt idx="3890">
                  <c:v>5.0791053333333336E-2</c:v>
                </c:pt>
                <c:pt idx="3891">
                  <c:v>5.0908200000000008E-2</c:v>
                </c:pt>
                <c:pt idx="3892">
                  <c:v>5.0918872000000004E-2</c:v>
                </c:pt>
                <c:pt idx="3893">
                  <c:v>5.1000261333333338E-2</c:v>
                </c:pt>
                <c:pt idx="3894">
                  <c:v>5.1302450666666673E-2</c:v>
                </c:pt>
                <c:pt idx="3895">
                  <c:v>5.1192020000000005E-2</c:v>
                </c:pt>
                <c:pt idx="3896">
                  <c:v>5.1075145333333336E-2</c:v>
                </c:pt>
                <c:pt idx="3897">
                  <c:v>5.1081029999999999E-2</c:v>
                </c:pt>
                <c:pt idx="3898">
                  <c:v>5.0910404999999999E-2</c:v>
                </c:pt>
                <c:pt idx="3899">
                  <c:v>5.0705745999999996E-2</c:v>
                </c:pt>
                <c:pt idx="3900">
                  <c:v>5.3578653333333337E-2</c:v>
                </c:pt>
                <c:pt idx="3901">
                  <c:v>5.1619082666666663E-2</c:v>
                </c:pt>
                <c:pt idx="3902">
                  <c:v>5.4559260000000005E-2</c:v>
                </c:pt>
                <c:pt idx="3903">
                  <c:v>5.4112080000000007E-2</c:v>
                </c:pt>
                <c:pt idx="3904">
                  <c:v>5.4128528999999995E-2</c:v>
                </c:pt>
                <c:pt idx="3905">
                  <c:v>5.2990830000000003E-2</c:v>
                </c:pt>
                <c:pt idx="3906">
                  <c:v>5.4217410000000008E-2</c:v>
                </c:pt>
                <c:pt idx="3907">
                  <c:v>5.3291541333333338E-2</c:v>
                </c:pt>
                <c:pt idx="3908">
                  <c:v>5.3240096000000008E-2</c:v>
                </c:pt>
                <c:pt idx="3909">
                  <c:v>5.3166749999999999E-2</c:v>
                </c:pt>
                <c:pt idx="3910">
                  <c:v>5.3891018999999998E-2</c:v>
                </c:pt>
                <c:pt idx="3911">
                  <c:v>5.3275586000000007E-2</c:v>
                </c:pt>
                <c:pt idx="3912">
                  <c:v>5.2176396999999999E-2</c:v>
                </c:pt>
                <c:pt idx="3913">
                  <c:v>5.3511003000000001E-2</c:v>
                </c:pt>
                <c:pt idx="3914">
                  <c:v>5.4033737333333332E-2</c:v>
                </c:pt>
                <c:pt idx="3915">
                  <c:v>5.3350630666666669E-2</c:v>
                </c:pt>
                <c:pt idx="3916">
                  <c:v>5.2602368000000004E-2</c:v>
                </c:pt>
                <c:pt idx="3917">
                  <c:v>5.8486227799999992E-2</c:v>
                </c:pt>
                <c:pt idx="3918">
                  <c:v>5.8532473999999994E-2</c:v>
                </c:pt>
                <c:pt idx="3919">
                  <c:v>5.9698790800000005E-2</c:v>
                </c:pt>
                <c:pt idx="3920">
                  <c:v>5.8093535499999994E-2</c:v>
                </c:pt>
                <c:pt idx="3921">
                  <c:v>6.0344952800000004E-2</c:v>
                </c:pt>
                <c:pt idx="3922">
                  <c:v>5.9536310166666669E-2</c:v>
                </c:pt>
                <c:pt idx="3923">
                  <c:v>6.1556046933333344E-2</c:v>
                </c:pt>
                <c:pt idx="3924">
                  <c:v>6.0881919999999992E-2</c:v>
                </c:pt>
                <c:pt idx="3925">
                  <c:v>6.1371053333333328E-2</c:v>
                </c:pt>
                <c:pt idx="3926">
                  <c:v>5.9776516799999999E-2</c:v>
                </c:pt>
                <c:pt idx="3927">
                  <c:v>6.1630799999999993E-2</c:v>
                </c:pt>
                <c:pt idx="3928">
                  <c:v>6.0389548266666669E-2</c:v>
                </c:pt>
                <c:pt idx="3929">
                  <c:v>5.7606348799999998E-2</c:v>
                </c:pt>
                <c:pt idx="3930">
                  <c:v>5.7428971600000003E-2</c:v>
                </c:pt>
                <c:pt idx="3931">
                  <c:v>5.7253696499999999E-2</c:v>
                </c:pt>
                <c:pt idx="3932">
                  <c:v>5.7224233733333338E-2</c:v>
                </c:pt>
                <c:pt idx="3933">
                  <c:v>5.7133609866666671E-2</c:v>
                </c:pt>
                <c:pt idx="3934">
                  <c:v>5.7510786666666668E-2</c:v>
                </c:pt>
                <c:pt idx="3935">
                  <c:v>5.7354096800000004E-2</c:v>
                </c:pt>
                <c:pt idx="3936">
                  <c:v>5.8112454399999992E-2</c:v>
                </c:pt>
                <c:pt idx="3937">
                  <c:v>5.7843185399999997E-2</c:v>
                </c:pt>
                <c:pt idx="3938">
                  <c:v>5.7640082499999995E-2</c:v>
                </c:pt>
                <c:pt idx="3939">
                  <c:v>6.0264195199999995E-2</c:v>
                </c:pt>
                <c:pt idx="3940">
                  <c:v>5.8396604933333325E-2</c:v>
                </c:pt>
                <c:pt idx="3941">
                  <c:v>6.0601258666666664E-2</c:v>
                </c:pt>
                <c:pt idx="3942">
                  <c:v>5.9497438E-2</c:v>
                </c:pt>
                <c:pt idx="3943">
                  <c:v>6.0215155000000006E-2</c:v>
                </c:pt>
                <c:pt idx="3944">
                  <c:v>5.8471446366666659E-2</c:v>
                </c:pt>
                <c:pt idx="3945">
                  <c:v>5.7660803199999992E-2</c:v>
                </c:pt>
                <c:pt idx="3946">
                  <c:v>5.9500682999999992E-2</c:v>
                </c:pt>
                <c:pt idx="3947">
                  <c:v>5.9051915999999996E-2</c:v>
                </c:pt>
                <c:pt idx="3948">
                  <c:v>5.6871161600000011E-2</c:v>
                </c:pt>
                <c:pt idx="3949">
                  <c:v>5.8626509333333333E-2</c:v>
                </c:pt>
                <c:pt idx="3950">
                  <c:v>6.2795763800000001E-2</c:v>
                </c:pt>
                <c:pt idx="3951">
                  <c:v>6.4267622099999991E-2</c:v>
                </c:pt>
                <c:pt idx="3952">
                  <c:v>6.0921832400000007E-2</c:v>
                </c:pt>
                <c:pt idx="3953">
                  <c:v>5.7812928799999996E-2</c:v>
                </c:pt>
                <c:pt idx="3954">
                  <c:v>5.9100040999999992E-2</c:v>
                </c:pt>
                <c:pt idx="3955">
                  <c:v>6.0164676E-2</c:v>
                </c:pt>
                <c:pt idx="3956">
                  <c:v>5.9936476600000003E-2</c:v>
                </c:pt>
                <c:pt idx="3957">
                  <c:v>6.0600706833333323E-2</c:v>
                </c:pt>
                <c:pt idx="3958">
                  <c:v>6.0108348300000003E-2</c:v>
                </c:pt>
                <c:pt idx="3959">
                  <c:v>6.1206745600000001E-2</c:v>
                </c:pt>
                <c:pt idx="3960">
                  <c:v>5.9563704200000005E-2</c:v>
                </c:pt>
                <c:pt idx="3961">
                  <c:v>5.9595469266666673E-2</c:v>
                </c:pt>
                <c:pt idx="3962">
                  <c:v>5.9123364300000002E-2</c:v>
                </c:pt>
                <c:pt idx="3963">
                  <c:v>6.0067207200000007E-2</c:v>
                </c:pt>
                <c:pt idx="3964">
                  <c:v>5.9033274300000008E-2</c:v>
                </c:pt>
                <c:pt idx="3965">
                  <c:v>6.0642882299999999E-2</c:v>
                </c:pt>
                <c:pt idx="3966">
                  <c:v>5.8532473999999994E-2</c:v>
                </c:pt>
                <c:pt idx="3967">
                  <c:v>5.8467575833333334E-2</c:v>
                </c:pt>
                <c:pt idx="3968">
                  <c:v>5.8922864000000012E-2</c:v>
                </c:pt>
                <c:pt idx="3969">
                  <c:v>5.8402344000000002E-2</c:v>
                </c:pt>
                <c:pt idx="3970">
                  <c:v>5.8792733999999999E-2</c:v>
                </c:pt>
                <c:pt idx="3971">
                  <c:v>5.8244519666666668E-2</c:v>
                </c:pt>
                <c:pt idx="3972">
                  <c:v>5.8018627333333336E-2</c:v>
                </c:pt>
                <c:pt idx="3973">
                  <c:v>5.8244519666666668E-2</c:v>
                </c:pt>
                <c:pt idx="3974">
                  <c:v>5.8237178999999993E-2</c:v>
                </c:pt>
                <c:pt idx="3975">
                  <c:v>5.65388208E-2</c:v>
                </c:pt>
                <c:pt idx="3976">
                  <c:v>5.9972912999999996E-2</c:v>
                </c:pt>
                <c:pt idx="3977">
                  <c:v>5.9624564999999997E-2</c:v>
                </c:pt>
                <c:pt idx="3978">
                  <c:v>5.7912855000000006E-2</c:v>
                </c:pt>
                <c:pt idx="3979">
                  <c:v>5.7704346699999999E-2</c:v>
                </c:pt>
                <c:pt idx="3980">
                  <c:v>5.7958767533333337E-2</c:v>
                </c:pt>
                <c:pt idx="3981">
                  <c:v>5.8064673333333337E-2</c:v>
                </c:pt>
                <c:pt idx="3982">
                  <c:v>5.7973348766666676E-2</c:v>
                </c:pt>
                <c:pt idx="3983">
                  <c:v>5.7175469999999999E-2</c:v>
                </c:pt>
                <c:pt idx="3984">
                  <c:v>5.6011366399999998E-2</c:v>
                </c:pt>
                <c:pt idx="3985">
                  <c:v>5.6187454399999989E-2</c:v>
                </c:pt>
                <c:pt idx="3986">
                  <c:v>5.60142E-2</c:v>
                </c:pt>
                <c:pt idx="3987">
                  <c:v>5.60142E-2</c:v>
                </c:pt>
                <c:pt idx="3988">
                  <c:v>5.5988899999999994E-2</c:v>
                </c:pt>
                <c:pt idx="3989">
                  <c:v>5.6038218133333331E-2</c:v>
                </c:pt>
                <c:pt idx="3990">
                  <c:v>5.5931418400000002E-2</c:v>
                </c:pt>
                <c:pt idx="3991">
                  <c:v>5.6142926400000001E-2</c:v>
                </c:pt>
                <c:pt idx="3992">
                  <c:v>5.6344112000000002E-2</c:v>
                </c:pt>
                <c:pt idx="3993">
                  <c:v>5.6545904799999998E-2</c:v>
                </c:pt>
                <c:pt idx="3994">
                  <c:v>6.4659738000000008E-2</c:v>
                </c:pt>
                <c:pt idx="3995">
                  <c:v>6.577225049999999E-2</c:v>
                </c:pt>
                <c:pt idx="3996">
                  <c:v>6.6067085333333331E-2</c:v>
                </c:pt>
                <c:pt idx="3997">
                  <c:v>6.5812031999999993E-2</c:v>
                </c:pt>
                <c:pt idx="3998">
                  <c:v>6.6309489400000005E-2</c:v>
                </c:pt>
                <c:pt idx="3999">
                  <c:v>6.6007457999999991E-2</c:v>
                </c:pt>
                <c:pt idx="4000">
                  <c:v>6.587483026666667E-2</c:v>
                </c:pt>
                <c:pt idx="4001">
                  <c:v>6.607680493333333E-2</c:v>
                </c:pt>
                <c:pt idx="4002">
                  <c:v>6.6528869733333329E-2</c:v>
                </c:pt>
                <c:pt idx="4003">
                  <c:v>6.6454766400000004E-2</c:v>
                </c:pt>
                <c:pt idx="4004">
                  <c:v>6.6418989999999997E-2</c:v>
                </c:pt>
                <c:pt idx="4005">
                  <c:v>6.6235765200000005E-2</c:v>
                </c:pt>
                <c:pt idx="4006">
                  <c:v>6.5805517800000005E-2</c:v>
                </c:pt>
                <c:pt idx="4007">
                  <c:v>6.5346111599999993E-2</c:v>
                </c:pt>
                <c:pt idx="4008">
                  <c:v>6.6165108533333336E-2</c:v>
                </c:pt>
                <c:pt idx="4009">
                  <c:v>6.5621155599999995E-2</c:v>
                </c:pt>
                <c:pt idx="4010">
                  <c:v>5.9604310699999996E-2</c:v>
                </c:pt>
                <c:pt idx="4011">
                  <c:v>5.5866448000000006E-2</c:v>
                </c:pt>
                <c:pt idx="4012">
                  <c:v>5.5730232800000001E-2</c:v>
                </c:pt>
                <c:pt idx="4013">
                  <c:v>5.6117997466666673E-2</c:v>
                </c:pt>
                <c:pt idx="4014">
                  <c:v>5.5865739600000006E-2</c:v>
                </c:pt>
                <c:pt idx="4015">
                  <c:v>5.6243721599999998E-2</c:v>
                </c:pt>
                <c:pt idx="4016">
                  <c:v>5.6017742000000002E-2</c:v>
                </c:pt>
                <c:pt idx="4017">
                  <c:v>5.6009645999999996E-2</c:v>
                </c:pt>
                <c:pt idx="4018">
                  <c:v>5.5591656266666664E-2</c:v>
                </c:pt>
                <c:pt idx="4019">
                  <c:v>5.5392022400000004E-2</c:v>
                </c:pt>
                <c:pt idx="4020">
                  <c:v>5.4866423333333338E-2</c:v>
                </c:pt>
                <c:pt idx="4021">
                  <c:v>5.4997646000000004E-2</c:v>
                </c:pt>
                <c:pt idx="4022">
                  <c:v>5.5073343600000005E-2</c:v>
                </c:pt>
                <c:pt idx="4023">
                  <c:v>5.4927177066666659E-2</c:v>
                </c:pt>
                <c:pt idx="4024">
                  <c:v>5.4809515199999992E-2</c:v>
                </c:pt>
                <c:pt idx="4025">
                  <c:v>5.5066833066666675E-2</c:v>
                </c:pt>
                <c:pt idx="4026">
                  <c:v>5.4862274133333326E-2</c:v>
                </c:pt>
                <c:pt idx="4027">
                  <c:v>5.4931967200000001E-2</c:v>
                </c:pt>
                <c:pt idx="4028">
                  <c:v>5.4980947999999995E-2</c:v>
                </c:pt>
                <c:pt idx="4029">
                  <c:v>5.5029928800000009E-2</c:v>
                </c:pt>
                <c:pt idx="4030">
                  <c:v>5.4914493333333328E-2</c:v>
                </c:pt>
                <c:pt idx="4031">
                  <c:v>5.5083294933333339E-2</c:v>
                </c:pt>
                <c:pt idx="4032">
                  <c:v>5.5262553866666668E-2</c:v>
                </c:pt>
                <c:pt idx="4033">
                  <c:v>5.5226965200000006E-2</c:v>
                </c:pt>
                <c:pt idx="4034">
                  <c:v>5.521384293333334E-2</c:v>
                </c:pt>
                <c:pt idx="4035">
                  <c:v>5.5607375999999993E-2</c:v>
                </c:pt>
                <c:pt idx="4036">
                  <c:v>5.557168613333334E-2</c:v>
                </c:pt>
                <c:pt idx="4037">
                  <c:v>5.5056679333333337E-2</c:v>
                </c:pt>
                <c:pt idx="4038">
                  <c:v>5.5158958799999998E-2</c:v>
                </c:pt>
                <c:pt idx="4039">
                  <c:v>5.5058737066666669E-2</c:v>
                </c:pt>
                <c:pt idx="4040">
                  <c:v>5.5085183999999995E-2</c:v>
                </c:pt>
                <c:pt idx="4041">
                  <c:v>5.5037619999999995E-2</c:v>
                </c:pt>
                <c:pt idx="4042">
                  <c:v>5.4943504000000004E-2</c:v>
                </c:pt>
                <c:pt idx="4043">
                  <c:v>5.494377386666667E-2</c:v>
                </c:pt>
                <c:pt idx="4044">
                  <c:v>5.4813158399999992E-2</c:v>
                </c:pt>
                <c:pt idx="4045">
                  <c:v>5.5217418666666671E-2</c:v>
                </c:pt>
                <c:pt idx="4046">
                  <c:v>5.4894118400000004E-2</c:v>
                </c:pt>
                <c:pt idx="4047">
                  <c:v>5.4892094400000001E-2</c:v>
                </c:pt>
                <c:pt idx="4048">
                  <c:v>5.4913548800000003E-2</c:v>
                </c:pt>
                <c:pt idx="4049">
                  <c:v>5.4761175333333335E-2</c:v>
                </c:pt>
                <c:pt idx="4050">
                  <c:v>5.462843466666667E-2</c:v>
                </c:pt>
                <c:pt idx="4051">
                  <c:v>5.482779866666667E-2</c:v>
                </c:pt>
                <c:pt idx="4052">
                  <c:v>5.4963743999999995E-2</c:v>
                </c:pt>
                <c:pt idx="4053">
                  <c:v>5.5323813600000001E-2</c:v>
                </c:pt>
                <c:pt idx="4054">
                  <c:v>5.51683704E-2</c:v>
                </c:pt>
                <c:pt idx="4055">
                  <c:v>5.5203824133333336E-2</c:v>
                </c:pt>
                <c:pt idx="4056">
                  <c:v>5.4956457600000001E-2</c:v>
                </c:pt>
                <c:pt idx="4057">
                  <c:v>5.4939118666666668E-2</c:v>
                </c:pt>
                <c:pt idx="4058">
                  <c:v>5.4889867999999994E-2</c:v>
                </c:pt>
                <c:pt idx="4059">
                  <c:v>5.4866423333333338E-2</c:v>
                </c:pt>
                <c:pt idx="4060">
                  <c:v>5.4840617333333341E-2</c:v>
                </c:pt>
                <c:pt idx="4061">
                  <c:v>5.5092268000000007E-2</c:v>
                </c:pt>
                <c:pt idx="4062">
                  <c:v>5.7981123199999998E-2</c:v>
                </c:pt>
                <c:pt idx="4063">
                  <c:v>5.8584893033333335E-2</c:v>
                </c:pt>
                <c:pt idx="4064">
                  <c:v>5.8217359200000006E-2</c:v>
                </c:pt>
                <c:pt idx="4065">
                  <c:v>5.9520661199999991E-2</c:v>
                </c:pt>
                <c:pt idx="4066">
                  <c:v>5.9230504666666677E-2</c:v>
                </c:pt>
                <c:pt idx="4067">
                  <c:v>5.8788212999999999E-2</c:v>
                </c:pt>
                <c:pt idx="4068">
                  <c:v>5.9987928000000003E-2</c:v>
                </c:pt>
                <c:pt idx="4069">
                  <c:v>5.8584525999999998E-2</c:v>
                </c:pt>
                <c:pt idx="4070">
                  <c:v>5.7779922200000007E-2</c:v>
                </c:pt>
                <c:pt idx="4071">
                  <c:v>5.6770980933333333E-2</c:v>
                </c:pt>
                <c:pt idx="4072">
                  <c:v>5.7422667866666673E-2</c:v>
                </c:pt>
                <c:pt idx="4073">
                  <c:v>5.7750623333333334E-2</c:v>
                </c:pt>
                <c:pt idx="4074">
                  <c:v>5.7582901200000002E-2</c:v>
                </c:pt>
                <c:pt idx="4075">
                  <c:v>5.7702620799999993E-2</c:v>
                </c:pt>
                <c:pt idx="4076">
                  <c:v>5.7595449999999992E-2</c:v>
                </c:pt>
                <c:pt idx="4077">
                  <c:v>5.7185128000000002E-2</c:v>
                </c:pt>
                <c:pt idx="4078">
                  <c:v>5.7179122000000006E-2</c:v>
                </c:pt>
                <c:pt idx="4079">
                  <c:v>5.7660015600000003E-2</c:v>
                </c:pt>
                <c:pt idx="4080">
                  <c:v>6.0167448000000005E-2</c:v>
                </c:pt>
                <c:pt idx="4081">
                  <c:v>5.7170713599999999E-2</c:v>
                </c:pt>
                <c:pt idx="4082">
                  <c:v>5.7939481600000002E-2</c:v>
                </c:pt>
                <c:pt idx="4083">
                  <c:v>5.78168591E-2</c:v>
                </c:pt>
                <c:pt idx="4084">
                  <c:v>6.0315200000000006E-2</c:v>
                </c:pt>
                <c:pt idx="4085">
                  <c:v>6.0985076533333335E-2</c:v>
                </c:pt>
                <c:pt idx="4086">
                  <c:v>5.7869812000000007E-2</c:v>
                </c:pt>
                <c:pt idx="4087">
                  <c:v>6.103372E-2</c:v>
                </c:pt>
                <c:pt idx="4088">
                  <c:v>6.0405875199999987E-2</c:v>
                </c:pt>
                <c:pt idx="4089">
                  <c:v>6.0316009599999998E-2</c:v>
                </c:pt>
                <c:pt idx="4090">
                  <c:v>6.3245951999999994E-2</c:v>
                </c:pt>
                <c:pt idx="4091">
                  <c:v>6.5393740500000005E-2</c:v>
                </c:pt>
                <c:pt idx="4092">
                  <c:v>6.1960273466666667E-2</c:v>
                </c:pt>
                <c:pt idx="4093">
                  <c:v>5.7650426166666664E-2</c:v>
                </c:pt>
                <c:pt idx="4094">
                  <c:v>5.8298240000000008E-2</c:v>
                </c:pt>
                <c:pt idx="4095">
                  <c:v>5.9713397333333328E-2</c:v>
                </c:pt>
                <c:pt idx="4096">
                  <c:v>5.8363705400000007E-2</c:v>
                </c:pt>
                <c:pt idx="4097">
                  <c:v>5.8911652800000006E-2</c:v>
                </c:pt>
                <c:pt idx="4098">
                  <c:v>5.8028503866666671E-2</c:v>
                </c:pt>
                <c:pt idx="4099">
                  <c:v>5.8904472000000006E-2</c:v>
                </c:pt>
                <c:pt idx="4100">
                  <c:v>5.9481818000000006E-2</c:v>
                </c:pt>
                <c:pt idx="4101">
                  <c:v>5.7434844133333329E-2</c:v>
                </c:pt>
                <c:pt idx="4102">
                  <c:v>5.6763573533333334E-2</c:v>
                </c:pt>
                <c:pt idx="4103">
                  <c:v>5.7006549600000005E-2</c:v>
                </c:pt>
                <c:pt idx="4104">
                  <c:v>5.7292301733333335E-2</c:v>
                </c:pt>
                <c:pt idx="4105">
                  <c:v>5.7417660299999999E-2</c:v>
                </c:pt>
                <c:pt idx="4106">
                  <c:v>5.9484347999999999E-2</c:v>
                </c:pt>
                <c:pt idx="4107">
                  <c:v>6.0816477333333341E-2</c:v>
                </c:pt>
                <c:pt idx="4108">
                  <c:v>5.8649582933333333E-2</c:v>
                </c:pt>
                <c:pt idx="4109">
                  <c:v>5.7370549866666669E-2</c:v>
                </c:pt>
                <c:pt idx="4110">
                  <c:v>5.7111545333333333E-2</c:v>
                </c:pt>
                <c:pt idx="4111">
                  <c:v>5.7213422933333341E-2</c:v>
                </c:pt>
                <c:pt idx="4112">
                  <c:v>5.7320663400000006E-2</c:v>
                </c:pt>
                <c:pt idx="4113">
                  <c:v>5.7300176266666662E-2</c:v>
                </c:pt>
                <c:pt idx="4114">
                  <c:v>5.8328603666666666E-2</c:v>
                </c:pt>
                <c:pt idx="4115">
                  <c:v>5.9841786399999999E-2</c:v>
                </c:pt>
                <c:pt idx="4116">
                  <c:v>5.9384159999999998E-2</c:v>
                </c:pt>
                <c:pt idx="4117">
                  <c:v>5.8426133333333338E-2</c:v>
                </c:pt>
                <c:pt idx="4118">
                  <c:v>5.8178920799999999E-2</c:v>
                </c:pt>
                <c:pt idx="4119">
                  <c:v>6.0179591999999997E-2</c:v>
                </c:pt>
                <c:pt idx="4120">
                  <c:v>5.8100175466666668E-2</c:v>
                </c:pt>
                <c:pt idx="4121">
                  <c:v>5.7075585599999999E-2</c:v>
                </c:pt>
                <c:pt idx="4122">
                  <c:v>5.8503416400000008E-2</c:v>
                </c:pt>
                <c:pt idx="4123">
                  <c:v>5.8237946433333326E-2</c:v>
                </c:pt>
                <c:pt idx="4124">
                  <c:v>5.9841381599999993E-2</c:v>
                </c:pt>
                <c:pt idx="4125">
                  <c:v>5.9033400799999997E-2</c:v>
                </c:pt>
                <c:pt idx="4126">
                  <c:v>5.9613546666666677E-2</c:v>
                </c:pt>
                <c:pt idx="4127">
                  <c:v>5.78675097E-2</c:v>
                </c:pt>
                <c:pt idx="4128">
                  <c:v>5.9345085800000003E-2</c:v>
                </c:pt>
                <c:pt idx="4129">
                  <c:v>6.1041815999999992E-2</c:v>
                </c:pt>
                <c:pt idx="4130">
                  <c:v>6.1271694000000008E-2</c:v>
                </c:pt>
                <c:pt idx="4131">
                  <c:v>6.3235755000000005E-2</c:v>
                </c:pt>
                <c:pt idx="4132">
                  <c:v>6.1302252000000008E-2</c:v>
                </c:pt>
                <c:pt idx="4133">
                  <c:v>6.1377227999999999E-2</c:v>
                </c:pt>
                <c:pt idx="4134">
                  <c:v>5.9664705100000007E-2</c:v>
                </c:pt>
                <c:pt idx="4135">
                  <c:v>5.8746421066666665E-2</c:v>
                </c:pt>
                <c:pt idx="4136">
                  <c:v>5.8785226499999996E-2</c:v>
                </c:pt>
                <c:pt idx="4137">
                  <c:v>5.8497038599999995E-2</c:v>
                </c:pt>
                <c:pt idx="4138">
                  <c:v>5.8597538999999997E-2</c:v>
                </c:pt>
                <c:pt idx="4139">
                  <c:v>5.8523331533333334E-2</c:v>
                </c:pt>
                <c:pt idx="4140">
                  <c:v>5.7417727033333331E-2</c:v>
                </c:pt>
                <c:pt idx="4141">
                  <c:v>5.7283226E-2</c:v>
                </c:pt>
                <c:pt idx="4142">
                  <c:v>5.7047990999999999E-2</c:v>
                </c:pt>
                <c:pt idx="4143">
                  <c:v>5.71666095E-2</c:v>
                </c:pt>
                <c:pt idx="4144">
                  <c:v>5.737778713333333E-2</c:v>
                </c:pt>
                <c:pt idx="4145">
                  <c:v>5.7508951499999995E-2</c:v>
                </c:pt>
                <c:pt idx="4146">
                  <c:v>5.7251861333333334E-2</c:v>
                </c:pt>
                <c:pt idx="4147">
                  <c:v>5.7091200833333328E-2</c:v>
                </c:pt>
                <c:pt idx="4148">
                  <c:v>5.7004814533333344E-2</c:v>
                </c:pt>
                <c:pt idx="4149">
                  <c:v>5.6633139200000002E-2</c:v>
                </c:pt>
                <c:pt idx="4150">
                  <c:v>5.6161479733333339E-2</c:v>
                </c:pt>
                <c:pt idx="4151">
                  <c:v>5.600559799999999E-2</c:v>
                </c:pt>
                <c:pt idx="4152">
                  <c:v>5.6312942400000003E-2</c:v>
                </c:pt>
                <c:pt idx="4153">
                  <c:v>5.6956709333333334E-2</c:v>
                </c:pt>
                <c:pt idx="4154">
                  <c:v>5.715603226666667E-2</c:v>
                </c:pt>
                <c:pt idx="4155">
                  <c:v>5.7259201999999995E-2</c:v>
                </c:pt>
                <c:pt idx="4156">
                  <c:v>5.7355631666666664E-2</c:v>
                </c:pt>
                <c:pt idx="4157">
                  <c:v>5.7071180833333332E-2</c:v>
                </c:pt>
                <c:pt idx="4158">
                  <c:v>5.6941885000000005E-2</c:v>
                </c:pt>
                <c:pt idx="4159">
                  <c:v>5.6934210666666658E-2</c:v>
                </c:pt>
                <c:pt idx="4160">
                  <c:v>5.6993903633333336E-2</c:v>
                </c:pt>
                <c:pt idx="4161">
                  <c:v>5.7082358666666666E-2</c:v>
                </c:pt>
                <c:pt idx="4162">
                  <c:v>5.7233309466666667E-2</c:v>
                </c:pt>
                <c:pt idx="4163">
                  <c:v>5.7179388933333339E-2</c:v>
                </c:pt>
                <c:pt idx="4164">
                  <c:v>5.6349359733333333E-2</c:v>
                </c:pt>
                <c:pt idx="4165">
                  <c:v>5.5948926366666679E-2</c:v>
                </c:pt>
                <c:pt idx="4166">
                  <c:v>5.6471214800000002E-2</c:v>
                </c:pt>
                <c:pt idx="4167">
                  <c:v>5.5929473600000001E-2</c:v>
                </c:pt>
                <c:pt idx="4168">
                  <c:v>5.5881559066666676E-2</c:v>
                </c:pt>
                <c:pt idx="4169">
                  <c:v>5.6414682133333338E-2</c:v>
                </c:pt>
                <c:pt idx="4170">
                  <c:v>5.7678332800000003E-2</c:v>
                </c:pt>
                <c:pt idx="4171">
                  <c:v>5.7431843333333329E-2</c:v>
                </c:pt>
                <c:pt idx="4172">
                  <c:v>5.7475932800000004E-2</c:v>
                </c:pt>
                <c:pt idx="4173">
                  <c:v>5.7858738666666673E-2</c:v>
                </c:pt>
                <c:pt idx="4174">
                  <c:v>5.8568757866666668E-2</c:v>
                </c:pt>
                <c:pt idx="4175">
                  <c:v>5.6644338666666662E-2</c:v>
                </c:pt>
                <c:pt idx="4176">
                  <c:v>5.6897338666666679E-2</c:v>
                </c:pt>
                <c:pt idx="4177">
                  <c:v>5.8453018799999999E-2</c:v>
                </c:pt>
                <c:pt idx="4178">
                  <c:v>5.7634884266666665E-2</c:v>
                </c:pt>
                <c:pt idx="4179">
                  <c:v>5.6935322399999995E-2</c:v>
                </c:pt>
                <c:pt idx="4180">
                  <c:v>5.6468891599999994E-2</c:v>
                </c:pt>
                <c:pt idx="4181">
                  <c:v>5.6294186666666662E-2</c:v>
                </c:pt>
                <c:pt idx="4182">
                  <c:v>5.6340738666666668E-2</c:v>
                </c:pt>
                <c:pt idx="4183">
                  <c:v>5.6207998000000002E-2</c:v>
                </c:pt>
                <c:pt idx="4184">
                  <c:v>5.6215925333333333E-2</c:v>
                </c:pt>
                <c:pt idx="4185">
                  <c:v>5.6214744666666663E-2</c:v>
                </c:pt>
                <c:pt idx="4186">
                  <c:v>5.6294119199999999E-2</c:v>
                </c:pt>
                <c:pt idx="4187">
                  <c:v>5.6143061333333327E-2</c:v>
                </c:pt>
                <c:pt idx="4188">
                  <c:v>5.6139957866666673E-2</c:v>
                </c:pt>
                <c:pt idx="4189">
                  <c:v>5.6090100000000004E-2</c:v>
                </c:pt>
                <c:pt idx="4190">
                  <c:v>5.5415398499999997E-2</c:v>
                </c:pt>
                <c:pt idx="4191">
                  <c:v>5.5139700000000007E-2</c:v>
                </c:pt>
                <c:pt idx="4192">
                  <c:v>5.5114329600000005E-2</c:v>
                </c:pt>
                <c:pt idx="4193">
                  <c:v>5.4645166400000007E-2</c:v>
                </c:pt>
                <c:pt idx="4194">
                  <c:v>5.5742247000000009E-2</c:v>
                </c:pt>
                <c:pt idx="4195">
                  <c:v>5.6321776500000004E-2</c:v>
                </c:pt>
                <c:pt idx="4196">
                  <c:v>5.6423906000000003E-2</c:v>
                </c:pt>
                <c:pt idx="4197">
                  <c:v>5.6295008000000001E-2</c:v>
                </c:pt>
                <c:pt idx="4198">
                  <c:v>5.62698763E-2</c:v>
                </c:pt>
                <c:pt idx="4199">
                  <c:v>5.6412311999999999E-2</c:v>
                </c:pt>
                <c:pt idx="4200">
                  <c:v>5.6285391800000008E-2</c:v>
                </c:pt>
                <c:pt idx="4201">
                  <c:v>5.6391238200000006E-2</c:v>
                </c:pt>
                <c:pt idx="4202">
                  <c:v>5.6287506000000001E-2</c:v>
                </c:pt>
                <c:pt idx="4203">
                  <c:v>5.6312942400000003E-2</c:v>
                </c:pt>
                <c:pt idx="4204">
                  <c:v>5.6745673599999998E-2</c:v>
                </c:pt>
                <c:pt idx="4205">
                  <c:v>5.6368636133333337E-2</c:v>
                </c:pt>
                <c:pt idx="4206">
                  <c:v>5.6594210933333333E-2</c:v>
                </c:pt>
                <c:pt idx="4207">
                  <c:v>5.6416874800000003E-2</c:v>
                </c:pt>
                <c:pt idx="4208">
                  <c:v>5.6243316799999998E-2</c:v>
                </c:pt>
                <c:pt idx="4209">
                  <c:v>5.6344449333333345E-2</c:v>
                </c:pt>
                <c:pt idx="4210">
                  <c:v>5.6368636133333337E-2</c:v>
                </c:pt>
                <c:pt idx="4211">
                  <c:v>5.6571339733333337E-2</c:v>
                </c:pt>
                <c:pt idx="4212">
                  <c:v>5.6420079466666662E-2</c:v>
                </c:pt>
                <c:pt idx="4213">
                  <c:v>5.6444502399999999E-2</c:v>
                </c:pt>
                <c:pt idx="4214">
                  <c:v>5.6899699999999998E-2</c:v>
                </c:pt>
                <c:pt idx="4215">
                  <c:v>5.6442950666666658E-2</c:v>
                </c:pt>
                <c:pt idx="4216">
                  <c:v>5.6596572266666673E-2</c:v>
                </c:pt>
                <c:pt idx="4217">
                  <c:v>5.6470409600000007E-2</c:v>
                </c:pt>
                <c:pt idx="4218">
                  <c:v>5.6319014399999999E-2</c:v>
                </c:pt>
                <c:pt idx="4219">
                  <c:v>5.63943072E-2</c:v>
                </c:pt>
                <c:pt idx="4220">
                  <c:v>5.659610000000001E-2</c:v>
                </c:pt>
                <c:pt idx="4221">
                  <c:v>5.6193964933333333E-2</c:v>
                </c:pt>
                <c:pt idx="4222">
                  <c:v>5.6688765466666666E-2</c:v>
                </c:pt>
                <c:pt idx="4223">
                  <c:v>5.6334497999999997E-2</c:v>
                </c:pt>
                <c:pt idx="4224">
                  <c:v>5.6433302933333339E-2</c:v>
                </c:pt>
                <c:pt idx="4225">
                  <c:v>5.6568269999999997E-2</c:v>
                </c:pt>
                <c:pt idx="4226">
                  <c:v>5.6656044133333326E-2</c:v>
                </c:pt>
                <c:pt idx="4227">
                  <c:v>5.6772896400000002E-2</c:v>
                </c:pt>
                <c:pt idx="4228">
                  <c:v>5.6393699999999998E-2</c:v>
                </c:pt>
                <c:pt idx="4229">
                  <c:v>5.7531289199999995E-2</c:v>
                </c:pt>
                <c:pt idx="4230">
                  <c:v>5.950205799999999E-2</c:v>
                </c:pt>
                <c:pt idx="4231">
                  <c:v>6.433800449999999E-2</c:v>
                </c:pt>
                <c:pt idx="4232">
                  <c:v>6.2761049999999999E-2</c:v>
                </c:pt>
                <c:pt idx="4233">
                  <c:v>5.6344246933333328E-2</c:v>
                </c:pt>
                <c:pt idx="4234">
                  <c:v>5.6316889200000005E-2</c:v>
                </c:pt>
                <c:pt idx="4235">
                  <c:v>5.6914879999999994E-2</c:v>
                </c:pt>
                <c:pt idx="4236">
                  <c:v>5.6679083999999991E-2</c:v>
                </c:pt>
                <c:pt idx="4237">
                  <c:v>5.6476346666666663E-2</c:v>
                </c:pt>
                <c:pt idx="4238">
                  <c:v>5.6673214399999998E-2</c:v>
                </c:pt>
                <c:pt idx="4239">
                  <c:v>5.6107472666666665E-2</c:v>
                </c:pt>
                <c:pt idx="4240">
                  <c:v>5.6090100000000004E-2</c:v>
                </c:pt>
                <c:pt idx="4241">
                  <c:v>5.595466066666667E-2</c:v>
                </c:pt>
                <c:pt idx="4242">
                  <c:v>5.603315813333333E-2</c:v>
                </c:pt>
                <c:pt idx="4243">
                  <c:v>5.621879266666667E-2</c:v>
                </c:pt>
                <c:pt idx="4244">
                  <c:v>5.7000292800000005E-2</c:v>
                </c:pt>
                <c:pt idx="4245">
                  <c:v>5.9226789600000003E-2</c:v>
                </c:pt>
                <c:pt idx="4246">
                  <c:v>5.6336690666666675E-2</c:v>
                </c:pt>
                <c:pt idx="4247">
                  <c:v>5.8701785999999992E-2</c:v>
                </c:pt>
                <c:pt idx="4248">
                  <c:v>5.7415010399999994E-2</c:v>
                </c:pt>
                <c:pt idx="4249">
                  <c:v>5.7139544E-2</c:v>
                </c:pt>
                <c:pt idx="4250">
                  <c:v>5.9438755199999999E-2</c:v>
                </c:pt>
                <c:pt idx="4251">
                  <c:v>5.8114583999999997E-2</c:v>
                </c:pt>
                <c:pt idx="4252">
                  <c:v>5.61539572E-2</c:v>
                </c:pt>
                <c:pt idx="4253">
                  <c:v>5.7527072533333341E-2</c:v>
                </c:pt>
                <c:pt idx="4254">
                  <c:v>6.0053237199999998E-2</c:v>
                </c:pt>
                <c:pt idx="4255">
                  <c:v>5.9518958400000002E-2</c:v>
                </c:pt>
                <c:pt idx="4256">
                  <c:v>6.0138077999999998E-2</c:v>
                </c:pt>
                <c:pt idx="4257">
                  <c:v>5.7407285466666666E-2</c:v>
                </c:pt>
                <c:pt idx="4258">
                  <c:v>6.0041643200000001E-2</c:v>
                </c:pt>
                <c:pt idx="4259">
                  <c:v>5.9059836000000004E-2</c:v>
                </c:pt>
                <c:pt idx="4260">
                  <c:v>6.1818526000000006E-2</c:v>
                </c:pt>
                <c:pt idx="4261">
                  <c:v>5.8744069999999989E-2</c:v>
                </c:pt>
                <c:pt idx="4262">
                  <c:v>6.0166892499999999E-2</c:v>
                </c:pt>
                <c:pt idx="4263">
                  <c:v>5.8686645600000004E-2</c:v>
                </c:pt>
                <c:pt idx="4264">
                  <c:v>5.8780898000000005E-2</c:v>
                </c:pt>
                <c:pt idx="4265">
                  <c:v>5.9232586600000005E-2</c:v>
                </c:pt>
                <c:pt idx="4266">
                  <c:v>5.8693465600000001E-2</c:v>
                </c:pt>
                <c:pt idx="4267">
                  <c:v>5.9384468000000003E-2</c:v>
                </c:pt>
                <c:pt idx="4268">
                  <c:v>5.9997926999999993E-2</c:v>
                </c:pt>
                <c:pt idx="4269">
                  <c:v>5.6871532666666669E-2</c:v>
                </c:pt>
                <c:pt idx="4270">
                  <c:v>5.6143398666666663E-2</c:v>
                </c:pt>
                <c:pt idx="4271">
                  <c:v>5.5991935999999992E-2</c:v>
                </c:pt>
                <c:pt idx="4272">
                  <c:v>5.6240888000000003E-2</c:v>
                </c:pt>
                <c:pt idx="4273">
                  <c:v>5.7680053200000005E-2</c:v>
                </c:pt>
                <c:pt idx="4274">
                  <c:v>5.6015313200000007E-2</c:v>
                </c:pt>
                <c:pt idx="4275">
                  <c:v>5.8102765599999995E-2</c:v>
                </c:pt>
                <c:pt idx="4276">
                  <c:v>5.8772372999999996E-2</c:v>
                </c:pt>
                <c:pt idx="4277">
                  <c:v>5.6481777733333335E-2</c:v>
                </c:pt>
                <c:pt idx="4278">
                  <c:v>5.5973214000000007E-2</c:v>
                </c:pt>
                <c:pt idx="4279">
                  <c:v>5.7055615466666661E-2</c:v>
                </c:pt>
                <c:pt idx="4280">
                  <c:v>5.638611000000001E-2</c:v>
                </c:pt>
                <c:pt idx="4281">
                  <c:v>5.4983781600000003E-2</c:v>
                </c:pt>
                <c:pt idx="4282">
                  <c:v>5.4962226000000003E-2</c:v>
                </c:pt>
                <c:pt idx="4283">
                  <c:v>5.4962226000000003E-2</c:v>
                </c:pt>
                <c:pt idx="4284">
                  <c:v>5.4931225066666665E-2</c:v>
                </c:pt>
                <c:pt idx="4285">
                  <c:v>5.4996667733333338E-2</c:v>
                </c:pt>
                <c:pt idx="4286">
                  <c:v>5.6030391999999998E-2</c:v>
                </c:pt>
                <c:pt idx="4287">
                  <c:v>5.5103062666666675E-2</c:v>
                </c:pt>
                <c:pt idx="4288">
                  <c:v>5.4974201333333333E-2</c:v>
                </c:pt>
                <c:pt idx="4289">
                  <c:v>5.5848501866666671E-2</c:v>
                </c:pt>
                <c:pt idx="4290">
                  <c:v>5.7398756800000006E-2</c:v>
                </c:pt>
                <c:pt idx="4291">
                  <c:v>5.9448712399999999E-2</c:v>
                </c:pt>
                <c:pt idx="4292">
                  <c:v>5.9337444100000004E-2</c:v>
                </c:pt>
                <c:pt idx="4293">
                  <c:v>5.5787984266666667E-2</c:v>
                </c:pt>
                <c:pt idx="4294">
                  <c:v>5.5749663200000001E-2</c:v>
                </c:pt>
                <c:pt idx="4295">
                  <c:v>5.5824753599999999E-2</c:v>
                </c:pt>
                <c:pt idx="4296">
                  <c:v>5.5778201599999994E-2</c:v>
                </c:pt>
                <c:pt idx="4297">
                  <c:v>5.5585786666666671E-2</c:v>
                </c:pt>
                <c:pt idx="4298">
                  <c:v>5.5544631999999997E-2</c:v>
                </c:pt>
                <c:pt idx="4299">
                  <c:v>5.561584306666667E-2</c:v>
                </c:pt>
                <c:pt idx="4300">
                  <c:v>5.5528440000000005E-2</c:v>
                </c:pt>
                <c:pt idx="4301">
                  <c:v>5.5573372800000014E-2</c:v>
                </c:pt>
                <c:pt idx="4302">
                  <c:v>5.5518319999999996E-2</c:v>
                </c:pt>
                <c:pt idx="4303">
                  <c:v>5.5611761333333336E-2</c:v>
                </c:pt>
                <c:pt idx="4304">
                  <c:v>5.9486120100000005E-2</c:v>
                </c:pt>
                <c:pt idx="4305">
                  <c:v>6.5817546666666657E-2</c:v>
                </c:pt>
                <c:pt idx="4306">
                  <c:v>6.5619053133333327E-2</c:v>
                </c:pt>
                <c:pt idx="4307">
                  <c:v>6.532112326666667E-2</c:v>
                </c:pt>
                <c:pt idx="4308">
                  <c:v>6.5398914533333338E-2</c:v>
                </c:pt>
                <c:pt idx="4309">
                  <c:v>6.551113800000001E-2</c:v>
                </c:pt>
                <c:pt idx="4310">
                  <c:v>6.5374098533333327E-2</c:v>
                </c:pt>
                <c:pt idx="4311">
                  <c:v>6.5350178666666661E-2</c:v>
                </c:pt>
                <c:pt idx="4312">
                  <c:v>6.5144447133333325E-2</c:v>
                </c:pt>
                <c:pt idx="4313">
                  <c:v>6.5934526533333329E-2</c:v>
                </c:pt>
                <c:pt idx="4314">
                  <c:v>6.54221106E-2</c:v>
                </c:pt>
                <c:pt idx="4315">
                  <c:v>6.5715869999999996E-2</c:v>
                </c:pt>
                <c:pt idx="4316">
                  <c:v>6.6123886399999998E-2</c:v>
                </c:pt>
                <c:pt idx="4317">
                  <c:v>6.6005596799999997E-2</c:v>
                </c:pt>
                <c:pt idx="4318">
                  <c:v>6.550734666666666E-2</c:v>
                </c:pt>
                <c:pt idx="4319">
                  <c:v>6.5528578133333334E-2</c:v>
                </c:pt>
                <c:pt idx="4320">
                  <c:v>6.5568525000000003E-2</c:v>
                </c:pt>
                <c:pt idx="4321">
                  <c:v>5.6871532666666669E-2</c:v>
                </c:pt>
                <c:pt idx="4322">
                  <c:v>5.5765787733333336E-2</c:v>
                </c:pt>
                <c:pt idx="4323">
                  <c:v>5.5577859333333327E-2</c:v>
                </c:pt>
                <c:pt idx="4324">
                  <c:v>5.5581266400000003E-2</c:v>
                </c:pt>
                <c:pt idx="4325">
                  <c:v>5.5697950000000003E-2</c:v>
                </c:pt>
                <c:pt idx="4326">
                  <c:v>5.6109125600000004E-2</c:v>
                </c:pt>
                <c:pt idx="4327">
                  <c:v>5.5762009600000002E-2</c:v>
                </c:pt>
                <c:pt idx="4328">
                  <c:v>5.5711443333333339E-2</c:v>
                </c:pt>
                <c:pt idx="4329">
                  <c:v>5.5764640799999994E-2</c:v>
                </c:pt>
                <c:pt idx="4330">
                  <c:v>5.5869990000000001E-2</c:v>
                </c:pt>
                <c:pt idx="4331">
                  <c:v>5.5789873333333337E-2</c:v>
                </c:pt>
                <c:pt idx="4332">
                  <c:v>5.5793584E-2</c:v>
                </c:pt>
                <c:pt idx="4333">
                  <c:v>5.5822324800000003E-2</c:v>
                </c:pt>
                <c:pt idx="4334">
                  <c:v>5.5855923199999997E-2</c:v>
                </c:pt>
                <c:pt idx="4335">
                  <c:v>5.6668626666666666E-2</c:v>
                </c:pt>
                <c:pt idx="4336">
                  <c:v>5.6550829866666666E-2</c:v>
                </c:pt>
                <c:pt idx="4337">
                  <c:v>5.7301598933333329E-2</c:v>
                </c:pt>
                <c:pt idx="4338">
                  <c:v>5.7860087999999997E-2</c:v>
                </c:pt>
                <c:pt idx="4339">
                  <c:v>5.768079533333334E-2</c:v>
                </c:pt>
                <c:pt idx="4340">
                  <c:v>5.9858498700000005E-2</c:v>
                </c:pt>
                <c:pt idx="4341">
                  <c:v>6.0909448600000006E-2</c:v>
                </c:pt>
                <c:pt idx="4342">
                  <c:v>6.251553E-2</c:v>
                </c:pt>
                <c:pt idx="4343">
                  <c:v>6.2559089999999998E-2</c:v>
                </c:pt>
                <c:pt idx="4344">
                  <c:v>6.3268471933333334E-2</c:v>
                </c:pt>
                <c:pt idx="4345">
                  <c:v>6.4104240199999996E-2</c:v>
                </c:pt>
                <c:pt idx="4346">
                  <c:v>6.1983388133333331E-2</c:v>
                </c:pt>
                <c:pt idx="4347">
                  <c:v>5.9090164466666657E-2</c:v>
                </c:pt>
                <c:pt idx="4348">
                  <c:v>6.2881294666666671E-2</c:v>
                </c:pt>
                <c:pt idx="4349">
                  <c:v>5.9293867966666663E-2</c:v>
                </c:pt>
                <c:pt idx="4350">
                  <c:v>5.8856664533333332E-2</c:v>
                </c:pt>
                <c:pt idx="4351">
                  <c:v>5.8846521066666664E-2</c:v>
                </c:pt>
                <c:pt idx="4352">
                  <c:v>5.8212888066666663E-2</c:v>
                </c:pt>
                <c:pt idx="4353">
                  <c:v>5.8032975000000007E-2</c:v>
                </c:pt>
                <c:pt idx="4354">
                  <c:v>5.76556981E-2</c:v>
                </c:pt>
                <c:pt idx="4355">
                  <c:v>5.7471213800000004E-2</c:v>
                </c:pt>
                <c:pt idx="4356">
                  <c:v>5.7355631666666664E-2</c:v>
                </c:pt>
                <c:pt idx="4357">
                  <c:v>5.7533209066666667E-2</c:v>
                </c:pt>
                <c:pt idx="4358">
                  <c:v>5.7677653366666665E-2</c:v>
                </c:pt>
                <c:pt idx="4359">
                  <c:v>5.7499775666666662E-2</c:v>
                </c:pt>
                <c:pt idx="4360">
                  <c:v>5.8022412799999992E-2</c:v>
                </c:pt>
                <c:pt idx="4361">
                  <c:v>5.7022966000000001E-2</c:v>
                </c:pt>
                <c:pt idx="4362">
                  <c:v>5.7007150199999995E-2</c:v>
                </c:pt>
                <c:pt idx="4363">
                  <c:v>5.7829053333333331E-2</c:v>
                </c:pt>
                <c:pt idx="4364">
                  <c:v>5.6917026833333335E-2</c:v>
                </c:pt>
                <c:pt idx="4365">
                  <c:v>5.6922999466666666E-2</c:v>
                </c:pt>
                <c:pt idx="4366">
                  <c:v>5.7674149866666663E-2</c:v>
                </c:pt>
                <c:pt idx="4367">
                  <c:v>5.7953698000000005E-2</c:v>
                </c:pt>
                <c:pt idx="4368">
                  <c:v>5.7570116266666672E-2</c:v>
                </c:pt>
                <c:pt idx="4369">
                  <c:v>5.7283922666666667E-2</c:v>
                </c:pt>
                <c:pt idx="4370">
                  <c:v>5.8672319199999996E-2</c:v>
                </c:pt>
                <c:pt idx="4371">
                  <c:v>6.4313554799999992E-2</c:v>
                </c:pt>
                <c:pt idx="4372">
                  <c:v>6.5285404800000002E-2</c:v>
                </c:pt>
                <c:pt idx="4373">
                  <c:v>5.979557173333333E-2</c:v>
                </c:pt>
                <c:pt idx="4374">
                  <c:v>5.7217063200000001E-2</c:v>
                </c:pt>
                <c:pt idx="4375">
                  <c:v>5.7401719466666661E-2</c:v>
                </c:pt>
                <c:pt idx="4376">
                  <c:v>5.8607247600000002E-2</c:v>
                </c:pt>
                <c:pt idx="4377">
                  <c:v>5.7782467600000005E-2</c:v>
                </c:pt>
                <c:pt idx="4378">
                  <c:v>5.9000274666666665E-2</c:v>
                </c:pt>
                <c:pt idx="4379">
                  <c:v>5.8042247999999998E-2</c:v>
                </c:pt>
                <c:pt idx="4380">
                  <c:v>5.8418104799999995E-2</c:v>
                </c:pt>
                <c:pt idx="4381">
                  <c:v>5.7761721600000003E-2</c:v>
                </c:pt>
                <c:pt idx="4382">
                  <c:v>5.7895440533333335E-2</c:v>
                </c:pt>
                <c:pt idx="4383">
                  <c:v>5.7939024000000006E-2</c:v>
                </c:pt>
                <c:pt idx="4384">
                  <c:v>5.819310346666666E-2</c:v>
                </c:pt>
                <c:pt idx="4385">
                  <c:v>5.8056213599999996E-2</c:v>
                </c:pt>
                <c:pt idx="4386">
                  <c:v>5.8178024666666668E-2</c:v>
                </c:pt>
                <c:pt idx="4387">
                  <c:v>5.8293932400000005E-2</c:v>
                </c:pt>
                <c:pt idx="4388">
                  <c:v>5.8056922000000004E-2</c:v>
                </c:pt>
                <c:pt idx="4389">
                  <c:v>5.7424767399999993E-2</c:v>
                </c:pt>
                <c:pt idx="4390">
                  <c:v>5.731959566666666E-2</c:v>
                </c:pt>
                <c:pt idx="4391">
                  <c:v>5.7770458533333326E-2</c:v>
                </c:pt>
                <c:pt idx="4392">
                  <c:v>5.7653741199999997E-2</c:v>
                </c:pt>
                <c:pt idx="4393">
                  <c:v>5.7750623333333334E-2</c:v>
                </c:pt>
                <c:pt idx="4394">
                  <c:v>5.7891021466666664E-2</c:v>
                </c:pt>
                <c:pt idx="4395">
                  <c:v>5.7733351866666671E-2</c:v>
                </c:pt>
                <c:pt idx="4396">
                  <c:v>5.7418012666666678E-2</c:v>
                </c:pt>
                <c:pt idx="4397">
                  <c:v>5.81957684E-2</c:v>
                </c:pt>
                <c:pt idx="4398">
                  <c:v>5.7765668399999998E-2</c:v>
                </c:pt>
                <c:pt idx="4399">
                  <c:v>5.7733655466666665E-2</c:v>
                </c:pt>
                <c:pt idx="4400">
                  <c:v>5.7682650666666661E-2</c:v>
                </c:pt>
                <c:pt idx="4401">
                  <c:v>5.7691893600000009E-2</c:v>
                </c:pt>
                <c:pt idx="4402">
                  <c:v>5.7786549333333333E-2</c:v>
                </c:pt>
                <c:pt idx="4403">
                  <c:v>5.7765668399999998E-2</c:v>
                </c:pt>
                <c:pt idx="4404">
                  <c:v>5.7501772533333335E-2</c:v>
                </c:pt>
                <c:pt idx="4405">
                  <c:v>5.7475527999999998E-2</c:v>
                </c:pt>
                <c:pt idx="4406">
                  <c:v>5.8086910933333333E-2</c:v>
                </c:pt>
                <c:pt idx="4407">
                  <c:v>5.8360015999999994E-2</c:v>
                </c:pt>
                <c:pt idx="4408">
                  <c:v>5.8522273333333326E-2</c:v>
                </c:pt>
                <c:pt idx="4409">
                  <c:v>5.7709367466666668E-2</c:v>
                </c:pt>
                <c:pt idx="4410">
                  <c:v>5.7772786133333337E-2</c:v>
                </c:pt>
                <c:pt idx="4411">
                  <c:v>5.7539081600000007E-2</c:v>
                </c:pt>
                <c:pt idx="4412">
                  <c:v>5.7596968000000005E-2</c:v>
                </c:pt>
                <c:pt idx="4413">
                  <c:v>5.7601589466666672E-2</c:v>
                </c:pt>
                <c:pt idx="4414">
                  <c:v>5.7702215999999994E-2</c:v>
                </c:pt>
                <c:pt idx="4415">
                  <c:v>5.7496847466666667E-2</c:v>
                </c:pt>
                <c:pt idx="4416">
                  <c:v>5.7527949600000003E-2</c:v>
                </c:pt>
                <c:pt idx="4417">
                  <c:v>5.7780814666666666E-2</c:v>
                </c:pt>
                <c:pt idx="4418">
                  <c:v>5.7548526933333337E-2</c:v>
                </c:pt>
                <c:pt idx="4419">
                  <c:v>5.7486390133333329E-2</c:v>
                </c:pt>
                <c:pt idx="4420">
                  <c:v>5.7565427333333336E-2</c:v>
                </c:pt>
                <c:pt idx="4421">
                  <c:v>5.7528017066666666E-2</c:v>
                </c:pt>
                <c:pt idx="4422">
                  <c:v>5.7692635733333331E-2</c:v>
                </c:pt>
                <c:pt idx="4423">
                  <c:v>5.6722228933333341E-2</c:v>
                </c:pt>
                <c:pt idx="4424">
                  <c:v>5.7246478666666656E-2</c:v>
                </c:pt>
                <c:pt idx="4425">
                  <c:v>5.6544083200000005E-2</c:v>
                </c:pt>
                <c:pt idx="4426">
                  <c:v>5.6240888000000003E-2</c:v>
                </c:pt>
                <c:pt idx="4427">
                  <c:v>5.6355986133333334E-2</c:v>
                </c:pt>
                <c:pt idx="4428">
                  <c:v>5.6462313599999994E-2</c:v>
                </c:pt>
                <c:pt idx="4429">
                  <c:v>5.6330416266666676E-2</c:v>
                </c:pt>
                <c:pt idx="4430">
                  <c:v>5.656729173333333E-2</c:v>
                </c:pt>
                <c:pt idx="4431">
                  <c:v>5.65684724E-2</c:v>
                </c:pt>
                <c:pt idx="4432">
                  <c:v>5.6425004533333337E-2</c:v>
                </c:pt>
                <c:pt idx="4433">
                  <c:v>5.5822729599999996E-2</c:v>
                </c:pt>
                <c:pt idx="4434">
                  <c:v>5.6058525599999999E-2</c:v>
                </c:pt>
                <c:pt idx="4435">
                  <c:v>5.6091280666666667E-2</c:v>
                </c:pt>
                <c:pt idx="4436">
                  <c:v>5.6051812666666666E-2</c:v>
                </c:pt>
                <c:pt idx="4437">
                  <c:v>5.6307174000000008E-2</c:v>
                </c:pt>
                <c:pt idx="4438">
                  <c:v>5.6049147733333332E-2</c:v>
                </c:pt>
                <c:pt idx="4439">
                  <c:v>5.600559799999999E-2</c:v>
                </c:pt>
                <c:pt idx="4440">
                  <c:v>5.6624773333333329E-2</c:v>
                </c:pt>
                <c:pt idx="4441">
                  <c:v>5.6135741200000006E-2</c:v>
                </c:pt>
                <c:pt idx="4442">
                  <c:v>5.596292533333333E-2</c:v>
                </c:pt>
                <c:pt idx="4443">
                  <c:v>5.6026276533333336E-2</c:v>
                </c:pt>
                <c:pt idx="4444">
                  <c:v>5.6315775999999998E-2</c:v>
                </c:pt>
                <c:pt idx="4445">
                  <c:v>5.7099873599999997E-2</c:v>
                </c:pt>
                <c:pt idx="4446">
                  <c:v>5.6544892799999996E-2</c:v>
                </c:pt>
                <c:pt idx="4447">
                  <c:v>5.6899632533333327E-2</c:v>
                </c:pt>
                <c:pt idx="4448">
                  <c:v>5.6137191733333335E-2</c:v>
                </c:pt>
                <c:pt idx="4449">
                  <c:v>5.6267739733333336E-2</c:v>
                </c:pt>
                <c:pt idx="4450">
                  <c:v>5.6214744666666663E-2</c:v>
                </c:pt>
                <c:pt idx="4451">
                  <c:v>5.6222672000000008E-2</c:v>
                </c:pt>
                <c:pt idx="4452">
                  <c:v>5.6415626666666663E-2</c:v>
                </c:pt>
                <c:pt idx="4453">
                  <c:v>5.7127400000000002E-2</c:v>
                </c:pt>
                <c:pt idx="4454">
                  <c:v>5.67707712E-2</c:v>
                </c:pt>
                <c:pt idx="4455">
                  <c:v>5.7355437333333335E-2</c:v>
                </c:pt>
                <c:pt idx="4456">
                  <c:v>5.7279571066666674E-2</c:v>
                </c:pt>
                <c:pt idx="4457">
                  <c:v>5.634596733333333E-2</c:v>
                </c:pt>
                <c:pt idx="4458">
                  <c:v>5.6666838800000008E-2</c:v>
                </c:pt>
                <c:pt idx="4459">
                  <c:v>5.6079777600000005E-2</c:v>
                </c:pt>
                <c:pt idx="4460">
                  <c:v>5.6808451333333343E-2</c:v>
                </c:pt>
                <c:pt idx="4461">
                  <c:v>5.6862896933333323E-2</c:v>
                </c:pt>
                <c:pt idx="4462">
                  <c:v>5.6247331066666677E-2</c:v>
                </c:pt>
                <c:pt idx="4463">
                  <c:v>5.6669031466666672E-2</c:v>
                </c:pt>
                <c:pt idx="4464">
                  <c:v>5.6243721599999998E-2</c:v>
                </c:pt>
                <c:pt idx="4465">
                  <c:v>5.6168428800000003E-2</c:v>
                </c:pt>
                <c:pt idx="4466">
                  <c:v>5.7026200000000006E-2</c:v>
                </c:pt>
                <c:pt idx="4467">
                  <c:v>5.6544892799999996E-2</c:v>
                </c:pt>
                <c:pt idx="4468">
                  <c:v>5.6293916800000003E-2</c:v>
                </c:pt>
                <c:pt idx="4469">
                  <c:v>5.7171253333333345E-2</c:v>
                </c:pt>
                <c:pt idx="4470">
                  <c:v>5.7013246399999995E-2</c:v>
                </c:pt>
                <c:pt idx="4471">
                  <c:v>5.6366510933333336E-2</c:v>
                </c:pt>
                <c:pt idx="4472">
                  <c:v>5.7747148800000002E-2</c:v>
                </c:pt>
                <c:pt idx="4473">
                  <c:v>5.5792167200000006E-2</c:v>
                </c:pt>
                <c:pt idx="4474">
                  <c:v>5.5665127466666665E-2</c:v>
                </c:pt>
                <c:pt idx="4475">
                  <c:v>5.5535254133333337E-2</c:v>
                </c:pt>
                <c:pt idx="4476">
                  <c:v>5.5462558800000006E-2</c:v>
                </c:pt>
                <c:pt idx="4477">
                  <c:v>5.5835548266666674E-2</c:v>
                </c:pt>
                <c:pt idx="4478">
                  <c:v>5.5667016533333322E-2</c:v>
                </c:pt>
                <c:pt idx="4479">
                  <c:v>5.5742106933333334E-2</c:v>
                </c:pt>
                <c:pt idx="4480">
                  <c:v>5.5509987866666666E-2</c:v>
                </c:pt>
                <c:pt idx="4481">
                  <c:v>5.5362337066666663E-2</c:v>
                </c:pt>
                <c:pt idx="4482">
                  <c:v>5.5448154666666673E-2</c:v>
                </c:pt>
                <c:pt idx="4483">
                  <c:v>5.5607544666666668E-2</c:v>
                </c:pt>
                <c:pt idx="4484">
                  <c:v>5.5588552799999996E-2</c:v>
                </c:pt>
                <c:pt idx="4485">
                  <c:v>5.5572630666666678E-2</c:v>
                </c:pt>
                <c:pt idx="4486">
                  <c:v>5.5541089999999994E-2</c:v>
                </c:pt>
                <c:pt idx="4487">
                  <c:v>5.583183760000001E-2</c:v>
                </c:pt>
                <c:pt idx="4488">
                  <c:v>5.0671514666666667E-2</c:v>
                </c:pt>
                <c:pt idx="4489">
                  <c:v>5.0784000000000003E-2</c:v>
                </c:pt>
                <c:pt idx="4490">
                  <c:v>5.0560256000000005E-2</c:v>
                </c:pt>
                <c:pt idx="4491">
                  <c:v>5.0515360000000002E-2</c:v>
                </c:pt>
                <c:pt idx="4492">
                  <c:v>5.0673293333333334E-2</c:v>
                </c:pt>
                <c:pt idx="4493">
                  <c:v>5.0968950666666665E-2</c:v>
                </c:pt>
                <c:pt idx="4494">
                  <c:v>5.0793690666666669E-2</c:v>
                </c:pt>
                <c:pt idx="4495">
                  <c:v>5.0628336000000003E-2</c:v>
                </c:pt>
                <c:pt idx="4496">
                  <c:v>5.0625637333333341E-2</c:v>
                </c:pt>
                <c:pt idx="4497">
                  <c:v>5.0945981333333334E-2</c:v>
                </c:pt>
                <c:pt idx="4498">
                  <c:v>5.0740944000000003E-2</c:v>
                </c:pt>
                <c:pt idx="4499">
                  <c:v>5.0717392E-2</c:v>
                </c:pt>
                <c:pt idx="4500">
                  <c:v>5.0527381333333336E-2</c:v>
                </c:pt>
                <c:pt idx="4501">
                  <c:v>5.0508919999999999E-2</c:v>
                </c:pt>
                <c:pt idx="4502">
                  <c:v>5.0474266666666663E-2</c:v>
                </c:pt>
                <c:pt idx="4503">
                  <c:v>5.019293066666667E-2</c:v>
                </c:pt>
                <c:pt idx="4504">
                  <c:v>5.0545260000000002E-2</c:v>
                </c:pt>
                <c:pt idx="4505">
                  <c:v>5.0381408000000009E-2</c:v>
                </c:pt>
                <c:pt idx="4506">
                  <c:v>5.0431977333333336E-2</c:v>
                </c:pt>
                <c:pt idx="4507">
                  <c:v>5.0651581333333341E-2</c:v>
                </c:pt>
                <c:pt idx="4508">
                  <c:v>5.0492605333333336E-2</c:v>
                </c:pt>
                <c:pt idx="4509">
                  <c:v>5.0640756000000002E-2</c:v>
                </c:pt>
                <c:pt idx="4510">
                  <c:v>5.0619626666666667E-2</c:v>
                </c:pt>
                <c:pt idx="4511">
                  <c:v>5.2605109333333337E-2</c:v>
                </c:pt>
                <c:pt idx="4512">
                  <c:v>5.6510272E-2</c:v>
                </c:pt>
                <c:pt idx="4513">
                  <c:v>5.8812823333333333E-2</c:v>
                </c:pt>
                <c:pt idx="4514">
                  <c:v>5.2083224000000004E-2</c:v>
                </c:pt>
                <c:pt idx="4515">
                  <c:v>5.0872779999999999E-2</c:v>
                </c:pt>
                <c:pt idx="4516">
                  <c:v>5.0823314666666668E-2</c:v>
                </c:pt>
                <c:pt idx="4517">
                  <c:v>5.0806080000000003E-2</c:v>
                </c:pt>
                <c:pt idx="4518">
                  <c:v>5.1069200000000009E-2</c:v>
                </c:pt>
                <c:pt idx="4519">
                  <c:v>5.092776533333334E-2</c:v>
                </c:pt>
                <c:pt idx="4520">
                  <c:v>5.0844229333333338E-2</c:v>
                </c:pt>
                <c:pt idx="4521">
                  <c:v>5.1027033333333333E-2</c:v>
                </c:pt>
                <c:pt idx="4522">
                  <c:v>5.1250930666666673E-2</c:v>
                </c:pt>
                <c:pt idx="4523">
                  <c:v>5.1028413333333335E-2</c:v>
                </c:pt>
                <c:pt idx="4524">
                  <c:v>5.2964523000000006E-2</c:v>
                </c:pt>
                <c:pt idx="4525">
                  <c:v>5.6051471999999998E-2</c:v>
                </c:pt>
                <c:pt idx="4526">
                  <c:v>5.8226858666666673E-2</c:v>
                </c:pt>
                <c:pt idx="4527">
                  <c:v>5.8007400000000001E-2</c:v>
                </c:pt>
                <c:pt idx="4528">
                  <c:v>5.5111056000000005E-2</c:v>
                </c:pt>
                <c:pt idx="4529">
                  <c:v>5.1183923999999999E-2</c:v>
                </c:pt>
                <c:pt idx="4530">
                  <c:v>5.0402016000000008E-2</c:v>
                </c:pt>
                <c:pt idx="4531">
                  <c:v>5.0349637333333336E-2</c:v>
                </c:pt>
                <c:pt idx="4532">
                  <c:v>5.0252884000000012E-2</c:v>
                </c:pt>
                <c:pt idx="4533">
                  <c:v>5.0483221333333335E-2</c:v>
                </c:pt>
                <c:pt idx="4534">
                  <c:v>5.0474266666666663E-2</c:v>
                </c:pt>
                <c:pt idx="4535">
                  <c:v>4.3174296000000001E-2</c:v>
                </c:pt>
                <c:pt idx="4536">
                  <c:v>6.2004480000000008E-3</c:v>
                </c:pt>
                <c:pt idx="4537">
                  <c:v>6.1860430000000004E-3</c:v>
                </c:pt>
                <c:pt idx="4538">
                  <c:v>6.1363880000000004E-3</c:v>
                </c:pt>
                <c:pt idx="4539">
                  <c:v>6.1796400000000001E-3</c:v>
                </c:pt>
                <c:pt idx="4540">
                  <c:v>6.1113866666666671E-3</c:v>
                </c:pt>
                <c:pt idx="4541">
                  <c:v>6.1051760000000004E-3</c:v>
                </c:pt>
                <c:pt idx="4542">
                  <c:v>6.1161466666666674E-3</c:v>
                </c:pt>
                <c:pt idx="4543">
                  <c:v>6.1380879999999999E-3</c:v>
                </c:pt>
                <c:pt idx="4544">
                  <c:v>6.1271173333333337E-3</c:v>
                </c:pt>
                <c:pt idx="4545">
                  <c:v>6.1380879999999999E-3</c:v>
                </c:pt>
                <c:pt idx="4546">
                  <c:v>6.1161466666666674E-3</c:v>
                </c:pt>
                <c:pt idx="4547">
                  <c:v>6.1188893333333338E-3</c:v>
                </c:pt>
                <c:pt idx="4548">
                  <c:v>6.1639279999999999E-3</c:v>
                </c:pt>
                <c:pt idx="4549">
                  <c:v>6.139040000000001E-3</c:v>
                </c:pt>
                <c:pt idx="4550">
                  <c:v>6.0846049999999999E-3</c:v>
                </c:pt>
                <c:pt idx="4551">
                  <c:v>6.125213333333334E-3</c:v>
                </c:pt>
                <c:pt idx="4552">
                  <c:v>6.1051760000000004E-3</c:v>
                </c:pt>
                <c:pt idx="4553">
                  <c:v>6.1169173333333335E-3</c:v>
                </c:pt>
                <c:pt idx="4554">
                  <c:v>6.1556319999999994E-3</c:v>
                </c:pt>
                <c:pt idx="4555">
                  <c:v>6.0763640000000008E-3</c:v>
                </c:pt>
                <c:pt idx="4556">
                  <c:v>6.1340733333333335E-3</c:v>
                </c:pt>
                <c:pt idx="4557">
                  <c:v>6.150101333333333E-3</c:v>
                </c:pt>
                <c:pt idx="4558">
                  <c:v>6.1418053333333333E-3</c:v>
                </c:pt>
                <c:pt idx="4559">
                  <c:v>6.1824000000000002E-3</c:v>
                </c:pt>
                <c:pt idx="4560">
                  <c:v>6.1380879999999999E-3</c:v>
                </c:pt>
                <c:pt idx="4561">
                  <c:v>6.1079186666666667E-3</c:v>
                </c:pt>
                <c:pt idx="4562">
                  <c:v>6.1336000000000003E-3</c:v>
                </c:pt>
                <c:pt idx="4563">
                  <c:v>6.1363200000000007E-3</c:v>
                </c:pt>
                <c:pt idx="4564">
                  <c:v>6.1580800000000007E-3</c:v>
                </c:pt>
                <c:pt idx="4565">
                  <c:v>6.1934400000000006E-3</c:v>
                </c:pt>
                <c:pt idx="4566">
                  <c:v>6.1499200000000006E-3</c:v>
                </c:pt>
                <c:pt idx="4567">
                  <c:v>6.149058666666667E-3</c:v>
                </c:pt>
                <c:pt idx="4568">
                  <c:v>6.1254400000000002E-3</c:v>
                </c:pt>
                <c:pt idx="4569">
                  <c:v>5.6162166666666666E-3</c:v>
                </c:pt>
                <c:pt idx="4570">
                  <c:v>4.9146480000000006E-3</c:v>
                </c:pt>
                <c:pt idx="4571">
                  <c:v>4.926909000000001E-3</c:v>
                </c:pt>
                <c:pt idx="4572">
                  <c:v>4.9313416666666669E-3</c:v>
                </c:pt>
                <c:pt idx="4573">
                  <c:v>4.95504E-3</c:v>
                </c:pt>
                <c:pt idx="4574">
                  <c:v>4.9388040000000006E-3</c:v>
                </c:pt>
                <c:pt idx="4575">
                  <c:v>4.9778846666666673E-3</c:v>
                </c:pt>
                <c:pt idx="4576">
                  <c:v>4.9557213333333338E-3</c:v>
                </c:pt>
                <c:pt idx="4577">
                  <c:v>4.969019333333333E-3</c:v>
                </c:pt>
                <c:pt idx="4578">
                  <c:v>4.9629600000000006E-3</c:v>
                </c:pt>
                <c:pt idx="4579">
                  <c:v>4.9778846666666673E-3</c:v>
                </c:pt>
                <c:pt idx="4580">
                  <c:v>5.0286960000000009E-3</c:v>
                </c:pt>
                <c:pt idx="4581">
                  <c:v>5.0175360000000004E-3</c:v>
                </c:pt>
                <c:pt idx="4582">
                  <c:v>4.9823173333333332E-3</c:v>
                </c:pt>
                <c:pt idx="4583">
                  <c:v>5.0111296666666668E-3</c:v>
                </c:pt>
                <c:pt idx="4584">
                  <c:v>4.9258000000000001E-3</c:v>
                </c:pt>
                <c:pt idx="4585">
                  <c:v>4.9756683333333331E-3</c:v>
                </c:pt>
                <c:pt idx="4586">
                  <c:v>4.9840560000000006E-3</c:v>
                </c:pt>
                <c:pt idx="4587">
                  <c:v>4.95504E-3</c:v>
                </c:pt>
                <c:pt idx="4588">
                  <c:v>4.8114359999999997E-3</c:v>
                </c:pt>
                <c:pt idx="4589">
                  <c:v>4.8382556666666668E-3</c:v>
                </c:pt>
                <c:pt idx="4590">
                  <c:v>4.8804066666666675E-3</c:v>
                </c:pt>
                <c:pt idx="4591">
                  <c:v>4.8426883333333335E-3</c:v>
                </c:pt>
                <c:pt idx="4592">
                  <c:v>4.8825823333333339E-3</c:v>
                </c:pt>
                <c:pt idx="4593">
                  <c:v>4.8648516666666671E-3</c:v>
                </c:pt>
                <c:pt idx="4594">
                  <c:v>4.8535666666666673E-3</c:v>
                </c:pt>
                <c:pt idx="4595">
                  <c:v>4.8449046666666669E-3</c:v>
                </c:pt>
                <c:pt idx="4596">
                  <c:v>4.864750000000001E-3</c:v>
                </c:pt>
                <c:pt idx="4597">
                  <c:v>4.8129599999999998E-3</c:v>
                </c:pt>
                <c:pt idx="4598">
                  <c:v>4.7974200000000002E-3</c:v>
                </c:pt>
                <c:pt idx="4599">
                  <c:v>4.77744E-3</c:v>
                </c:pt>
                <c:pt idx="4600">
                  <c:v>4.82184E-3</c:v>
                </c:pt>
                <c:pt idx="4601">
                  <c:v>4.8983000000000004E-3</c:v>
                </c:pt>
                <c:pt idx="4602">
                  <c:v>4.8626353333333337E-3</c:v>
                </c:pt>
                <c:pt idx="4603">
                  <c:v>4.9005366666666668E-3</c:v>
                </c:pt>
                <c:pt idx="4604">
                  <c:v>4.8983000000000004E-3</c:v>
                </c:pt>
                <c:pt idx="4605">
                  <c:v>4.9072466666666668E-3</c:v>
                </c:pt>
                <c:pt idx="4606">
                  <c:v>4.8848800000000003E-3</c:v>
                </c:pt>
                <c:pt idx="4607">
                  <c:v>4.8737170000000005E-3</c:v>
                </c:pt>
                <c:pt idx="4608">
                  <c:v>4.9003130000000008E-3</c:v>
                </c:pt>
                <c:pt idx="4609">
                  <c:v>4.95504E-3</c:v>
                </c:pt>
                <c:pt idx="4610">
                  <c:v>4.9461119999999999E-3</c:v>
                </c:pt>
                <c:pt idx="4611">
                  <c:v>4.9334846666666673E-3</c:v>
                </c:pt>
                <c:pt idx="4612">
                  <c:v>4.9290620000000005E-3</c:v>
                </c:pt>
                <c:pt idx="4613">
                  <c:v>4.9483440000000004E-3</c:v>
                </c:pt>
                <c:pt idx="4614">
                  <c:v>4.8355920000000005E-3</c:v>
                </c:pt>
                <c:pt idx="4615">
                  <c:v>4.9282560000000007E-3</c:v>
                </c:pt>
                <c:pt idx="4616">
                  <c:v>4.9260240000000002E-3</c:v>
                </c:pt>
                <c:pt idx="4617">
                  <c:v>4.8582993333333331E-3</c:v>
                </c:pt>
                <c:pt idx="4618">
                  <c:v>4.7455560000000006E-3</c:v>
                </c:pt>
                <c:pt idx="4619">
                  <c:v>4.7318716666666675E-3</c:v>
                </c:pt>
                <c:pt idx="4620">
                  <c:v>4.64454E-3</c:v>
                </c:pt>
                <c:pt idx="4621">
                  <c:v>4.7074920000000006E-3</c:v>
                </c:pt>
                <c:pt idx="4622">
                  <c:v>4.7274389999999999E-3</c:v>
                </c:pt>
                <c:pt idx="4623">
                  <c:v>4.771765666666667E-3</c:v>
                </c:pt>
                <c:pt idx="4624">
                  <c:v>4.7496023333333335E-3</c:v>
                </c:pt>
                <c:pt idx="4625">
                  <c:v>4.7318716666666675E-3</c:v>
                </c:pt>
                <c:pt idx="4626">
                  <c:v>4.6533240000000003E-3</c:v>
                </c:pt>
                <c:pt idx="4627">
                  <c:v>4.675284E-3</c:v>
                </c:pt>
                <c:pt idx="4628">
                  <c:v>4.7698460000000003E-3</c:v>
                </c:pt>
                <c:pt idx="4629">
                  <c:v>4.7854079999999997E-3</c:v>
                </c:pt>
                <c:pt idx="4630">
                  <c:v>4.7407370000000001E-3</c:v>
                </c:pt>
                <c:pt idx="4631">
                  <c:v>4.6919776666666671E-3</c:v>
                </c:pt>
                <c:pt idx="4632">
                  <c:v>4.7060280000000001E-3</c:v>
                </c:pt>
                <c:pt idx="4633">
                  <c:v>4.792104000000001E-3</c:v>
                </c:pt>
                <c:pt idx="4634">
                  <c:v>4.8207066666666664E-3</c:v>
                </c:pt>
                <c:pt idx="4635">
                  <c:v>4.8593580000000003E-3</c:v>
                </c:pt>
                <c:pt idx="4636">
                  <c:v>4.8251293333333341E-3</c:v>
                </c:pt>
                <c:pt idx="4637">
                  <c:v>4.7963820000000009E-3</c:v>
                </c:pt>
                <c:pt idx="4638">
                  <c:v>4.7875366666666665E-3</c:v>
                </c:pt>
                <c:pt idx="4639">
                  <c:v>4.7625093333333339E-3</c:v>
                </c:pt>
                <c:pt idx="4640">
                  <c:v>4.8450313333333337E-3</c:v>
                </c:pt>
                <c:pt idx="4641">
                  <c:v>4.883844E-3</c:v>
                </c:pt>
                <c:pt idx="4642">
                  <c:v>4.8030160000000011E-3</c:v>
                </c:pt>
                <c:pt idx="4643">
                  <c:v>4.7897479999999999E-3</c:v>
                </c:pt>
                <c:pt idx="4644">
                  <c:v>4.7654233333333336E-3</c:v>
                </c:pt>
                <c:pt idx="4645">
                  <c:v>4.7985933333333335E-3</c:v>
                </c:pt>
                <c:pt idx="4646">
                  <c:v>4.807438666666667E-3</c:v>
                </c:pt>
                <c:pt idx="4647">
                  <c:v>4.7609280000000002E-3</c:v>
                </c:pt>
                <c:pt idx="4648">
                  <c:v>4.8360393333333335E-3</c:v>
                </c:pt>
                <c:pt idx="4649">
                  <c:v>4.8449046666666669E-3</c:v>
                </c:pt>
                <c:pt idx="4650">
                  <c:v>4.7542000000000001E-3</c:v>
                </c:pt>
                <c:pt idx="4651">
                  <c:v>4.7498000000000002E-3</c:v>
                </c:pt>
                <c:pt idx="4652">
                  <c:v>4.7498000000000002E-3</c:v>
                </c:pt>
                <c:pt idx="4653">
                  <c:v>4.7863200000000002E-3</c:v>
                </c:pt>
                <c:pt idx="4654">
                  <c:v>4.8115200000000006E-3</c:v>
                </c:pt>
                <c:pt idx="4655">
                  <c:v>4.7863200000000002E-3</c:v>
                </c:pt>
                <c:pt idx="4656">
                  <c:v>4.8240600000000007E-3</c:v>
                </c:pt>
                <c:pt idx="4657">
                  <c:v>4.8268E-3</c:v>
                </c:pt>
                <c:pt idx="4658">
                  <c:v>4.8471210000000002E-3</c:v>
                </c:pt>
                <c:pt idx="4659">
                  <c:v>4.7673999999999998E-3</c:v>
                </c:pt>
                <c:pt idx="4660">
                  <c:v>4.7652000000000007E-3</c:v>
                </c:pt>
                <c:pt idx="4661">
                  <c:v>4.8005779999999998E-3</c:v>
                </c:pt>
                <c:pt idx="4662">
                  <c:v>4.7784960000000001E-3</c:v>
                </c:pt>
                <c:pt idx="4663">
                  <c:v>4.8160923333333333E-3</c:v>
                </c:pt>
                <c:pt idx="4664">
                  <c:v>4.7872800000000005E-3</c:v>
                </c:pt>
                <c:pt idx="4665">
                  <c:v>4.8244900000000007E-3</c:v>
                </c:pt>
                <c:pt idx="4666">
                  <c:v>4.7542000000000001E-3</c:v>
                </c:pt>
                <c:pt idx="4667">
                  <c:v>4.7850636666666672E-3</c:v>
                </c:pt>
                <c:pt idx="4668">
                  <c:v>4.8925440000000004E-3</c:v>
                </c:pt>
                <c:pt idx="4669">
                  <c:v>4.8004560000000007E-3</c:v>
                </c:pt>
                <c:pt idx="4670">
                  <c:v>4.802652000000001E-3</c:v>
                </c:pt>
                <c:pt idx="4671">
                  <c:v>4.813632E-3</c:v>
                </c:pt>
                <c:pt idx="4672">
                  <c:v>4.8382556666666668E-3</c:v>
                </c:pt>
                <c:pt idx="4673">
                  <c:v>4.827174E-3</c:v>
                </c:pt>
                <c:pt idx="4674">
                  <c:v>4.8138759999999999E-3</c:v>
                </c:pt>
                <c:pt idx="4675">
                  <c:v>4.8094433333333341E-3</c:v>
                </c:pt>
                <c:pt idx="4676">
                  <c:v>4.7606840000000003E-3</c:v>
                </c:pt>
                <c:pt idx="4677">
                  <c:v>4.7828879999999999E-3</c:v>
                </c:pt>
                <c:pt idx="4678">
                  <c:v>4.8449046666666669E-3</c:v>
                </c:pt>
                <c:pt idx="4679">
                  <c:v>4.8180239999999997E-3</c:v>
                </c:pt>
                <c:pt idx="4680">
                  <c:v>4.8426883333333335E-3</c:v>
                </c:pt>
                <c:pt idx="4681">
                  <c:v>4.8782013333333336E-3</c:v>
                </c:pt>
                <c:pt idx="4682">
                  <c:v>4.9103999999999997E-3</c:v>
                </c:pt>
                <c:pt idx="4683">
                  <c:v>4.8759900000000002E-3</c:v>
                </c:pt>
                <c:pt idx="4684">
                  <c:v>4.9483979999999997E-3</c:v>
                </c:pt>
                <c:pt idx="4685">
                  <c:v>4.9105350000000006E-3</c:v>
                </c:pt>
                <c:pt idx="4686">
                  <c:v>4.9083299999999998E-3</c:v>
                </c:pt>
                <c:pt idx="4687">
                  <c:v>4.8730500000000003E-3</c:v>
                </c:pt>
                <c:pt idx="4688">
                  <c:v>4.8906900000000005E-3</c:v>
                </c:pt>
                <c:pt idx="4689">
                  <c:v>4.9061250000000008E-3</c:v>
                </c:pt>
                <c:pt idx="4690">
                  <c:v>4.8681360000000003E-3</c:v>
                </c:pt>
                <c:pt idx="4691">
                  <c:v>4.8664349999999997E-3</c:v>
                </c:pt>
                <c:pt idx="4692">
                  <c:v>4.8949739999999999E-3</c:v>
                </c:pt>
                <c:pt idx="4693">
                  <c:v>4.8727140000000002E-3</c:v>
                </c:pt>
                <c:pt idx="4694">
                  <c:v>4.8273406666666666E-3</c:v>
                </c:pt>
                <c:pt idx="4695">
                  <c:v>4.8140726666666672E-3</c:v>
                </c:pt>
                <c:pt idx="4696">
                  <c:v>4.8096500000000004E-3</c:v>
                </c:pt>
                <c:pt idx="4697">
                  <c:v>4.8434400000000001E-3</c:v>
                </c:pt>
                <c:pt idx="4698">
                  <c:v>4.8255839999999999E-3</c:v>
                </c:pt>
                <c:pt idx="4699">
                  <c:v>4.8251293333333341E-3</c:v>
                </c:pt>
                <c:pt idx="4700">
                  <c:v>4.8813840000000008E-3</c:v>
                </c:pt>
                <c:pt idx="4701">
                  <c:v>4.8858479999999999E-3</c:v>
                </c:pt>
                <c:pt idx="4702">
                  <c:v>4.8224160000000004E-3</c:v>
                </c:pt>
                <c:pt idx="4703">
                  <c:v>4.8158279999999994E-3</c:v>
                </c:pt>
                <c:pt idx="4704">
                  <c:v>4.7960640000000009E-3</c:v>
                </c:pt>
                <c:pt idx="4705">
                  <c:v>4.820525E-3</c:v>
                </c:pt>
                <c:pt idx="4706">
                  <c:v>4.8851866666666669E-3</c:v>
                </c:pt>
                <c:pt idx="4707">
                  <c:v>4.9436100000000002E-3</c:v>
                </c:pt>
                <c:pt idx="4708">
                  <c:v>5.0018220000000004E-3</c:v>
                </c:pt>
                <c:pt idx="4709">
                  <c:v>4.9810949999999996E-3</c:v>
                </c:pt>
                <c:pt idx="4710">
                  <c:v>4.9678650000000001E-3</c:v>
                </c:pt>
                <c:pt idx="4711">
                  <c:v>4.8764240000000007E-3</c:v>
                </c:pt>
                <c:pt idx="4712">
                  <c:v>4.8654706666666665E-3</c:v>
                </c:pt>
                <c:pt idx="4713">
                  <c:v>4.8632800000000002E-3</c:v>
                </c:pt>
                <c:pt idx="4714">
                  <c:v>4.8764240000000007E-3</c:v>
                </c:pt>
                <c:pt idx="4715">
                  <c:v>4.9149450000000004E-3</c:v>
                </c:pt>
                <c:pt idx="4716">
                  <c:v>4.9061250000000008E-3</c:v>
                </c:pt>
                <c:pt idx="4717">
                  <c:v>4.9369950000000004E-3</c:v>
                </c:pt>
                <c:pt idx="4718">
                  <c:v>4.9171500000000003E-3</c:v>
                </c:pt>
                <c:pt idx="4719">
                  <c:v>4.9172340000000004E-3</c:v>
                </c:pt>
                <c:pt idx="4720">
                  <c:v>4.8708449999999995E-3</c:v>
                </c:pt>
                <c:pt idx="4721">
                  <c:v>4.8774600000000001E-3</c:v>
                </c:pt>
                <c:pt idx="4722">
                  <c:v>4.9038780000000004E-3</c:v>
                </c:pt>
                <c:pt idx="4723">
                  <c:v>4.8282293333333339E-3</c:v>
                </c:pt>
                <c:pt idx="4724">
                  <c:v>4.8588986666666667E-3</c:v>
                </c:pt>
                <c:pt idx="4725">
                  <c:v>4.9215600000000002E-3</c:v>
                </c:pt>
                <c:pt idx="4726">
                  <c:v>4.9215600000000002E-3</c:v>
                </c:pt>
                <c:pt idx="4727">
                  <c:v>4.9281750000000008E-3</c:v>
                </c:pt>
                <c:pt idx="4728">
                  <c:v>4.9706580000000002E-3</c:v>
                </c:pt>
                <c:pt idx="4729">
                  <c:v>4.8654706666666665E-3</c:v>
                </c:pt>
                <c:pt idx="4730">
                  <c:v>4.8782013333333336E-3</c:v>
                </c:pt>
                <c:pt idx="4731">
                  <c:v>4.8582993333333331E-3</c:v>
                </c:pt>
                <c:pt idx="4732">
                  <c:v>4.851665333333333E-3</c:v>
                </c:pt>
                <c:pt idx="4733">
                  <c:v>4.851665333333333E-3</c:v>
                </c:pt>
                <c:pt idx="4734">
                  <c:v>4.7587320000000008E-3</c:v>
                </c:pt>
                <c:pt idx="4735">
                  <c:v>4.807438666666667E-3</c:v>
                </c:pt>
                <c:pt idx="4736">
                  <c:v>4.8207066666666664E-3</c:v>
                </c:pt>
                <c:pt idx="4737">
                  <c:v>4.7543400000000001E-3</c:v>
                </c:pt>
                <c:pt idx="4738">
                  <c:v>4.7609280000000002E-3</c:v>
                </c:pt>
                <c:pt idx="4739">
                  <c:v>4.836186000000001E-3</c:v>
                </c:pt>
                <c:pt idx="4740">
                  <c:v>4.7844160000000005E-3</c:v>
                </c:pt>
                <c:pt idx="4741">
                  <c:v>4.7734626666666663E-3</c:v>
                </c:pt>
                <c:pt idx="4742">
                  <c:v>4.7941706666666667E-3</c:v>
                </c:pt>
                <c:pt idx="4743">
                  <c:v>4.7985933333333335E-3</c:v>
                </c:pt>
                <c:pt idx="4744">
                  <c:v>4.8140726666666672E-3</c:v>
                </c:pt>
                <c:pt idx="4745">
                  <c:v>4.7919593333333342E-3</c:v>
                </c:pt>
                <c:pt idx="4746">
                  <c:v>4.8008046666666668E-3</c:v>
                </c:pt>
                <c:pt idx="4747">
                  <c:v>4.8030160000000011E-3</c:v>
                </c:pt>
                <c:pt idx="4748">
                  <c:v>4.7941706666666667E-3</c:v>
                </c:pt>
                <c:pt idx="4749">
                  <c:v>4.836186000000001E-3</c:v>
                </c:pt>
                <c:pt idx="4750">
                  <c:v>4.8627219999999999E-3</c:v>
                </c:pt>
                <c:pt idx="4751">
                  <c:v>4.8582993333333331E-3</c:v>
                </c:pt>
                <c:pt idx="4752">
                  <c:v>4.8339746666666676E-3</c:v>
                </c:pt>
                <c:pt idx="4753">
                  <c:v>4.8273406666666666E-3</c:v>
                </c:pt>
                <c:pt idx="4754">
                  <c:v>4.8063226666666672E-3</c:v>
                </c:pt>
                <c:pt idx="4755">
                  <c:v>4.8282293333333339E-3</c:v>
                </c:pt>
                <c:pt idx="4756">
                  <c:v>4.939494E-3</c:v>
                </c:pt>
                <c:pt idx="4757">
                  <c:v>4.9149450000000004E-3</c:v>
                </c:pt>
                <c:pt idx="4758">
                  <c:v>4.8965279999999998E-3</c:v>
                </c:pt>
                <c:pt idx="4759">
                  <c:v>4.8812400000000002E-3</c:v>
                </c:pt>
                <c:pt idx="4760">
                  <c:v>4.8840750000000007E-3</c:v>
                </c:pt>
                <c:pt idx="4761">
                  <c:v>4.8928950000000004E-3</c:v>
                </c:pt>
                <c:pt idx="4762">
                  <c:v>4.8484800000000005E-3</c:v>
                </c:pt>
                <c:pt idx="4763">
                  <c:v>4.8419280000000006E-3</c:v>
                </c:pt>
                <c:pt idx="4764">
                  <c:v>4.8200880000000002E-3</c:v>
                </c:pt>
                <c:pt idx="4765">
                  <c:v>4.8598199999999999E-3</c:v>
                </c:pt>
                <c:pt idx="4766">
                  <c:v>4.8532050000000002E-3</c:v>
                </c:pt>
                <c:pt idx="4767">
                  <c:v>4.8179040000000005E-3</c:v>
                </c:pt>
                <c:pt idx="4768">
                  <c:v>4.8399750000000007E-3</c:v>
                </c:pt>
                <c:pt idx="4769">
                  <c:v>4.8554100000000001E-3</c:v>
                </c:pt>
                <c:pt idx="4770">
                  <c:v>4.8949739999999999E-3</c:v>
                </c:pt>
                <c:pt idx="4771">
                  <c:v>4.8708449999999995E-3</c:v>
                </c:pt>
                <c:pt idx="4772">
                  <c:v>4.8421800000000006E-3</c:v>
                </c:pt>
                <c:pt idx="4773">
                  <c:v>4.8598199999999999E-3</c:v>
                </c:pt>
                <c:pt idx="4774">
                  <c:v>4.9409706666666674E-3</c:v>
                </c:pt>
                <c:pt idx="4775">
                  <c:v>4.9454080000000001E-3</c:v>
                </c:pt>
                <c:pt idx="4776">
                  <c:v>4.9374079999999999E-3</c:v>
                </c:pt>
                <c:pt idx="4777">
                  <c:v>4.9264213333333334E-3</c:v>
                </c:pt>
                <c:pt idx="4778">
                  <c:v>4.9409706666666674E-3</c:v>
                </c:pt>
                <c:pt idx="4779">
                  <c:v>4.893461333333334E-3</c:v>
                </c:pt>
                <c:pt idx="4780">
                  <c:v>4.8780799999999999E-3</c:v>
                </c:pt>
                <c:pt idx="4781">
                  <c:v>4.9076906666666673E-3</c:v>
                </c:pt>
                <c:pt idx="4782">
                  <c:v>4.7936699999999999E-3</c:v>
                </c:pt>
                <c:pt idx="4783">
                  <c:v>4.8215160000000005E-3</c:v>
                </c:pt>
                <c:pt idx="4784">
                  <c:v>4.8259680000000008E-3</c:v>
                </c:pt>
                <c:pt idx="4785">
                  <c:v>4.7958750000000007E-3</c:v>
                </c:pt>
                <c:pt idx="4786">
                  <c:v>4.8744106666666672E-3</c:v>
                </c:pt>
                <c:pt idx="4787">
                  <c:v>4.9054720000000001E-3</c:v>
                </c:pt>
                <c:pt idx="4788">
                  <c:v>4.9076906666666673E-3</c:v>
                </c:pt>
                <c:pt idx="4789">
                  <c:v>4.8912640000000002E-3</c:v>
                </c:pt>
                <c:pt idx="4790">
                  <c:v>4.9387520000000002E-3</c:v>
                </c:pt>
                <c:pt idx="4791">
                  <c:v>4.9022506666666667E-3</c:v>
                </c:pt>
                <c:pt idx="4792">
                  <c:v>4.913237333333334E-3</c:v>
                </c:pt>
                <c:pt idx="4793">
                  <c:v>4.9220266666666675E-3</c:v>
                </c:pt>
                <c:pt idx="4794">
                  <c:v>4.915434666666667E-3</c:v>
                </c:pt>
                <c:pt idx="4795">
                  <c:v>5.0078600000000003E-3</c:v>
                </c:pt>
                <c:pt idx="4796">
                  <c:v>4.9702900000000005E-3</c:v>
                </c:pt>
                <c:pt idx="4797">
                  <c:v>4.9658700000000007E-3</c:v>
                </c:pt>
                <c:pt idx="4798">
                  <c:v>4.9614500000000001E-3</c:v>
                </c:pt>
                <c:pt idx="4799">
                  <c:v>4.9548199999999995E-3</c:v>
                </c:pt>
                <c:pt idx="4800">
                  <c:v>4.9636600000000008E-3</c:v>
                </c:pt>
                <c:pt idx="4801">
                  <c:v>4.9989333333333337E-3</c:v>
                </c:pt>
                <c:pt idx="4802">
                  <c:v>4.9813399999999999E-3</c:v>
                </c:pt>
                <c:pt idx="4803">
                  <c:v>4.9220266666666675E-3</c:v>
                </c:pt>
                <c:pt idx="4804">
                  <c:v>4.915434666666667E-3</c:v>
                </c:pt>
                <c:pt idx="4805">
                  <c:v>4.9066453333333343E-3</c:v>
                </c:pt>
                <c:pt idx="4806">
                  <c:v>5.0212500000000005E-3</c:v>
                </c:pt>
                <c:pt idx="4807">
                  <c:v>4.9461973333333334E-3</c:v>
                </c:pt>
                <c:pt idx="4808">
                  <c:v>4.9923900000000002E-3</c:v>
                </c:pt>
                <c:pt idx="4809">
                  <c:v>4.9946000000000001E-3</c:v>
                </c:pt>
                <c:pt idx="4810">
                  <c:v>4.9791300000000009E-3</c:v>
                </c:pt>
                <c:pt idx="4811">
                  <c:v>4.9500100000000003E-3</c:v>
                </c:pt>
                <c:pt idx="4812">
                  <c:v>4.9653283333333338E-3</c:v>
                </c:pt>
                <c:pt idx="4813">
                  <c:v>4.9879700000000004E-3</c:v>
                </c:pt>
                <c:pt idx="4814">
                  <c:v>4.8648959999999996E-3</c:v>
                </c:pt>
                <c:pt idx="4815">
                  <c:v>4.8626986666666676E-3</c:v>
                </c:pt>
                <c:pt idx="4816">
                  <c:v>4.9099093333333337E-3</c:v>
                </c:pt>
                <c:pt idx="4817">
                  <c:v>4.8157200000000008E-3</c:v>
                </c:pt>
                <c:pt idx="4818">
                  <c:v>4.8200880000000002E-3</c:v>
                </c:pt>
                <c:pt idx="4819">
                  <c:v>4.9210026666666662E-3</c:v>
                </c:pt>
                <c:pt idx="4820">
                  <c:v>4.9320960000000004E-3</c:v>
                </c:pt>
                <c:pt idx="4821">
                  <c:v>4.9165653333333335E-3</c:v>
                </c:pt>
                <c:pt idx="4822">
                  <c:v>4.9032533333333338E-3</c:v>
                </c:pt>
                <c:pt idx="4823">
                  <c:v>4.9276586666666669E-3</c:v>
                </c:pt>
                <c:pt idx="4824">
                  <c:v>4.8375600000000003E-3</c:v>
                </c:pt>
                <c:pt idx="4825">
                  <c:v>4.8620249999999999E-3</c:v>
                </c:pt>
                <c:pt idx="4826">
                  <c:v>4.8487950000000004E-3</c:v>
                </c:pt>
                <c:pt idx="4827">
                  <c:v>4.8598199999999999E-3</c:v>
                </c:pt>
                <c:pt idx="4828">
                  <c:v>4.9365333333333339E-3</c:v>
                </c:pt>
                <c:pt idx="4829">
                  <c:v>4.9396053333333337E-3</c:v>
                </c:pt>
                <c:pt idx="4830">
                  <c:v>4.9264213333333334E-3</c:v>
                </c:pt>
                <c:pt idx="4831">
                  <c:v>4.9286186666666672E-3</c:v>
                </c:pt>
                <c:pt idx="4832">
                  <c:v>4.9418026666666667E-3</c:v>
                </c:pt>
                <c:pt idx="4833">
                  <c:v>4.9396053333333337E-3</c:v>
                </c:pt>
                <c:pt idx="4834">
                  <c:v>4.9264213333333334E-3</c:v>
                </c:pt>
                <c:pt idx="4835">
                  <c:v>4.9476266666666664E-3</c:v>
                </c:pt>
                <c:pt idx="4836">
                  <c:v>4.8310080000000004E-3</c:v>
                </c:pt>
                <c:pt idx="4837">
                  <c:v>4.9320960000000004E-3</c:v>
                </c:pt>
                <c:pt idx="4838">
                  <c:v>4.9187840000000007E-3</c:v>
                </c:pt>
                <c:pt idx="4839">
                  <c:v>4.8943786666666668E-3</c:v>
                </c:pt>
                <c:pt idx="4840">
                  <c:v>4.9210026666666662E-3</c:v>
                </c:pt>
                <c:pt idx="4841">
                  <c:v>4.893461333333334E-3</c:v>
                </c:pt>
                <c:pt idx="4842">
                  <c:v>4.9022506666666667E-3</c:v>
                </c:pt>
                <c:pt idx="4843">
                  <c:v>4.9088426666666672E-3</c:v>
                </c:pt>
                <c:pt idx="4844">
                  <c:v>4.9110400000000002E-3</c:v>
                </c:pt>
                <c:pt idx="4845">
                  <c:v>4.913237333333334E-3</c:v>
                </c:pt>
                <c:pt idx="4846">
                  <c:v>4.913237333333334E-3</c:v>
                </c:pt>
                <c:pt idx="4847">
                  <c:v>4.9110400000000002E-3</c:v>
                </c:pt>
                <c:pt idx="4848">
                  <c:v>4.9176319999999999E-3</c:v>
                </c:pt>
                <c:pt idx="4849">
                  <c:v>4.915434666666667E-3</c:v>
                </c:pt>
                <c:pt idx="4850">
                  <c:v>4.9066453333333343E-3</c:v>
                </c:pt>
                <c:pt idx="4851">
                  <c:v>4.895658666666667E-3</c:v>
                </c:pt>
                <c:pt idx="4852">
                  <c:v>4.875882666666667E-3</c:v>
                </c:pt>
                <c:pt idx="4853">
                  <c:v>4.8670933333333334E-3</c:v>
                </c:pt>
                <c:pt idx="4854">
                  <c:v>4.8648959999999996E-3</c:v>
                </c:pt>
                <c:pt idx="4855">
                  <c:v>4.8846720000000005E-3</c:v>
                </c:pt>
                <c:pt idx="4856">
                  <c:v>4.8605013333333337E-3</c:v>
                </c:pt>
                <c:pt idx="4857">
                  <c:v>4.8495146666666673E-3</c:v>
                </c:pt>
                <c:pt idx="4858">
                  <c:v>4.8495146666666673E-3</c:v>
                </c:pt>
                <c:pt idx="4859">
                  <c:v>4.8714880000000002E-3</c:v>
                </c:pt>
                <c:pt idx="4860">
                  <c:v>4.8780799999999999E-3</c:v>
                </c:pt>
                <c:pt idx="4861">
                  <c:v>4.8714880000000002E-3</c:v>
                </c:pt>
                <c:pt idx="4862">
                  <c:v>4.9044479999999996E-3</c:v>
                </c:pt>
                <c:pt idx="4863">
                  <c:v>4.9922383333333336E-3</c:v>
                </c:pt>
                <c:pt idx="4864">
                  <c:v>4.9614500000000001E-3</c:v>
                </c:pt>
                <c:pt idx="4865">
                  <c:v>4.9791300000000009E-3</c:v>
                </c:pt>
                <c:pt idx="4866">
                  <c:v>4.9221120000000011E-3</c:v>
                </c:pt>
                <c:pt idx="4867">
                  <c:v>4.8954026666666673E-3</c:v>
                </c:pt>
                <c:pt idx="4868">
                  <c:v>4.9482240000000002E-3</c:v>
                </c:pt>
                <c:pt idx="4869">
                  <c:v>5.0078600000000003E-3</c:v>
                </c:pt>
                <c:pt idx="4870">
                  <c:v>5.0078600000000003E-3</c:v>
                </c:pt>
                <c:pt idx="4871">
                  <c:v>4.9968100000000008E-3</c:v>
                </c:pt>
                <c:pt idx="4872">
                  <c:v>5.0144899999999999E-3</c:v>
                </c:pt>
                <c:pt idx="4873">
                  <c:v>5.0100700000000001E-3</c:v>
                </c:pt>
                <c:pt idx="4874">
                  <c:v>4.9481899999999999E-3</c:v>
                </c:pt>
                <c:pt idx="4875">
                  <c:v>4.8407253333333337E-3</c:v>
                </c:pt>
                <c:pt idx="4876">
                  <c:v>4.8788480000000007E-3</c:v>
                </c:pt>
                <c:pt idx="4877">
                  <c:v>4.872192E-3</c:v>
                </c:pt>
                <c:pt idx="4878">
                  <c:v>4.8433493333333343E-3</c:v>
                </c:pt>
                <c:pt idx="4879">
                  <c:v>4.8433493333333343E-3</c:v>
                </c:pt>
                <c:pt idx="4880">
                  <c:v>4.8344746666666672E-3</c:v>
                </c:pt>
                <c:pt idx="4881">
                  <c:v>4.8522240000000005E-3</c:v>
                </c:pt>
                <c:pt idx="4882">
                  <c:v>4.814357333333334E-3</c:v>
                </c:pt>
                <c:pt idx="4883">
                  <c:v>4.8187519999999999E-3</c:v>
                </c:pt>
                <c:pt idx="4884">
                  <c:v>4.8341333333333332E-3</c:v>
                </c:pt>
                <c:pt idx="4885">
                  <c:v>4.8605013333333337E-3</c:v>
                </c:pt>
                <c:pt idx="4886">
                  <c:v>4.9409100000000006E-3</c:v>
                </c:pt>
                <c:pt idx="4887">
                  <c:v>4.9409100000000006E-3</c:v>
                </c:pt>
                <c:pt idx="4888">
                  <c:v>4.943141666666667E-3</c:v>
                </c:pt>
                <c:pt idx="4889">
                  <c:v>4.8517120000000002E-3</c:v>
                </c:pt>
                <c:pt idx="4890">
                  <c:v>4.8407253333333337E-3</c:v>
                </c:pt>
                <c:pt idx="4891">
                  <c:v>4.8451200000000005E-3</c:v>
                </c:pt>
                <c:pt idx="4892">
                  <c:v>4.856106666666667E-3</c:v>
                </c:pt>
                <c:pt idx="4893">
                  <c:v>4.8319360000000002E-3</c:v>
                </c:pt>
                <c:pt idx="4894">
                  <c:v>4.9453733333333335E-3</c:v>
                </c:pt>
                <c:pt idx="4895">
                  <c:v>4.9172500000000006E-3</c:v>
                </c:pt>
                <c:pt idx="4896">
                  <c:v>4.9018666666666667E-3</c:v>
                </c:pt>
                <c:pt idx="4897">
                  <c:v>4.9128083333333334E-3</c:v>
                </c:pt>
                <c:pt idx="4898">
                  <c:v>4.8843599999999999E-3</c:v>
                </c:pt>
                <c:pt idx="4899">
                  <c:v>4.8996783333333334E-3</c:v>
                </c:pt>
                <c:pt idx="4900">
                  <c:v>4.9193733333333335E-3</c:v>
                </c:pt>
                <c:pt idx="4901">
                  <c:v>4.9171850000000001E-3</c:v>
                </c:pt>
                <c:pt idx="4902">
                  <c:v>4.9259383333333335E-3</c:v>
                </c:pt>
                <c:pt idx="4903">
                  <c:v>4.9325033333333344E-3</c:v>
                </c:pt>
                <c:pt idx="4904">
                  <c:v>4.947821666666667E-3</c:v>
                </c:pt>
                <c:pt idx="4905">
                  <c:v>4.9587633333333337E-3</c:v>
                </c:pt>
                <c:pt idx="4906">
                  <c:v>4.9521983333333337E-3</c:v>
                </c:pt>
                <c:pt idx="4907">
                  <c:v>4.9675166666666671E-3</c:v>
                </c:pt>
                <c:pt idx="4908">
                  <c:v>4.9609516666666662E-3</c:v>
                </c:pt>
                <c:pt idx="4909">
                  <c:v>4.9270000000000008E-3</c:v>
                </c:pt>
                <c:pt idx="4910">
                  <c:v>4.9335000000000004E-3</c:v>
                </c:pt>
                <c:pt idx="4911">
                  <c:v>4.9896000000000003E-3</c:v>
                </c:pt>
                <c:pt idx="4912">
                  <c:v>4.9741999999999998E-3</c:v>
                </c:pt>
                <c:pt idx="4913">
                  <c:v>5.0106099999999995E-3</c:v>
                </c:pt>
                <c:pt idx="4914">
                  <c:v>4.947821666666667E-3</c:v>
                </c:pt>
                <c:pt idx="4915">
                  <c:v>4.911833333333334E-3</c:v>
                </c:pt>
                <c:pt idx="4916">
                  <c:v>4.911833333333334E-3</c:v>
                </c:pt>
                <c:pt idx="4917">
                  <c:v>5.0283860000000001E-3</c:v>
                </c:pt>
                <c:pt idx="4918">
                  <c:v>5.0194979999999998E-3</c:v>
                </c:pt>
                <c:pt idx="4919">
                  <c:v>4.9653283333333338E-3</c:v>
                </c:pt>
                <c:pt idx="4920">
                  <c:v>4.9205000000000004E-3</c:v>
                </c:pt>
                <c:pt idx="4921">
                  <c:v>5.0350519999999999E-3</c:v>
                </c:pt>
                <c:pt idx="4922">
                  <c:v>5.0217200000000004E-3</c:v>
                </c:pt>
                <c:pt idx="4923">
                  <c:v>4.9237500000000002E-3</c:v>
                </c:pt>
                <c:pt idx="4924">
                  <c:v>5.0017220000000001E-3</c:v>
                </c:pt>
                <c:pt idx="4925">
                  <c:v>4.9390683333333336E-3</c:v>
                </c:pt>
                <c:pt idx="4926">
                  <c:v>4.941256666666667E-3</c:v>
                </c:pt>
                <c:pt idx="4927">
                  <c:v>4.9390683333333336E-3</c:v>
                </c:pt>
                <c:pt idx="4928">
                  <c:v>4.9565750000000013E-3</c:v>
                </c:pt>
                <c:pt idx="4929">
                  <c:v>4.9653283333333338E-3</c:v>
                </c:pt>
                <c:pt idx="4930">
                  <c:v>4.9784583333333339E-3</c:v>
                </c:pt>
                <c:pt idx="4931">
                  <c:v>4.9675166666666671E-3</c:v>
                </c:pt>
                <c:pt idx="4932">
                  <c:v>4.9697050000000005E-3</c:v>
                </c:pt>
                <c:pt idx="4933">
                  <c:v>4.9609516666666662E-3</c:v>
                </c:pt>
                <c:pt idx="4934">
                  <c:v>4.9521983333333337E-3</c:v>
                </c:pt>
                <c:pt idx="4935">
                  <c:v>4.9434450000000003E-3</c:v>
                </c:pt>
                <c:pt idx="4936">
                  <c:v>4.9923900000000002E-3</c:v>
                </c:pt>
                <c:pt idx="4937">
                  <c:v>4.947821666666667E-3</c:v>
                </c:pt>
                <c:pt idx="4938">
                  <c:v>4.9614500000000001E-3</c:v>
                </c:pt>
                <c:pt idx="4939">
                  <c:v>4.94598E-3</c:v>
                </c:pt>
                <c:pt idx="4940">
                  <c:v>4.9614500000000001E-3</c:v>
                </c:pt>
                <c:pt idx="4941">
                  <c:v>4.9303150000000011E-3</c:v>
                </c:pt>
                <c:pt idx="4942">
                  <c:v>4.9346916666666669E-3</c:v>
                </c:pt>
                <c:pt idx="4943">
                  <c:v>4.9325033333333344E-3</c:v>
                </c:pt>
                <c:pt idx="4944">
                  <c:v>4.9548199999999995E-3</c:v>
                </c:pt>
                <c:pt idx="4945">
                  <c:v>4.9636600000000008E-3</c:v>
                </c:pt>
                <c:pt idx="4946">
                  <c:v>4.9614500000000001E-3</c:v>
                </c:pt>
                <c:pt idx="4947">
                  <c:v>4.9325033333333344E-3</c:v>
                </c:pt>
                <c:pt idx="4948">
                  <c:v>4.9434450000000003E-3</c:v>
                </c:pt>
                <c:pt idx="4949">
                  <c:v>4.9587633333333337E-3</c:v>
                </c:pt>
                <c:pt idx="4950">
                  <c:v>4.9806466666666672E-3</c:v>
                </c:pt>
                <c:pt idx="4951">
                  <c:v>4.9784583333333339E-3</c:v>
                </c:pt>
                <c:pt idx="4952">
                  <c:v>4.9784583333333339E-3</c:v>
                </c:pt>
                <c:pt idx="4953">
                  <c:v>4.9740816666666672E-3</c:v>
                </c:pt>
                <c:pt idx="4954">
                  <c:v>4.9697050000000005E-3</c:v>
                </c:pt>
                <c:pt idx="4955">
                  <c:v>4.9653283333333338E-3</c:v>
                </c:pt>
                <c:pt idx="4956">
                  <c:v>5.0328300000000003E-3</c:v>
                </c:pt>
                <c:pt idx="4957">
                  <c:v>4.9368799999999994E-3</c:v>
                </c:pt>
                <c:pt idx="4958">
                  <c:v>4.9215616666666677E-3</c:v>
                </c:pt>
                <c:pt idx="4959">
                  <c:v>4.9950560000000003E-3</c:v>
                </c:pt>
                <c:pt idx="4960">
                  <c:v>5.0106099999999995E-3</c:v>
                </c:pt>
                <c:pt idx="4961">
                  <c:v>5.0217200000000004E-3</c:v>
                </c:pt>
                <c:pt idx="4962">
                  <c:v>4.9456333333333337E-3</c:v>
                </c:pt>
                <c:pt idx="4963">
                  <c:v>4.9675166666666671E-3</c:v>
                </c:pt>
                <c:pt idx="4964">
                  <c:v>4.971893333333333E-3</c:v>
                </c:pt>
                <c:pt idx="4965">
                  <c:v>4.9335000000000004E-3</c:v>
                </c:pt>
                <c:pt idx="4966">
                  <c:v>4.9291666666666668E-3</c:v>
                </c:pt>
                <c:pt idx="4967">
                  <c:v>4.9631399999999996E-3</c:v>
                </c:pt>
                <c:pt idx="4968">
                  <c:v>4.9609516666666662E-3</c:v>
                </c:pt>
                <c:pt idx="4969">
                  <c:v>4.947821666666667E-3</c:v>
                </c:pt>
                <c:pt idx="4970">
                  <c:v>4.9631399999999996E-3</c:v>
                </c:pt>
                <c:pt idx="4971">
                  <c:v>4.9893999999999997E-3</c:v>
                </c:pt>
                <c:pt idx="4972">
                  <c:v>5.0090949999999999E-3</c:v>
                </c:pt>
                <c:pt idx="4973">
                  <c:v>5.0134716666666666E-3</c:v>
                </c:pt>
                <c:pt idx="4974">
                  <c:v>4.9616666666666672E-3</c:v>
                </c:pt>
                <c:pt idx="4975">
                  <c:v>4.9573333333333336E-3</c:v>
                </c:pt>
                <c:pt idx="4976">
                  <c:v>4.9443333333333336E-3</c:v>
                </c:pt>
                <c:pt idx="4977">
                  <c:v>4.9784583333333339E-3</c:v>
                </c:pt>
                <c:pt idx="4978">
                  <c:v>4.9587633333333337E-3</c:v>
                </c:pt>
                <c:pt idx="4979">
                  <c:v>4.9205000000000004E-3</c:v>
                </c:pt>
                <c:pt idx="4980">
                  <c:v>4.9313333333333336E-3</c:v>
                </c:pt>
                <c:pt idx="4981">
                  <c:v>4.9508333333333331E-3</c:v>
                </c:pt>
                <c:pt idx="4982">
                  <c:v>5.0446000000000006E-3</c:v>
                </c:pt>
                <c:pt idx="4983">
                  <c:v>4.9551666666666676E-3</c:v>
                </c:pt>
                <c:pt idx="4984">
                  <c:v>4.9508333333333331E-3</c:v>
                </c:pt>
                <c:pt idx="4985">
                  <c:v>4.9616666666666672E-3</c:v>
                </c:pt>
                <c:pt idx="4986">
                  <c:v>5.0468000000000006E-3</c:v>
                </c:pt>
                <c:pt idx="4987">
                  <c:v>4.9833333333333335E-3</c:v>
                </c:pt>
                <c:pt idx="4988">
                  <c:v>5.0644000000000002E-3</c:v>
                </c:pt>
                <c:pt idx="4989">
                  <c:v>4.9725000000000004E-3</c:v>
                </c:pt>
                <c:pt idx="4990">
                  <c:v>5.0644000000000002E-3</c:v>
                </c:pt>
                <c:pt idx="4991">
                  <c:v>5.0622000000000002E-3</c:v>
                </c:pt>
                <c:pt idx="4992">
                  <c:v>5.0731999999999999E-3</c:v>
                </c:pt>
                <c:pt idx="4993">
                  <c:v>5.0181119999999999E-3</c:v>
                </c:pt>
                <c:pt idx="4994">
                  <c:v>5.0644000000000002E-3</c:v>
                </c:pt>
                <c:pt idx="4995">
                  <c:v>5.0688000000000009E-3</c:v>
                </c:pt>
                <c:pt idx="4996">
                  <c:v>5.0644000000000002E-3</c:v>
                </c:pt>
                <c:pt idx="4997">
                  <c:v>5.0622000000000002E-3</c:v>
                </c:pt>
                <c:pt idx="4998">
                  <c:v>5.0534000000000004E-3</c:v>
                </c:pt>
                <c:pt idx="4999">
                  <c:v>4.9681666666666667E-3</c:v>
                </c:pt>
                <c:pt idx="5000">
                  <c:v>4.9659999999999999E-3</c:v>
                </c:pt>
                <c:pt idx="5001">
                  <c:v>4.9595000000000004E-3</c:v>
                </c:pt>
                <c:pt idx="5002">
                  <c:v>4.9595000000000004E-3</c:v>
                </c:pt>
                <c:pt idx="5003">
                  <c:v>5.0512000000000005E-3</c:v>
                </c:pt>
                <c:pt idx="5004">
                  <c:v>4.9940000000000002E-3</c:v>
                </c:pt>
                <c:pt idx="5005">
                  <c:v>4.9610000000000001E-3</c:v>
                </c:pt>
                <c:pt idx="5006">
                  <c:v>4.9995000000000005E-3</c:v>
                </c:pt>
                <c:pt idx="5007">
                  <c:v>4.9950560000000003E-3</c:v>
                </c:pt>
                <c:pt idx="5008">
                  <c:v>5.0083880000000008E-3</c:v>
                </c:pt>
                <c:pt idx="5009">
                  <c:v>5.0017220000000001E-3</c:v>
                </c:pt>
                <c:pt idx="5010">
                  <c:v>4.9995000000000005E-3</c:v>
                </c:pt>
                <c:pt idx="5011">
                  <c:v>4.9972780000000008E-3</c:v>
                </c:pt>
                <c:pt idx="5012">
                  <c:v>4.9522000000000004E-3</c:v>
                </c:pt>
                <c:pt idx="5013">
                  <c:v>4.9566000000000002E-3</c:v>
                </c:pt>
                <c:pt idx="5014">
                  <c:v>4.9883900000000005E-3</c:v>
                </c:pt>
                <c:pt idx="5015">
                  <c:v>4.9698000000000008E-3</c:v>
                </c:pt>
                <c:pt idx="5016">
                  <c:v>4.9786000000000006E-3</c:v>
                </c:pt>
                <c:pt idx="5017">
                  <c:v>4.9610000000000001E-3</c:v>
                </c:pt>
                <c:pt idx="5018">
                  <c:v>5.0128320000000001E-3</c:v>
                </c:pt>
                <c:pt idx="5019">
                  <c:v>4.9551666666666676E-3</c:v>
                </c:pt>
                <c:pt idx="5020">
                  <c:v>4.963833333333334E-3</c:v>
                </c:pt>
                <c:pt idx="5021">
                  <c:v>4.9746666666666663E-3</c:v>
                </c:pt>
                <c:pt idx="5022">
                  <c:v>5.0556000000000004E-3</c:v>
                </c:pt>
                <c:pt idx="5023">
                  <c:v>5.0600000000000003E-3</c:v>
                </c:pt>
                <c:pt idx="5024">
                  <c:v>4.9811666666666667E-3</c:v>
                </c:pt>
                <c:pt idx="5025">
                  <c:v>4.9725000000000004E-3</c:v>
                </c:pt>
                <c:pt idx="5026">
                  <c:v>4.9681666666666667E-3</c:v>
                </c:pt>
                <c:pt idx="5027">
                  <c:v>4.9551666666666676E-3</c:v>
                </c:pt>
                <c:pt idx="5028">
                  <c:v>4.9595000000000004E-3</c:v>
                </c:pt>
                <c:pt idx="5029">
                  <c:v>5.0446000000000006E-3</c:v>
                </c:pt>
                <c:pt idx="5030">
                  <c:v>5.0401999999999999E-3</c:v>
                </c:pt>
                <c:pt idx="5031">
                  <c:v>4.9573333333333336E-3</c:v>
                </c:pt>
                <c:pt idx="5032">
                  <c:v>5.0512000000000005E-3</c:v>
                </c:pt>
                <c:pt idx="5033">
                  <c:v>5.0600000000000003E-3</c:v>
                </c:pt>
                <c:pt idx="5034">
                  <c:v>5.0731999999999999E-3</c:v>
                </c:pt>
                <c:pt idx="5035">
                  <c:v>5.0688000000000009E-3</c:v>
                </c:pt>
                <c:pt idx="5036">
                  <c:v>5.0644000000000002E-3</c:v>
                </c:pt>
                <c:pt idx="5037">
                  <c:v>4.9659999999999999E-3</c:v>
                </c:pt>
                <c:pt idx="5038">
                  <c:v>5.0401999999999999E-3</c:v>
                </c:pt>
                <c:pt idx="5039">
                  <c:v>5.0468000000000006E-3</c:v>
                </c:pt>
                <c:pt idx="5040">
                  <c:v>5.0578000000000003E-3</c:v>
                </c:pt>
                <c:pt idx="5041">
                  <c:v>5.0753999999999999E-3</c:v>
                </c:pt>
                <c:pt idx="5042">
                  <c:v>5.026824E-3</c:v>
                </c:pt>
                <c:pt idx="5043">
                  <c:v>5.0688000000000009E-3</c:v>
                </c:pt>
                <c:pt idx="5044">
                  <c:v>5.0798000000000006E-3</c:v>
                </c:pt>
                <c:pt idx="5045">
                  <c:v>5.0622000000000002E-3</c:v>
                </c:pt>
                <c:pt idx="5046">
                  <c:v>4.9703333333333335E-3</c:v>
                </c:pt>
                <c:pt idx="5047">
                  <c:v>4.9746666666666663E-3</c:v>
                </c:pt>
                <c:pt idx="5048">
                  <c:v>4.9746666666666663E-3</c:v>
                </c:pt>
                <c:pt idx="5049">
                  <c:v>4.976833333333334E-3</c:v>
                </c:pt>
                <c:pt idx="5050">
                  <c:v>4.9703333333333335E-3</c:v>
                </c:pt>
                <c:pt idx="5051">
                  <c:v>4.9703333333333335E-3</c:v>
                </c:pt>
                <c:pt idx="5052">
                  <c:v>4.9703333333333335E-3</c:v>
                </c:pt>
                <c:pt idx="5053">
                  <c:v>4.9789999999999999E-3</c:v>
                </c:pt>
                <c:pt idx="5054">
                  <c:v>4.9703333333333335E-3</c:v>
                </c:pt>
                <c:pt idx="5055">
                  <c:v>5.0490000000000005E-3</c:v>
                </c:pt>
                <c:pt idx="5056">
                  <c:v>5.0600000000000003E-3</c:v>
                </c:pt>
                <c:pt idx="5057">
                  <c:v>5.071E-3</c:v>
                </c:pt>
                <c:pt idx="5058">
                  <c:v>5.0622000000000002E-3</c:v>
                </c:pt>
                <c:pt idx="5059">
                  <c:v>5.0512000000000005E-3</c:v>
                </c:pt>
                <c:pt idx="5060">
                  <c:v>5.0556000000000004E-3</c:v>
                </c:pt>
                <c:pt idx="5061">
                  <c:v>5.0512000000000005E-3</c:v>
                </c:pt>
                <c:pt idx="5062">
                  <c:v>5.0556000000000004E-3</c:v>
                </c:pt>
                <c:pt idx="5063">
                  <c:v>5.0731999999999999E-3</c:v>
                </c:pt>
                <c:pt idx="5064">
                  <c:v>5.0731999999999999E-3</c:v>
                </c:pt>
                <c:pt idx="5065">
                  <c:v>5.0666000000000001E-3</c:v>
                </c:pt>
                <c:pt idx="5066">
                  <c:v>5.0666000000000001E-3</c:v>
                </c:pt>
                <c:pt idx="5067">
                  <c:v>5.0753999999999999E-3</c:v>
                </c:pt>
                <c:pt idx="5068">
                  <c:v>5.0775999999999998E-3</c:v>
                </c:pt>
                <c:pt idx="5069">
                  <c:v>5.0731999999999999E-3</c:v>
                </c:pt>
                <c:pt idx="5070">
                  <c:v>5.0159340000000005E-3</c:v>
                </c:pt>
                <c:pt idx="5071">
                  <c:v>5.0820000000000006E-3</c:v>
                </c:pt>
                <c:pt idx="5072">
                  <c:v>5.0290020000000003E-3</c:v>
                </c:pt>
                <c:pt idx="5073">
                  <c:v>5.0246459999999998E-3</c:v>
                </c:pt>
                <c:pt idx="5074">
                  <c:v>5.0600000000000003E-3</c:v>
                </c:pt>
                <c:pt idx="5075">
                  <c:v>5.0446000000000006E-3</c:v>
                </c:pt>
                <c:pt idx="5076">
                  <c:v>4.9616666666666672E-3</c:v>
                </c:pt>
                <c:pt idx="5077">
                  <c:v>5.0336000000000001E-3</c:v>
                </c:pt>
                <c:pt idx="5078">
                  <c:v>4.9486666666666672E-3</c:v>
                </c:pt>
                <c:pt idx="5079">
                  <c:v>5.0292000000000002E-3</c:v>
                </c:pt>
                <c:pt idx="5080">
                  <c:v>5.0423999999999998E-3</c:v>
                </c:pt>
                <c:pt idx="5081">
                  <c:v>5.0534000000000004E-3</c:v>
                </c:pt>
                <c:pt idx="5082">
                  <c:v>5.0512000000000005E-3</c:v>
                </c:pt>
                <c:pt idx="5083">
                  <c:v>5.0050440000000002E-3</c:v>
                </c:pt>
                <c:pt idx="5084">
                  <c:v>5.0072220000000004E-3</c:v>
                </c:pt>
                <c:pt idx="5085">
                  <c:v>5.0202900000000002E-3</c:v>
                </c:pt>
                <c:pt idx="5086">
                  <c:v>5.0622000000000002E-3</c:v>
                </c:pt>
                <c:pt idx="5087">
                  <c:v>5.026824E-3</c:v>
                </c:pt>
                <c:pt idx="5088">
                  <c:v>5.0290020000000003E-3</c:v>
                </c:pt>
                <c:pt idx="5089">
                  <c:v>5.0159340000000005E-3</c:v>
                </c:pt>
                <c:pt idx="5090">
                  <c:v>5.0093999999999998E-3</c:v>
                </c:pt>
                <c:pt idx="5091">
                  <c:v>5.0181119999999999E-3</c:v>
                </c:pt>
                <c:pt idx="5092">
                  <c:v>5.0159340000000005E-3</c:v>
                </c:pt>
                <c:pt idx="5093">
                  <c:v>5.011578E-3</c:v>
                </c:pt>
                <c:pt idx="5094">
                  <c:v>5.0600000000000003E-3</c:v>
                </c:pt>
                <c:pt idx="5095">
                  <c:v>5.0072220000000004E-3</c:v>
                </c:pt>
                <c:pt idx="5096">
                  <c:v>5.011578E-3</c:v>
                </c:pt>
                <c:pt idx="5097">
                  <c:v>5.0311800000000005E-3</c:v>
                </c:pt>
                <c:pt idx="5098">
                  <c:v>5.0311800000000005E-3</c:v>
                </c:pt>
                <c:pt idx="5099">
                  <c:v>5.0159340000000005E-3</c:v>
                </c:pt>
                <c:pt idx="5100">
                  <c:v>5.0622000000000002E-3</c:v>
                </c:pt>
                <c:pt idx="5101">
                  <c:v>5.0159340000000005E-3</c:v>
                </c:pt>
                <c:pt idx="5102">
                  <c:v>5.0224679999999996E-3</c:v>
                </c:pt>
                <c:pt idx="5103">
                  <c:v>5.0159340000000005E-3</c:v>
                </c:pt>
                <c:pt idx="5104">
                  <c:v>5.0666000000000001E-3</c:v>
                </c:pt>
                <c:pt idx="5105">
                  <c:v>5.0202900000000002E-3</c:v>
                </c:pt>
                <c:pt idx="5106">
                  <c:v>5.0600000000000003E-3</c:v>
                </c:pt>
                <c:pt idx="5107">
                  <c:v>5.0622000000000002E-3</c:v>
                </c:pt>
                <c:pt idx="5108">
                  <c:v>5.0534000000000004E-3</c:v>
                </c:pt>
                <c:pt idx="5109">
                  <c:v>5.0622000000000002E-3</c:v>
                </c:pt>
                <c:pt idx="5110">
                  <c:v>5.0556000000000004E-3</c:v>
                </c:pt>
                <c:pt idx="5111">
                  <c:v>5.0600000000000003E-3</c:v>
                </c:pt>
                <c:pt idx="5112">
                  <c:v>5.0600000000000003E-3</c:v>
                </c:pt>
                <c:pt idx="5113">
                  <c:v>5.0644000000000002E-3</c:v>
                </c:pt>
                <c:pt idx="5114">
                  <c:v>5.0753999999999999E-3</c:v>
                </c:pt>
                <c:pt idx="5115">
                  <c:v>5.0775999999999998E-3</c:v>
                </c:pt>
                <c:pt idx="5116">
                  <c:v>5.071E-3</c:v>
                </c:pt>
                <c:pt idx="5117">
                  <c:v>5.0622000000000002E-3</c:v>
                </c:pt>
                <c:pt idx="5118">
                  <c:v>5.0578000000000003E-3</c:v>
                </c:pt>
                <c:pt idx="5119">
                  <c:v>5.0423999999999998E-3</c:v>
                </c:pt>
                <c:pt idx="5120">
                  <c:v>5.0446000000000006E-3</c:v>
                </c:pt>
                <c:pt idx="5121">
                  <c:v>5.0688000000000009E-3</c:v>
                </c:pt>
                <c:pt idx="5122">
                  <c:v>5.0753999999999999E-3</c:v>
                </c:pt>
                <c:pt idx="5123">
                  <c:v>5.0798000000000006E-3</c:v>
                </c:pt>
                <c:pt idx="5124">
                  <c:v>5.0952000000000002E-3</c:v>
                </c:pt>
                <c:pt idx="5125">
                  <c:v>5.0930000000000003E-3</c:v>
                </c:pt>
                <c:pt idx="5126">
                  <c:v>5.0907999999999995E-3</c:v>
                </c:pt>
                <c:pt idx="5127">
                  <c:v>5.0864000000000005E-3</c:v>
                </c:pt>
                <c:pt idx="5128">
                  <c:v>5.0842000000000005E-3</c:v>
                </c:pt>
                <c:pt idx="5129">
                  <c:v>5.0820000000000006E-3</c:v>
                </c:pt>
                <c:pt idx="5130">
                  <c:v>5.0798000000000006E-3</c:v>
                </c:pt>
                <c:pt idx="5131">
                  <c:v>5.0798000000000006E-3</c:v>
                </c:pt>
                <c:pt idx="5132">
                  <c:v>5.0907999999999995E-3</c:v>
                </c:pt>
                <c:pt idx="5133">
                  <c:v>5.1350420000000003E-3</c:v>
                </c:pt>
                <c:pt idx="5134">
                  <c:v>5.1194880000000002E-3</c:v>
                </c:pt>
                <c:pt idx="5135">
                  <c:v>5.0753999999999999E-3</c:v>
                </c:pt>
                <c:pt idx="5136">
                  <c:v>5.071E-3</c:v>
                </c:pt>
                <c:pt idx="5137">
                  <c:v>5.0644000000000002E-3</c:v>
                </c:pt>
                <c:pt idx="5138">
                  <c:v>5.0731999999999999E-3</c:v>
                </c:pt>
                <c:pt idx="5139">
                  <c:v>5.071E-3</c:v>
                </c:pt>
                <c:pt idx="5140">
                  <c:v>5.0578000000000003E-3</c:v>
                </c:pt>
                <c:pt idx="5141">
                  <c:v>5.0556000000000004E-3</c:v>
                </c:pt>
                <c:pt idx="5142">
                  <c:v>5.0600000000000003E-3</c:v>
                </c:pt>
                <c:pt idx="5143">
                  <c:v>5.0731999999999999E-3</c:v>
                </c:pt>
                <c:pt idx="5144">
                  <c:v>5.0688000000000009E-3</c:v>
                </c:pt>
                <c:pt idx="5145">
                  <c:v>5.0556000000000004E-3</c:v>
                </c:pt>
                <c:pt idx="5146">
                  <c:v>5.0512000000000005E-3</c:v>
                </c:pt>
                <c:pt idx="5147">
                  <c:v>5.0578000000000003E-3</c:v>
                </c:pt>
                <c:pt idx="5148">
                  <c:v>5.0644000000000002E-3</c:v>
                </c:pt>
                <c:pt idx="5149">
                  <c:v>5.0666000000000001E-3</c:v>
                </c:pt>
                <c:pt idx="5150">
                  <c:v>5.071E-3</c:v>
                </c:pt>
                <c:pt idx="5151">
                  <c:v>5.0644000000000002E-3</c:v>
                </c:pt>
                <c:pt idx="5152">
                  <c:v>5.0644000000000002E-3</c:v>
                </c:pt>
                <c:pt idx="5153">
                  <c:v>5.0622000000000002E-3</c:v>
                </c:pt>
                <c:pt idx="5154">
                  <c:v>5.0224679999999996E-3</c:v>
                </c:pt>
                <c:pt idx="5155">
                  <c:v>5.0666000000000001E-3</c:v>
                </c:pt>
                <c:pt idx="5156">
                  <c:v>5.0556000000000004E-3</c:v>
                </c:pt>
                <c:pt idx="5157">
                  <c:v>5.0423999999999998E-3</c:v>
                </c:pt>
                <c:pt idx="5158">
                  <c:v>5.0003416666666673E-3</c:v>
                </c:pt>
                <c:pt idx="5159">
                  <c:v>5.0586899999999994E-3</c:v>
                </c:pt>
                <c:pt idx="5160">
                  <c:v>5.022225E-3</c:v>
                </c:pt>
                <c:pt idx="5161">
                  <c:v>5.0719499999999995E-3</c:v>
                </c:pt>
                <c:pt idx="5162">
                  <c:v>5.0441083333333334E-3</c:v>
                </c:pt>
                <c:pt idx="5163">
                  <c:v>5.0375433333333334E-3</c:v>
                </c:pt>
                <c:pt idx="5164">
                  <c:v>5.0462966666666668E-3</c:v>
                </c:pt>
                <c:pt idx="5165">
                  <c:v>5.0331666666666667E-3</c:v>
                </c:pt>
                <c:pt idx="5166">
                  <c:v>5.0178483333333341E-3</c:v>
                </c:pt>
                <c:pt idx="5167">
                  <c:v>5.0309783333333333E-3</c:v>
                </c:pt>
                <c:pt idx="5168">
                  <c:v>5.0441083333333334E-3</c:v>
                </c:pt>
                <c:pt idx="5169">
                  <c:v>5.0441083333333334E-3</c:v>
                </c:pt>
                <c:pt idx="5170">
                  <c:v>5.0896300000000004E-3</c:v>
                </c:pt>
                <c:pt idx="5171">
                  <c:v>5.08079E-3</c:v>
                </c:pt>
                <c:pt idx="5172">
                  <c:v>5.0763700000000002E-3</c:v>
                </c:pt>
                <c:pt idx="5173">
                  <c:v>5.0830000000000007E-3</c:v>
                </c:pt>
                <c:pt idx="5174">
                  <c:v>5.0763700000000002E-3</c:v>
                </c:pt>
                <c:pt idx="5175">
                  <c:v>5.0785800000000001E-3</c:v>
                </c:pt>
                <c:pt idx="5176">
                  <c:v>5.0852099999999997E-3</c:v>
                </c:pt>
                <c:pt idx="5177">
                  <c:v>5.0984699999999999E-3</c:v>
                </c:pt>
                <c:pt idx="5178">
                  <c:v>5.1073100000000003E-3</c:v>
                </c:pt>
                <c:pt idx="5179">
                  <c:v>5.1117300000000001E-3</c:v>
                </c:pt>
                <c:pt idx="5180">
                  <c:v>5.1073100000000003E-3</c:v>
                </c:pt>
                <c:pt idx="5181">
                  <c:v>5.1028899999999997E-3</c:v>
                </c:pt>
                <c:pt idx="5182">
                  <c:v>5.1139400000000008E-3</c:v>
                </c:pt>
                <c:pt idx="5183">
                  <c:v>5.1095200000000002E-3</c:v>
                </c:pt>
                <c:pt idx="5184">
                  <c:v>5.0484850000000001E-3</c:v>
                </c:pt>
                <c:pt idx="5185">
                  <c:v>5.0984699999999999E-3</c:v>
                </c:pt>
                <c:pt idx="5186">
                  <c:v>5.0659916666666669E-3</c:v>
                </c:pt>
                <c:pt idx="5187">
                  <c:v>5.0572383333333335E-3</c:v>
                </c:pt>
                <c:pt idx="5188">
                  <c:v>5.08079E-3</c:v>
                </c:pt>
                <c:pt idx="5189">
                  <c:v>5.0940500000000001E-3</c:v>
                </c:pt>
                <c:pt idx="5190">
                  <c:v>5.1183600000000006E-3</c:v>
                </c:pt>
                <c:pt idx="5191">
                  <c:v>5.0681800000000003E-3</c:v>
                </c:pt>
                <c:pt idx="5192">
                  <c:v>5.0896300000000004E-3</c:v>
                </c:pt>
                <c:pt idx="5193">
                  <c:v>5.1139400000000008E-3</c:v>
                </c:pt>
                <c:pt idx="5194">
                  <c:v>5.0616150000000002E-3</c:v>
                </c:pt>
                <c:pt idx="5195">
                  <c:v>4.6299431666666661E-2</c:v>
                </c:pt>
                <c:pt idx="5196">
                  <c:v>5.7134488000000004E-2</c:v>
                </c:pt>
                <c:pt idx="5197">
                  <c:v>5.8076928000000007E-2</c:v>
                </c:pt>
                <c:pt idx="5198">
                  <c:v>5.742785533333334E-2</c:v>
                </c:pt>
                <c:pt idx="5199">
                  <c:v>6.1205759999999998E-2</c:v>
                </c:pt>
                <c:pt idx="5200">
                  <c:v>6.0042143999999999E-2</c:v>
                </c:pt>
                <c:pt idx="5201">
                  <c:v>5.5493893000000002E-2</c:v>
                </c:pt>
                <c:pt idx="5202">
                  <c:v>5.5121399666666675E-2</c:v>
                </c:pt>
                <c:pt idx="5203">
                  <c:v>5.9101535999999996E-2</c:v>
                </c:pt>
                <c:pt idx="5204">
                  <c:v>5.5606884666666662E-2</c:v>
                </c:pt>
                <c:pt idx="5205">
                  <c:v>5.5085940000000007E-2</c:v>
                </c:pt>
                <c:pt idx="5206">
                  <c:v>6.0789735999999997E-2</c:v>
                </c:pt>
                <c:pt idx="5207">
                  <c:v>6.3669182666666671E-2</c:v>
                </c:pt>
                <c:pt idx="5208">
                  <c:v>6.5553189000000012E-2</c:v>
                </c:pt>
                <c:pt idx="5209">
                  <c:v>6.6110351999999997E-2</c:v>
                </c:pt>
                <c:pt idx="5210">
                  <c:v>6.6124642999999997E-2</c:v>
                </c:pt>
                <c:pt idx="5211">
                  <c:v>6.6024420000000014E-2</c:v>
                </c:pt>
                <c:pt idx="5212">
                  <c:v>6.5681560000000014E-2</c:v>
                </c:pt>
                <c:pt idx="5213">
                  <c:v>6.4424932000000018E-2</c:v>
                </c:pt>
                <c:pt idx="5214">
                  <c:v>6.5852556000000007E-2</c:v>
                </c:pt>
                <c:pt idx="5215">
                  <c:v>6.6953335000000003E-2</c:v>
                </c:pt>
                <c:pt idx="5216">
                  <c:v>6.6796878000000018E-2</c:v>
                </c:pt>
                <c:pt idx="5217">
                  <c:v>5.7972975666666662E-2</c:v>
                </c:pt>
                <c:pt idx="5218">
                  <c:v>5.3752860000000006E-2</c:v>
                </c:pt>
                <c:pt idx="5219">
                  <c:v>5.349744E-2</c:v>
                </c:pt>
                <c:pt idx="5220">
                  <c:v>5.3832930666666667E-2</c:v>
                </c:pt>
                <c:pt idx="5221">
                  <c:v>5.3623752000000004E-2</c:v>
                </c:pt>
                <c:pt idx="5222">
                  <c:v>5.4364128000000005E-2</c:v>
                </c:pt>
                <c:pt idx="5223">
                  <c:v>5.3787066666666675E-2</c:v>
                </c:pt>
                <c:pt idx="5224">
                  <c:v>5.3649777999999995E-2</c:v>
                </c:pt>
                <c:pt idx="5225">
                  <c:v>5.3557504000000006E-2</c:v>
                </c:pt>
                <c:pt idx="5226">
                  <c:v>5.3974162666666659E-2</c:v>
                </c:pt>
                <c:pt idx="5227">
                  <c:v>5.431656533333333E-2</c:v>
                </c:pt>
                <c:pt idx="5228">
                  <c:v>5.4296605999999997E-2</c:v>
                </c:pt>
                <c:pt idx="5229">
                  <c:v>5.3746645333333343E-2</c:v>
                </c:pt>
                <c:pt idx="5230">
                  <c:v>5.3231813333333329E-2</c:v>
                </c:pt>
                <c:pt idx="5231">
                  <c:v>5.3343992E-2</c:v>
                </c:pt>
                <c:pt idx="5232">
                  <c:v>5.3339024000000006E-2</c:v>
                </c:pt>
                <c:pt idx="5233">
                  <c:v>5.1801204000000003E-2</c:v>
                </c:pt>
                <c:pt idx="5234">
                  <c:v>5.2883072000000003E-2</c:v>
                </c:pt>
                <c:pt idx="5235">
                  <c:v>5.2184791999999994E-2</c:v>
                </c:pt>
                <c:pt idx="5236">
                  <c:v>5.2549234666666673E-2</c:v>
                </c:pt>
                <c:pt idx="5237">
                  <c:v>5.2126984000000008E-2</c:v>
                </c:pt>
                <c:pt idx="5238">
                  <c:v>5.2890033333333336E-2</c:v>
                </c:pt>
                <c:pt idx="5239">
                  <c:v>5.2192121333333334E-2</c:v>
                </c:pt>
                <c:pt idx="5240">
                  <c:v>5.1831962000000002E-2</c:v>
                </c:pt>
                <c:pt idx="5241">
                  <c:v>5.1871395333333334E-2</c:v>
                </c:pt>
                <c:pt idx="5242">
                  <c:v>5.1739566666666674E-2</c:v>
                </c:pt>
                <c:pt idx="5243">
                  <c:v>5.3231230666666671E-2</c:v>
                </c:pt>
                <c:pt idx="5244">
                  <c:v>6.0244191000000002E-2</c:v>
                </c:pt>
                <c:pt idx="5245">
                  <c:v>6.0012744999999999E-2</c:v>
                </c:pt>
                <c:pt idx="5246">
                  <c:v>5.9877988E-2</c:v>
                </c:pt>
                <c:pt idx="5247">
                  <c:v>5.8410045000000001E-2</c:v>
                </c:pt>
                <c:pt idx="5248">
                  <c:v>5.1328610666666663E-2</c:v>
                </c:pt>
                <c:pt idx="5249">
                  <c:v>5.1793560000000009E-2</c:v>
                </c:pt>
                <c:pt idx="5250">
                  <c:v>5.1125013333333344E-2</c:v>
                </c:pt>
                <c:pt idx="5251">
                  <c:v>5.2513521666666667E-2</c:v>
                </c:pt>
                <c:pt idx="5252">
                  <c:v>5.299798E-2</c:v>
                </c:pt>
                <c:pt idx="5253">
                  <c:v>5.1058037333333341E-2</c:v>
                </c:pt>
                <c:pt idx="5254">
                  <c:v>5.2507895999999998E-2</c:v>
                </c:pt>
                <c:pt idx="5255">
                  <c:v>5.1492653333333332E-2</c:v>
                </c:pt>
                <c:pt idx="5256">
                  <c:v>5.1443028000000002E-2</c:v>
                </c:pt>
                <c:pt idx="5257">
                  <c:v>5.1864903999999996E-2</c:v>
                </c:pt>
                <c:pt idx="5258">
                  <c:v>5.1521106000000004E-2</c:v>
                </c:pt>
                <c:pt idx="5259">
                  <c:v>5.1559993333333339E-2</c:v>
                </c:pt>
                <c:pt idx="5260">
                  <c:v>5.1323090000000002E-2</c:v>
                </c:pt>
                <c:pt idx="5261">
                  <c:v>5.1670880000000002E-2</c:v>
                </c:pt>
                <c:pt idx="5262">
                  <c:v>5.2766906666666669E-2</c:v>
                </c:pt>
                <c:pt idx="5263">
                  <c:v>5.2255999999999997E-2</c:v>
                </c:pt>
                <c:pt idx="5264">
                  <c:v>5.2880680000000006E-2</c:v>
                </c:pt>
                <c:pt idx="5265">
                  <c:v>5.4122219999999999E-2</c:v>
                </c:pt>
                <c:pt idx="5266">
                  <c:v>5.1609315333333336E-2</c:v>
                </c:pt>
                <c:pt idx="5267">
                  <c:v>5.1357973333333334E-2</c:v>
                </c:pt>
                <c:pt idx="5268">
                  <c:v>5.2742127999999999E-2</c:v>
                </c:pt>
                <c:pt idx="5269">
                  <c:v>5.2321872000000005E-2</c:v>
                </c:pt>
                <c:pt idx="5270">
                  <c:v>5.1934122666666672E-2</c:v>
                </c:pt>
                <c:pt idx="5271">
                  <c:v>5.284664E-2</c:v>
                </c:pt>
                <c:pt idx="5272">
                  <c:v>5.9313850000000001E-2</c:v>
                </c:pt>
                <c:pt idx="5273">
                  <c:v>5.9407656000000003E-2</c:v>
                </c:pt>
                <c:pt idx="5274">
                  <c:v>5.9462557000000006E-2</c:v>
                </c:pt>
                <c:pt idx="5275">
                  <c:v>6.012280733333334E-2</c:v>
                </c:pt>
                <c:pt idx="5276">
                  <c:v>5.9544428000000003E-2</c:v>
                </c:pt>
                <c:pt idx="5277">
                  <c:v>5.9994748000000001E-2</c:v>
                </c:pt>
                <c:pt idx="5278">
                  <c:v>5.9341595000000011E-2</c:v>
                </c:pt>
                <c:pt idx="5279">
                  <c:v>5.9643503999999993E-2</c:v>
                </c:pt>
                <c:pt idx="5280">
                  <c:v>5.9392899999999998E-2</c:v>
                </c:pt>
                <c:pt idx="5281">
                  <c:v>5.9392899999999998E-2</c:v>
                </c:pt>
                <c:pt idx="5282">
                  <c:v>5.9503135999999998E-2</c:v>
                </c:pt>
                <c:pt idx="5283">
                  <c:v>5.9482583000000006E-2</c:v>
                </c:pt>
                <c:pt idx="5284">
                  <c:v>5.9541235000000005E-2</c:v>
                </c:pt>
                <c:pt idx="5285">
                  <c:v>5.9515039999999998E-2</c:v>
                </c:pt>
                <c:pt idx="5286">
                  <c:v>5.9813445999999999E-2</c:v>
                </c:pt>
                <c:pt idx="5287">
                  <c:v>5.9567430000000005E-2</c:v>
                </c:pt>
                <c:pt idx="5288">
                  <c:v>5.9796768E-2</c:v>
                </c:pt>
                <c:pt idx="5289">
                  <c:v>5.9689259999999994E-2</c:v>
                </c:pt>
                <c:pt idx="5290">
                  <c:v>5.9477219999999997E-2</c:v>
                </c:pt>
                <c:pt idx="5291">
                  <c:v>5.9573319999999999E-2</c:v>
                </c:pt>
                <c:pt idx="5292">
                  <c:v>5.9592974000000007E-2</c:v>
                </c:pt>
                <c:pt idx="5293">
                  <c:v>5.9609744999999999E-2</c:v>
                </c:pt>
                <c:pt idx="5294">
                  <c:v>5.9483513000000002E-2</c:v>
                </c:pt>
                <c:pt idx="5295">
                  <c:v>5.9433696000000008E-2</c:v>
                </c:pt>
                <c:pt idx="5296">
                  <c:v>5.9467548000000009E-2</c:v>
                </c:pt>
                <c:pt idx="5297">
                  <c:v>5.9398480000000003E-2</c:v>
                </c:pt>
                <c:pt idx="5298">
                  <c:v>5.9366736000000003E-2</c:v>
                </c:pt>
                <c:pt idx="5299">
                  <c:v>5.9812144000000005E-2</c:v>
                </c:pt>
                <c:pt idx="5300">
                  <c:v>5.9603700000000009E-2</c:v>
                </c:pt>
                <c:pt idx="5301">
                  <c:v>5.9691492000000006E-2</c:v>
                </c:pt>
                <c:pt idx="5302">
                  <c:v>5.9717811000000003E-2</c:v>
                </c:pt>
                <c:pt idx="5303">
                  <c:v>5.9443864000000006E-2</c:v>
                </c:pt>
                <c:pt idx="5304">
                  <c:v>5.9356041000000005E-2</c:v>
                </c:pt>
                <c:pt idx="5305">
                  <c:v>5.9384592000000007E-2</c:v>
                </c:pt>
                <c:pt idx="5306">
                  <c:v>5.5879607999999997E-2</c:v>
                </c:pt>
                <c:pt idx="5307">
                  <c:v>5.1494178666666668E-2</c:v>
                </c:pt>
                <c:pt idx="5308">
                  <c:v>5.2344320000000007E-2</c:v>
                </c:pt>
                <c:pt idx="5309">
                  <c:v>5.2274215999999998E-2</c:v>
                </c:pt>
                <c:pt idx="5310">
                  <c:v>5.1903946666666666E-2</c:v>
                </c:pt>
                <c:pt idx="5311">
                  <c:v>5.135409333333333E-2</c:v>
                </c:pt>
                <c:pt idx="5312">
                  <c:v>5.2282741333333334E-2</c:v>
                </c:pt>
                <c:pt idx="5313">
                  <c:v>5.4733104000000005E-2</c:v>
                </c:pt>
                <c:pt idx="5314">
                  <c:v>5.4133352000000003E-2</c:v>
                </c:pt>
                <c:pt idx="5315">
                  <c:v>5.183221733333334E-2</c:v>
                </c:pt>
                <c:pt idx="5316">
                  <c:v>5.1469860000000006E-2</c:v>
                </c:pt>
                <c:pt idx="5317">
                  <c:v>5.073325833333333E-2</c:v>
                </c:pt>
                <c:pt idx="5318">
                  <c:v>5.163500766666667E-2</c:v>
                </c:pt>
                <c:pt idx="5319">
                  <c:v>5.2662272000000003E-2</c:v>
                </c:pt>
                <c:pt idx="5320">
                  <c:v>5.1323272000000003E-2</c:v>
                </c:pt>
                <c:pt idx="5321">
                  <c:v>5.1574978E-2</c:v>
                </c:pt>
                <c:pt idx="5322">
                  <c:v>5.1155953333333337E-2</c:v>
                </c:pt>
                <c:pt idx="5323">
                  <c:v>5.0741175333333333E-2</c:v>
                </c:pt>
                <c:pt idx="5324">
                  <c:v>5.1027643333333338E-2</c:v>
                </c:pt>
                <c:pt idx="5325">
                  <c:v>5.176735733333334E-2</c:v>
                </c:pt>
                <c:pt idx="5326">
                  <c:v>5.1079503999999998E-2</c:v>
                </c:pt>
                <c:pt idx="5327">
                  <c:v>5.0962357333333333E-2</c:v>
                </c:pt>
                <c:pt idx="5328">
                  <c:v>5.160878E-2</c:v>
                </c:pt>
                <c:pt idx="5329">
                  <c:v>5.1630768E-2</c:v>
                </c:pt>
                <c:pt idx="5330">
                  <c:v>5.1129736000000002E-2</c:v>
                </c:pt>
                <c:pt idx="5331">
                  <c:v>5.1647573333333342E-2</c:v>
                </c:pt>
                <c:pt idx="5332">
                  <c:v>5.188358400000001E-2</c:v>
                </c:pt>
                <c:pt idx="5333">
                  <c:v>5.0597547000000007E-2</c:v>
                </c:pt>
                <c:pt idx="5334">
                  <c:v>5.0664674666666666E-2</c:v>
                </c:pt>
                <c:pt idx="5335">
                  <c:v>5.1174448000000004E-2</c:v>
                </c:pt>
                <c:pt idx="5336">
                  <c:v>5.1153717333333334E-2</c:v>
                </c:pt>
                <c:pt idx="5337">
                  <c:v>5.1151999999999996E-2</c:v>
                </c:pt>
                <c:pt idx="5338">
                  <c:v>5.2069546666666668E-2</c:v>
                </c:pt>
                <c:pt idx="5339">
                  <c:v>5.1980000000000005E-2</c:v>
                </c:pt>
                <c:pt idx="5340">
                  <c:v>5.1841539999999998E-2</c:v>
                </c:pt>
                <c:pt idx="5341">
                  <c:v>5.1061932000000004E-2</c:v>
                </c:pt>
                <c:pt idx="5342">
                  <c:v>5.1243509333333333E-2</c:v>
                </c:pt>
                <c:pt idx="5343">
                  <c:v>5.0772995000000001E-2</c:v>
                </c:pt>
                <c:pt idx="5344">
                  <c:v>5.0819253333333335E-2</c:v>
                </c:pt>
                <c:pt idx="5345">
                  <c:v>5.1551894333333334E-2</c:v>
                </c:pt>
                <c:pt idx="5346">
                  <c:v>5.1573643333333336E-2</c:v>
                </c:pt>
                <c:pt idx="5347">
                  <c:v>5.2117631999999997E-2</c:v>
                </c:pt>
                <c:pt idx="5348">
                  <c:v>5.2372840000000004E-2</c:v>
                </c:pt>
                <c:pt idx="5349">
                  <c:v>5.2141E-2</c:v>
                </c:pt>
                <c:pt idx="5350">
                  <c:v>5.2164460000000003E-2</c:v>
                </c:pt>
                <c:pt idx="5351">
                  <c:v>5.198021466666667E-2</c:v>
                </c:pt>
                <c:pt idx="5352">
                  <c:v>5.197960133333334E-2</c:v>
                </c:pt>
                <c:pt idx="5353">
                  <c:v>5.2813244000000002E-2</c:v>
                </c:pt>
                <c:pt idx="5354">
                  <c:v>5.6590365333333344E-2</c:v>
                </c:pt>
                <c:pt idx="5355">
                  <c:v>5.8271382000000004E-2</c:v>
                </c:pt>
                <c:pt idx="5356">
                  <c:v>5.2643166666666664E-2</c:v>
                </c:pt>
                <c:pt idx="5357">
                  <c:v>5.6330416266666676E-2</c:v>
                </c:pt>
                <c:pt idx="5358">
                  <c:v>5.6353523600000004E-2</c:v>
                </c:pt>
                <c:pt idx="5359">
                  <c:v>5.6193964933333333E-2</c:v>
                </c:pt>
                <c:pt idx="5360">
                  <c:v>5.620502946666666E-2</c:v>
                </c:pt>
                <c:pt idx="5361">
                  <c:v>5.6232792000000004E-2</c:v>
                </c:pt>
                <c:pt idx="5362">
                  <c:v>5.6742840000000003E-2</c:v>
                </c:pt>
                <c:pt idx="5363">
                  <c:v>6.6196679999999994E-2</c:v>
                </c:pt>
                <c:pt idx="5364">
                  <c:v>6.6429019800000003E-2</c:v>
                </c:pt>
                <c:pt idx="5365">
                  <c:v>6.6342646333333338E-2</c:v>
                </c:pt>
                <c:pt idx="5366">
                  <c:v>6.5861250400000002E-2</c:v>
                </c:pt>
                <c:pt idx="5367">
                  <c:v>5.8206360666666665E-2</c:v>
                </c:pt>
                <c:pt idx="5368">
                  <c:v>5.6330416266666676E-2</c:v>
                </c:pt>
                <c:pt idx="5369">
                  <c:v>5.6304846399999997E-2</c:v>
                </c:pt>
                <c:pt idx="5370">
                  <c:v>5.6799006000000013E-2</c:v>
                </c:pt>
                <c:pt idx="5371">
                  <c:v>5.6737577599999998E-2</c:v>
                </c:pt>
                <c:pt idx="5372">
                  <c:v>5.6291555466666664E-2</c:v>
                </c:pt>
                <c:pt idx="5373">
                  <c:v>5.6307174000000008E-2</c:v>
                </c:pt>
                <c:pt idx="5374">
                  <c:v>5.8382145066666669E-2</c:v>
                </c:pt>
                <c:pt idx="5375">
                  <c:v>6.0443204799999997E-2</c:v>
                </c:pt>
                <c:pt idx="5376">
                  <c:v>6.0203959199999997E-2</c:v>
                </c:pt>
                <c:pt idx="5377">
                  <c:v>6.0394509999999998E-2</c:v>
                </c:pt>
                <c:pt idx="5378">
                  <c:v>6.0161538799999997E-2</c:v>
                </c:pt>
                <c:pt idx="5379">
                  <c:v>6.0041916000000001E-2</c:v>
                </c:pt>
                <c:pt idx="5380">
                  <c:v>6.0395737599999999E-2</c:v>
                </c:pt>
                <c:pt idx="5381">
                  <c:v>6.1442198400000002E-2</c:v>
                </c:pt>
                <c:pt idx="5382">
                  <c:v>5.6615327999999999E-2</c:v>
                </c:pt>
                <c:pt idx="5383">
                  <c:v>5.6139553066666667E-2</c:v>
                </c:pt>
                <c:pt idx="5384">
                  <c:v>5.6113578400000003E-2</c:v>
                </c:pt>
                <c:pt idx="5385">
                  <c:v>5.7976974000000008E-2</c:v>
                </c:pt>
                <c:pt idx="5386">
                  <c:v>5.7940575733333333E-2</c:v>
                </c:pt>
                <c:pt idx="5387">
                  <c:v>5.7897532000000002E-2</c:v>
                </c:pt>
                <c:pt idx="5388">
                  <c:v>5.6520199999999993E-2</c:v>
                </c:pt>
                <c:pt idx="5389">
                  <c:v>5.6722734933333331E-2</c:v>
                </c:pt>
                <c:pt idx="5390">
                  <c:v>5.6696287999999991E-2</c:v>
                </c:pt>
                <c:pt idx="5391">
                  <c:v>5.6520874666666665E-2</c:v>
                </c:pt>
                <c:pt idx="5392">
                  <c:v>5.9680046799999997E-2</c:v>
                </c:pt>
                <c:pt idx="5393">
                  <c:v>6.0210199499999992E-2</c:v>
                </c:pt>
                <c:pt idx="5394">
                  <c:v>5.6670920533333335E-2</c:v>
                </c:pt>
                <c:pt idx="5395">
                  <c:v>5.6737577599999998E-2</c:v>
                </c:pt>
                <c:pt idx="5396">
                  <c:v>5.6741288266666662E-2</c:v>
                </c:pt>
                <c:pt idx="5397">
                  <c:v>5.6998876000000004E-2</c:v>
                </c:pt>
                <c:pt idx="5398">
                  <c:v>5.6848492800000004E-2</c:v>
                </c:pt>
                <c:pt idx="5399">
                  <c:v>5.6581594666666672E-2</c:v>
                </c:pt>
                <c:pt idx="5400">
                  <c:v>5.6722600000000005E-2</c:v>
                </c:pt>
                <c:pt idx="5401">
                  <c:v>5.656253533333333E-2</c:v>
                </c:pt>
                <c:pt idx="5402">
                  <c:v>5.643772200000001E-2</c:v>
                </c:pt>
                <c:pt idx="5403">
                  <c:v>5.6447470933333327E-2</c:v>
                </c:pt>
                <c:pt idx="5404">
                  <c:v>5.6270438400000004E-2</c:v>
                </c:pt>
                <c:pt idx="5405">
                  <c:v>6.0372345000000001E-2</c:v>
                </c:pt>
                <c:pt idx="5406">
                  <c:v>6.6179102000000004E-2</c:v>
                </c:pt>
                <c:pt idx="5407">
                  <c:v>6.5888203333333326E-2</c:v>
                </c:pt>
                <c:pt idx="5408">
                  <c:v>6.573586066666666E-2</c:v>
                </c:pt>
                <c:pt idx="5409">
                  <c:v>6.5931148799999992E-2</c:v>
                </c:pt>
                <c:pt idx="5410">
                  <c:v>6.6094314000000001E-2</c:v>
                </c:pt>
                <c:pt idx="5411">
                  <c:v>6.6604213866666664E-2</c:v>
                </c:pt>
                <c:pt idx="5412">
                  <c:v>6.4521121499999987E-2</c:v>
                </c:pt>
                <c:pt idx="5413">
                  <c:v>6.0307316300000004E-2</c:v>
                </c:pt>
                <c:pt idx="5414">
                  <c:v>5.6810070533333326E-2</c:v>
                </c:pt>
                <c:pt idx="5415">
                  <c:v>5.6756198400000006E-2</c:v>
                </c:pt>
                <c:pt idx="5416">
                  <c:v>5.6644170000000001E-2</c:v>
                </c:pt>
                <c:pt idx="5417">
                  <c:v>5.6863605333333331E-2</c:v>
                </c:pt>
                <c:pt idx="5418">
                  <c:v>5.6698986666666673E-2</c:v>
                </c:pt>
                <c:pt idx="5419">
                  <c:v>5.6425746666666658E-2</c:v>
                </c:pt>
                <c:pt idx="5420">
                  <c:v>5.6458063200000005E-2</c:v>
                </c:pt>
                <c:pt idx="5421">
                  <c:v>5.6546849333333329E-2</c:v>
                </c:pt>
                <c:pt idx="5422">
                  <c:v>6.6309489400000005E-2</c:v>
                </c:pt>
                <c:pt idx="5423">
                  <c:v>6.6061639599999999E-2</c:v>
                </c:pt>
                <c:pt idx="5424">
                  <c:v>6.5820648666666676E-2</c:v>
                </c:pt>
                <c:pt idx="5425">
                  <c:v>6.5990707199999998E-2</c:v>
                </c:pt>
                <c:pt idx="5426">
                  <c:v>6.0998079999999996E-2</c:v>
                </c:pt>
                <c:pt idx="5427">
                  <c:v>5.6918523200000001E-2</c:v>
                </c:pt>
                <c:pt idx="5428">
                  <c:v>5.6847885600000002E-2</c:v>
                </c:pt>
                <c:pt idx="5429">
                  <c:v>5.6975431333333333E-2</c:v>
                </c:pt>
                <c:pt idx="5430">
                  <c:v>5.6504748300000004E-2</c:v>
                </c:pt>
                <c:pt idx="5431">
                  <c:v>5.6477754666666664E-2</c:v>
                </c:pt>
                <c:pt idx="5432">
                  <c:v>5.6450093700000002E-2</c:v>
                </c:pt>
                <c:pt idx="5433">
                  <c:v>5.6507651200000002E-2</c:v>
                </c:pt>
                <c:pt idx="5434">
                  <c:v>5.6715992666666666E-2</c:v>
                </c:pt>
                <c:pt idx="5435">
                  <c:v>5.6682792833333336E-2</c:v>
                </c:pt>
                <c:pt idx="5436">
                  <c:v>6.1876108800000003E-2</c:v>
                </c:pt>
                <c:pt idx="5437">
                  <c:v>6.4543525199999993E-2</c:v>
                </c:pt>
                <c:pt idx="5438">
                  <c:v>5.6835578800000001E-2</c:v>
                </c:pt>
                <c:pt idx="5439">
                  <c:v>5.6578021500000006E-2</c:v>
                </c:pt>
                <c:pt idx="5440">
                  <c:v>5.6614691466666672E-2</c:v>
                </c:pt>
                <c:pt idx="5441">
                  <c:v>5.6625368799999999E-2</c:v>
                </c:pt>
                <c:pt idx="5442">
                  <c:v>5.6495939500000002E-2</c:v>
                </c:pt>
                <c:pt idx="5443">
                  <c:v>5.7075281999999998E-2</c:v>
                </c:pt>
                <c:pt idx="5444">
                  <c:v>5.6966154666666678E-2</c:v>
                </c:pt>
                <c:pt idx="5445">
                  <c:v>5.6662891999999999E-2</c:v>
                </c:pt>
                <c:pt idx="5446">
                  <c:v>5.6128421066666677E-2</c:v>
                </c:pt>
                <c:pt idx="5447">
                  <c:v>5.6467980799999998E-2</c:v>
                </c:pt>
                <c:pt idx="5448">
                  <c:v>5.6136652000000009E-2</c:v>
                </c:pt>
                <c:pt idx="5449">
                  <c:v>5.6219635999999996E-2</c:v>
                </c:pt>
                <c:pt idx="5450">
                  <c:v>5.6481541600000004E-2</c:v>
                </c:pt>
                <c:pt idx="5451">
                  <c:v>6.0562827599999994E-2</c:v>
                </c:pt>
                <c:pt idx="5452">
                  <c:v>6.1943508000000001E-2</c:v>
                </c:pt>
                <c:pt idx="5453">
                  <c:v>5.8142233599999996E-2</c:v>
                </c:pt>
                <c:pt idx="5454">
                  <c:v>5.9441270533333333E-2</c:v>
                </c:pt>
                <c:pt idx="5455">
                  <c:v>5.8144965999999992E-2</c:v>
                </c:pt>
                <c:pt idx="5456">
                  <c:v>5.6313924333333328E-2</c:v>
                </c:pt>
                <c:pt idx="5457">
                  <c:v>5.7407349999999996E-2</c:v>
                </c:pt>
                <c:pt idx="5458">
                  <c:v>5.6713323333333336E-2</c:v>
                </c:pt>
                <c:pt idx="5459">
                  <c:v>5.8240599999999997E-2</c:v>
                </c:pt>
                <c:pt idx="5460">
                  <c:v>5.6943553333333327E-2</c:v>
                </c:pt>
                <c:pt idx="5461">
                  <c:v>5.8605426000000002E-2</c:v>
                </c:pt>
                <c:pt idx="5462">
                  <c:v>6.3964916400000002E-2</c:v>
                </c:pt>
                <c:pt idx="5463">
                  <c:v>6.6221586199999988E-2</c:v>
                </c:pt>
                <c:pt idx="5464">
                  <c:v>6.54466296E-2</c:v>
                </c:pt>
                <c:pt idx="5465">
                  <c:v>5.7837823999999996E-2</c:v>
                </c:pt>
                <c:pt idx="5466">
                  <c:v>5.7380399999999991E-2</c:v>
                </c:pt>
                <c:pt idx="5467">
                  <c:v>5.7379691599999998E-2</c:v>
                </c:pt>
                <c:pt idx="5468">
                  <c:v>5.6148091999999997E-2</c:v>
                </c:pt>
                <c:pt idx="5469">
                  <c:v>6.0237714533333327E-2</c:v>
                </c:pt>
                <c:pt idx="5470">
                  <c:v>6.2909862400000002E-2</c:v>
                </c:pt>
                <c:pt idx="5471">
                  <c:v>6.2810153999999993E-2</c:v>
                </c:pt>
                <c:pt idx="5472">
                  <c:v>6.2880229499999996E-2</c:v>
                </c:pt>
                <c:pt idx="5473">
                  <c:v>6.1957777200000001E-2</c:v>
                </c:pt>
                <c:pt idx="5474">
                  <c:v>6.0388671199999994E-2</c:v>
                </c:pt>
                <c:pt idx="5475">
                  <c:v>5.6847075999999996E-2</c:v>
                </c:pt>
                <c:pt idx="5476">
                  <c:v>5.7099536266666674E-2</c:v>
                </c:pt>
                <c:pt idx="5477">
                  <c:v>5.66780214E-2</c:v>
                </c:pt>
                <c:pt idx="5478">
                  <c:v>5.700069759999999E-2</c:v>
                </c:pt>
                <c:pt idx="5479">
                  <c:v>5.7525621999999998E-2</c:v>
                </c:pt>
                <c:pt idx="5480">
                  <c:v>5.8668271199999997E-2</c:v>
                </c:pt>
                <c:pt idx="5481">
                  <c:v>5.7684910800000003E-2</c:v>
                </c:pt>
                <c:pt idx="5482">
                  <c:v>5.8529829600000007E-2</c:v>
                </c:pt>
                <c:pt idx="5483">
                  <c:v>6.2913681599999993E-2</c:v>
                </c:pt>
                <c:pt idx="5484">
                  <c:v>6.3013253599999999E-2</c:v>
                </c:pt>
                <c:pt idx="5485">
                  <c:v>6.2953783200000002E-2</c:v>
                </c:pt>
                <c:pt idx="5486">
                  <c:v>6.2892096299999992E-2</c:v>
                </c:pt>
                <c:pt idx="5487">
                  <c:v>6.251000579999999E-2</c:v>
                </c:pt>
                <c:pt idx="5488">
                  <c:v>6.0949078300000001E-2</c:v>
                </c:pt>
                <c:pt idx="5489">
                  <c:v>5.8733713866666669E-2</c:v>
                </c:pt>
                <c:pt idx="5490">
                  <c:v>5.7327641066666664E-2</c:v>
                </c:pt>
                <c:pt idx="5491">
                  <c:v>6.0123039899999994E-2</c:v>
                </c:pt>
                <c:pt idx="5492">
                  <c:v>5.9896991000000004E-2</c:v>
                </c:pt>
                <c:pt idx="5493">
                  <c:v>6.3638886299999989E-2</c:v>
                </c:pt>
                <c:pt idx="5494">
                  <c:v>6.4453941933333328E-2</c:v>
                </c:pt>
                <c:pt idx="5495">
                  <c:v>5.7243442666666672E-2</c:v>
                </c:pt>
                <c:pt idx="5496">
                  <c:v>5.6208166666666663E-2</c:v>
                </c:pt>
                <c:pt idx="5497">
                  <c:v>5.6365026666666672E-2</c:v>
                </c:pt>
                <c:pt idx="5498">
                  <c:v>5.6662891999999999E-2</c:v>
                </c:pt>
                <c:pt idx="5499">
                  <c:v>5.692493253333334E-2</c:v>
                </c:pt>
                <c:pt idx="5500">
                  <c:v>5.7628238800000002E-2</c:v>
                </c:pt>
                <c:pt idx="5501">
                  <c:v>5.6973373600000002E-2</c:v>
                </c:pt>
                <c:pt idx="5502">
                  <c:v>5.6935120000000006E-2</c:v>
                </c:pt>
                <c:pt idx="5503">
                  <c:v>5.6224965866666657E-2</c:v>
                </c:pt>
                <c:pt idx="5504">
                  <c:v>5.7792790000000004E-2</c:v>
                </c:pt>
                <c:pt idx="5505">
                  <c:v>5.6465552000000002E-2</c:v>
                </c:pt>
                <c:pt idx="5506">
                  <c:v>5.6291993999999998E-2</c:v>
                </c:pt>
                <c:pt idx="5507">
                  <c:v>5.6316585600000003E-2</c:v>
                </c:pt>
                <c:pt idx="5508">
                  <c:v>5.6693049600000003E-2</c:v>
                </c:pt>
                <c:pt idx="5509">
                  <c:v>5.6970303866666669E-2</c:v>
                </c:pt>
                <c:pt idx="5510">
                  <c:v>5.6350858666666663E-2</c:v>
                </c:pt>
                <c:pt idx="5511">
                  <c:v>5.5892759999999993E-2</c:v>
                </c:pt>
                <c:pt idx="5512">
                  <c:v>5.5910301333333336E-2</c:v>
                </c:pt>
                <c:pt idx="5513">
                  <c:v>5.5928247466666671E-2</c:v>
                </c:pt>
                <c:pt idx="5514">
                  <c:v>5.6266187999999995E-2</c:v>
                </c:pt>
                <c:pt idx="5515">
                  <c:v>5.612079733333334E-2</c:v>
                </c:pt>
                <c:pt idx="5516">
                  <c:v>5.6175580266666664E-2</c:v>
                </c:pt>
                <c:pt idx="5517">
                  <c:v>5.6012479600000005E-2</c:v>
                </c:pt>
                <c:pt idx="5518">
                  <c:v>5.6058323199999996E-2</c:v>
                </c:pt>
                <c:pt idx="5519">
                  <c:v>5.6306870399999993E-2</c:v>
                </c:pt>
                <c:pt idx="5520">
                  <c:v>5.7928937733333324E-2</c:v>
                </c:pt>
                <c:pt idx="5521">
                  <c:v>6.6092349399999986E-2</c:v>
                </c:pt>
                <c:pt idx="5522">
                  <c:v>6.5528302400000002E-2</c:v>
                </c:pt>
                <c:pt idx="5523">
                  <c:v>6.5277109333333333E-2</c:v>
                </c:pt>
                <c:pt idx="5524">
                  <c:v>6.5319744599999993E-2</c:v>
                </c:pt>
                <c:pt idx="5525">
                  <c:v>6.6210466666666676E-2</c:v>
                </c:pt>
                <c:pt idx="5526">
                  <c:v>6.6335098133333326E-2</c:v>
                </c:pt>
                <c:pt idx="5527">
                  <c:v>6.6401997933333345E-2</c:v>
                </c:pt>
                <c:pt idx="5528">
                  <c:v>6.6545482666666669E-2</c:v>
                </c:pt>
                <c:pt idx="5529">
                  <c:v>6.6529283333333328E-2</c:v>
                </c:pt>
                <c:pt idx="5530">
                  <c:v>6.6429019800000003E-2</c:v>
                </c:pt>
                <c:pt idx="5531">
                  <c:v>6.6203159733333322E-2</c:v>
                </c:pt>
                <c:pt idx="5532">
                  <c:v>6.6279606800000002E-2</c:v>
                </c:pt>
                <c:pt idx="5533">
                  <c:v>6.5983227933333333E-2</c:v>
                </c:pt>
                <c:pt idx="5534">
                  <c:v>6.5291930000000012E-2</c:v>
                </c:pt>
                <c:pt idx="5535">
                  <c:v>6.6149116000000008E-2</c:v>
                </c:pt>
                <c:pt idx="5536">
                  <c:v>6.6053919066666675E-2</c:v>
                </c:pt>
                <c:pt idx="5537">
                  <c:v>6.6024070933333331E-2</c:v>
                </c:pt>
                <c:pt idx="5538">
                  <c:v>6.5990707199999998E-2</c:v>
                </c:pt>
                <c:pt idx="5539">
                  <c:v>5.7695334399999999E-2</c:v>
                </c:pt>
                <c:pt idx="5540">
                  <c:v>5.6256101733333341E-2</c:v>
                </c:pt>
                <c:pt idx="5541">
                  <c:v>5.6242709600000003E-2</c:v>
                </c:pt>
                <c:pt idx="5542">
                  <c:v>5.6460390800000003E-2</c:v>
                </c:pt>
                <c:pt idx="5543">
                  <c:v>5.6358954666666662E-2</c:v>
                </c:pt>
                <c:pt idx="5544">
                  <c:v>5.65369992E-2</c:v>
                </c:pt>
                <c:pt idx="5545">
                  <c:v>5.6460390800000003E-2</c:v>
                </c:pt>
                <c:pt idx="5546">
                  <c:v>5.650292853333333E-2</c:v>
                </c:pt>
                <c:pt idx="5547">
                  <c:v>5.6462313599999994E-2</c:v>
                </c:pt>
                <c:pt idx="5548">
                  <c:v>5.6141644533333326E-2</c:v>
                </c:pt>
                <c:pt idx="5549">
                  <c:v>5.664359653333334E-2</c:v>
                </c:pt>
                <c:pt idx="5550">
                  <c:v>5.6892953333333336E-2</c:v>
                </c:pt>
                <c:pt idx="5551">
                  <c:v>5.6565402666666674E-2</c:v>
                </c:pt>
                <c:pt idx="5552">
                  <c:v>5.66452832E-2</c:v>
                </c:pt>
                <c:pt idx="5553">
                  <c:v>5.636786026666666E-2</c:v>
                </c:pt>
                <c:pt idx="5554">
                  <c:v>5.6142926400000001E-2</c:v>
                </c:pt>
                <c:pt idx="5555">
                  <c:v>5.6192649333333337E-2</c:v>
                </c:pt>
                <c:pt idx="5556">
                  <c:v>5.6163571199999998E-2</c:v>
                </c:pt>
                <c:pt idx="5557">
                  <c:v>5.6265850666666659E-2</c:v>
                </c:pt>
                <c:pt idx="5558">
                  <c:v>5.6265850666666659E-2</c:v>
                </c:pt>
                <c:pt idx="5559">
                  <c:v>5.6494900000000001E-2</c:v>
                </c:pt>
                <c:pt idx="5560">
                  <c:v>5.6117154133333333E-2</c:v>
                </c:pt>
                <c:pt idx="5561">
                  <c:v>5.6143061333333327E-2</c:v>
                </c:pt>
                <c:pt idx="5562">
                  <c:v>5.61433312E-2</c:v>
                </c:pt>
                <c:pt idx="5563">
                  <c:v>5.780544E-2</c:v>
                </c:pt>
                <c:pt idx="5564">
                  <c:v>6.631938133333333E-2</c:v>
                </c:pt>
                <c:pt idx="5565">
                  <c:v>6.5195380800000008E-2</c:v>
                </c:pt>
                <c:pt idx="5566">
                  <c:v>5.6975600000000008E-2</c:v>
                </c:pt>
                <c:pt idx="5567">
                  <c:v>5.7321704000000001E-2</c:v>
                </c:pt>
                <c:pt idx="5568">
                  <c:v>5.7098794133333339E-2</c:v>
                </c:pt>
                <c:pt idx="5569">
                  <c:v>5.6997864000000009E-2</c:v>
                </c:pt>
                <c:pt idx="5570">
                  <c:v>5.6621703599999997E-2</c:v>
                </c:pt>
                <c:pt idx="5571">
                  <c:v>5.7228903599999999E-2</c:v>
                </c:pt>
                <c:pt idx="5572">
                  <c:v>5.6255325866666678E-2</c:v>
                </c:pt>
                <c:pt idx="5573">
                  <c:v>5.5702346700000002E-2</c:v>
                </c:pt>
                <c:pt idx="5574">
                  <c:v>5.5827104666666676E-2</c:v>
                </c:pt>
                <c:pt idx="5575">
                  <c:v>5.6001445499999997E-2</c:v>
                </c:pt>
                <c:pt idx="5576">
                  <c:v>5.5871282133333332E-2</c:v>
                </c:pt>
                <c:pt idx="5577">
                  <c:v>5.6018829533333342E-2</c:v>
                </c:pt>
                <c:pt idx="5578">
                  <c:v>5.6441466400000001E-2</c:v>
                </c:pt>
                <c:pt idx="5579">
                  <c:v>5.6583956000000012E-2</c:v>
                </c:pt>
                <c:pt idx="5580">
                  <c:v>5.6365262800000003E-2</c:v>
                </c:pt>
                <c:pt idx="5581">
                  <c:v>6.0579093299999998E-2</c:v>
                </c:pt>
                <c:pt idx="5582">
                  <c:v>6.6631787200000001E-2</c:v>
                </c:pt>
                <c:pt idx="5583">
                  <c:v>6.6116717333333339E-2</c:v>
                </c:pt>
                <c:pt idx="5584">
                  <c:v>6.5914329066666666E-2</c:v>
                </c:pt>
                <c:pt idx="5585">
                  <c:v>6.6295737199999996E-2</c:v>
                </c:pt>
                <c:pt idx="5586">
                  <c:v>6.5507395799999993E-2</c:v>
                </c:pt>
                <c:pt idx="5587">
                  <c:v>6.5537471999999999E-2</c:v>
                </c:pt>
                <c:pt idx="5588">
                  <c:v>6.5250008999999998E-2</c:v>
                </c:pt>
                <c:pt idx="5589">
                  <c:v>6.5291645100000018E-2</c:v>
                </c:pt>
                <c:pt idx="5590">
                  <c:v>6.5303409600000001E-2</c:v>
                </c:pt>
                <c:pt idx="5591">
                  <c:v>6.5884584333333329E-2</c:v>
                </c:pt>
                <c:pt idx="5592">
                  <c:v>6.5837950933333333E-2</c:v>
                </c:pt>
                <c:pt idx="5593">
                  <c:v>6.5787629599999994E-2</c:v>
                </c:pt>
                <c:pt idx="5594">
                  <c:v>6.6029171999999997E-2</c:v>
                </c:pt>
                <c:pt idx="5595">
                  <c:v>6.5426306000000004E-2</c:v>
                </c:pt>
                <c:pt idx="5596">
                  <c:v>6.5261057400000003E-2</c:v>
                </c:pt>
                <c:pt idx="5597">
                  <c:v>6.5079168000000007E-2</c:v>
                </c:pt>
                <c:pt idx="5598">
                  <c:v>6.4284638000000005E-2</c:v>
                </c:pt>
                <c:pt idx="5599">
                  <c:v>6.417565439999999E-2</c:v>
                </c:pt>
                <c:pt idx="5600">
                  <c:v>6.4110762099999996E-2</c:v>
                </c:pt>
                <c:pt idx="5601">
                  <c:v>6.4650746600000003E-2</c:v>
                </c:pt>
                <c:pt idx="5602">
                  <c:v>6.4036389999999999E-2</c:v>
                </c:pt>
                <c:pt idx="5603">
                  <c:v>6.4892116666666666E-2</c:v>
                </c:pt>
                <c:pt idx="5604">
                  <c:v>6.4772862E-2</c:v>
                </c:pt>
                <c:pt idx="5605">
                  <c:v>6.4707030666666665E-2</c:v>
                </c:pt>
                <c:pt idx="5606">
                  <c:v>6.4647747999999991E-2</c:v>
                </c:pt>
                <c:pt idx="5607">
                  <c:v>6.4707030666666665E-2</c:v>
                </c:pt>
                <c:pt idx="5608">
                  <c:v>6.4760109333333329E-2</c:v>
                </c:pt>
                <c:pt idx="5609">
                  <c:v>6.4768346866666673E-2</c:v>
                </c:pt>
                <c:pt idx="5610">
                  <c:v>6.4079628799999996E-2</c:v>
                </c:pt>
                <c:pt idx="5611">
                  <c:v>6.3999493800000001E-2</c:v>
                </c:pt>
                <c:pt idx="5612">
                  <c:v>6.4047574800000007E-2</c:v>
                </c:pt>
                <c:pt idx="5613">
                  <c:v>6.4614316800000002E-2</c:v>
                </c:pt>
                <c:pt idx="5614">
                  <c:v>6.6100311199999998E-2</c:v>
                </c:pt>
                <c:pt idx="5615">
                  <c:v>6.6694240799999999E-2</c:v>
                </c:pt>
                <c:pt idx="5616">
                  <c:v>6.6606075066666659E-2</c:v>
                </c:pt>
                <c:pt idx="5617">
                  <c:v>6.4873711466666664E-2</c:v>
                </c:pt>
                <c:pt idx="5618">
                  <c:v>6.4264007499999998E-2</c:v>
                </c:pt>
                <c:pt idx="5619">
                  <c:v>6.4523951799999993E-2</c:v>
                </c:pt>
                <c:pt idx="5620">
                  <c:v>6.4413399600000004E-2</c:v>
                </c:pt>
                <c:pt idx="5621">
                  <c:v>6.4244604600000005E-2</c:v>
                </c:pt>
                <c:pt idx="5622">
                  <c:v>6.4370160799999993E-2</c:v>
                </c:pt>
                <c:pt idx="5623">
                  <c:v>6.4198364999999993E-2</c:v>
                </c:pt>
                <c:pt idx="5624">
                  <c:v>5.8299397199999999E-2</c:v>
                </c:pt>
                <c:pt idx="5625">
                  <c:v>5.7168824533333336E-2</c:v>
                </c:pt>
                <c:pt idx="5626">
                  <c:v>5.5847523600000004E-2</c:v>
                </c:pt>
                <c:pt idx="5627">
                  <c:v>5.6711265599999998E-2</c:v>
                </c:pt>
                <c:pt idx="5628">
                  <c:v>5.6074717600000004E-2</c:v>
                </c:pt>
                <c:pt idx="5629">
                  <c:v>5.6462313599999994E-2</c:v>
                </c:pt>
                <c:pt idx="5630">
                  <c:v>5.7482240933333331E-2</c:v>
                </c:pt>
                <c:pt idx="5631">
                  <c:v>5.7558916799999998E-2</c:v>
                </c:pt>
                <c:pt idx="5632">
                  <c:v>6.0527636399999994E-2</c:v>
                </c:pt>
                <c:pt idx="5633">
                  <c:v>5.6620894000000005E-2</c:v>
                </c:pt>
                <c:pt idx="5634">
                  <c:v>5.7203165066666666E-2</c:v>
                </c:pt>
                <c:pt idx="5635">
                  <c:v>5.6557576533333341E-2</c:v>
                </c:pt>
                <c:pt idx="5636">
                  <c:v>5.8863992000000011E-2</c:v>
                </c:pt>
                <c:pt idx="5637">
                  <c:v>5.7012470533333331E-2</c:v>
                </c:pt>
                <c:pt idx="5638">
                  <c:v>5.8939757066666661E-2</c:v>
                </c:pt>
                <c:pt idx="5639">
                  <c:v>6.0740556799999998E-2</c:v>
                </c:pt>
                <c:pt idx="5640">
                  <c:v>5.9861891466666664E-2</c:v>
                </c:pt>
                <c:pt idx="5641">
                  <c:v>6.0269997333333325E-2</c:v>
                </c:pt>
                <c:pt idx="5642">
                  <c:v>5.8144965999999992E-2</c:v>
                </c:pt>
                <c:pt idx="5643">
                  <c:v>5.7710986666666658E-2</c:v>
                </c:pt>
                <c:pt idx="5644">
                  <c:v>5.8941106399999998E-2</c:v>
                </c:pt>
                <c:pt idx="5645">
                  <c:v>5.9377177200000006E-2</c:v>
                </c:pt>
                <c:pt idx="5646">
                  <c:v>5.7736927600000008E-2</c:v>
                </c:pt>
                <c:pt idx="5647">
                  <c:v>5.6613607599999997E-2</c:v>
                </c:pt>
                <c:pt idx="5648">
                  <c:v>5.8448161199999994E-2</c:v>
                </c:pt>
                <c:pt idx="5649">
                  <c:v>6.5332667400000002E-2</c:v>
                </c:pt>
                <c:pt idx="5650">
                  <c:v>6.52072135E-2</c:v>
                </c:pt>
                <c:pt idx="5651">
                  <c:v>6.5147879500000005E-2</c:v>
                </c:pt>
                <c:pt idx="5652">
                  <c:v>6.5050114800000003E-2</c:v>
                </c:pt>
                <c:pt idx="5653">
                  <c:v>6.578225280000001E-2</c:v>
                </c:pt>
                <c:pt idx="5654">
                  <c:v>6.585838966666667E-2</c:v>
                </c:pt>
                <c:pt idx="5655">
                  <c:v>6.5757712533333332E-2</c:v>
                </c:pt>
                <c:pt idx="5656">
                  <c:v>6.56097816E-2</c:v>
                </c:pt>
                <c:pt idx="5657">
                  <c:v>6.566796133333333E-2</c:v>
                </c:pt>
                <c:pt idx="5658">
                  <c:v>6.5608954400000002E-2</c:v>
                </c:pt>
                <c:pt idx="5659">
                  <c:v>6.6378181466666672E-2</c:v>
                </c:pt>
                <c:pt idx="5660">
                  <c:v>6.5865696599999995E-2</c:v>
                </c:pt>
                <c:pt idx="5661">
                  <c:v>6.572269439999999E-2</c:v>
                </c:pt>
                <c:pt idx="5662">
                  <c:v>6.5725589599999995E-2</c:v>
                </c:pt>
                <c:pt idx="5663">
                  <c:v>6.5911020266666676E-2</c:v>
                </c:pt>
                <c:pt idx="5664">
                  <c:v>6.5835607200000007E-2</c:v>
                </c:pt>
                <c:pt idx="5665">
                  <c:v>6.5789284000000003E-2</c:v>
                </c:pt>
                <c:pt idx="5666">
                  <c:v>6.6010663399999989E-2</c:v>
                </c:pt>
                <c:pt idx="5667">
                  <c:v>6.5950898199999997E-2</c:v>
                </c:pt>
                <c:pt idx="5668">
                  <c:v>6.5669339999999993E-2</c:v>
                </c:pt>
                <c:pt idx="5669">
                  <c:v>6.5817546666666657E-2</c:v>
                </c:pt>
                <c:pt idx="5670">
                  <c:v>6.5956792E-2</c:v>
                </c:pt>
                <c:pt idx="5671">
                  <c:v>6.5686401000000005E-2</c:v>
                </c:pt>
                <c:pt idx="5672">
                  <c:v>6.6484476666666667E-2</c:v>
                </c:pt>
                <c:pt idx="5673">
                  <c:v>6.6702064733333344E-2</c:v>
                </c:pt>
                <c:pt idx="5674">
                  <c:v>6.6489887933333339E-2</c:v>
                </c:pt>
                <c:pt idx="5675">
                  <c:v>6.6568713200000004E-2</c:v>
                </c:pt>
                <c:pt idx="5676">
                  <c:v>6.6928751999999994E-2</c:v>
                </c:pt>
                <c:pt idx="5677">
                  <c:v>6.69243058E-2</c:v>
                </c:pt>
                <c:pt idx="5678">
                  <c:v>6.7031118000000001E-2</c:v>
                </c:pt>
                <c:pt idx="5679">
                  <c:v>6.6788128000000002E-2</c:v>
                </c:pt>
                <c:pt idx="5680">
                  <c:v>6.6650606000000001E-2</c:v>
                </c:pt>
                <c:pt idx="5681">
                  <c:v>6.7029739333333338E-2</c:v>
                </c:pt>
                <c:pt idx="5682">
                  <c:v>6.7115974933333322E-2</c:v>
                </c:pt>
                <c:pt idx="5683">
                  <c:v>6.704197499999999E-2</c:v>
                </c:pt>
                <c:pt idx="5684">
                  <c:v>6.6800708333333333E-2</c:v>
                </c:pt>
                <c:pt idx="5685">
                  <c:v>6.7316122866666661E-2</c:v>
                </c:pt>
                <c:pt idx="5686">
                  <c:v>6.7148787200000004E-2</c:v>
                </c:pt>
                <c:pt idx="5687">
                  <c:v>6.7349969133333326E-2</c:v>
                </c:pt>
                <c:pt idx="5688">
                  <c:v>6.7058105399999998E-2</c:v>
                </c:pt>
                <c:pt idx="5689">
                  <c:v>6.6851408799999998E-2</c:v>
                </c:pt>
                <c:pt idx="5690">
                  <c:v>6.7180462066666655E-2</c:v>
                </c:pt>
                <c:pt idx="5691">
                  <c:v>6.746539800000001E-2</c:v>
                </c:pt>
                <c:pt idx="5692">
                  <c:v>6.7339939333333335E-2</c:v>
                </c:pt>
                <c:pt idx="5693">
                  <c:v>6.7406632333333341E-2</c:v>
                </c:pt>
                <c:pt idx="5694">
                  <c:v>6.7442374266666674E-2</c:v>
                </c:pt>
                <c:pt idx="5695">
                  <c:v>6.7384814933333342E-2</c:v>
                </c:pt>
                <c:pt idx="5696">
                  <c:v>6.6864644000000015E-2</c:v>
                </c:pt>
                <c:pt idx="5697">
                  <c:v>6.6833830799999994E-2</c:v>
                </c:pt>
                <c:pt idx="5698">
                  <c:v>6.6643885E-2</c:v>
                </c:pt>
                <c:pt idx="5699">
                  <c:v>6.695029366666666E-2</c:v>
                </c:pt>
                <c:pt idx="5700">
                  <c:v>6.7042216266666663E-2</c:v>
                </c:pt>
                <c:pt idx="5701">
                  <c:v>6.6954084999999997E-2</c:v>
                </c:pt>
                <c:pt idx="5702">
                  <c:v>6.6970111999999998E-2</c:v>
                </c:pt>
                <c:pt idx="5703">
                  <c:v>6.7046214399999998E-2</c:v>
                </c:pt>
                <c:pt idx="5704">
                  <c:v>6.6954084999999997E-2</c:v>
                </c:pt>
                <c:pt idx="5705">
                  <c:v>6.695029366666666E-2</c:v>
                </c:pt>
                <c:pt idx="5706">
                  <c:v>6.6939367733333338E-2</c:v>
                </c:pt>
                <c:pt idx="5707">
                  <c:v>6.6967630400000006E-2</c:v>
                </c:pt>
                <c:pt idx="5708">
                  <c:v>6.6834726933333338E-2</c:v>
                </c:pt>
                <c:pt idx="5709">
                  <c:v>6.7056071866666678E-2</c:v>
                </c:pt>
                <c:pt idx="5710">
                  <c:v>6.7040630800000015E-2</c:v>
                </c:pt>
                <c:pt idx="5711">
                  <c:v>6.7147959999999993E-2</c:v>
                </c:pt>
                <c:pt idx="5712">
                  <c:v>6.6547684499999996E-2</c:v>
                </c:pt>
                <c:pt idx="5713">
                  <c:v>6.6597299999999998E-2</c:v>
                </c:pt>
                <c:pt idx="5714">
                  <c:v>6.7096397866666657E-2</c:v>
                </c:pt>
                <c:pt idx="5715">
                  <c:v>6.6927717999999997E-2</c:v>
                </c:pt>
                <c:pt idx="5716">
                  <c:v>6.7353036666666671E-2</c:v>
                </c:pt>
                <c:pt idx="5717">
                  <c:v>6.7474049133333339E-2</c:v>
                </c:pt>
                <c:pt idx="5718">
                  <c:v>6.7420108800000003E-2</c:v>
                </c:pt>
                <c:pt idx="5719">
                  <c:v>6.7415145600000004E-2</c:v>
                </c:pt>
                <c:pt idx="5720">
                  <c:v>6.7312331533333325E-2</c:v>
                </c:pt>
                <c:pt idx="5721">
                  <c:v>6.728944566666667E-2</c:v>
                </c:pt>
                <c:pt idx="5722">
                  <c:v>6.727989840000001E-2</c:v>
                </c:pt>
                <c:pt idx="5723">
                  <c:v>6.7192766666666653E-2</c:v>
                </c:pt>
                <c:pt idx="5724">
                  <c:v>6.7316122866666661E-2</c:v>
                </c:pt>
                <c:pt idx="5725">
                  <c:v>6.7348452599999997E-2</c:v>
                </c:pt>
                <c:pt idx="5726">
                  <c:v>6.7303749333333329E-2</c:v>
                </c:pt>
                <c:pt idx="5727">
                  <c:v>6.7378748799999999E-2</c:v>
                </c:pt>
                <c:pt idx="5728">
                  <c:v>6.7624496133333337E-2</c:v>
                </c:pt>
                <c:pt idx="5729">
                  <c:v>6.7384814933333342E-2</c:v>
                </c:pt>
                <c:pt idx="5730">
                  <c:v>6.7394465599999995E-2</c:v>
                </c:pt>
                <c:pt idx="5731">
                  <c:v>6.68030176E-2</c:v>
                </c:pt>
                <c:pt idx="5732">
                  <c:v>6.7009059333333329E-2</c:v>
                </c:pt>
                <c:pt idx="5733">
                  <c:v>6.6872226666666673E-2</c:v>
                </c:pt>
                <c:pt idx="5734">
                  <c:v>6.6888736200000007E-2</c:v>
                </c:pt>
                <c:pt idx="5735">
                  <c:v>6.6828557400000002E-2</c:v>
                </c:pt>
                <c:pt idx="5736">
                  <c:v>6.5396984399999997E-2</c:v>
                </c:pt>
                <c:pt idx="5737">
                  <c:v>6.5556702933333336E-2</c:v>
                </c:pt>
                <c:pt idx="5738">
                  <c:v>6.5887307199999995E-2</c:v>
                </c:pt>
                <c:pt idx="5739">
                  <c:v>6.578225280000001E-2</c:v>
                </c:pt>
                <c:pt idx="5740">
                  <c:v>6.5786182000000012E-2</c:v>
                </c:pt>
                <c:pt idx="5741">
                  <c:v>6.5496420733333338E-2</c:v>
                </c:pt>
                <c:pt idx="5742">
                  <c:v>6.5538883666666672E-2</c:v>
                </c:pt>
                <c:pt idx="5743">
                  <c:v>6.5655829066666657E-2</c:v>
                </c:pt>
                <c:pt idx="5744">
                  <c:v>6.5451303866666671E-2</c:v>
                </c:pt>
                <c:pt idx="5745">
                  <c:v>6.5679748933333337E-2</c:v>
                </c:pt>
                <c:pt idx="5746">
                  <c:v>6.6301010600000002E-2</c:v>
                </c:pt>
                <c:pt idx="5747">
                  <c:v>6.649533366666667E-2</c:v>
                </c:pt>
                <c:pt idx="5748">
                  <c:v>6.6390244799999998E-2</c:v>
                </c:pt>
                <c:pt idx="5749">
                  <c:v>6.6156526333333326E-2</c:v>
                </c:pt>
                <c:pt idx="5750">
                  <c:v>6.6103034066666663E-2</c:v>
                </c:pt>
                <c:pt idx="5751">
                  <c:v>6.6905107866666674E-2</c:v>
                </c:pt>
                <c:pt idx="5752">
                  <c:v>6.6738151333333343E-2</c:v>
                </c:pt>
                <c:pt idx="5753">
                  <c:v>6.6708751266666672E-2</c:v>
                </c:pt>
                <c:pt idx="5754">
                  <c:v>6.6953568000000005E-2</c:v>
                </c:pt>
                <c:pt idx="5755">
                  <c:v>6.6961495333333343E-2</c:v>
                </c:pt>
                <c:pt idx="5756">
                  <c:v>6.6992446400000003E-2</c:v>
                </c:pt>
                <c:pt idx="5757">
                  <c:v>6.6821870866666674E-2</c:v>
                </c:pt>
                <c:pt idx="5758">
                  <c:v>6.6603731333333319E-2</c:v>
                </c:pt>
                <c:pt idx="5759">
                  <c:v>6.7511100800000001E-2</c:v>
                </c:pt>
                <c:pt idx="5760">
                  <c:v>6.7688328400000011E-2</c:v>
                </c:pt>
                <c:pt idx="5761">
                  <c:v>6.7594647999999993E-2</c:v>
                </c:pt>
                <c:pt idx="5762">
                  <c:v>6.7648622799999988E-2</c:v>
                </c:pt>
                <c:pt idx="5763">
                  <c:v>6.7702321866666665E-2</c:v>
                </c:pt>
                <c:pt idx="5764">
                  <c:v>6.7594441200000008E-2</c:v>
                </c:pt>
                <c:pt idx="5765">
                  <c:v>6.7571486400000005E-2</c:v>
                </c:pt>
                <c:pt idx="5766">
                  <c:v>6.7483665333333331E-2</c:v>
                </c:pt>
                <c:pt idx="5767">
                  <c:v>6.7576725333333337E-2</c:v>
                </c:pt>
                <c:pt idx="5768">
                  <c:v>6.7502828799999998E-2</c:v>
                </c:pt>
                <c:pt idx="5769">
                  <c:v>6.7518269866666661E-2</c:v>
                </c:pt>
                <c:pt idx="5770">
                  <c:v>6.7457332800000006E-2</c:v>
                </c:pt>
                <c:pt idx="5771">
                  <c:v>6.7426864266666664E-2</c:v>
                </c:pt>
                <c:pt idx="5772">
                  <c:v>6.7015194399999992E-2</c:v>
                </c:pt>
                <c:pt idx="5773">
                  <c:v>6.6891183333333326E-2</c:v>
                </c:pt>
                <c:pt idx="5774">
                  <c:v>6.6846859199999997E-2</c:v>
                </c:pt>
                <c:pt idx="5775">
                  <c:v>6.6958738000000004E-2</c:v>
                </c:pt>
                <c:pt idx="5776">
                  <c:v>6.7107978666666665E-2</c:v>
                </c:pt>
                <c:pt idx="5777">
                  <c:v>6.7267352533333338E-2</c:v>
                </c:pt>
                <c:pt idx="5778">
                  <c:v>6.6350022200000011E-2</c:v>
                </c:pt>
                <c:pt idx="5779">
                  <c:v>6.70360812E-2</c:v>
                </c:pt>
                <c:pt idx="5780">
                  <c:v>6.7247223999999994E-2</c:v>
                </c:pt>
                <c:pt idx="5781">
                  <c:v>6.5947899599999998E-2</c:v>
                </c:pt>
                <c:pt idx="5782">
                  <c:v>6.7512445000000004E-2</c:v>
                </c:pt>
                <c:pt idx="5783">
                  <c:v>6.7736650666666676E-2</c:v>
                </c:pt>
                <c:pt idx="5784">
                  <c:v>6.7570659199999994E-2</c:v>
                </c:pt>
                <c:pt idx="5785">
                  <c:v>6.7671164000000006E-2</c:v>
                </c:pt>
                <c:pt idx="5786">
                  <c:v>6.7630562266666666E-2</c:v>
                </c:pt>
                <c:pt idx="5787">
                  <c:v>6.8014968999999995E-2</c:v>
                </c:pt>
                <c:pt idx="5788">
                  <c:v>6.794069333333333E-2</c:v>
                </c:pt>
                <c:pt idx="5789">
                  <c:v>6.7769187199999997E-2</c:v>
                </c:pt>
                <c:pt idx="5790">
                  <c:v>6.8375917500000008E-2</c:v>
                </c:pt>
                <c:pt idx="5791">
                  <c:v>6.8537335166666657E-2</c:v>
                </c:pt>
                <c:pt idx="5792">
                  <c:v>6.8598711500000006E-2</c:v>
                </c:pt>
                <c:pt idx="5793">
                  <c:v>6.8555344000000004E-2</c:v>
                </c:pt>
                <c:pt idx="5794">
                  <c:v>6.7582240000000002E-2</c:v>
                </c:pt>
                <c:pt idx="5795">
                  <c:v>6.7467534933333337E-2</c:v>
                </c:pt>
                <c:pt idx="5796">
                  <c:v>6.7406460000000001E-2</c:v>
                </c:pt>
                <c:pt idx="5797">
                  <c:v>6.7432999333333327E-2</c:v>
                </c:pt>
                <c:pt idx="5798">
                  <c:v>6.7528540933333325E-2</c:v>
                </c:pt>
                <c:pt idx="5799">
                  <c:v>6.7514409600000005E-2</c:v>
                </c:pt>
                <c:pt idx="5800">
                  <c:v>6.7424382666666671E-2</c:v>
                </c:pt>
                <c:pt idx="5801">
                  <c:v>6.7530850200000006E-2</c:v>
                </c:pt>
                <c:pt idx="5802">
                  <c:v>6.7152647466666673E-2</c:v>
                </c:pt>
                <c:pt idx="5803">
                  <c:v>6.6061846399999999E-2</c:v>
                </c:pt>
                <c:pt idx="5804">
                  <c:v>6.6177654399999994E-2</c:v>
                </c:pt>
                <c:pt idx="5805">
                  <c:v>6.6232249600000001E-2</c:v>
                </c:pt>
                <c:pt idx="5806">
                  <c:v>6.4820632800000014E-2</c:v>
                </c:pt>
                <c:pt idx="5807">
                  <c:v>6.4574540799999997E-2</c:v>
                </c:pt>
                <c:pt idx="5808">
                  <c:v>6.4528424400000006E-2</c:v>
                </c:pt>
                <c:pt idx="5809">
                  <c:v>6.4142742399999994E-2</c:v>
                </c:pt>
                <c:pt idx="5810">
                  <c:v>6.4154874666666667E-2</c:v>
                </c:pt>
                <c:pt idx="5811">
                  <c:v>6.4328655599999993E-2</c:v>
                </c:pt>
                <c:pt idx="5812">
                  <c:v>6.4403241466666677E-2</c:v>
                </c:pt>
                <c:pt idx="5813">
                  <c:v>6.2841556800000004E-2</c:v>
                </c:pt>
                <c:pt idx="5814">
                  <c:v>5.7225361599999996E-2</c:v>
                </c:pt>
                <c:pt idx="5815">
                  <c:v>5.8674267299999992E-2</c:v>
                </c:pt>
                <c:pt idx="5816">
                  <c:v>5.6493010933333331E-2</c:v>
                </c:pt>
                <c:pt idx="5817">
                  <c:v>5.6218252933333338E-2</c:v>
                </c:pt>
                <c:pt idx="5818">
                  <c:v>5.6823294000000003E-2</c:v>
                </c:pt>
                <c:pt idx="5819">
                  <c:v>5.6975600000000008E-2</c:v>
                </c:pt>
                <c:pt idx="5820">
                  <c:v>5.9284350399999998E-2</c:v>
                </c:pt>
                <c:pt idx="5821">
                  <c:v>5.79902895E-2</c:v>
                </c:pt>
                <c:pt idx="5822">
                  <c:v>5.6183878666666673E-2</c:v>
                </c:pt>
                <c:pt idx="5823">
                  <c:v>5.8721905000000012E-2</c:v>
                </c:pt>
                <c:pt idx="5824">
                  <c:v>5.8793958299999997E-2</c:v>
                </c:pt>
                <c:pt idx="5825">
                  <c:v>5.60178432E-2</c:v>
                </c:pt>
                <c:pt idx="5826">
                  <c:v>5.6444299999999996E-2</c:v>
                </c:pt>
                <c:pt idx="5827">
                  <c:v>5.6139553066666667E-2</c:v>
                </c:pt>
                <c:pt idx="5828">
                  <c:v>5.5716165999999998E-2</c:v>
                </c:pt>
                <c:pt idx="5829">
                  <c:v>5.5965758933333339E-2</c:v>
                </c:pt>
                <c:pt idx="5830">
                  <c:v>5.6115400000000003E-2</c:v>
                </c:pt>
                <c:pt idx="5831">
                  <c:v>5.5915293866666667E-2</c:v>
                </c:pt>
                <c:pt idx="5832">
                  <c:v>5.5840540800000005E-2</c:v>
                </c:pt>
                <c:pt idx="5833">
                  <c:v>5.5815881733333336E-2</c:v>
                </c:pt>
                <c:pt idx="5834">
                  <c:v>5.6061021866666665E-2</c:v>
                </c:pt>
                <c:pt idx="5835">
                  <c:v>5.5841957599999999E-2</c:v>
                </c:pt>
                <c:pt idx="5836">
                  <c:v>5.5940526399999996E-2</c:v>
                </c:pt>
                <c:pt idx="5837">
                  <c:v>5.6671730133333341E-2</c:v>
                </c:pt>
                <c:pt idx="5838">
                  <c:v>5.6207998000000002E-2</c:v>
                </c:pt>
                <c:pt idx="5839">
                  <c:v>5.8331323600000005E-2</c:v>
                </c:pt>
                <c:pt idx="5840">
                  <c:v>5.8172895000000002E-2</c:v>
                </c:pt>
                <c:pt idx="5841">
                  <c:v>5.7275253200000001E-2</c:v>
                </c:pt>
                <c:pt idx="5842">
                  <c:v>5.7148651999999994E-2</c:v>
                </c:pt>
                <c:pt idx="5843">
                  <c:v>5.8020809E-2</c:v>
                </c:pt>
                <c:pt idx="5844">
                  <c:v>5.6268380666666666E-2</c:v>
                </c:pt>
                <c:pt idx="5845">
                  <c:v>5.7024344666666664E-2</c:v>
                </c:pt>
                <c:pt idx="5846">
                  <c:v>5.8493094000000002E-2</c:v>
                </c:pt>
                <c:pt idx="5847">
                  <c:v>5.6747697600000001E-2</c:v>
                </c:pt>
                <c:pt idx="5848">
                  <c:v>5.6819785733333329E-2</c:v>
                </c:pt>
                <c:pt idx="5849">
                  <c:v>5.67462808E-2</c:v>
                </c:pt>
                <c:pt idx="5850">
                  <c:v>5.6847885600000002E-2</c:v>
                </c:pt>
                <c:pt idx="5851">
                  <c:v>5.7049813333333324E-2</c:v>
                </c:pt>
                <c:pt idx="5852">
                  <c:v>5.6823125333333335E-2</c:v>
                </c:pt>
                <c:pt idx="5853">
                  <c:v>5.6923380799999999E-2</c:v>
                </c:pt>
                <c:pt idx="5854">
                  <c:v>5.7178236133333338E-2</c:v>
                </c:pt>
                <c:pt idx="5855">
                  <c:v>5.7228903599999999E-2</c:v>
                </c:pt>
                <c:pt idx="5856">
                  <c:v>5.7127534933333335E-2</c:v>
                </c:pt>
                <c:pt idx="5857">
                  <c:v>5.7102100000000003E-2</c:v>
                </c:pt>
                <c:pt idx="5858">
                  <c:v>5.7413222533333336E-2</c:v>
                </c:pt>
                <c:pt idx="5859">
                  <c:v>5.7119978666666661E-2</c:v>
                </c:pt>
                <c:pt idx="5860">
                  <c:v>5.7232108266666672E-2</c:v>
                </c:pt>
                <c:pt idx="5861">
                  <c:v>5.7141770400000007E-2</c:v>
                </c:pt>
                <c:pt idx="5862">
                  <c:v>5.6779204533333336E-2</c:v>
                </c:pt>
                <c:pt idx="5863">
                  <c:v>5.6788784799999992E-2</c:v>
                </c:pt>
                <c:pt idx="5864">
                  <c:v>5.67707712E-2</c:v>
                </c:pt>
                <c:pt idx="5865">
                  <c:v>5.6293781866666656E-2</c:v>
                </c:pt>
                <c:pt idx="5866">
                  <c:v>5.6621703599999997E-2</c:v>
                </c:pt>
                <c:pt idx="5867">
                  <c:v>5.6294254133333332E-2</c:v>
                </c:pt>
                <c:pt idx="5868">
                  <c:v>5.7991648E-2</c:v>
                </c:pt>
                <c:pt idx="5869">
                  <c:v>5.6365701333333323E-2</c:v>
                </c:pt>
                <c:pt idx="5870">
                  <c:v>5.8119834666666675E-2</c:v>
                </c:pt>
                <c:pt idx="5871">
                  <c:v>5.6925000000000003E-2</c:v>
                </c:pt>
                <c:pt idx="5872">
                  <c:v>5.7279469866666669E-2</c:v>
                </c:pt>
                <c:pt idx="5873">
                  <c:v>5.6796813333333335E-2</c:v>
                </c:pt>
                <c:pt idx="5874">
                  <c:v>5.65168604E-2</c:v>
                </c:pt>
                <c:pt idx="5875">
                  <c:v>5.6671156666666674E-2</c:v>
                </c:pt>
                <c:pt idx="5876">
                  <c:v>5.6720576000000002E-2</c:v>
                </c:pt>
                <c:pt idx="5877">
                  <c:v>5.6873860266666666E-2</c:v>
                </c:pt>
                <c:pt idx="5878">
                  <c:v>5.7220807599999993E-2</c:v>
                </c:pt>
                <c:pt idx="5879">
                  <c:v>5.6892953333333336E-2</c:v>
                </c:pt>
                <c:pt idx="5880">
                  <c:v>5.6766824400000006E-2</c:v>
                </c:pt>
                <c:pt idx="5881">
                  <c:v>5.6419944533333335E-2</c:v>
                </c:pt>
                <c:pt idx="5882">
                  <c:v>5.6142589066666665E-2</c:v>
                </c:pt>
                <c:pt idx="5883">
                  <c:v>5.6193593866666669E-2</c:v>
                </c:pt>
                <c:pt idx="5884">
                  <c:v>5.5967614266666674E-2</c:v>
                </c:pt>
                <c:pt idx="5885">
                  <c:v>5.5917486533333345E-2</c:v>
                </c:pt>
                <c:pt idx="5886">
                  <c:v>5.7235009333333337E-2</c:v>
                </c:pt>
                <c:pt idx="5887">
                  <c:v>5.6243316799999998E-2</c:v>
                </c:pt>
                <c:pt idx="5888">
                  <c:v>5.6067768533333326E-2</c:v>
                </c:pt>
                <c:pt idx="5889">
                  <c:v>5.6620894000000005E-2</c:v>
                </c:pt>
                <c:pt idx="5890">
                  <c:v>5.7203165066666666E-2</c:v>
                </c:pt>
                <c:pt idx="5891">
                  <c:v>5.877421439999999E-2</c:v>
                </c:pt>
                <c:pt idx="5892">
                  <c:v>6.0928243199999996E-2</c:v>
                </c:pt>
                <c:pt idx="5893">
                  <c:v>6.0455310300000002E-2</c:v>
                </c:pt>
                <c:pt idx="5894">
                  <c:v>5.8362849600000002E-2</c:v>
                </c:pt>
                <c:pt idx="5895">
                  <c:v>6.2169585499999999E-2</c:v>
                </c:pt>
                <c:pt idx="5896">
                  <c:v>6.4833109733333338E-2</c:v>
                </c:pt>
                <c:pt idx="5897">
                  <c:v>5.7226474800000003E-2</c:v>
                </c:pt>
                <c:pt idx="5898">
                  <c:v>5.7547379999999995E-2</c:v>
                </c:pt>
                <c:pt idx="5899">
                  <c:v>5.7530580800000002E-2</c:v>
                </c:pt>
                <c:pt idx="5900">
                  <c:v>5.8850598400000002E-2</c:v>
                </c:pt>
                <c:pt idx="5901">
                  <c:v>5.8929983199999987E-2</c:v>
                </c:pt>
                <c:pt idx="5902">
                  <c:v>5.8797675200000003E-2</c:v>
                </c:pt>
                <c:pt idx="5903">
                  <c:v>5.9755782900000005E-2</c:v>
                </c:pt>
                <c:pt idx="5904">
                  <c:v>5.9256422500000003E-2</c:v>
                </c:pt>
                <c:pt idx="5905">
                  <c:v>5.61177276E-2</c:v>
                </c:pt>
                <c:pt idx="5906">
                  <c:v>5.6830681600000002E-2</c:v>
                </c:pt>
                <c:pt idx="5907">
                  <c:v>5.8657387799999995E-2</c:v>
                </c:pt>
                <c:pt idx="5908">
                  <c:v>5.79788319E-2</c:v>
                </c:pt>
                <c:pt idx="5909">
                  <c:v>5.5804243733333328E-2</c:v>
                </c:pt>
                <c:pt idx="5910">
                  <c:v>5.6077348800000003E-2</c:v>
                </c:pt>
                <c:pt idx="5911">
                  <c:v>5.6267739733333336E-2</c:v>
                </c:pt>
                <c:pt idx="5912">
                  <c:v>5.6232792000000004E-2</c:v>
                </c:pt>
                <c:pt idx="5913">
                  <c:v>5.6337837600000003E-2</c:v>
                </c:pt>
                <c:pt idx="5914">
                  <c:v>5.6668221866666674E-2</c:v>
                </c:pt>
                <c:pt idx="5915">
                  <c:v>6.0138129333333339E-2</c:v>
                </c:pt>
                <c:pt idx="5916">
                  <c:v>6.1816655999999998E-2</c:v>
                </c:pt>
                <c:pt idx="5917">
                  <c:v>5.8848075000000007E-2</c:v>
                </c:pt>
                <c:pt idx="5918">
                  <c:v>5.9768775000000003E-2</c:v>
                </c:pt>
                <c:pt idx="5919">
                  <c:v>6.0892574599999999E-2</c:v>
                </c:pt>
                <c:pt idx="5920">
                  <c:v>6.3381260799999992E-2</c:v>
                </c:pt>
                <c:pt idx="5921">
                  <c:v>5.6669031466666672E-2</c:v>
                </c:pt>
                <c:pt idx="5922">
                  <c:v>5.6294119199999999E-2</c:v>
                </c:pt>
                <c:pt idx="5923">
                  <c:v>5.6062101333333336E-2</c:v>
                </c:pt>
                <c:pt idx="5924">
                  <c:v>5.5875758399999996E-2</c:v>
                </c:pt>
                <c:pt idx="5925">
                  <c:v>5.5880548533333338E-2</c:v>
                </c:pt>
                <c:pt idx="5926">
                  <c:v>5.5921298399999993E-2</c:v>
                </c:pt>
                <c:pt idx="5927">
                  <c:v>5.6358246266666669E-2</c:v>
                </c:pt>
                <c:pt idx="5928">
                  <c:v>5.0914179999999996E-2</c:v>
                </c:pt>
                <c:pt idx="5929">
                  <c:v>5.0844720000000003E-2</c:v>
                </c:pt>
                <c:pt idx="5930">
                  <c:v>5.6735951999999999E-2</c:v>
                </c:pt>
                <c:pt idx="5931">
                  <c:v>5.9806559999999995E-2</c:v>
                </c:pt>
                <c:pt idx="5932">
                  <c:v>5.9600887999999998E-2</c:v>
                </c:pt>
                <c:pt idx="5933">
                  <c:v>5.9766140000000002E-2</c:v>
                </c:pt>
                <c:pt idx="5934">
                  <c:v>5.9914848E-2</c:v>
                </c:pt>
                <c:pt idx="5935">
                  <c:v>5.9944426666666668E-2</c:v>
                </c:pt>
                <c:pt idx="5936">
                  <c:v>5.9274833333333339E-2</c:v>
                </c:pt>
                <c:pt idx="5937">
                  <c:v>5.9139348000000008E-2</c:v>
                </c:pt>
                <c:pt idx="5938">
                  <c:v>5.9304067333333335E-2</c:v>
                </c:pt>
                <c:pt idx="5939">
                  <c:v>5.9180896000000004E-2</c:v>
                </c:pt>
                <c:pt idx="5940">
                  <c:v>5.9384500000000007E-2</c:v>
                </c:pt>
                <c:pt idx="5941">
                  <c:v>6.0253812000000004E-2</c:v>
                </c:pt>
                <c:pt idx="5942">
                  <c:v>5.9785880000000007E-2</c:v>
                </c:pt>
                <c:pt idx="5943">
                  <c:v>5.9889280000000003E-2</c:v>
                </c:pt>
                <c:pt idx="5944">
                  <c:v>5.9618058666666668E-2</c:v>
                </c:pt>
                <c:pt idx="5945">
                  <c:v>5.9602204000000006E-2</c:v>
                </c:pt>
                <c:pt idx="5946">
                  <c:v>5.9424919999999999E-2</c:v>
                </c:pt>
                <c:pt idx="5947">
                  <c:v>5.9235541333333343E-2</c:v>
                </c:pt>
                <c:pt idx="5948">
                  <c:v>5.9590360000000009E-2</c:v>
                </c:pt>
                <c:pt idx="5949">
                  <c:v>5.9672641333333339E-2</c:v>
                </c:pt>
                <c:pt idx="5950">
                  <c:v>5.9740916666666664E-2</c:v>
                </c:pt>
                <c:pt idx="5951">
                  <c:v>6.0050709333333334E-2</c:v>
                </c:pt>
                <c:pt idx="5952">
                  <c:v>6.0054720000000013E-2</c:v>
                </c:pt>
                <c:pt idx="5953">
                  <c:v>5.9986350666666674E-2</c:v>
                </c:pt>
                <c:pt idx="5954">
                  <c:v>5.9972094000000004E-2</c:v>
                </c:pt>
                <c:pt idx="5955">
                  <c:v>6.036586E-2</c:v>
                </c:pt>
                <c:pt idx="5956">
                  <c:v>6.0514066666666672E-2</c:v>
                </c:pt>
                <c:pt idx="5957">
                  <c:v>6.0618845333333338E-2</c:v>
                </c:pt>
                <c:pt idx="5958">
                  <c:v>6.0514066666666672E-2</c:v>
                </c:pt>
                <c:pt idx="5959">
                  <c:v>6.0521743333333343E-2</c:v>
                </c:pt>
                <c:pt idx="5960">
                  <c:v>6.043072E-2</c:v>
                </c:pt>
                <c:pt idx="5961">
                  <c:v>6.0484676000000001E-2</c:v>
                </c:pt>
                <c:pt idx="5962">
                  <c:v>6.0063180000000001E-2</c:v>
                </c:pt>
                <c:pt idx="5963">
                  <c:v>5.961292E-2</c:v>
                </c:pt>
                <c:pt idx="5964">
                  <c:v>5.9259166666666668E-2</c:v>
                </c:pt>
                <c:pt idx="5965">
                  <c:v>5.884362399999999E-2</c:v>
                </c:pt>
                <c:pt idx="5966">
                  <c:v>5.899530866666667E-2</c:v>
                </c:pt>
                <c:pt idx="5967">
                  <c:v>5.8735273333333331E-2</c:v>
                </c:pt>
                <c:pt idx="5968">
                  <c:v>5.8643310000000011E-2</c:v>
                </c:pt>
                <c:pt idx="5969">
                  <c:v>5.8922646666666668E-2</c:v>
                </c:pt>
                <c:pt idx="5970">
                  <c:v>5.8650547999999997E-2</c:v>
                </c:pt>
                <c:pt idx="5971">
                  <c:v>5.8619371333333337E-2</c:v>
                </c:pt>
                <c:pt idx="5972">
                  <c:v>5.9304067333333335E-2</c:v>
                </c:pt>
                <c:pt idx="5973">
                  <c:v>5.9491816666666669E-2</c:v>
                </c:pt>
                <c:pt idx="5974">
                  <c:v>5.9150440000000006E-2</c:v>
                </c:pt>
                <c:pt idx="5975">
                  <c:v>5.8950220000000011E-2</c:v>
                </c:pt>
                <c:pt idx="5976">
                  <c:v>5.9139348000000008E-2</c:v>
                </c:pt>
                <c:pt idx="5977">
                  <c:v>5.937140266666667E-2</c:v>
                </c:pt>
                <c:pt idx="5978">
                  <c:v>5.930209333333334E-2</c:v>
                </c:pt>
                <c:pt idx="5979">
                  <c:v>5.9276807333333334E-2</c:v>
                </c:pt>
                <c:pt idx="5980">
                  <c:v>5.9263240000000002E-2</c:v>
                </c:pt>
                <c:pt idx="5981">
                  <c:v>5.9208594666666677E-2</c:v>
                </c:pt>
                <c:pt idx="5982">
                  <c:v>5.9222349999999993E-2</c:v>
                </c:pt>
                <c:pt idx="5983">
                  <c:v>5.8325527333333335E-2</c:v>
                </c:pt>
                <c:pt idx="5984">
                  <c:v>5.8205176000000011E-2</c:v>
                </c:pt>
                <c:pt idx="5985">
                  <c:v>5.8163189333333337E-2</c:v>
                </c:pt>
                <c:pt idx="5986">
                  <c:v>5.8301620000000005E-2</c:v>
                </c:pt>
                <c:pt idx="5987">
                  <c:v>5.8210095333333337E-2</c:v>
                </c:pt>
                <c:pt idx="5988">
                  <c:v>5.8226545333333338E-2</c:v>
                </c:pt>
                <c:pt idx="5989">
                  <c:v>5.8179733333333331E-2</c:v>
                </c:pt>
                <c:pt idx="5990">
                  <c:v>5.8190041999999997E-2</c:v>
                </c:pt>
                <c:pt idx="5991">
                  <c:v>5.8325120000000001E-2</c:v>
                </c:pt>
                <c:pt idx="5992">
                  <c:v>5.8343168000000001E-2</c:v>
                </c:pt>
                <c:pt idx="5993">
                  <c:v>5.8421375999999997E-2</c:v>
                </c:pt>
                <c:pt idx="5994">
                  <c:v>5.8377195999999999E-2</c:v>
                </c:pt>
                <c:pt idx="5995">
                  <c:v>5.7984011999999995E-2</c:v>
                </c:pt>
                <c:pt idx="5996">
                  <c:v>5.8671040000000001E-2</c:v>
                </c:pt>
                <c:pt idx="5997">
                  <c:v>5.8619340000000006E-2</c:v>
                </c:pt>
                <c:pt idx="5998">
                  <c:v>5.8527596000000001E-2</c:v>
                </c:pt>
                <c:pt idx="5999">
                  <c:v>5.8947932666666661E-2</c:v>
                </c:pt>
                <c:pt idx="6000">
                  <c:v>5.8990013333333341E-2</c:v>
                </c:pt>
                <c:pt idx="6001">
                  <c:v>5.8544860666666663E-2</c:v>
                </c:pt>
                <c:pt idx="6002">
                  <c:v>5.8615109999999998E-2</c:v>
                </c:pt>
                <c:pt idx="6003">
                  <c:v>5.8726500000000001E-2</c:v>
                </c:pt>
                <c:pt idx="6004">
                  <c:v>5.8755138666666665E-2</c:v>
                </c:pt>
                <c:pt idx="6005">
                  <c:v>5.8718102666666661E-2</c:v>
                </c:pt>
                <c:pt idx="6006">
                  <c:v>5.8767766000000006E-2</c:v>
                </c:pt>
                <c:pt idx="6007">
                  <c:v>5.8795840666666661E-2</c:v>
                </c:pt>
                <c:pt idx="6008">
                  <c:v>5.8477775999999995E-2</c:v>
                </c:pt>
                <c:pt idx="6009">
                  <c:v>5.8322112000000009E-2</c:v>
                </c:pt>
                <c:pt idx="6010">
                  <c:v>5.8387191333333338E-2</c:v>
                </c:pt>
                <c:pt idx="6011">
                  <c:v>5.8279310666666667E-2</c:v>
                </c:pt>
                <c:pt idx="6012">
                  <c:v>5.8274172000000006E-2</c:v>
                </c:pt>
                <c:pt idx="6013">
                  <c:v>5.8279310666666667E-2</c:v>
                </c:pt>
                <c:pt idx="6014">
                  <c:v>5.8795590000000002E-2</c:v>
                </c:pt>
                <c:pt idx="6015">
                  <c:v>5.8333454666666666E-2</c:v>
                </c:pt>
                <c:pt idx="6016">
                  <c:v>5.8208967333333334E-2</c:v>
                </c:pt>
                <c:pt idx="6017">
                  <c:v>5.8083352000000005E-2</c:v>
                </c:pt>
                <c:pt idx="6018">
                  <c:v>5.8078745999999994E-2</c:v>
                </c:pt>
                <c:pt idx="6019">
                  <c:v>5.8266996666666675E-2</c:v>
                </c:pt>
                <c:pt idx="6020">
                  <c:v>5.5499609999999998E-2</c:v>
                </c:pt>
                <c:pt idx="6021">
                  <c:v>5.2989881000000003E-2</c:v>
                </c:pt>
                <c:pt idx="6022">
                  <c:v>5.2033127999999998E-2</c:v>
                </c:pt>
                <c:pt idx="6023">
                  <c:v>5.219135200000001E-2</c:v>
                </c:pt>
                <c:pt idx="6024">
                  <c:v>5.3043170000000008E-2</c:v>
                </c:pt>
                <c:pt idx="6025">
                  <c:v>5.121873066666667E-2</c:v>
                </c:pt>
                <c:pt idx="6026">
                  <c:v>5.1254028E-2</c:v>
                </c:pt>
                <c:pt idx="6027">
                  <c:v>5.1336674666666665E-2</c:v>
                </c:pt>
                <c:pt idx="6028">
                  <c:v>5.1125688000000002E-2</c:v>
                </c:pt>
                <c:pt idx="6029">
                  <c:v>5.1079503999999998E-2</c:v>
                </c:pt>
                <c:pt idx="6030">
                  <c:v>5.1053100000000004E-2</c:v>
                </c:pt>
                <c:pt idx="6031">
                  <c:v>5.0989896E-2</c:v>
                </c:pt>
                <c:pt idx="6032">
                  <c:v>5.0787036000000001E-2</c:v>
                </c:pt>
                <c:pt idx="6033">
                  <c:v>5.1556339999999999E-2</c:v>
                </c:pt>
                <c:pt idx="6034">
                  <c:v>5.6225940000000009E-2</c:v>
                </c:pt>
                <c:pt idx="6035">
                  <c:v>5.860285866666666E-2</c:v>
                </c:pt>
                <c:pt idx="6036">
                  <c:v>5.4853476999999998E-2</c:v>
                </c:pt>
                <c:pt idx="6037">
                  <c:v>5.1148320000000004E-2</c:v>
                </c:pt>
                <c:pt idx="6038">
                  <c:v>5.1589061333333332E-2</c:v>
                </c:pt>
                <c:pt idx="6039">
                  <c:v>5.1624266666666675E-2</c:v>
                </c:pt>
                <c:pt idx="6040">
                  <c:v>5.1008602666666673E-2</c:v>
                </c:pt>
                <c:pt idx="6041">
                  <c:v>5.1269392000000004E-2</c:v>
                </c:pt>
                <c:pt idx="6042">
                  <c:v>5.1587098666666664E-2</c:v>
                </c:pt>
                <c:pt idx="6043">
                  <c:v>5.0692858666666667E-2</c:v>
                </c:pt>
                <c:pt idx="6044">
                  <c:v>5.0466784000000001E-2</c:v>
                </c:pt>
                <c:pt idx="6045">
                  <c:v>5.0537654666666668E-2</c:v>
                </c:pt>
                <c:pt idx="6046">
                  <c:v>5.0434461333333333E-2</c:v>
                </c:pt>
                <c:pt idx="6047">
                  <c:v>5.3204060000000004E-2</c:v>
                </c:pt>
                <c:pt idx="6048">
                  <c:v>5.1387894000000003E-2</c:v>
                </c:pt>
                <c:pt idx="6049">
                  <c:v>5.2410956000000002E-2</c:v>
                </c:pt>
                <c:pt idx="6050">
                  <c:v>5.2235496000000006E-2</c:v>
                </c:pt>
                <c:pt idx="6051">
                  <c:v>5.1013632000000003E-2</c:v>
                </c:pt>
                <c:pt idx="6052">
                  <c:v>5.2346910000000003E-2</c:v>
                </c:pt>
                <c:pt idx="6053">
                  <c:v>5.3089980000000002E-2</c:v>
                </c:pt>
                <c:pt idx="6054">
                  <c:v>9.1414866666666671E-3</c:v>
                </c:pt>
                <c:pt idx="6055">
                  <c:v>6.2375040000000005E-3</c:v>
                </c:pt>
                <c:pt idx="6056">
                  <c:v>6.1114680000000001E-3</c:v>
                </c:pt>
                <c:pt idx="6057">
                  <c:v>6.0752890000000011E-3</c:v>
                </c:pt>
                <c:pt idx="6058">
                  <c:v>6.0836380000000006E-3</c:v>
                </c:pt>
                <c:pt idx="6059">
                  <c:v>6.0367226666666676E-3</c:v>
                </c:pt>
                <c:pt idx="6060">
                  <c:v>6.0669400000000007E-3</c:v>
                </c:pt>
                <c:pt idx="6061">
                  <c:v>6.089204E-3</c:v>
                </c:pt>
                <c:pt idx="6062">
                  <c:v>6.0836380000000006E-3</c:v>
                </c:pt>
                <c:pt idx="6063">
                  <c:v>5.9869466666666671E-3</c:v>
                </c:pt>
                <c:pt idx="6064">
                  <c:v>6.0007733333333341E-3</c:v>
                </c:pt>
                <c:pt idx="6065">
                  <c:v>6.139528E-3</c:v>
                </c:pt>
                <c:pt idx="6066">
                  <c:v>6.0284266666666671E-3</c:v>
                </c:pt>
                <c:pt idx="6067">
                  <c:v>6.108685E-3</c:v>
                </c:pt>
                <c:pt idx="6068">
                  <c:v>6.0582000000000006E-3</c:v>
                </c:pt>
                <c:pt idx="6069">
                  <c:v>6.0858000000000006E-3</c:v>
                </c:pt>
                <c:pt idx="6070">
                  <c:v>6.1739999999999998E-3</c:v>
                </c:pt>
                <c:pt idx="6071">
                  <c:v>6.0968400000000001E-3</c:v>
                </c:pt>
                <c:pt idx="6072">
                  <c:v>6.0940800000000009E-3</c:v>
                </c:pt>
                <c:pt idx="6073">
                  <c:v>6.1299600000000011E-3</c:v>
                </c:pt>
                <c:pt idx="6074">
                  <c:v>6.1686000000000006E-3</c:v>
                </c:pt>
                <c:pt idx="6075">
                  <c:v>6.0947946666666669E-3</c:v>
                </c:pt>
                <c:pt idx="6076">
                  <c:v>6.1336000000000003E-3</c:v>
                </c:pt>
                <c:pt idx="6077">
                  <c:v>5.2936800000000003E-3</c:v>
                </c:pt>
                <c:pt idx="6078">
                  <c:v>5.0076780000000006E-3</c:v>
                </c:pt>
                <c:pt idx="6079">
                  <c:v>4.9684320000000001E-3</c:v>
                </c:pt>
                <c:pt idx="6080">
                  <c:v>4.9014720000000005E-3</c:v>
                </c:pt>
                <c:pt idx="6081">
                  <c:v>4.9681170000000002E-3</c:v>
                </c:pt>
                <c:pt idx="6082">
                  <c:v>4.8627219999999999E-3</c:v>
                </c:pt>
                <c:pt idx="6083">
                  <c:v>4.9658700000000007E-3</c:v>
                </c:pt>
                <c:pt idx="6084">
                  <c:v>4.9328160000000005E-3</c:v>
                </c:pt>
                <c:pt idx="6085">
                  <c:v>4.9748580000000004E-3</c:v>
                </c:pt>
                <c:pt idx="6086">
                  <c:v>4.9083299999999998E-3</c:v>
                </c:pt>
                <c:pt idx="6087">
                  <c:v>4.9150080000000011E-3</c:v>
                </c:pt>
                <c:pt idx="6088">
                  <c:v>5.0377599999999996E-3</c:v>
                </c:pt>
                <c:pt idx="6089">
                  <c:v>5.0534400000000002E-3</c:v>
                </c:pt>
                <c:pt idx="6090">
                  <c:v>4.995144E-3</c:v>
                </c:pt>
                <c:pt idx="6091">
                  <c:v>5.0902613333333336E-3</c:v>
                </c:pt>
                <c:pt idx="6092">
                  <c:v>5.0646400000000005E-3</c:v>
                </c:pt>
                <c:pt idx="6093">
                  <c:v>5.0646400000000005E-3</c:v>
                </c:pt>
                <c:pt idx="6094">
                  <c:v>5.0691199999999999E-3</c:v>
                </c:pt>
                <c:pt idx="6095">
                  <c:v>5.110613333333334E-3</c:v>
                </c:pt>
                <c:pt idx="6096">
                  <c:v>5.0879999999999996E-3</c:v>
                </c:pt>
                <c:pt idx="6097">
                  <c:v>5.0691199999999999E-3</c:v>
                </c:pt>
                <c:pt idx="6098">
                  <c:v>5.0668800000000002E-3</c:v>
                </c:pt>
                <c:pt idx="6099">
                  <c:v>5.0947840000000006E-3</c:v>
                </c:pt>
                <c:pt idx="6100">
                  <c:v>5.110613333333334E-3</c:v>
                </c:pt>
                <c:pt idx="6101">
                  <c:v>5.1004800000000001E-3</c:v>
                </c:pt>
                <c:pt idx="6102">
                  <c:v>5.107200000000001E-3</c:v>
                </c:pt>
                <c:pt idx="6103">
                  <c:v>5.1309653333333335E-3</c:v>
                </c:pt>
                <c:pt idx="6104">
                  <c:v>5.1219200000000003E-3</c:v>
                </c:pt>
                <c:pt idx="6105">
                  <c:v>5.0960000000000007E-3</c:v>
                </c:pt>
                <c:pt idx="6106">
                  <c:v>5.0982400000000004E-3</c:v>
                </c:pt>
                <c:pt idx="6107">
                  <c:v>5.1241813333333334E-3</c:v>
                </c:pt>
                <c:pt idx="6108">
                  <c:v>5.0063160000000002E-3</c:v>
                </c:pt>
                <c:pt idx="6109">
                  <c:v>4.9950810000000002E-3</c:v>
                </c:pt>
                <c:pt idx="6110">
                  <c:v>4.9973280000000005E-3</c:v>
                </c:pt>
                <c:pt idx="6111">
                  <c:v>4.9973700000000001E-3</c:v>
                </c:pt>
                <c:pt idx="6112">
                  <c:v>4.9681170000000002E-3</c:v>
                </c:pt>
                <c:pt idx="6113">
                  <c:v>4.8769199999999999E-3</c:v>
                </c:pt>
                <c:pt idx="6114">
                  <c:v>4.9059360000000005E-3</c:v>
                </c:pt>
                <c:pt idx="6115">
                  <c:v>4.9198240000000006E-3</c:v>
                </c:pt>
                <c:pt idx="6116">
                  <c:v>4.9546350000000006E-3</c:v>
                </c:pt>
                <c:pt idx="6117">
                  <c:v>4.8657600000000002E-3</c:v>
                </c:pt>
                <c:pt idx="6118">
                  <c:v>4.9681170000000002E-3</c:v>
                </c:pt>
                <c:pt idx="6119">
                  <c:v>4.8880799999999995E-3</c:v>
                </c:pt>
                <c:pt idx="6120">
                  <c:v>4.9282560000000007E-3</c:v>
                </c:pt>
                <c:pt idx="6121">
                  <c:v>4.9198240000000006E-3</c:v>
                </c:pt>
                <c:pt idx="6122">
                  <c:v>4.9105560000000008E-3</c:v>
                </c:pt>
                <c:pt idx="6123">
                  <c:v>4.8715673333333334E-3</c:v>
                </c:pt>
                <c:pt idx="6124">
                  <c:v>4.9400980000000004E-3</c:v>
                </c:pt>
                <c:pt idx="6125">
                  <c:v>4.9260240000000002E-3</c:v>
                </c:pt>
                <c:pt idx="6126">
                  <c:v>4.9327199999999998E-3</c:v>
                </c:pt>
                <c:pt idx="6127">
                  <c:v>4.89924E-3</c:v>
                </c:pt>
                <c:pt idx="6128">
                  <c:v>4.9327199999999998E-3</c:v>
                </c:pt>
                <c:pt idx="6129">
                  <c:v>4.9617540000000005E-3</c:v>
                </c:pt>
                <c:pt idx="6130">
                  <c:v>5.0175510000000003E-3</c:v>
                </c:pt>
                <c:pt idx="6131">
                  <c:v>5.0310330000000007E-3</c:v>
                </c:pt>
                <c:pt idx="6132">
                  <c:v>4.9304880000000002E-3</c:v>
                </c:pt>
                <c:pt idx="6133">
                  <c:v>5.0085629999999997E-3</c:v>
                </c:pt>
                <c:pt idx="6134">
                  <c:v>4.9349520000000003E-3</c:v>
                </c:pt>
                <c:pt idx="6135">
                  <c:v>4.9180053333333336E-3</c:v>
                </c:pt>
                <c:pt idx="6136">
                  <c:v>4.9394160000000003E-3</c:v>
                </c:pt>
                <c:pt idx="6137">
                  <c:v>4.9304880000000002E-3</c:v>
                </c:pt>
                <c:pt idx="6138">
                  <c:v>4.9113713333333335E-3</c:v>
                </c:pt>
                <c:pt idx="6139">
                  <c:v>4.9025260000000008E-3</c:v>
                </c:pt>
                <c:pt idx="6140">
                  <c:v>4.9268506666666663E-3</c:v>
                </c:pt>
                <c:pt idx="6141">
                  <c:v>4.9237919999999998E-3</c:v>
                </c:pt>
                <c:pt idx="6142">
                  <c:v>4.9438800000000003E-3</c:v>
                </c:pt>
                <c:pt idx="6143">
                  <c:v>4.9312733333333339E-3</c:v>
                </c:pt>
                <c:pt idx="6144">
                  <c:v>4.9371840000000007E-3</c:v>
                </c:pt>
                <c:pt idx="6145">
                  <c:v>4.9349520000000003E-3</c:v>
                </c:pt>
                <c:pt idx="6146">
                  <c:v>4.9416480000000007E-3</c:v>
                </c:pt>
                <c:pt idx="6147">
                  <c:v>4.858202666666667E-3</c:v>
                </c:pt>
                <c:pt idx="6148">
                  <c:v>4.8803660000000006E-3</c:v>
                </c:pt>
                <c:pt idx="6149">
                  <c:v>4.9483440000000004E-3</c:v>
                </c:pt>
                <c:pt idx="6150">
                  <c:v>4.9349520000000003E-3</c:v>
                </c:pt>
                <c:pt idx="6151">
                  <c:v>4.9246393333333338E-3</c:v>
                </c:pt>
                <c:pt idx="6152">
                  <c:v>5.0040690000000007E-3</c:v>
                </c:pt>
                <c:pt idx="6153">
                  <c:v>4.8958919999999998E-3</c:v>
                </c:pt>
                <c:pt idx="6154">
                  <c:v>4.9180053333333336E-3</c:v>
                </c:pt>
                <c:pt idx="6155">
                  <c:v>4.9312733333333339E-3</c:v>
                </c:pt>
                <c:pt idx="6156">
                  <c:v>4.9113713333333335E-3</c:v>
                </c:pt>
                <c:pt idx="6157">
                  <c:v>5.0422679999999999E-3</c:v>
                </c:pt>
                <c:pt idx="6158">
                  <c:v>5.0310330000000007E-3</c:v>
                </c:pt>
                <c:pt idx="6159">
                  <c:v>4.9135826666666669E-3</c:v>
                </c:pt>
                <c:pt idx="6160">
                  <c:v>5.024082E-3</c:v>
                </c:pt>
                <c:pt idx="6161">
                  <c:v>5.0040480000000005E-3</c:v>
                </c:pt>
                <c:pt idx="6162">
                  <c:v>4.9929179999999998E-3</c:v>
                </c:pt>
                <c:pt idx="6163">
                  <c:v>4.898103333333334E-3</c:v>
                </c:pt>
                <c:pt idx="6164">
                  <c:v>4.9591290000000005E-3</c:v>
                </c:pt>
                <c:pt idx="6165">
                  <c:v>4.8947760000000009E-3</c:v>
                </c:pt>
                <c:pt idx="6166">
                  <c:v>4.9059360000000005E-3</c:v>
                </c:pt>
                <c:pt idx="6167">
                  <c:v>5.0175510000000003E-3</c:v>
                </c:pt>
                <c:pt idx="6168">
                  <c:v>4.9215600000000002E-3</c:v>
                </c:pt>
                <c:pt idx="6169">
                  <c:v>4.858202666666667E-3</c:v>
                </c:pt>
                <c:pt idx="6170">
                  <c:v>4.9461119999999999E-3</c:v>
                </c:pt>
                <c:pt idx="6171">
                  <c:v>4.9193280000000006E-3</c:v>
                </c:pt>
                <c:pt idx="6172">
                  <c:v>4.9246393333333338E-3</c:v>
                </c:pt>
                <c:pt idx="6173">
                  <c:v>4.9193280000000006E-3</c:v>
                </c:pt>
                <c:pt idx="6174">
                  <c:v>4.9394160000000003E-3</c:v>
                </c:pt>
                <c:pt idx="6175">
                  <c:v>5.0040480000000005E-3</c:v>
                </c:pt>
                <c:pt idx="6176">
                  <c:v>5.0107260000000001E-3</c:v>
                </c:pt>
                <c:pt idx="6177">
                  <c:v>5.0063160000000002E-3</c:v>
                </c:pt>
                <c:pt idx="6178">
                  <c:v>4.9135826666666669E-3</c:v>
                </c:pt>
                <c:pt idx="6179">
                  <c:v>5.0242920000000005E-3</c:v>
                </c:pt>
                <c:pt idx="6180">
                  <c:v>4.9906920000000006E-3</c:v>
                </c:pt>
                <c:pt idx="6181">
                  <c:v>4.9662060000000008E-3</c:v>
                </c:pt>
                <c:pt idx="6182">
                  <c:v>4.995144E-3</c:v>
                </c:pt>
                <c:pt idx="6183">
                  <c:v>5.0129520000000002E-3</c:v>
                </c:pt>
                <c:pt idx="6184">
                  <c:v>5.0075550000000003E-3</c:v>
                </c:pt>
                <c:pt idx="6185">
                  <c:v>5.1295999999999998E-3</c:v>
                </c:pt>
                <c:pt idx="6186">
                  <c:v>5.0604750000000009E-3</c:v>
                </c:pt>
                <c:pt idx="6187">
                  <c:v>5.0692950000000006E-3</c:v>
                </c:pt>
                <c:pt idx="6188">
                  <c:v>5.0714999999999996E-3</c:v>
                </c:pt>
                <c:pt idx="6189">
                  <c:v>5.0144640000000006E-3</c:v>
                </c:pt>
                <c:pt idx="6190">
                  <c:v>5.0318100000000003E-3</c:v>
                </c:pt>
                <c:pt idx="6191">
                  <c:v>5.0601600000000002E-3</c:v>
                </c:pt>
                <c:pt idx="6192">
                  <c:v>4.9728840000000003E-3</c:v>
                </c:pt>
                <c:pt idx="6193">
                  <c:v>4.9113713333333335E-3</c:v>
                </c:pt>
                <c:pt idx="6194">
                  <c:v>4.9662060000000008E-3</c:v>
                </c:pt>
                <c:pt idx="6195">
                  <c:v>4.9506240000000007E-3</c:v>
                </c:pt>
                <c:pt idx="6196">
                  <c:v>4.9573019999999994E-3</c:v>
                </c:pt>
                <c:pt idx="6197">
                  <c:v>4.9461720000000004E-3</c:v>
                </c:pt>
                <c:pt idx="6198">
                  <c:v>4.9595280000000004E-3</c:v>
                </c:pt>
                <c:pt idx="6199">
                  <c:v>4.9595280000000004E-3</c:v>
                </c:pt>
                <c:pt idx="6200">
                  <c:v>4.92597E-3</c:v>
                </c:pt>
                <c:pt idx="6201">
                  <c:v>5.0220800000000008E-3</c:v>
                </c:pt>
                <c:pt idx="6202">
                  <c:v>4.9653759999999996E-3</c:v>
                </c:pt>
                <c:pt idx="6203">
                  <c:v>4.9639800000000006E-3</c:v>
                </c:pt>
                <c:pt idx="6204">
                  <c:v>4.9728840000000003E-3</c:v>
                </c:pt>
                <c:pt idx="6205">
                  <c:v>5.0041600000000006E-3</c:v>
                </c:pt>
                <c:pt idx="6206">
                  <c:v>4.9325850000000006E-3</c:v>
                </c:pt>
                <c:pt idx="6207">
                  <c:v>4.9906920000000006E-3</c:v>
                </c:pt>
                <c:pt idx="6208">
                  <c:v>5.0467200000000002E-3</c:v>
                </c:pt>
                <c:pt idx="6209">
                  <c:v>5.0556799999999999E-3</c:v>
                </c:pt>
                <c:pt idx="6210">
                  <c:v>5.0422400000000008E-3</c:v>
                </c:pt>
                <c:pt idx="6211">
                  <c:v>4.9372680000000007E-3</c:v>
                </c:pt>
                <c:pt idx="6212">
                  <c:v>4.928364000000001E-3</c:v>
                </c:pt>
                <c:pt idx="6213">
                  <c:v>4.9328160000000005E-3</c:v>
                </c:pt>
                <c:pt idx="6214">
                  <c:v>4.9350419999999997E-3</c:v>
                </c:pt>
                <c:pt idx="6215">
                  <c:v>4.928364000000001E-3</c:v>
                </c:pt>
                <c:pt idx="6216">
                  <c:v>4.9350419999999997E-3</c:v>
                </c:pt>
                <c:pt idx="6217">
                  <c:v>4.9996800000000003E-3</c:v>
                </c:pt>
                <c:pt idx="6218">
                  <c:v>5.0220800000000008E-3</c:v>
                </c:pt>
                <c:pt idx="6219">
                  <c:v>5.0131200000000002E-3</c:v>
                </c:pt>
                <c:pt idx="6220">
                  <c:v>4.923765000000001E-3</c:v>
                </c:pt>
                <c:pt idx="6221">
                  <c:v>4.9506240000000007E-3</c:v>
                </c:pt>
                <c:pt idx="6222">
                  <c:v>4.90392E-3</c:v>
                </c:pt>
                <c:pt idx="6223">
                  <c:v>4.9862400000000003E-3</c:v>
                </c:pt>
                <c:pt idx="6224">
                  <c:v>4.9705599999999997E-3</c:v>
                </c:pt>
                <c:pt idx="6225">
                  <c:v>4.9150080000000011E-3</c:v>
                </c:pt>
                <c:pt idx="6226">
                  <c:v>4.9565013333333335E-3</c:v>
                </c:pt>
                <c:pt idx="6227">
                  <c:v>4.9698133333333332E-3</c:v>
                </c:pt>
                <c:pt idx="6228">
                  <c:v>4.9504000000000006E-3</c:v>
                </c:pt>
                <c:pt idx="6229">
                  <c:v>4.8642299999999998E-3</c:v>
                </c:pt>
                <c:pt idx="6230">
                  <c:v>4.8752550000000002E-3</c:v>
                </c:pt>
                <c:pt idx="6231">
                  <c:v>4.8708449999999995E-3</c:v>
                </c:pt>
                <c:pt idx="6232">
                  <c:v>4.8708449999999995E-3</c:v>
                </c:pt>
                <c:pt idx="6233">
                  <c:v>4.8708449999999995E-3</c:v>
                </c:pt>
                <c:pt idx="6234">
                  <c:v>4.8730500000000003E-3</c:v>
                </c:pt>
                <c:pt idx="6235">
                  <c:v>4.9127820000000001E-3</c:v>
                </c:pt>
                <c:pt idx="6236">
                  <c:v>4.9083299999999998E-3</c:v>
                </c:pt>
                <c:pt idx="6237">
                  <c:v>4.9853440000000001E-3</c:v>
                </c:pt>
                <c:pt idx="6238">
                  <c:v>4.9942186666666671E-3</c:v>
                </c:pt>
                <c:pt idx="6239">
                  <c:v>4.9964373333333334E-3</c:v>
                </c:pt>
                <c:pt idx="6240">
                  <c:v>5.0435666666666665E-3</c:v>
                </c:pt>
                <c:pt idx="6241">
                  <c:v>5.0524933333333339E-3</c:v>
                </c:pt>
                <c:pt idx="6242">
                  <c:v>5.0413350000000001E-3</c:v>
                </c:pt>
                <c:pt idx="6243">
                  <c:v>5.0141866666666667E-3</c:v>
                </c:pt>
                <c:pt idx="6244">
                  <c:v>5.0480300000000002E-3</c:v>
                </c:pt>
                <c:pt idx="6245">
                  <c:v>5.0164053333333338E-3</c:v>
                </c:pt>
                <c:pt idx="6246">
                  <c:v>4.9791573333333337E-3</c:v>
                </c:pt>
                <c:pt idx="6247">
                  <c:v>5.0164053333333338E-3</c:v>
                </c:pt>
                <c:pt idx="6248">
                  <c:v>5.0186240000000002E-3</c:v>
                </c:pt>
                <c:pt idx="6249">
                  <c:v>5.0075306666666668E-3</c:v>
                </c:pt>
                <c:pt idx="6250">
                  <c:v>4.9875626666666673E-3</c:v>
                </c:pt>
                <c:pt idx="6251">
                  <c:v>4.9764693333333339E-3</c:v>
                </c:pt>
                <c:pt idx="6252">
                  <c:v>4.9875626666666673E-3</c:v>
                </c:pt>
                <c:pt idx="6253">
                  <c:v>4.9942186666666671E-3</c:v>
                </c:pt>
                <c:pt idx="6254">
                  <c:v>4.9809066666666665E-3</c:v>
                </c:pt>
                <c:pt idx="6255">
                  <c:v>5.0190183333333341E-3</c:v>
                </c:pt>
                <c:pt idx="6256">
                  <c:v>5.0435666666666665E-3</c:v>
                </c:pt>
                <c:pt idx="6257">
                  <c:v>5.0480300000000002E-3</c:v>
                </c:pt>
                <c:pt idx="6258">
                  <c:v>5.0100700000000001E-3</c:v>
                </c:pt>
                <c:pt idx="6259">
                  <c:v>5.0233300000000003E-3</c:v>
                </c:pt>
                <c:pt idx="6260">
                  <c:v>5.0461620000000007E-3</c:v>
                </c:pt>
                <c:pt idx="6261">
                  <c:v>4.9959649999999998E-3</c:v>
                </c:pt>
                <c:pt idx="6262">
                  <c:v>5.0358000000000009E-3</c:v>
                </c:pt>
                <c:pt idx="6263">
                  <c:v>5.0794920000000006E-3</c:v>
                </c:pt>
                <c:pt idx="6264">
                  <c:v>4.9959649999999998E-3</c:v>
                </c:pt>
                <c:pt idx="6265">
                  <c:v>5.0003416666666673E-3</c:v>
                </c:pt>
                <c:pt idx="6266">
                  <c:v>5.0883800000000009E-3</c:v>
                </c:pt>
                <c:pt idx="6267">
                  <c:v>5.071E-3</c:v>
                </c:pt>
                <c:pt idx="6268">
                  <c:v>5.1217100000000007E-3</c:v>
                </c:pt>
                <c:pt idx="6269">
                  <c:v>5.1128220000000004E-3</c:v>
                </c:pt>
                <c:pt idx="6270">
                  <c:v>5.1061560000000006E-3</c:v>
                </c:pt>
                <c:pt idx="6271">
                  <c:v>5.1083780000000002E-3</c:v>
                </c:pt>
                <c:pt idx="6272">
                  <c:v>5.0156599999999999E-3</c:v>
                </c:pt>
                <c:pt idx="6273">
                  <c:v>4.9746666666666663E-3</c:v>
                </c:pt>
                <c:pt idx="6274">
                  <c:v>4.976833333333334E-3</c:v>
                </c:pt>
                <c:pt idx="6275">
                  <c:v>5.0512000000000005E-3</c:v>
                </c:pt>
                <c:pt idx="6276">
                  <c:v>4.963833333333334E-3</c:v>
                </c:pt>
                <c:pt idx="6277">
                  <c:v>4.963833333333334E-3</c:v>
                </c:pt>
                <c:pt idx="6278">
                  <c:v>4.9573333333333336E-3</c:v>
                </c:pt>
                <c:pt idx="6279">
                  <c:v>4.9529999999999999E-3</c:v>
                </c:pt>
                <c:pt idx="6280">
                  <c:v>4.9400000000000008E-3</c:v>
                </c:pt>
                <c:pt idx="6281">
                  <c:v>4.9486666666666672E-3</c:v>
                </c:pt>
                <c:pt idx="6282">
                  <c:v>5.004718333333334E-3</c:v>
                </c:pt>
                <c:pt idx="6283">
                  <c:v>5.0025300000000007E-3</c:v>
                </c:pt>
                <c:pt idx="6284">
                  <c:v>4.947821666666667E-3</c:v>
                </c:pt>
                <c:pt idx="6285">
                  <c:v>4.9747100000000002E-3</c:v>
                </c:pt>
                <c:pt idx="6286">
                  <c:v>4.9680799999999997E-3</c:v>
                </c:pt>
                <c:pt idx="6287">
                  <c:v>4.9259383333333335E-3</c:v>
                </c:pt>
                <c:pt idx="6288">
                  <c:v>4.9636600000000008E-3</c:v>
                </c:pt>
                <c:pt idx="6289">
                  <c:v>4.9813399999999999E-3</c:v>
                </c:pt>
                <c:pt idx="6290">
                  <c:v>4.9565750000000013E-3</c:v>
                </c:pt>
                <c:pt idx="6291">
                  <c:v>4.9675166666666671E-3</c:v>
                </c:pt>
                <c:pt idx="6292">
                  <c:v>4.941256666666667E-3</c:v>
                </c:pt>
                <c:pt idx="6293">
                  <c:v>4.9747100000000002E-3</c:v>
                </c:pt>
                <c:pt idx="6294">
                  <c:v>4.9415600000000002E-3</c:v>
                </c:pt>
                <c:pt idx="6295">
                  <c:v>4.9504000000000006E-3</c:v>
                </c:pt>
                <c:pt idx="6296">
                  <c:v>4.9570300000000012E-3</c:v>
                </c:pt>
                <c:pt idx="6297">
                  <c:v>4.9500100000000003E-3</c:v>
                </c:pt>
                <c:pt idx="6298">
                  <c:v>4.9740816666666672E-3</c:v>
                </c:pt>
                <c:pt idx="6299">
                  <c:v>4.971893333333333E-3</c:v>
                </c:pt>
                <c:pt idx="6300">
                  <c:v>5.0372740000000004E-3</c:v>
                </c:pt>
                <c:pt idx="6301">
                  <c:v>5.0083880000000008E-3</c:v>
                </c:pt>
                <c:pt idx="6302">
                  <c:v>4.9995000000000005E-3</c:v>
                </c:pt>
                <c:pt idx="6303">
                  <c:v>4.9237500000000002E-3</c:v>
                </c:pt>
                <c:pt idx="6304">
                  <c:v>4.9237500000000002E-3</c:v>
                </c:pt>
                <c:pt idx="6305">
                  <c:v>4.9171850000000001E-3</c:v>
                </c:pt>
                <c:pt idx="6306">
                  <c:v>4.9193733333333335E-3</c:v>
                </c:pt>
                <c:pt idx="6307">
                  <c:v>4.9193733333333335E-3</c:v>
                </c:pt>
                <c:pt idx="6308">
                  <c:v>4.9883900000000005E-3</c:v>
                </c:pt>
                <c:pt idx="6309">
                  <c:v>4.9828350000000006E-3</c:v>
                </c:pt>
                <c:pt idx="6310">
                  <c:v>4.9893999999999997E-3</c:v>
                </c:pt>
                <c:pt idx="6311">
                  <c:v>4.9508333333333331E-3</c:v>
                </c:pt>
                <c:pt idx="6312">
                  <c:v>5.0003416666666673E-3</c:v>
                </c:pt>
                <c:pt idx="6313">
                  <c:v>4.963833333333334E-3</c:v>
                </c:pt>
                <c:pt idx="6314">
                  <c:v>4.9833333333333335E-3</c:v>
                </c:pt>
                <c:pt idx="6315">
                  <c:v>5.0666000000000001E-3</c:v>
                </c:pt>
                <c:pt idx="6316">
                  <c:v>5.0753999999999999E-3</c:v>
                </c:pt>
                <c:pt idx="6317">
                  <c:v>4.9811666666666667E-3</c:v>
                </c:pt>
                <c:pt idx="6318">
                  <c:v>5.0688000000000009E-3</c:v>
                </c:pt>
                <c:pt idx="6319">
                  <c:v>5.0753999999999999E-3</c:v>
                </c:pt>
                <c:pt idx="6320">
                  <c:v>5.0798000000000006E-3</c:v>
                </c:pt>
                <c:pt idx="6321">
                  <c:v>5.0666000000000001E-3</c:v>
                </c:pt>
                <c:pt idx="6322">
                  <c:v>5.0688000000000009E-3</c:v>
                </c:pt>
                <c:pt idx="6323">
                  <c:v>5.071E-3</c:v>
                </c:pt>
                <c:pt idx="6324">
                  <c:v>5.0600000000000003E-3</c:v>
                </c:pt>
                <c:pt idx="6325">
                  <c:v>5.0556000000000004E-3</c:v>
                </c:pt>
                <c:pt idx="6326">
                  <c:v>4.9551666666666676E-3</c:v>
                </c:pt>
                <c:pt idx="6327">
                  <c:v>4.9573333333333336E-3</c:v>
                </c:pt>
                <c:pt idx="6328">
                  <c:v>4.9616666666666672E-3</c:v>
                </c:pt>
                <c:pt idx="6329">
                  <c:v>4.9551666666666676E-3</c:v>
                </c:pt>
                <c:pt idx="6330">
                  <c:v>4.9313333333333336E-3</c:v>
                </c:pt>
                <c:pt idx="6331">
                  <c:v>4.9443333333333336E-3</c:v>
                </c:pt>
                <c:pt idx="6332">
                  <c:v>4.9529999999999999E-3</c:v>
                </c:pt>
                <c:pt idx="6333">
                  <c:v>5.0446000000000006E-3</c:v>
                </c:pt>
                <c:pt idx="6334">
                  <c:v>5.0556000000000004E-3</c:v>
                </c:pt>
                <c:pt idx="6335">
                  <c:v>5.0622000000000002E-3</c:v>
                </c:pt>
                <c:pt idx="6336">
                  <c:v>5.0556000000000004E-3</c:v>
                </c:pt>
                <c:pt idx="6337">
                  <c:v>5.0600000000000003E-3</c:v>
                </c:pt>
                <c:pt idx="6338">
                  <c:v>5.071E-3</c:v>
                </c:pt>
                <c:pt idx="6339">
                  <c:v>5.0930000000000003E-3</c:v>
                </c:pt>
                <c:pt idx="6340">
                  <c:v>5.0753999999999999E-3</c:v>
                </c:pt>
                <c:pt idx="6341">
                  <c:v>5.0578000000000003E-3</c:v>
                </c:pt>
                <c:pt idx="6342">
                  <c:v>5.0556000000000004E-3</c:v>
                </c:pt>
                <c:pt idx="6343">
                  <c:v>5.0688000000000009E-3</c:v>
                </c:pt>
                <c:pt idx="6344">
                  <c:v>5.0753999999999999E-3</c:v>
                </c:pt>
                <c:pt idx="6345">
                  <c:v>5.0842000000000005E-3</c:v>
                </c:pt>
                <c:pt idx="6346">
                  <c:v>5.0842000000000005E-3</c:v>
                </c:pt>
                <c:pt idx="6347">
                  <c:v>5.0842000000000005E-3</c:v>
                </c:pt>
                <c:pt idx="6348">
                  <c:v>5.0290020000000003E-3</c:v>
                </c:pt>
                <c:pt idx="6349">
                  <c:v>5.0377140000000004E-3</c:v>
                </c:pt>
                <c:pt idx="6350">
                  <c:v>5.0355360000000002E-3</c:v>
                </c:pt>
                <c:pt idx="6351">
                  <c:v>5.0490000000000005E-3</c:v>
                </c:pt>
                <c:pt idx="6352">
                  <c:v>5.0512000000000005E-3</c:v>
                </c:pt>
                <c:pt idx="6353">
                  <c:v>5.0666000000000001E-3</c:v>
                </c:pt>
                <c:pt idx="6354">
                  <c:v>5.0820000000000006E-3</c:v>
                </c:pt>
                <c:pt idx="6355">
                  <c:v>5.0775999999999998E-3</c:v>
                </c:pt>
                <c:pt idx="6356">
                  <c:v>5.0512000000000005E-3</c:v>
                </c:pt>
                <c:pt idx="6357">
                  <c:v>5.0534000000000004E-3</c:v>
                </c:pt>
                <c:pt idx="6358">
                  <c:v>5.0534000000000004E-3</c:v>
                </c:pt>
                <c:pt idx="6359">
                  <c:v>5.0578000000000003E-3</c:v>
                </c:pt>
                <c:pt idx="6360">
                  <c:v>5.0666000000000001E-3</c:v>
                </c:pt>
                <c:pt idx="6361">
                  <c:v>4.9811666666666667E-3</c:v>
                </c:pt>
                <c:pt idx="6362">
                  <c:v>4.9746666666666663E-3</c:v>
                </c:pt>
                <c:pt idx="6363">
                  <c:v>5.0578000000000003E-3</c:v>
                </c:pt>
                <c:pt idx="6364">
                  <c:v>5.0578000000000003E-3</c:v>
                </c:pt>
                <c:pt idx="6365">
                  <c:v>4.963833333333334E-3</c:v>
                </c:pt>
                <c:pt idx="6366">
                  <c:v>4.9508333333333331E-3</c:v>
                </c:pt>
                <c:pt idx="6367">
                  <c:v>4.9573333333333336E-3</c:v>
                </c:pt>
                <c:pt idx="6368">
                  <c:v>4.9616666666666672E-3</c:v>
                </c:pt>
                <c:pt idx="6369">
                  <c:v>4.9378333333333331E-3</c:v>
                </c:pt>
                <c:pt idx="6370">
                  <c:v>4.9443333333333336E-3</c:v>
                </c:pt>
                <c:pt idx="6371">
                  <c:v>5.031400000000001E-3</c:v>
                </c:pt>
                <c:pt idx="6372">
                  <c:v>5.0512000000000005E-3</c:v>
                </c:pt>
                <c:pt idx="6373">
                  <c:v>5.0578000000000003E-3</c:v>
                </c:pt>
                <c:pt idx="6374">
                  <c:v>5.0600000000000003E-3</c:v>
                </c:pt>
                <c:pt idx="6375">
                  <c:v>5.0468000000000006E-3</c:v>
                </c:pt>
                <c:pt idx="6376">
                  <c:v>5.0490000000000005E-3</c:v>
                </c:pt>
                <c:pt idx="6377">
                  <c:v>5.0401999999999999E-3</c:v>
                </c:pt>
                <c:pt idx="6378">
                  <c:v>5.0379999999999999E-3</c:v>
                </c:pt>
                <c:pt idx="6379">
                  <c:v>5.0358000000000009E-3</c:v>
                </c:pt>
                <c:pt idx="6380">
                  <c:v>5.031400000000001E-3</c:v>
                </c:pt>
                <c:pt idx="6381">
                  <c:v>5.0534000000000004E-3</c:v>
                </c:pt>
                <c:pt idx="6382">
                  <c:v>5.0556000000000004E-3</c:v>
                </c:pt>
                <c:pt idx="6383">
                  <c:v>5.011578E-3</c:v>
                </c:pt>
                <c:pt idx="6384">
                  <c:v>5.0093999999999998E-3</c:v>
                </c:pt>
                <c:pt idx="6385">
                  <c:v>5.0137560000000003E-3</c:v>
                </c:pt>
                <c:pt idx="6386">
                  <c:v>5.0336000000000001E-3</c:v>
                </c:pt>
                <c:pt idx="6387">
                  <c:v>5.0071999999999998E-3</c:v>
                </c:pt>
                <c:pt idx="6388">
                  <c:v>5.0270000000000002E-3</c:v>
                </c:pt>
                <c:pt idx="6389">
                  <c:v>5.0379999999999999E-3</c:v>
                </c:pt>
                <c:pt idx="6390">
                  <c:v>5.0379999999999999E-3</c:v>
                </c:pt>
                <c:pt idx="6391">
                  <c:v>4.9551666666666676E-3</c:v>
                </c:pt>
                <c:pt idx="6392">
                  <c:v>4.9400000000000008E-3</c:v>
                </c:pt>
                <c:pt idx="6393">
                  <c:v>5.031400000000001E-3</c:v>
                </c:pt>
                <c:pt idx="6394">
                  <c:v>5.031400000000001E-3</c:v>
                </c:pt>
                <c:pt idx="6395">
                  <c:v>5.0358000000000009E-3</c:v>
                </c:pt>
                <c:pt idx="6396">
                  <c:v>5.0270000000000002E-3</c:v>
                </c:pt>
                <c:pt idx="6397">
                  <c:v>5.0116000000000006E-3</c:v>
                </c:pt>
                <c:pt idx="6398">
                  <c:v>5.0137999999999997E-3</c:v>
                </c:pt>
                <c:pt idx="6399">
                  <c:v>5.0049999999999999E-3</c:v>
                </c:pt>
                <c:pt idx="6400">
                  <c:v>4.9984000000000009E-3</c:v>
                </c:pt>
                <c:pt idx="6401">
                  <c:v>5.0049999999999999E-3</c:v>
                </c:pt>
                <c:pt idx="6402">
                  <c:v>4.9270000000000008E-3</c:v>
                </c:pt>
                <c:pt idx="6403">
                  <c:v>5.0006E-3</c:v>
                </c:pt>
                <c:pt idx="6404">
                  <c:v>4.9896000000000003E-3</c:v>
                </c:pt>
                <c:pt idx="6405">
                  <c:v>4.9962000000000001E-3</c:v>
                </c:pt>
                <c:pt idx="6406">
                  <c:v>4.9918000000000002E-3</c:v>
                </c:pt>
                <c:pt idx="6407">
                  <c:v>4.9962000000000001E-3</c:v>
                </c:pt>
                <c:pt idx="6408">
                  <c:v>5.0137999999999997E-3</c:v>
                </c:pt>
                <c:pt idx="6409">
                  <c:v>5.0116000000000006E-3</c:v>
                </c:pt>
                <c:pt idx="6410">
                  <c:v>4.9205000000000004E-3</c:v>
                </c:pt>
                <c:pt idx="6411">
                  <c:v>4.9226666666666672E-3</c:v>
                </c:pt>
                <c:pt idx="6412">
                  <c:v>4.924833333333334E-3</c:v>
                </c:pt>
                <c:pt idx="6413">
                  <c:v>4.924833333333334E-3</c:v>
                </c:pt>
                <c:pt idx="6414">
                  <c:v>4.9205000000000004E-3</c:v>
                </c:pt>
                <c:pt idx="6415">
                  <c:v>4.9205000000000004E-3</c:v>
                </c:pt>
                <c:pt idx="6416">
                  <c:v>4.9161666666666668E-3</c:v>
                </c:pt>
                <c:pt idx="6417">
                  <c:v>4.9291666666666668E-3</c:v>
                </c:pt>
                <c:pt idx="6418">
                  <c:v>5.0182000000000004E-3</c:v>
                </c:pt>
                <c:pt idx="6419">
                  <c:v>5.0226000000000003E-3</c:v>
                </c:pt>
                <c:pt idx="6420">
                  <c:v>5.031400000000001E-3</c:v>
                </c:pt>
                <c:pt idx="6421">
                  <c:v>4.9876199999999999E-3</c:v>
                </c:pt>
                <c:pt idx="6422">
                  <c:v>4.9832640000000003E-3</c:v>
                </c:pt>
                <c:pt idx="6423">
                  <c:v>4.9701960000000005E-3</c:v>
                </c:pt>
                <c:pt idx="6424">
                  <c:v>4.9593060000000001E-3</c:v>
                </c:pt>
                <c:pt idx="6425">
                  <c:v>5.0028000000000008E-3</c:v>
                </c:pt>
                <c:pt idx="6426">
                  <c:v>4.9830000000000004E-3</c:v>
                </c:pt>
                <c:pt idx="6427">
                  <c:v>5.0137999999999997E-3</c:v>
                </c:pt>
                <c:pt idx="6428">
                  <c:v>5.0226000000000003E-3</c:v>
                </c:pt>
                <c:pt idx="6429">
                  <c:v>5.0204000000000004E-3</c:v>
                </c:pt>
                <c:pt idx="6430">
                  <c:v>5.0204000000000004E-3</c:v>
                </c:pt>
                <c:pt idx="6431">
                  <c:v>5.0182000000000004E-3</c:v>
                </c:pt>
                <c:pt idx="6432">
                  <c:v>5.0292000000000002E-3</c:v>
                </c:pt>
                <c:pt idx="6433">
                  <c:v>5.0116000000000006E-3</c:v>
                </c:pt>
                <c:pt idx="6434">
                  <c:v>5.0071999999999998E-3</c:v>
                </c:pt>
                <c:pt idx="6435">
                  <c:v>4.9313333333333336E-3</c:v>
                </c:pt>
                <c:pt idx="6436">
                  <c:v>5.031400000000001E-3</c:v>
                </c:pt>
                <c:pt idx="6437">
                  <c:v>5.0336000000000001E-3</c:v>
                </c:pt>
                <c:pt idx="6438">
                  <c:v>5.0401999999999999E-3</c:v>
                </c:pt>
                <c:pt idx="6439">
                  <c:v>5.0423999999999998E-3</c:v>
                </c:pt>
                <c:pt idx="6440">
                  <c:v>5.0446000000000006E-3</c:v>
                </c:pt>
                <c:pt idx="6441">
                  <c:v>5.0336000000000001E-3</c:v>
                </c:pt>
                <c:pt idx="6442">
                  <c:v>4.9486666666666672E-3</c:v>
                </c:pt>
                <c:pt idx="6443">
                  <c:v>4.9443333333333336E-3</c:v>
                </c:pt>
                <c:pt idx="6444">
                  <c:v>4.9675166666666671E-3</c:v>
                </c:pt>
                <c:pt idx="6445">
                  <c:v>4.9984000000000009E-3</c:v>
                </c:pt>
                <c:pt idx="6446">
                  <c:v>4.9940000000000002E-3</c:v>
                </c:pt>
                <c:pt idx="6447">
                  <c:v>4.924833333333334E-3</c:v>
                </c:pt>
                <c:pt idx="6448">
                  <c:v>5.0350519999999999E-3</c:v>
                </c:pt>
                <c:pt idx="6449">
                  <c:v>4.9896000000000003E-3</c:v>
                </c:pt>
                <c:pt idx="6450">
                  <c:v>5.0194979999999998E-3</c:v>
                </c:pt>
                <c:pt idx="6451">
                  <c:v>5.0061660000000003E-3</c:v>
                </c:pt>
                <c:pt idx="6452">
                  <c:v>5.0194979999999998E-3</c:v>
                </c:pt>
                <c:pt idx="6453">
                  <c:v>4.9741999999999998E-3</c:v>
                </c:pt>
                <c:pt idx="6454">
                  <c:v>4.9874000000000003E-3</c:v>
                </c:pt>
                <c:pt idx="6455">
                  <c:v>4.9874000000000003E-3</c:v>
                </c:pt>
                <c:pt idx="6456">
                  <c:v>4.9962000000000001E-3</c:v>
                </c:pt>
                <c:pt idx="6457">
                  <c:v>5.0006E-3</c:v>
                </c:pt>
                <c:pt idx="6458">
                  <c:v>4.9226666666666672E-3</c:v>
                </c:pt>
                <c:pt idx="6459">
                  <c:v>4.924833333333334E-3</c:v>
                </c:pt>
                <c:pt idx="6460">
                  <c:v>5.0372740000000004E-3</c:v>
                </c:pt>
                <c:pt idx="6461">
                  <c:v>4.9762700000000005E-3</c:v>
                </c:pt>
                <c:pt idx="6462">
                  <c:v>4.991588333333334E-3</c:v>
                </c:pt>
                <c:pt idx="6463">
                  <c:v>4.9421666666666668E-3</c:v>
                </c:pt>
                <c:pt idx="6464">
                  <c:v>4.9421666666666668E-3</c:v>
                </c:pt>
                <c:pt idx="6465">
                  <c:v>4.9335000000000004E-3</c:v>
                </c:pt>
                <c:pt idx="6466">
                  <c:v>4.9443333333333336E-3</c:v>
                </c:pt>
                <c:pt idx="6467">
                  <c:v>4.9551666666666676E-3</c:v>
                </c:pt>
                <c:pt idx="6468">
                  <c:v>5.0069066666666665E-3</c:v>
                </c:pt>
                <c:pt idx="6469">
                  <c:v>4.9573333333333336E-3</c:v>
                </c:pt>
                <c:pt idx="6470">
                  <c:v>5.0090949999999999E-3</c:v>
                </c:pt>
                <c:pt idx="6471">
                  <c:v>4.9616666666666672E-3</c:v>
                </c:pt>
                <c:pt idx="6472">
                  <c:v>4.9681666666666667E-3</c:v>
                </c:pt>
                <c:pt idx="6473">
                  <c:v>4.9595000000000004E-3</c:v>
                </c:pt>
                <c:pt idx="6474">
                  <c:v>4.9508333333333331E-3</c:v>
                </c:pt>
                <c:pt idx="6475">
                  <c:v>4.985023333333333E-3</c:v>
                </c:pt>
                <c:pt idx="6476">
                  <c:v>4.9762700000000005E-3</c:v>
                </c:pt>
                <c:pt idx="6477">
                  <c:v>4.9675166666666671E-3</c:v>
                </c:pt>
                <c:pt idx="6478">
                  <c:v>5.0261640000000005E-3</c:v>
                </c:pt>
                <c:pt idx="6479">
                  <c:v>5.0306080000000006E-3</c:v>
                </c:pt>
                <c:pt idx="6480">
                  <c:v>5.0461620000000007E-3</c:v>
                </c:pt>
                <c:pt idx="6481">
                  <c:v>4.9653283333333338E-3</c:v>
                </c:pt>
                <c:pt idx="6482">
                  <c:v>4.9631399999999996E-3</c:v>
                </c:pt>
                <c:pt idx="6483">
                  <c:v>4.9609516666666662E-3</c:v>
                </c:pt>
                <c:pt idx="6484">
                  <c:v>4.9335000000000004E-3</c:v>
                </c:pt>
                <c:pt idx="6485">
                  <c:v>4.9784583333333339E-3</c:v>
                </c:pt>
                <c:pt idx="6486">
                  <c:v>4.9697050000000005E-3</c:v>
                </c:pt>
                <c:pt idx="6487">
                  <c:v>4.9653283333333338E-3</c:v>
                </c:pt>
                <c:pt idx="6488">
                  <c:v>4.9697050000000005E-3</c:v>
                </c:pt>
                <c:pt idx="6489">
                  <c:v>4.9653283333333338E-3</c:v>
                </c:pt>
                <c:pt idx="6490">
                  <c:v>4.9697050000000005E-3</c:v>
                </c:pt>
                <c:pt idx="6491">
                  <c:v>4.9740816666666672E-3</c:v>
                </c:pt>
                <c:pt idx="6492">
                  <c:v>4.9653283333333338E-3</c:v>
                </c:pt>
                <c:pt idx="6493">
                  <c:v>4.954386666666667E-3</c:v>
                </c:pt>
                <c:pt idx="6494">
                  <c:v>4.9631399999999996E-3</c:v>
                </c:pt>
                <c:pt idx="6495">
                  <c:v>4.911833333333334E-3</c:v>
                </c:pt>
                <c:pt idx="6496">
                  <c:v>5.0261640000000005E-3</c:v>
                </c:pt>
                <c:pt idx="6497">
                  <c:v>5.0261640000000005E-3</c:v>
                </c:pt>
                <c:pt idx="6498">
                  <c:v>4.9918000000000002E-3</c:v>
                </c:pt>
                <c:pt idx="6499">
                  <c:v>4.9918000000000002E-3</c:v>
                </c:pt>
                <c:pt idx="6500">
                  <c:v>5.0182000000000004E-3</c:v>
                </c:pt>
                <c:pt idx="6501">
                  <c:v>5.0248000000000003E-3</c:v>
                </c:pt>
                <c:pt idx="6502">
                  <c:v>5.0248000000000003E-3</c:v>
                </c:pt>
                <c:pt idx="6503">
                  <c:v>5.0468000000000006E-3</c:v>
                </c:pt>
                <c:pt idx="6504">
                  <c:v>5.0401999999999999E-3</c:v>
                </c:pt>
                <c:pt idx="6505">
                  <c:v>4.9486666666666672E-3</c:v>
                </c:pt>
                <c:pt idx="6506">
                  <c:v>4.9872116666666664E-3</c:v>
                </c:pt>
                <c:pt idx="6507">
                  <c:v>4.9508333333333331E-3</c:v>
                </c:pt>
                <c:pt idx="6508">
                  <c:v>4.9400000000000008E-3</c:v>
                </c:pt>
                <c:pt idx="6509">
                  <c:v>4.9421666666666668E-3</c:v>
                </c:pt>
                <c:pt idx="6510">
                  <c:v>4.9400000000000008E-3</c:v>
                </c:pt>
                <c:pt idx="6511">
                  <c:v>4.9313333333333336E-3</c:v>
                </c:pt>
                <c:pt idx="6512">
                  <c:v>4.9313333333333336E-3</c:v>
                </c:pt>
                <c:pt idx="6513">
                  <c:v>4.971893333333333E-3</c:v>
                </c:pt>
                <c:pt idx="6514">
                  <c:v>4.9740816666666672E-3</c:v>
                </c:pt>
                <c:pt idx="6515">
                  <c:v>4.9740816666666672E-3</c:v>
                </c:pt>
                <c:pt idx="6516">
                  <c:v>5.0069066666666665E-3</c:v>
                </c:pt>
                <c:pt idx="6517">
                  <c:v>5.0069066666666665E-3</c:v>
                </c:pt>
                <c:pt idx="6518">
                  <c:v>5.004718333333334E-3</c:v>
                </c:pt>
                <c:pt idx="6519">
                  <c:v>4.9529999999999999E-3</c:v>
                </c:pt>
                <c:pt idx="6520">
                  <c:v>5.004718333333334E-3</c:v>
                </c:pt>
                <c:pt idx="6521">
                  <c:v>4.9508333333333331E-3</c:v>
                </c:pt>
                <c:pt idx="6522">
                  <c:v>5.0292000000000002E-3</c:v>
                </c:pt>
                <c:pt idx="6523">
                  <c:v>4.9486666666666672E-3</c:v>
                </c:pt>
                <c:pt idx="6524">
                  <c:v>4.9378333333333331E-3</c:v>
                </c:pt>
                <c:pt idx="6525">
                  <c:v>4.9335000000000004E-3</c:v>
                </c:pt>
                <c:pt idx="6526">
                  <c:v>4.9356666666666672E-3</c:v>
                </c:pt>
                <c:pt idx="6527">
                  <c:v>5.0137999999999997E-3</c:v>
                </c:pt>
                <c:pt idx="6528">
                  <c:v>5.0137999999999997E-3</c:v>
                </c:pt>
                <c:pt idx="6529">
                  <c:v>5.0226000000000003E-3</c:v>
                </c:pt>
                <c:pt idx="6530">
                  <c:v>4.9400000000000008E-3</c:v>
                </c:pt>
                <c:pt idx="6531">
                  <c:v>4.9529999999999999E-3</c:v>
                </c:pt>
                <c:pt idx="6532">
                  <c:v>4.9573333333333336E-3</c:v>
                </c:pt>
                <c:pt idx="6533">
                  <c:v>4.9551666666666676E-3</c:v>
                </c:pt>
                <c:pt idx="6534">
                  <c:v>5.0112833333333332E-3</c:v>
                </c:pt>
                <c:pt idx="6535">
                  <c:v>4.963833333333334E-3</c:v>
                </c:pt>
                <c:pt idx="6536">
                  <c:v>4.9551666666666676E-3</c:v>
                </c:pt>
                <c:pt idx="6537">
                  <c:v>5.0069066666666665E-3</c:v>
                </c:pt>
                <c:pt idx="6538">
                  <c:v>4.9616666666666672E-3</c:v>
                </c:pt>
                <c:pt idx="6539">
                  <c:v>5.0025300000000007E-3</c:v>
                </c:pt>
                <c:pt idx="6540">
                  <c:v>4.9529999999999999E-3</c:v>
                </c:pt>
                <c:pt idx="6541">
                  <c:v>4.9529999999999999E-3</c:v>
                </c:pt>
                <c:pt idx="6542">
                  <c:v>4.9529999999999999E-3</c:v>
                </c:pt>
                <c:pt idx="6543">
                  <c:v>5.0401999999999999E-3</c:v>
                </c:pt>
                <c:pt idx="6544">
                  <c:v>5.0401999999999999E-3</c:v>
                </c:pt>
                <c:pt idx="6545">
                  <c:v>5.0468000000000006E-3</c:v>
                </c:pt>
                <c:pt idx="6546">
                  <c:v>5.0556000000000004E-3</c:v>
                </c:pt>
                <c:pt idx="6547">
                  <c:v>5.0512000000000005E-3</c:v>
                </c:pt>
                <c:pt idx="6548">
                  <c:v>5.0401999999999999E-3</c:v>
                </c:pt>
                <c:pt idx="6549">
                  <c:v>5.0160000000000005E-3</c:v>
                </c:pt>
                <c:pt idx="6550">
                  <c:v>4.9421666666666668E-3</c:v>
                </c:pt>
                <c:pt idx="6551">
                  <c:v>5.0358000000000009E-3</c:v>
                </c:pt>
                <c:pt idx="6552">
                  <c:v>5.0226000000000003E-3</c:v>
                </c:pt>
                <c:pt idx="6553">
                  <c:v>5.0071999999999998E-3</c:v>
                </c:pt>
                <c:pt idx="6554">
                  <c:v>4.9161666666666668E-3</c:v>
                </c:pt>
                <c:pt idx="6555">
                  <c:v>4.9140000000000008E-3</c:v>
                </c:pt>
                <c:pt idx="6556">
                  <c:v>4.911833333333334E-3</c:v>
                </c:pt>
                <c:pt idx="6557">
                  <c:v>4.9356666666666672E-3</c:v>
                </c:pt>
                <c:pt idx="6558">
                  <c:v>4.9161666666666668E-3</c:v>
                </c:pt>
                <c:pt idx="6559">
                  <c:v>4.9631399999999996E-3</c:v>
                </c:pt>
                <c:pt idx="6560">
                  <c:v>4.9183333333333345E-3</c:v>
                </c:pt>
                <c:pt idx="6561">
                  <c:v>4.9918000000000002E-3</c:v>
                </c:pt>
                <c:pt idx="6562">
                  <c:v>5.0071999999999998E-3</c:v>
                </c:pt>
                <c:pt idx="6563">
                  <c:v>4.9918000000000002E-3</c:v>
                </c:pt>
                <c:pt idx="6564">
                  <c:v>5.0226000000000003E-3</c:v>
                </c:pt>
                <c:pt idx="6565">
                  <c:v>5.0556000000000004E-3</c:v>
                </c:pt>
                <c:pt idx="6566">
                  <c:v>5.0556000000000004E-3</c:v>
                </c:pt>
                <c:pt idx="6567">
                  <c:v>5.0336000000000001E-3</c:v>
                </c:pt>
                <c:pt idx="6568">
                  <c:v>5.0358000000000009E-3</c:v>
                </c:pt>
                <c:pt idx="6569">
                  <c:v>4.9443333333333336E-3</c:v>
                </c:pt>
                <c:pt idx="6570">
                  <c:v>4.9378333333333331E-3</c:v>
                </c:pt>
                <c:pt idx="6571">
                  <c:v>4.9335000000000004E-3</c:v>
                </c:pt>
                <c:pt idx="6572">
                  <c:v>5.0116000000000006E-3</c:v>
                </c:pt>
                <c:pt idx="6573">
                  <c:v>5.0182000000000004E-3</c:v>
                </c:pt>
                <c:pt idx="6574">
                  <c:v>5.0160000000000005E-3</c:v>
                </c:pt>
                <c:pt idx="6575">
                  <c:v>5.0248000000000003E-3</c:v>
                </c:pt>
                <c:pt idx="6576">
                  <c:v>5.0204000000000004E-3</c:v>
                </c:pt>
                <c:pt idx="6577">
                  <c:v>4.9400000000000008E-3</c:v>
                </c:pt>
                <c:pt idx="6578">
                  <c:v>4.9226666666666672E-3</c:v>
                </c:pt>
                <c:pt idx="6579">
                  <c:v>4.9828350000000006E-3</c:v>
                </c:pt>
                <c:pt idx="6580">
                  <c:v>4.9356666666666672E-3</c:v>
                </c:pt>
                <c:pt idx="6581">
                  <c:v>4.9226666666666672E-3</c:v>
                </c:pt>
                <c:pt idx="6582">
                  <c:v>4.9631399999999996E-3</c:v>
                </c:pt>
                <c:pt idx="6583">
                  <c:v>4.9521983333333337E-3</c:v>
                </c:pt>
                <c:pt idx="6584">
                  <c:v>4.9609516666666662E-3</c:v>
                </c:pt>
                <c:pt idx="6585">
                  <c:v>4.9762700000000005E-3</c:v>
                </c:pt>
                <c:pt idx="6586">
                  <c:v>4.9828350000000006E-3</c:v>
                </c:pt>
                <c:pt idx="6587">
                  <c:v>4.9959649999999998E-3</c:v>
                </c:pt>
                <c:pt idx="6588">
                  <c:v>4.9573333333333336E-3</c:v>
                </c:pt>
                <c:pt idx="6589">
                  <c:v>5.0379999999999999E-3</c:v>
                </c:pt>
                <c:pt idx="6590">
                  <c:v>5.0072220000000004E-3</c:v>
                </c:pt>
                <c:pt idx="6591">
                  <c:v>5.0181119999999999E-3</c:v>
                </c:pt>
                <c:pt idx="6592">
                  <c:v>5.0202900000000002E-3</c:v>
                </c:pt>
                <c:pt idx="6593">
                  <c:v>5.0202900000000002E-3</c:v>
                </c:pt>
                <c:pt idx="6594">
                  <c:v>5.0907999999999995E-3</c:v>
                </c:pt>
                <c:pt idx="6595">
                  <c:v>5.0930000000000003E-3</c:v>
                </c:pt>
                <c:pt idx="6596">
                  <c:v>5.1394859999999995E-3</c:v>
                </c:pt>
                <c:pt idx="6597">
                  <c:v>5.1505960000000003E-3</c:v>
                </c:pt>
                <c:pt idx="6598">
                  <c:v>5.1350420000000003E-3</c:v>
                </c:pt>
                <c:pt idx="6599">
                  <c:v>5.0820000000000006E-3</c:v>
                </c:pt>
                <c:pt idx="6600">
                  <c:v>5.0930000000000003E-3</c:v>
                </c:pt>
                <c:pt idx="6601">
                  <c:v>5.0907999999999995E-3</c:v>
                </c:pt>
                <c:pt idx="6602">
                  <c:v>5.1217100000000007E-3</c:v>
                </c:pt>
                <c:pt idx="6603">
                  <c:v>5.1061560000000006E-3</c:v>
                </c:pt>
                <c:pt idx="6604">
                  <c:v>5.1061560000000006E-3</c:v>
                </c:pt>
                <c:pt idx="6605">
                  <c:v>5.0309783333333333E-3</c:v>
                </c:pt>
                <c:pt idx="6606">
                  <c:v>5.0397316666666667E-3</c:v>
                </c:pt>
                <c:pt idx="6607">
                  <c:v>5.0484850000000001E-3</c:v>
                </c:pt>
                <c:pt idx="6608">
                  <c:v>5.1328199999999997E-3</c:v>
                </c:pt>
                <c:pt idx="6609">
                  <c:v>5.0484850000000001E-3</c:v>
                </c:pt>
                <c:pt idx="6610">
                  <c:v>5.1461520000000002E-3</c:v>
                </c:pt>
                <c:pt idx="6611">
                  <c:v>5.0638033333333336E-3</c:v>
                </c:pt>
                <c:pt idx="6612">
                  <c:v>5.12941E-3</c:v>
                </c:pt>
                <c:pt idx="6613">
                  <c:v>5.1338300000000007E-3</c:v>
                </c:pt>
                <c:pt idx="6614">
                  <c:v>5.0725566666666669E-3</c:v>
                </c:pt>
                <c:pt idx="6615">
                  <c:v>5.0747450000000003E-3</c:v>
                </c:pt>
                <c:pt idx="6616">
                  <c:v>5.0813100000000003E-3</c:v>
                </c:pt>
                <c:pt idx="6617">
                  <c:v>5.0747450000000003E-3</c:v>
                </c:pt>
                <c:pt idx="6618">
                  <c:v>5.0725566666666669E-3</c:v>
                </c:pt>
                <c:pt idx="6619">
                  <c:v>5.0747450000000003E-3</c:v>
                </c:pt>
                <c:pt idx="6620">
                  <c:v>5.0201666666666667E-3</c:v>
                </c:pt>
                <c:pt idx="6621">
                  <c:v>5.0419200000000001E-3</c:v>
                </c:pt>
                <c:pt idx="6622">
                  <c:v>5.0528616666666677E-3</c:v>
                </c:pt>
                <c:pt idx="6623">
                  <c:v>4.9898333333333331E-3</c:v>
                </c:pt>
                <c:pt idx="6624">
                  <c:v>5.035355E-3</c:v>
                </c:pt>
                <c:pt idx="6625">
                  <c:v>5.0375433333333334E-3</c:v>
                </c:pt>
                <c:pt idx="6626">
                  <c:v>4.9917440000000002E-3</c:v>
                </c:pt>
                <c:pt idx="6627">
                  <c:v>5.004718333333334E-3</c:v>
                </c:pt>
                <c:pt idx="6628">
                  <c:v>5.0156599999999999E-3</c:v>
                </c:pt>
                <c:pt idx="6629">
                  <c:v>5.022225E-3</c:v>
                </c:pt>
                <c:pt idx="6630">
                  <c:v>5.0244133333333333E-3</c:v>
                </c:pt>
                <c:pt idx="6631">
                  <c:v>5.0178483333333341E-3</c:v>
                </c:pt>
                <c:pt idx="6632">
                  <c:v>5.0069066666666665E-3</c:v>
                </c:pt>
                <c:pt idx="6633">
                  <c:v>4.9612799999999993E-3</c:v>
                </c:pt>
                <c:pt idx="6634">
                  <c:v>4.9329920000000006E-3</c:v>
                </c:pt>
                <c:pt idx="6635">
                  <c:v>4.9227360000000005E-3</c:v>
                </c:pt>
                <c:pt idx="6636">
                  <c:v>4.9830400000000011E-3</c:v>
                </c:pt>
                <c:pt idx="6637">
                  <c:v>4.9547519999999998E-3</c:v>
                </c:pt>
                <c:pt idx="6638">
                  <c:v>4.9612799999999993E-3</c:v>
                </c:pt>
                <c:pt idx="6639">
                  <c:v>4.9040213333333338E-3</c:v>
                </c:pt>
                <c:pt idx="6640">
                  <c:v>4.9373440000000006E-3</c:v>
                </c:pt>
                <c:pt idx="6641">
                  <c:v>4.9525760000000002E-3</c:v>
                </c:pt>
                <c:pt idx="6642">
                  <c:v>4.9828350000000006E-3</c:v>
                </c:pt>
                <c:pt idx="6643">
                  <c:v>4.9242880000000006E-3</c:v>
                </c:pt>
                <c:pt idx="6644">
                  <c:v>4.8760106666666664E-3</c:v>
                </c:pt>
                <c:pt idx="6645">
                  <c:v>4.9893999999999997E-3</c:v>
                </c:pt>
                <c:pt idx="6646">
                  <c:v>5.0136666666666671E-3</c:v>
                </c:pt>
                <c:pt idx="6647">
                  <c:v>5.0093333333333335E-3</c:v>
                </c:pt>
                <c:pt idx="6648">
                  <c:v>5.0049999999999999E-3</c:v>
                </c:pt>
                <c:pt idx="6649">
                  <c:v>5.0244133333333333E-3</c:v>
                </c:pt>
                <c:pt idx="6650">
                  <c:v>4.9941666666666667E-3</c:v>
                </c:pt>
                <c:pt idx="6651">
                  <c:v>5.0419200000000001E-3</c:v>
                </c:pt>
                <c:pt idx="6652">
                  <c:v>4.9876666666666663E-3</c:v>
                </c:pt>
                <c:pt idx="6653">
                  <c:v>5.0287900000000009E-3</c:v>
                </c:pt>
                <c:pt idx="6654">
                  <c:v>4.9920000000000008E-3</c:v>
                </c:pt>
                <c:pt idx="6655">
                  <c:v>4.9789999999999999E-3</c:v>
                </c:pt>
                <c:pt idx="6656">
                  <c:v>4.9725000000000004E-3</c:v>
                </c:pt>
                <c:pt idx="6657">
                  <c:v>4.9959649999999998E-3</c:v>
                </c:pt>
                <c:pt idx="6658">
                  <c:v>4.9937766666666673E-3</c:v>
                </c:pt>
                <c:pt idx="6659">
                  <c:v>4.9482240000000002E-3</c:v>
                </c:pt>
                <c:pt idx="6660">
                  <c:v>5.0287900000000009E-3</c:v>
                </c:pt>
                <c:pt idx="6661">
                  <c:v>4.9855000000000003E-3</c:v>
                </c:pt>
                <c:pt idx="6662">
                  <c:v>5.0003416666666673E-3</c:v>
                </c:pt>
                <c:pt idx="6663">
                  <c:v>5.0025300000000007E-3</c:v>
                </c:pt>
                <c:pt idx="6664">
                  <c:v>5.0886000000000004E-3</c:v>
                </c:pt>
                <c:pt idx="6665">
                  <c:v>5.0223333333333335E-3</c:v>
                </c:pt>
                <c:pt idx="6666">
                  <c:v>5.1062E-3</c:v>
                </c:pt>
                <c:pt idx="6667">
                  <c:v>5.0245000000000003E-3</c:v>
                </c:pt>
                <c:pt idx="6668">
                  <c:v>5.1105999999999999E-3</c:v>
                </c:pt>
                <c:pt idx="6669">
                  <c:v>5.1172000000000006E-3</c:v>
                </c:pt>
                <c:pt idx="6670">
                  <c:v>5.0812740000000002E-3</c:v>
                </c:pt>
                <c:pt idx="6671">
                  <c:v>5.1392E-3</c:v>
                </c:pt>
                <c:pt idx="6672">
                  <c:v>5.1524000000000006E-3</c:v>
                </c:pt>
                <c:pt idx="6673">
                  <c:v>5.1426700000000002E-3</c:v>
                </c:pt>
                <c:pt idx="6674">
                  <c:v>5.1736100000000004E-3</c:v>
                </c:pt>
                <c:pt idx="6675">
                  <c:v>5.0813100000000003E-3</c:v>
                </c:pt>
                <c:pt idx="6676">
                  <c:v>5.0725566666666669E-3</c:v>
                </c:pt>
                <c:pt idx="6677">
                  <c:v>5.0769333333333336E-3</c:v>
                </c:pt>
                <c:pt idx="6678">
                  <c:v>5.0703683333333336E-3</c:v>
                </c:pt>
                <c:pt idx="6679">
                  <c:v>5.0572383333333335E-3</c:v>
                </c:pt>
                <c:pt idx="6680">
                  <c:v>5.0223333333333335E-3</c:v>
                </c:pt>
                <c:pt idx="6681">
                  <c:v>5.0681800000000003E-3</c:v>
                </c:pt>
                <c:pt idx="6682">
                  <c:v>5.0659916666666669E-3</c:v>
                </c:pt>
                <c:pt idx="6683">
                  <c:v>4.1447033333333336E-3</c:v>
                </c:pt>
                <c:pt idx="6684">
                  <c:v>5.0048000000000002E-3</c:v>
                </c:pt>
                <c:pt idx="6685">
                  <c:v>5.0178560000000002E-3</c:v>
                </c:pt>
                <c:pt idx="6686">
                  <c:v>5.0626560000000004E-3</c:v>
                </c:pt>
                <c:pt idx="6687">
                  <c:v>5.0494720000000002E-3</c:v>
                </c:pt>
                <c:pt idx="6688">
                  <c:v>4.9982720000000007E-3</c:v>
                </c:pt>
                <c:pt idx="6689">
                  <c:v>4.9939199999999998E-3</c:v>
                </c:pt>
                <c:pt idx="6690">
                  <c:v>5.0004480000000002E-3</c:v>
                </c:pt>
                <c:pt idx="6691">
                  <c:v>4.9597590000000002E-3</c:v>
                </c:pt>
                <c:pt idx="6692">
                  <c:v>5.0626560000000004E-3</c:v>
                </c:pt>
                <c:pt idx="6693">
                  <c:v>5.1010050000000005E-3</c:v>
                </c:pt>
                <c:pt idx="6694">
                  <c:v>5.1097583333333339E-3</c:v>
                </c:pt>
                <c:pt idx="6695">
                  <c:v>5.1053816666666672E-3</c:v>
                </c:pt>
                <c:pt idx="6696">
                  <c:v>5.1010050000000005E-3</c:v>
                </c:pt>
                <c:pt idx="6697">
                  <c:v>5.14709E-3</c:v>
                </c:pt>
                <c:pt idx="6698">
                  <c:v>5.1382500000000005E-3</c:v>
                </c:pt>
                <c:pt idx="6699">
                  <c:v>5.1581400000000003E-3</c:v>
                </c:pt>
                <c:pt idx="6700">
                  <c:v>5.1338300000000007E-3</c:v>
                </c:pt>
                <c:pt idx="6701">
                  <c:v>5.1338300000000007E-3</c:v>
                </c:pt>
                <c:pt idx="6702">
                  <c:v>5.1205700000000005E-3</c:v>
                </c:pt>
                <c:pt idx="6703">
                  <c:v>5.0824320000000004E-3</c:v>
                </c:pt>
                <c:pt idx="6704">
                  <c:v>5.0846293333333334E-3</c:v>
                </c:pt>
                <c:pt idx="6705">
                  <c:v>5.0934186666666669E-3</c:v>
                </c:pt>
                <c:pt idx="6706">
                  <c:v>5.1088000000000001E-3</c:v>
                </c:pt>
                <c:pt idx="6707">
                  <c:v>5.0210160000000005E-3</c:v>
                </c:pt>
                <c:pt idx="6708">
                  <c:v>5.0803200000000001E-3</c:v>
                </c:pt>
                <c:pt idx="6709">
                  <c:v>5.0869349999999999E-3</c:v>
                </c:pt>
                <c:pt idx="6710">
                  <c:v>5.1023700000000002E-3</c:v>
                </c:pt>
                <c:pt idx="6711">
                  <c:v>5.1244200000000011E-3</c:v>
                </c:pt>
                <c:pt idx="6712">
                  <c:v>5.0869349999999999E-3</c:v>
                </c:pt>
                <c:pt idx="6713">
                  <c:v>5.0869349999999999E-3</c:v>
                </c:pt>
                <c:pt idx="6714">
                  <c:v>5.0253839999999999E-3</c:v>
                </c:pt>
                <c:pt idx="6715">
                  <c:v>5.0253839999999999E-3</c:v>
                </c:pt>
                <c:pt idx="6716">
                  <c:v>5.0803200000000001E-3</c:v>
                </c:pt>
                <c:pt idx="6717">
                  <c:v>5.0648849999999999E-3</c:v>
                </c:pt>
                <c:pt idx="6718">
                  <c:v>5.0538600000000003E-3</c:v>
                </c:pt>
                <c:pt idx="6719">
                  <c:v>5.0144640000000006E-3</c:v>
                </c:pt>
                <c:pt idx="6720">
                  <c:v>5.0428560000000001E-3</c:v>
                </c:pt>
                <c:pt idx="6721">
                  <c:v>5.0450400000000006E-3</c:v>
                </c:pt>
                <c:pt idx="6722">
                  <c:v>5.0537760000000003E-3</c:v>
                </c:pt>
                <c:pt idx="6723">
                  <c:v>5.0803200000000001E-3</c:v>
                </c:pt>
                <c:pt idx="6724">
                  <c:v>5.0560650000000011E-3</c:v>
                </c:pt>
                <c:pt idx="6725">
                  <c:v>5.0340150000000002E-3</c:v>
                </c:pt>
                <c:pt idx="6726">
                  <c:v>5.0231986666666667E-3</c:v>
                </c:pt>
                <c:pt idx="6727">
                  <c:v>4.9215600000000002E-3</c:v>
                </c:pt>
                <c:pt idx="6728">
                  <c:v>4.9180053333333336E-3</c:v>
                </c:pt>
                <c:pt idx="6729">
                  <c:v>4.9136653333333342E-3</c:v>
                </c:pt>
                <c:pt idx="6730">
                  <c:v>4.9947200000000002E-3</c:v>
                </c:pt>
                <c:pt idx="6731">
                  <c:v>4.9399533333333336E-3</c:v>
                </c:pt>
                <c:pt idx="6732">
                  <c:v>1.1910880000000002E-2</c:v>
                </c:pt>
                <c:pt idx="6733">
                  <c:v>5.8029675000000003E-2</c:v>
                </c:pt>
                <c:pt idx="6734">
                  <c:v>5.3849010666666669E-2</c:v>
                </c:pt>
                <c:pt idx="6735">
                  <c:v>5.3978976000000005E-2</c:v>
                </c:pt>
                <c:pt idx="6736">
                  <c:v>5.5520313333333335E-2</c:v>
                </c:pt>
                <c:pt idx="6737">
                  <c:v>5.9390978000000004E-2</c:v>
                </c:pt>
                <c:pt idx="6738">
                  <c:v>5.3317220000000005E-2</c:v>
                </c:pt>
                <c:pt idx="6739">
                  <c:v>5.3641366666666669E-2</c:v>
                </c:pt>
                <c:pt idx="6740">
                  <c:v>5.1866451000000001E-2</c:v>
                </c:pt>
                <c:pt idx="6741">
                  <c:v>5.1680719999999999E-2</c:v>
                </c:pt>
                <c:pt idx="6742">
                  <c:v>5.1953568333333332E-2</c:v>
                </c:pt>
                <c:pt idx="6743">
                  <c:v>5.1588718999999998E-2</c:v>
                </c:pt>
                <c:pt idx="6744">
                  <c:v>5.1551894333333334E-2</c:v>
                </c:pt>
                <c:pt idx="6745">
                  <c:v>5.089084E-2</c:v>
                </c:pt>
                <c:pt idx="6746">
                  <c:v>5.0934095333333339E-2</c:v>
                </c:pt>
                <c:pt idx="6747">
                  <c:v>5.0864146666666672E-2</c:v>
                </c:pt>
                <c:pt idx="6748">
                  <c:v>5.0864146666666672E-2</c:v>
                </c:pt>
                <c:pt idx="6749">
                  <c:v>5.0662490666666664E-2</c:v>
                </c:pt>
                <c:pt idx="6750">
                  <c:v>5.0799900666666668E-2</c:v>
                </c:pt>
                <c:pt idx="6751">
                  <c:v>5.4610372000000011E-2</c:v>
                </c:pt>
                <c:pt idx="6752">
                  <c:v>5.8463271999999997E-2</c:v>
                </c:pt>
                <c:pt idx="6753">
                  <c:v>5.6075840000000002E-2</c:v>
                </c:pt>
                <c:pt idx="6754">
                  <c:v>5.0887927999999999E-2</c:v>
                </c:pt>
                <c:pt idx="6755">
                  <c:v>5.0974742000000003E-2</c:v>
                </c:pt>
                <c:pt idx="6756">
                  <c:v>5.1231028333333338E-2</c:v>
                </c:pt>
                <c:pt idx="6757">
                  <c:v>5.329167466666667E-2</c:v>
                </c:pt>
                <c:pt idx="6758">
                  <c:v>5.5756109333333331E-2</c:v>
                </c:pt>
                <c:pt idx="6759">
                  <c:v>5.1288570666666672E-2</c:v>
                </c:pt>
                <c:pt idx="6760">
                  <c:v>5.1364586000000004E-2</c:v>
                </c:pt>
                <c:pt idx="6761">
                  <c:v>5.1370592E-2</c:v>
                </c:pt>
                <c:pt idx="6762">
                  <c:v>5.3162533666666671E-2</c:v>
                </c:pt>
                <c:pt idx="6763">
                  <c:v>5.5531936000000004E-2</c:v>
                </c:pt>
                <c:pt idx="6764">
                  <c:v>5.1433806666666672E-2</c:v>
                </c:pt>
                <c:pt idx="6765">
                  <c:v>5.156939666666667E-2</c:v>
                </c:pt>
                <c:pt idx="6766">
                  <c:v>5.2443967333333341E-2</c:v>
                </c:pt>
                <c:pt idx="6767">
                  <c:v>5.5394733333333335E-2</c:v>
                </c:pt>
                <c:pt idx="6768">
                  <c:v>5.2399923333333334E-2</c:v>
                </c:pt>
                <c:pt idx="6769">
                  <c:v>5.6743146666666675E-2</c:v>
                </c:pt>
                <c:pt idx="6770">
                  <c:v>5.2883133333333339E-2</c:v>
                </c:pt>
                <c:pt idx="6771">
                  <c:v>5.0790133333333334E-2</c:v>
                </c:pt>
                <c:pt idx="6772">
                  <c:v>5.0686757333333339E-2</c:v>
                </c:pt>
                <c:pt idx="6773">
                  <c:v>5.1719577000000003E-2</c:v>
                </c:pt>
                <c:pt idx="6774">
                  <c:v>5.288225366666667E-2</c:v>
                </c:pt>
                <c:pt idx="6775">
                  <c:v>5.9425388000000003E-2</c:v>
                </c:pt>
                <c:pt idx="6776">
                  <c:v>5.8734762666666662E-2</c:v>
                </c:pt>
                <c:pt idx="6777">
                  <c:v>5.8828050666666659E-2</c:v>
                </c:pt>
                <c:pt idx="6778">
                  <c:v>5.8461767999999997E-2</c:v>
                </c:pt>
                <c:pt idx="6779">
                  <c:v>6.0909296000000002E-2</c:v>
                </c:pt>
                <c:pt idx="6780">
                  <c:v>6.1086740000000007E-2</c:v>
                </c:pt>
                <c:pt idx="6781">
                  <c:v>6.1422904E-2</c:v>
                </c:pt>
                <c:pt idx="6782">
                  <c:v>6.0961500000000002E-2</c:v>
                </c:pt>
                <c:pt idx="6783">
                  <c:v>6.0996096000000007E-2</c:v>
                </c:pt>
                <c:pt idx="6784">
                  <c:v>6.0820636000000004E-2</c:v>
                </c:pt>
                <c:pt idx="6785">
                  <c:v>6.0548972000000006E-2</c:v>
                </c:pt>
                <c:pt idx="6786">
                  <c:v>6.0754518666666674E-2</c:v>
                </c:pt>
                <c:pt idx="6787">
                  <c:v>6.0297666000000007E-2</c:v>
                </c:pt>
                <c:pt idx="6788">
                  <c:v>6.0322962000000001E-2</c:v>
                </c:pt>
                <c:pt idx="6789">
                  <c:v>6.0645113999999993E-2</c:v>
                </c:pt>
                <c:pt idx="6790">
                  <c:v>5.9712696000000003E-2</c:v>
                </c:pt>
                <c:pt idx="6791">
                  <c:v>6.014868000000001E-2</c:v>
                </c:pt>
                <c:pt idx="6792">
                  <c:v>6.050208E-2</c:v>
                </c:pt>
                <c:pt idx="6793">
                  <c:v>6.0113712000000007E-2</c:v>
                </c:pt>
                <c:pt idx="6794">
                  <c:v>6.0422471999999998E-2</c:v>
                </c:pt>
                <c:pt idx="6795">
                  <c:v>5.9104507000000008E-2</c:v>
                </c:pt>
                <c:pt idx="6796">
                  <c:v>5.8799249999999997E-2</c:v>
                </c:pt>
                <c:pt idx="6797">
                  <c:v>6.319776869999999E-2</c:v>
                </c:pt>
                <c:pt idx="6798">
                  <c:v>6.3113166599999992E-2</c:v>
                </c:pt>
                <c:pt idx="6799">
                  <c:v>6.2647496999999996E-2</c:v>
                </c:pt>
                <c:pt idx="6800">
                  <c:v>6.1253761800000001E-2</c:v>
                </c:pt>
                <c:pt idx="6801">
                  <c:v>6.3459349800000009E-2</c:v>
                </c:pt>
                <c:pt idx="6802">
                  <c:v>6.3374849999999996E-2</c:v>
                </c:pt>
                <c:pt idx="6803">
                  <c:v>6.3626235199999992E-2</c:v>
                </c:pt>
                <c:pt idx="6804">
                  <c:v>6.3187197700000003E-2</c:v>
                </c:pt>
                <c:pt idx="6805">
                  <c:v>6.5031803099999994E-2</c:v>
                </c:pt>
                <c:pt idx="6806">
                  <c:v>6.2353895999999999E-2</c:v>
                </c:pt>
                <c:pt idx="6807">
                  <c:v>6.6919954199999993E-2</c:v>
                </c:pt>
                <c:pt idx="6808">
                  <c:v>6.6779428099999996E-2</c:v>
                </c:pt>
                <c:pt idx="6809">
                  <c:v>6.4783520999999997E-2</c:v>
                </c:pt>
                <c:pt idx="6810">
                  <c:v>6.3647991000000001E-2</c:v>
                </c:pt>
                <c:pt idx="6811">
                  <c:v>6.3369189399999998E-2</c:v>
                </c:pt>
                <c:pt idx="6812">
                  <c:v>6.3395173599999993E-2</c:v>
                </c:pt>
                <c:pt idx="6813">
                  <c:v>6.366302909999999E-2</c:v>
                </c:pt>
                <c:pt idx="6814">
                  <c:v>6.3847476E-2</c:v>
                </c:pt>
                <c:pt idx="6815">
                  <c:v>6.52791645E-2</c:v>
                </c:pt>
                <c:pt idx="6816">
                  <c:v>6.3604683999999995E-2</c:v>
                </c:pt>
                <c:pt idx="6817">
                  <c:v>6.3313708700000013E-2</c:v>
                </c:pt>
                <c:pt idx="6818">
                  <c:v>6.3507976400000013E-2</c:v>
                </c:pt>
                <c:pt idx="6819">
                  <c:v>6.4135348199999997E-2</c:v>
                </c:pt>
                <c:pt idx="6820">
                  <c:v>6.4162900999999994E-2</c:v>
                </c:pt>
                <c:pt idx="6821">
                  <c:v>6.5147981799999991E-2</c:v>
                </c:pt>
                <c:pt idx="6822">
                  <c:v>6.3748244999999995E-2</c:v>
                </c:pt>
                <c:pt idx="6823">
                  <c:v>6.230233679999999E-2</c:v>
                </c:pt>
                <c:pt idx="6824">
                  <c:v>6.2970662699999999E-2</c:v>
                </c:pt>
                <c:pt idx="6825">
                  <c:v>6.3424260900000001E-2</c:v>
                </c:pt>
                <c:pt idx="6826">
                  <c:v>6.3376282200000009E-2</c:v>
                </c:pt>
                <c:pt idx="6827">
                  <c:v>6.2925718899999997E-2</c:v>
                </c:pt>
                <c:pt idx="6828">
                  <c:v>6.3418088800000008E-2</c:v>
                </c:pt>
                <c:pt idx="6829">
                  <c:v>6.3397253700000003E-2</c:v>
                </c:pt>
                <c:pt idx="6830">
                  <c:v>6.3431183199999991E-2</c:v>
                </c:pt>
                <c:pt idx="6831">
                  <c:v>6.3501702000000007E-2</c:v>
                </c:pt>
                <c:pt idx="6832">
                  <c:v>6.3221399999999997E-2</c:v>
                </c:pt>
                <c:pt idx="6833">
                  <c:v>6.3292191599999992E-2</c:v>
                </c:pt>
                <c:pt idx="6834">
                  <c:v>6.4589867100000004E-2</c:v>
                </c:pt>
                <c:pt idx="6835">
                  <c:v>6.3473740000000001E-2</c:v>
                </c:pt>
                <c:pt idx="6836">
                  <c:v>6.3709439199999995E-2</c:v>
                </c:pt>
                <c:pt idx="6837">
                  <c:v>6.4055076799999999E-2</c:v>
                </c:pt>
                <c:pt idx="6838">
                  <c:v>6.3647718200000009E-2</c:v>
                </c:pt>
                <c:pt idx="6839">
                  <c:v>6.3674520799999995E-2</c:v>
                </c:pt>
                <c:pt idx="6840">
                  <c:v>6.4918011400000003E-2</c:v>
                </c:pt>
                <c:pt idx="6841">
                  <c:v>6.5502621800000008E-2</c:v>
                </c:pt>
                <c:pt idx="6842">
                  <c:v>6.5499041300000005E-2</c:v>
                </c:pt>
                <c:pt idx="6843">
                  <c:v>6.4360237700000003E-2</c:v>
                </c:pt>
                <c:pt idx="6844">
                  <c:v>6.4118570999999999E-2</c:v>
                </c:pt>
                <c:pt idx="6845">
                  <c:v>6.3855523600000005E-2</c:v>
                </c:pt>
                <c:pt idx="6846">
                  <c:v>6.3894943200000012E-2</c:v>
                </c:pt>
                <c:pt idx="6847">
                  <c:v>6.4077310000000012E-2</c:v>
                </c:pt>
                <c:pt idx="6848">
                  <c:v>6.3960483400000004E-2</c:v>
                </c:pt>
                <c:pt idx="6849">
                  <c:v>6.3993730900000004E-2</c:v>
                </c:pt>
                <c:pt idx="6850">
                  <c:v>6.4139065100000003E-2</c:v>
                </c:pt>
                <c:pt idx="6851">
                  <c:v>6.4367159999999993E-2</c:v>
                </c:pt>
                <c:pt idx="6852">
                  <c:v>6.3848908199999999E-2</c:v>
                </c:pt>
                <c:pt idx="6853">
                  <c:v>6.3837246000000014E-2</c:v>
                </c:pt>
                <c:pt idx="6854">
                  <c:v>6.3759395699999999E-2</c:v>
                </c:pt>
                <c:pt idx="6855">
                  <c:v>6.4191681400000006E-2</c:v>
                </c:pt>
                <c:pt idx="6856">
                  <c:v>6.3923587199999993E-2</c:v>
                </c:pt>
                <c:pt idx="6857">
                  <c:v>6.3804510000000009E-2</c:v>
                </c:pt>
                <c:pt idx="6858">
                  <c:v>6.4005427200000006E-2</c:v>
                </c:pt>
                <c:pt idx="6859">
                  <c:v>6.3908173999999998E-2</c:v>
                </c:pt>
                <c:pt idx="6860">
                  <c:v>6.3620779199999991E-2</c:v>
                </c:pt>
                <c:pt idx="6861">
                  <c:v>6.3372224299999988E-2</c:v>
                </c:pt>
                <c:pt idx="6862">
                  <c:v>6.3741493200000013E-2</c:v>
                </c:pt>
                <c:pt idx="6863">
                  <c:v>6.4008428000000006E-2</c:v>
                </c:pt>
                <c:pt idx="6864">
                  <c:v>6.3572016199999998E-2</c:v>
                </c:pt>
                <c:pt idx="6865">
                  <c:v>6.3479775700000005E-2</c:v>
                </c:pt>
                <c:pt idx="6866">
                  <c:v>6.3568537999999994E-2</c:v>
                </c:pt>
                <c:pt idx="6867">
                  <c:v>6.1820947100000002E-2</c:v>
                </c:pt>
                <c:pt idx="6868">
                  <c:v>6.2898268399999999E-2</c:v>
                </c:pt>
                <c:pt idx="6869">
                  <c:v>6.3564377800000002E-2</c:v>
                </c:pt>
                <c:pt idx="6870">
                  <c:v>6.4642095466666674E-2</c:v>
                </c:pt>
                <c:pt idx="6871">
                  <c:v>6.4398760799999996E-2</c:v>
                </c:pt>
                <c:pt idx="6872">
                  <c:v>6.3799454399999997E-2</c:v>
                </c:pt>
                <c:pt idx="6873">
                  <c:v>6.3852119466666662E-2</c:v>
                </c:pt>
                <c:pt idx="6874">
                  <c:v>6.3485845499999999E-2</c:v>
                </c:pt>
                <c:pt idx="6875">
                  <c:v>6.3353537500000001E-2</c:v>
                </c:pt>
                <c:pt idx="6876">
                  <c:v>6.4235940266666666E-2</c:v>
                </c:pt>
                <c:pt idx="6877">
                  <c:v>6.3313810999999998E-2</c:v>
                </c:pt>
                <c:pt idx="6878">
                  <c:v>6.2698851599999994E-2</c:v>
                </c:pt>
                <c:pt idx="6879">
                  <c:v>6.2887560999999995E-2</c:v>
                </c:pt>
                <c:pt idx="6880">
                  <c:v>6.2959614300000008E-2</c:v>
                </c:pt>
                <c:pt idx="6881">
                  <c:v>6.4353554100000002E-2</c:v>
                </c:pt>
                <c:pt idx="6882">
                  <c:v>6.333393000000001E-2</c:v>
                </c:pt>
                <c:pt idx="6883">
                  <c:v>6.3048308400000003E-2</c:v>
                </c:pt>
                <c:pt idx="6884">
                  <c:v>6.3276744299999993E-2</c:v>
                </c:pt>
                <c:pt idx="6885">
                  <c:v>6.4746010999999992E-2</c:v>
                </c:pt>
                <c:pt idx="6886">
                  <c:v>6.5742822200000009E-2</c:v>
                </c:pt>
                <c:pt idx="6887">
                  <c:v>6.4332378000000009E-2</c:v>
                </c:pt>
                <c:pt idx="6888">
                  <c:v>6.3209260399999995E-2</c:v>
                </c:pt>
                <c:pt idx="6889">
                  <c:v>6.4236216000000013E-2</c:v>
                </c:pt>
                <c:pt idx="6890">
                  <c:v>6.4353656400000001E-2</c:v>
                </c:pt>
                <c:pt idx="6891">
                  <c:v>6.3409631999999994E-2</c:v>
                </c:pt>
                <c:pt idx="6892">
                  <c:v>6.6127742999999989E-2</c:v>
                </c:pt>
                <c:pt idx="6893">
                  <c:v>6.6521188799999992E-2</c:v>
                </c:pt>
                <c:pt idx="6894">
                  <c:v>6.3733616100000001E-2</c:v>
                </c:pt>
                <c:pt idx="6895">
                  <c:v>6.3350604899999996E-2</c:v>
                </c:pt>
                <c:pt idx="6896">
                  <c:v>6.2843708400000003E-2</c:v>
                </c:pt>
                <c:pt idx="6897">
                  <c:v>6.3148085000000007E-2</c:v>
                </c:pt>
                <c:pt idx="6898">
                  <c:v>6.5147367999999997E-2</c:v>
                </c:pt>
                <c:pt idx="6899">
                  <c:v>6.6339503999999994E-2</c:v>
                </c:pt>
                <c:pt idx="6900">
                  <c:v>6.4848106400000008E-2</c:v>
                </c:pt>
                <c:pt idx="6901">
                  <c:v>6.31380255E-2</c:v>
                </c:pt>
                <c:pt idx="6902">
                  <c:v>6.4318056000000012E-2</c:v>
                </c:pt>
                <c:pt idx="6903">
                  <c:v>6.4303660666666665E-2</c:v>
                </c:pt>
                <c:pt idx="6904">
                  <c:v>6.3569970200000006E-2</c:v>
                </c:pt>
                <c:pt idx="6905">
                  <c:v>6.4778610599999994E-2</c:v>
                </c:pt>
                <c:pt idx="6906">
                  <c:v>6.4204843999999997E-2</c:v>
                </c:pt>
                <c:pt idx="6907">
                  <c:v>6.4451557500000006E-2</c:v>
                </c:pt>
                <c:pt idx="6908">
                  <c:v>6.317814799999999E-2</c:v>
                </c:pt>
                <c:pt idx="6909">
                  <c:v>6.5950763999999995E-2</c:v>
                </c:pt>
                <c:pt idx="6910">
                  <c:v>6.5656549199999997E-2</c:v>
                </c:pt>
                <c:pt idx="6911">
                  <c:v>6.4785567000000002E-2</c:v>
                </c:pt>
                <c:pt idx="6912">
                  <c:v>6.3077960000000002E-2</c:v>
                </c:pt>
                <c:pt idx="6913">
                  <c:v>6.2408015999999997E-2</c:v>
                </c:pt>
                <c:pt idx="6914">
                  <c:v>6.3012517333333337E-2</c:v>
                </c:pt>
                <c:pt idx="6915">
                  <c:v>6.2732665600000001E-2</c:v>
                </c:pt>
                <c:pt idx="6916">
                  <c:v>6.3852795600000012E-2</c:v>
                </c:pt>
                <c:pt idx="6917">
                  <c:v>6.2990928000000002E-2</c:v>
                </c:pt>
                <c:pt idx="6918">
                  <c:v>6.2676567066666675E-2</c:v>
                </c:pt>
                <c:pt idx="6919">
                  <c:v>6.2413885599999996E-2</c:v>
                </c:pt>
                <c:pt idx="6920">
                  <c:v>6.6177494900000008E-2</c:v>
                </c:pt>
                <c:pt idx="6921">
                  <c:v>6.7095978400000006E-2</c:v>
                </c:pt>
                <c:pt idx="6922">
                  <c:v>6.7202234E-2</c:v>
                </c:pt>
                <c:pt idx="6923">
                  <c:v>6.3196364000000005E-2</c:v>
                </c:pt>
                <c:pt idx="6924">
                  <c:v>6.2684426933333329E-2</c:v>
                </c:pt>
                <c:pt idx="6925">
                  <c:v>6.4754979300000001E-2</c:v>
                </c:pt>
                <c:pt idx="6926">
                  <c:v>6.498607499999999E-2</c:v>
                </c:pt>
                <c:pt idx="6927">
                  <c:v>6.5288678400000008E-2</c:v>
                </c:pt>
                <c:pt idx="6928">
                  <c:v>6.3657709499999993E-2</c:v>
                </c:pt>
                <c:pt idx="6929">
                  <c:v>6.4149056400000001E-2</c:v>
                </c:pt>
                <c:pt idx="6930">
                  <c:v>6.4290332699999994E-2</c:v>
                </c:pt>
                <c:pt idx="6931">
                  <c:v>6.2589366399999999E-2</c:v>
                </c:pt>
                <c:pt idx="6932">
                  <c:v>6.2331643733333331E-2</c:v>
                </c:pt>
                <c:pt idx="6933">
                  <c:v>6.09393004E-2</c:v>
                </c:pt>
                <c:pt idx="6934">
                  <c:v>5.6359403099999997E-2</c:v>
                </c:pt>
                <c:pt idx="6935">
                  <c:v>5.6766476433333338E-2</c:v>
                </c:pt>
                <c:pt idx="6936">
                  <c:v>5.7079822800000006E-2</c:v>
                </c:pt>
                <c:pt idx="6937">
                  <c:v>5.6932508966666663E-2</c:v>
                </c:pt>
                <c:pt idx="6938">
                  <c:v>5.7040483499999996E-2</c:v>
                </c:pt>
                <c:pt idx="6939">
                  <c:v>5.6685495533333331E-2</c:v>
                </c:pt>
                <c:pt idx="6940">
                  <c:v>5.7353462833333327E-2</c:v>
                </c:pt>
                <c:pt idx="6941">
                  <c:v>5.7070012999999996E-2</c:v>
                </c:pt>
                <c:pt idx="6942">
                  <c:v>5.7231173999999996E-2</c:v>
                </c:pt>
                <c:pt idx="6943">
                  <c:v>5.6731975299999994E-2</c:v>
                </c:pt>
                <c:pt idx="6944">
                  <c:v>5.6861271133333335E-2</c:v>
                </c:pt>
                <c:pt idx="6945">
                  <c:v>6.1710950399999999E-2</c:v>
                </c:pt>
                <c:pt idx="6946">
                  <c:v>6.0104299200000003E-2</c:v>
                </c:pt>
                <c:pt idx="6947">
                  <c:v>6.018337013333333E-2</c:v>
                </c:pt>
                <c:pt idx="6948">
                  <c:v>5.8617738666666669E-2</c:v>
                </c:pt>
                <c:pt idx="6949">
                  <c:v>5.6248592399999991E-2</c:v>
                </c:pt>
                <c:pt idx="6950">
                  <c:v>5.6406349999999994E-2</c:v>
                </c:pt>
                <c:pt idx="6951">
                  <c:v>5.6151695599999996E-2</c:v>
                </c:pt>
                <c:pt idx="6952">
                  <c:v>5.6179490033333328E-2</c:v>
                </c:pt>
                <c:pt idx="6953">
                  <c:v>5.6144421666666666E-2</c:v>
                </c:pt>
                <c:pt idx="6954">
                  <c:v>5.6221331833333332E-2</c:v>
                </c:pt>
                <c:pt idx="6955">
                  <c:v>5.6509786666666673E-2</c:v>
                </c:pt>
                <c:pt idx="6956">
                  <c:v>5.8209228000000009E-2</c:v>
                </c:pt>
                <c:pt idx="6957">
                  <c:v>5.7055198200000004E-2</c:v>
                </c:pt>
                <c:pt idx="6958">
                  <c:v>5.673354353333334E-2</c:v>
                </c:pt>
                <c:pt idx="6959">
                  <c:v>5.7086362666666668E-2</c:v>
                </c:pt>
                <c:pt idx="6960">
                  <c:v>5.6743186500000001E-2</c:v>
                </c:pt>
                <c:pt idx="6961">
                  <c:v>5.6237781599999995E-2</c:v>
                </c:pt>
                <c:pt idx="6962">
                  <c:v>5.7428404366666658E-2</c:v>
                </c:pt>
                <c:pt idx="6963">
                  <c:v>5.6091835799999996E-2</c:v>
                </c:pt>
                <c:pt idx="6964">
                  <c:v>5.7039849533333326E-2</c:v>
                </c:pt>
                <c:pt idx="6965">
                  <c:v>5.6689933300000002E-2</c:v>
                </c:pt>
                <c:pt idx="6966">
                  <c:v>5.6549292799999998E-2</c:v>
                </c:pt>
                <c:pt idx="6967">
                  <c:v>5.7934943733333334E-2</c:v>
                </c:pt>
                <c:pt idx="6968">
                  <c:v>5.7036979999999994E-2</c:v>
                </c:pt>
                <c:pt idx="6969">
                  <c:v>5.6805748999999996E-2</c:v>
                </c:pt>
                <c:pt idx="6970">
                  <c:v>5.605059460000001E-2</c:v>
                </c:pt>
                <c:pt idx="6971">
                  <c:v>5.5812556799999996E-2</c:v>
                </c:pt>
                <c:pt idx="6972">
                  <c:v>5.6248592399999991E-2</c:v>
                </c:pt>
                <c:pt idx="6973">
                  <c:v>5.6393937599999999E-2</c:v>
                </c:pt>
                <c:pt idx="6974">
                  <c:v>5.6305649399999991E-2</c:v>
                </c:pt>
                <c:pt idx="6975">
                  <c:v>5.7133342933333338E-2</c:v>
                </c:pt>
                <c:pt idx="6976">
                  <c:v>6.1036885800000003E-2</c:v>
                </c:pt>
                <c:pt idx="6977">
                  <c:v>5.9933304933333327E-2</c:v>
                </c:pt>
                <c:pt idx="6978">
                  <c:v>5.9276348266666661E-2</c:v>
                </c:pt>
                <c:pt idx="6979">
                  <c:v>5.8991504E-2</c:v>
                </c:pt>
                <c:pt idx="6980">
                  <c:v>6.3647718200000009E-2</c:v>
                </c:pt>
                <c:pt idx="6981">
                  <c:v>5.9663944266666678E-2</c:v>
                </c:pt>
                <c:pt idx="6982">
                  <c:v>5.6664007400000001E-2</c:v>
                </c:pt>
                <c:pt idx="6983">
                  <c:v>5.4481994233333331E-2</c:v>
                </c:pt>
                <c:pt idx="6984">
                  <c:v>5.5112676666666666E-2</c:v>
                </c:pt>
                <c:pt idx="6985">
                  <c:v>5.5485429999999995E-2</c:v>
                </c:pt>
                <c:pt idx="6986">
                  <c:v>5.6695972666666671E-2</c:v>
                </c:pt>
                <c:pt idx="6987">
                  <c:v>5.6075619599999994E-2</c:v>
                </c:pt>
                <c:pt idx="6988">
                  <c:v>5.9052932400000001E-2</c:v>
                </c:pt>
                <c:pt idx="6989">
                  <c:v>5.8761510133333333E-2</c:v>
                </c:pt>
                <c:pt idx="6990">
                  <c:v>5.624572286666666E-2</c:v>
                </c:pt>
                <c:pt idx="6991">
                  <c:v>5.7228600000000004E-2</c:v>
                </c:pt>
                <c:pt idx="6992">
                  <c:v>5.7175402533333336E-2</c:v>
                </c:pt>
                <c:pt idx="6993">
                  <c:v>5.6445311999999997E-2</c:v>
                </c:pt>
                <c:pt idx="6994">
                  <c:v>5.6898687999999996E-2</c:v>
                </c:pt>
                <c:pt idx="6995">
                  <c:v>5.6792360533333336E-2</c:v>
                </c:pt>
                <c:pt idx="6996">
                  <c:v>5.6504447999999999E-2</c:v>
                </c:pt>
                <c:pt idx="6997">
                  <c:v>5.5855800000000004E-2</c:v>
                </c:pt>
                <c:pt idx="6998">
                  <c:v>5.5492236800000011E-2</c:v>
                </c:pt>
                <c:pt idx="6999">
                  <c:v>5.4871483333333325E-2</c:v>
                </c:pt>
              </c:numCache>
            </c:numRef>
          </c:yVal>
        </c:ser>
        <c:axId val="275442304"/>
        <c:axId val="281977600"/>
      </c:scatterChart>
      <c:valAx>
        <c:axId val="275442304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it-IT" sz="1400"/>
                  <a:t>Data</a:t>
                </a:r>
              </a:p>
            </c:rich>
          </c:tx>
          <c:layout>
            <c:manualLayout>
              <c:xMode val="edge"/>
              <c:yMode val="edge"/>
              <c:x val="0.88060516020403112"/>
              <c:y val="0.96377846708555448"/>
            </c:manualLayout>
          </c:layout>
        </c:title>
        <c:numFmt formatCode="dd/mm/yyyy" sourceLinked="1"/>
        <c:tickLblPos val="nextTo"/>
        <c:spPr>
          <a:ln w="28575">
            <a:solidFill>
              <a:schemeClr val="tx1"/>
            </a:solidFill>
            <a:tailEnd type="stealth" w="lg" len="lg"/>
          </a:ln>
        </c:spPr>
        <c:crossAx val="281977600"/>
        <c:crosses val="autoZero"/>
        <c:crossBetween val="midCat"/>
      </c:valAx>
      <c:valAx>
        <c:axId val="2819776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it-IT" sz="1400"/>
                  <a:t>Costo</a:t>
                </a:r>
                <a:r>
                  <a:rPr lang="it-IT" sz="1400" baseline="0"/>
                  <a:t> [c</a:t>
                </a:r>
                <a:r>
                  <a:rPr lang="en-US" sz="1400" b="1" i="0" u="none" strike="noStrike" baseline="0"/>
                  <a:t>€</a:t>
                </a:r>
                <a:r>
                  <a:rPr lang="it-IT" sz="1400" baseline="0"/>
                  <a:t>]</a:t>
                </a:r>
                <a:endParaRPr lang="it-IT" sz="1400"/>
              </a:p>
            </c:rich>
          </c:tx>
          <c:layout>
            <c:manualLayout>
              <c:xMode val="edge"/>
              <c:yMode val="edge"/>
              <c:x val="4.8379293662312505E-3"/>
              <c:y val="5.4292354869782788E-2"/>
            </c:manualLayout>
          </c:layout>
        </c:title>
        <c:numFmt formatCode="#,##0.000" sourceLinked="0"/>
        <c:tickLblPos val="nextTo"/>
        <c:spPr>
          <a:ln w="28575">
            <a:solidFill>
              <a:sysClr val="windowText" lastClr="000000"/>
            </a:solidFill>
            <a:tailEnd type="stealth" w="lg" len="lg"/>
          </a:ln>
        </c:spPr>
        <c:crossAx val="275442304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style val="4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Consumi [Wh]</a:t>
            </a:r>
          </a:p>
        </c:rich>
      </c:tx>
      <c:layout/>
    </c:title>
    <c:view3D>
      <c:rAngAx val="1"/>
    </c:view3D>
    <c:plotArea>
      <c:layout/>
      <c:bar3DChart>
        <c:barDir val="col"/>
        <c:grouping val="stacked"/>
        <c:ser>
          <c:idx val="4"/>
          <c:order val="0"/>
          <c:tx>
            <c:strRef>
              <c:f>Distribuzione!$E$1</c:f>
              <c:strCache>
                <c:ptCount val="1"/>
                <c:pt idx="0">
                  <c:v>[Wh]</c:v>
                </c:pt>
              </c:strCache>
            </c:strRef>
          </c:tx>
          <c:val>
            <c:numRef>
              <c:f>Distribuzione!$E$2:$E$25</c:f>
              <c:numCache>
                <c:formatCode>0.0</c:formatCode>
                <c:ptCount val="24"/>
                <c:pt idx="0">
                  <c:v>15.128210136666652</c:v>
                </c:pt>
                <c:pt idx="1">
                  <c:v>15.28444238666666</c:v>
                </c:pt>
                <c:pt idx="2">
                  <c:v>15.194368276666662</c:v>
                </c:pt>
                <c:pt idx="3">
                  <c:v>15.055907226666658</c:v>
                </c:pt>
                <c:pt idx="4">
                  <c:v>15.05191204666666</c:v>
                </c:pt>
                <c:pt idx="5">
                  <c:v>21.307786119999992</c:v>
                </c:pt>
                <c:pt idx="6">
                  <c:v>61.604692340000007</c:v>
                </c:pt>
                <c:pt idx="7">
                  <c:v>133.95450572999997</c:v>
                </c:pt>
                <c:pt idx="8">
                  <c:v>143.31823187333336</c:v>
                </c:pt>
                <c:pt idx="9">
                  <c:v>134.00491884666667</c:v>
                </c:pt>
                <c:pt idx="10">
                  <c:v>130.84390168666673</c:v>
                </c:pt>
                <c:pt idx="11">
                  <c:v>129.02763641979527</c:v>
                </c:pt>
                <c:pt idx="12">
                  <c:v>155.13439944583331</c:v>
                </c:pt>
                <c:pt idx="13">
                  <c:v>158.59089744583346</c:v>
                </c:pt>
                <c:pt idx="14">
                  <c:v>162.00693790551171</c:v>
                </c:pt>
                <c:pt idx="15">
                  <c:v>148.58676754945054</c:v>
                </c:pt>
                <c:pt idx="16">
                  <c:v>158.64213706666666</c:v>
                </c:pt>
                <c:pt idx="17">
                  <c:v>157.30608947333332</c:v>
                </c:pt>
                <c:pt idx="18">
                  <c:v>157.95533972999985</c:v>
                </c:pt>
                <c:pt idx="19">
                  <c:v>137.76497784666674</c:v>
                </c:pt>
                <c:pt idx="20">
                  <c:v>89.406010196666642</c:v>
                </c:pt>
                <c:pt idx="21">
                  <c:v>61.458833153333373</c:v>
                </c:pt>
                <c:pt idx="22">
                  <c:v>22.888850193333333</c:v>
                </c:pt>
                <c:pt idx="23">
                  <c:v>15.167335463333334</c:v>
                </c:pt>
              </c:numCache>
            </c:numRef>
          </c:val>
        </c:ser>
        <c:shape val="box"/>
        <c:axId val="282150400"/>
        <c:axId val="282151936"/>
        <c:axId val="0"/>
      </c:bar3DChart>
      <c:catAx>
        <c:axId val="282150400"/>
        <c:scaling>
          <c:orientation val="minMax"/>
        </c:scaling>
        <c:axPos val="b"/>
        <c:tickLblPos val="nextTo"/>
        <c:crossAx val="282151936"/>
        <c:crosses val="autoZero"/>
        <c:auto val="1"/>
        <c:lblAlgn val="ctr"/>
        <c:lblOffset val="100"/>
      </c:catAx>
      <c:valAx>
        <c:axId val="282151936"/>
        <c:scaling>
          <c:orientation val="minMax"/>
        </c:scaling>
        <c:axPos val="l"/>
        <c:majorGridlines/>
        <c:numFmt formatCode="0.0" sourceLinked="1"/>
        <c:tickLblPos val="nextTo"/>
        <c:crossAx val="282150400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style val="5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Spesa Oraria media</a:t>
            </a:r>
          </a:p>
        </c:rich>
      </c:tx>
      <c:layout>
        <c:manualLayout>
          <c:xMode val="edge"/>
          <c:yMode val="edge"/>
          <c:x val="0.32231156763557828"/>
          <c:y val="2.7777777777777811E-2"/>
        </c:manualLayout>
      </c:layout>
    </c:title>
    <c:view3D>
      <c:rAngAx val="1"/>
    </c:view3D>
    <c:plotArea>
      <c:layout/>
      <c:bar3DChart>
        <c:barDir val="col"/>
        <c:grouping val="stacked"/>
        <c:ser>
          <c:idx val="4"/>
          <c:order val="0"/>
          <c:tx>
            <c:strRef>
              <c:f>Distribuzione!$F$1</c:f>
              <c:strCache>
                <c:ptCount val="1"/>
                <c:pt idx="0">
                  <c:v>[Spesa oraria]</c:v>
                </c:pt>
              </c:strCache>
            </c:strRef>
          </c:tx>
          <c:val>
            <c:numRef>
              <c:f>Distribuzione!$F$2:$F$25</c:f>
              <c:numCache>
                <c:formatCode>#,##0.0\ \c"€"</c:formatCode>
                <c:ptCount val="24"/>
                <c:pt idx="0">
                  <c:v>0.30256420273333307</c:v>
                </c:pt>
                <c:pt idx="1">
                  <c:v>0.30568884773333321</c:v>
                </c:pt>
                <c:pt idx="2">
                  <c:v>0.30388736553333329</c:v>
                </c:pt>
                <c:pt idx="3">
                  <c:v>0.30111814453333319</c:v>
                </c:pt>
                <c:pt idx="4">
                  <c:v>0.3010382409333332</c:v>
                </c:pt>
                <c:pt idx="5">
                  <c:v>0.42615572239999994</c:v>
                </c:pt>
                <c:pt idx="6">
                  <c:v>1.2320938468000002</c:v>
                </c:pt>
                <c:pt idx="7">
                  <c:v>2.6790901145999997</c:v>
                </c:pt>
                <c:pt idx="8">
                  <c:v>2.8663646374666674</c:v>
                </c:pt>
                <c:pt idx="9">
                  <c:v>2.9481082146266666</c:v>
                </c:pt>
                <c:pt idx="10">
                  <c:v>2.878565837106668</c:v>
                </c:pt>
                <c:pt idx="11">
                  <c:v>2.8386080012354959</c:v>
                </c:pt>
                <c:pt idx="12">
                  <c:v>3.4129567878083327</c:v>
                </c:pt>
                <c:pt idx="13">
                  <c:v>3.488999743808336</c:v>
                </c:pt>
                <c:pt idx="14">
                  <c:v>3.5641526339212573</c:v>
                </c:pt>
                <c:pt idx="15">
                  <c:v>3.2689088860879116</c:v>
                </c:pt>
                <c:pt idx="16">
                  <c:v>3.4901270154666668</c:v>
                </c:pt>
                <c:pt idx="17">
                  <c:v>3.4607339684133329</c:v>
                </c:pt>
                <c:pt idx="18">
                  <c:v>3.1591067945999973</c:v>
                </c:pt>
                <c:pt idx="19">
                  <c:v>2.7552995569333349</c:v>
                </c:pt>
                <c:pt idx="20">
                  <c:v>1.7881202039333326</c:v>
                </c:pt>
                <c:pt idx="21">
                  <c:v>1.2291766630666676</c:v>
                </c:pt>
                <c:pt idx="22">
                  <c:v>0.45777700386666664</c:v>
                </c:pt>
                <c:pt idx="23">
                  <c:v>0.30334670926666668</c:v>
                </c:pt>
              </c:numCache>
            </c:numRef>
          </c:val>
        </c:ser>
        <c:shape val="box"/>
        <c:axId val="282176128"/>
        <c:axId val="282190208"/>
        <c:axId val="0"/>
      </c:bar3DChart>
      <c:catAx>
        <c:axId val="282176128"/>
        <c:scaling>
          <c:orientation val="minMax"/>
        </c:scaling>
        <c:axPos val="b"/>
        <c:tickLblPos val="nextTo"/>
        <c:crossAx val="282190208"/>
        <c:crosses val="autoZero"/>
        <c:auto val="1"/>
        <c:lblAlgn val="ctr"/>
        <c:lblOffset val="100"/>
      </c:catAx>
      <c:valAx>
        <c:axId val="282190208"/>
        <c:scaling>
          <c:orientation val="minMax"/>
        </c:scaling>
        <c:axPos val="l"/>
        <c:majorGridlines/>
        <c:numFmt formatCode="#,##0.0\ \c&quot;€&quot;" sourceLinked="1"/>
        <c:tickLblPos val="nextTo"/>
        <c:crossAx val="282176128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57149</xdr:rowOff>
    </xdr:from>
    <xdr:to>
      <xdr:col>24</xdr:col>
      <xdr:colOff>28575</xdr:colOff>
      <xdr:row>44</xdr:row>
      <xdr:rowOff>114300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447675</xdr:colOff>
      <xdr:row>44</xdr:row>
      <xdr:rowOff>57151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0</xdr:row>
      <xdr:rowOff>147637</xdr:rowOff>
    </xdr:from>
    <xdr:to>
      <xdr:col>12</xdr:col>
      <xdr:colOff>366713</xdr:colOff>
      <xdr:row>17</xdr:row>
      <xdr:rowOff>138112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595313</xdr:colOff>
      <xdr:row>17</xdr:row>
      <xdr:rowOff>152401</xdr:rowOff>
    </xdr:from>
    <xdr:to>
      <xdr:col>13</xdr:col>
      <xdr:colOff>409575</xdr:colOff>
      <xdr:row>34</xdr:row>
      <xdr:rowOff>142876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2"/>
  <dimension ref="A1:O7002"/>
  <sheetViews>
    <sheetView tabSelected="1" workbookViewId="0">
      <selection activeCell="P6" sqref="P6"/>
    </sheetView>
  </sheetViews>
  <sheetFormatPr defaultRowHeight="12.75"/>
  <cols>
    <col min="1" max="1" width="17.1640625" style="22" customWidth="1"/>
    <col min="2" max="2" width="9.5" style="23" customWidth="1"/>
    <col min="3" max="3" width="10" style="24" customWidth="1"/>
    <col min="4" max="4" width="11.33203125" style="25" customWidth="1"/>
    <col min="5" max="5" width="14.5" style="26" customWidth="1"/>
    <col min="6" max="6" width="11.33203125" style="26" customWidth="1"/>
    <col min="7" max="7" width="10.83203125" style="27" customWidth="1"/>
    <col min="8" max="8" width="10.6640625" style="17" customWidth="1"/>
    <col min="9" max="9" width="8.6640625" style="17" customWidth="1"/>
    <col min="10" max="10" width="7.83203125" style="32" customWidth="1"/>
    <col min="11" max="11" width="2.33203125" style="17" customWidth="1"/>
    <col min="12" max="13" width="9.33203125" style="17"/>
    <col min="14" max="14" width="10.5" style="17" bestFit="1" customWidth="1"/>
    <col min="15" max="15" width="10.6640625" style="17" customWidth="1"/>
    <col min="16" max="16384" width="9.33203125" style="17"/>
  </cols>
  <sheetData>
    <row r="1" spans="1:15">
      <c r="A1" s="7" t="s">
        <v>6</v>
      </c>
      <c r="B1" s="8"/>
      <c r="C1" s="9"/>
      <c r="D1" s="10"/>
      <c r="E1" s="11" t="s">
        <v>0</v>
      </c>
      <c r="F1" s="11"/>
      <c r="G1" s="12" t="s">
        <v>4</v>
      </c>
      <c r="H1" s="13" t="s">
        <v>2</v>
      </c>
      <c r="I1" s="14" t="s">
        <v>24</v>
      </c>
      <c r="J1" s="14" t="s">
        <v>12</v>
      </c>
      <c r="K1" s="15"/>
      <c r="L1" s="16" t="s">
        <v>17</v>
      </c>
      <c r="M1" s="16" t="s">
        <v>20</v>
      </c>
      <c r="O1" s="65"/>
    </row>
    <row r="2" spans="1:15">
      <c r="A2" s="7" t="s">
        <v>11</v>
      </c>
      <c r="B2" s="8"/>
      <c r="C2" s="9"/>
      <c r="D2" s="10"/>
      <c r="E2" s="11" t="s">
        <v>1</v>
      </c>
      <c r="F2" s="11"/>
      <c r="G2" s="12" t="s">
        <v>5</v>
      </c>
      <c r="H2" s="18">
        <v>7001</v>
      </c>
      <c r="I2" s="19">
        <f>SUM($L$3:$L$1443)/100</f>
        <v>0.29164513672199921</v>
      </c>
      <c r="J2" s="19">
        <f>SUM($L$3:$L$7003)/100</f>
        <v>1.9191405860129911</v>
      </c>
      <c r="K2" s="20" t="s">
        <v>16</v>
      </c>
      <c r="L2" s="21">
        <f>MAX($E$3:$E$7002)</f>
        <v>218.18803199999999</v>
      </c>
      <c r="M2" s="21">
        <f>AVERAGE($E$3:$E$7002)</f>
        <v>92.173521918857631</v>
      </c>
      <c r="O2" s="65"/>
    </row>
    <row r="3" spans="1:15">
      <c r="A3" s="22">
        <v>40310.615277777775</v>
      </c>
      <c r="E3" s="26">
        <v>153.4974</v>
      </c>
      <c r="G3" s="27">
        <v>0.61527777777777781</v>
      </c>
      <c r="H3" s="28">
        <f>(MAX($A$3:$A$7002)- MIN($A$3:$A$7002))*24*60</f>
        <v>7025.999999998603</v>
      </c>
      <c r="I3" s="29">
        <f>A3+1</f>
        <v>40311.615277777775</v>
      </c>
      <c r="J3" s="30">
        <f>IF(G3&lt;$H$10,$H$16,IF(G3&gt;$I$10,$H$16,$H$11))*E3/600</f>
        <v>5.6282379999999993E-2</v>
      </c>
      <c r="K3" s="31"/>
      <c r="L3" s="32">
        <f>$J$3</f>
        <v>5.6282379999999993E-2</v>
      </c>
      <c r="O3" s="66"/>
    </row>
    <row r="4" spans="1:15">
      <c r="A4" s="22">
        <v>40310.615972222222</v>
      </c>
      <c r="E4" s="26">
        <v>153.32043999999999</v>
      </c>
      <c r="G4" s="27">
        <v>0.61597222222222225</v>
      </c>
      <c r="I4" s="17">
        <f>MATCH($I$3,$A$3:$A$7002,1)</f>
        <v>1441</v>
      </c>
      <c r="J4" s="30">
        <f>IF(G4&lt;$H$10,$H$16,IF(G4&gt;$I$10,$H$16,$H$11))*E4/600</f>
        <v>5.6217494666666659E-2</v>
      </c>
      <c r="L4" s="32">
        <f>$J4*($G4-$G3)*60*24</f>
        <v>5.6217494666666458E-2</v>
      </c>
      <c r="M4" s="32"/>
      <c r="N4" s="34"/>
      <c r="O4" s="33"/>
    </row>
    <row r="5" spans="1:15">
      <c r="A5" s="22">
        <v>40310.616666666669</v>
      </c>
      <c r="E5" s="26">
        <v>154.967928</v>
      </c>
      <c r="G5" s="27">
        <v>0.6166666666666667</v>
      </c>
      <c r="H5" s="35" t="s">
        <v>3</v>
      </c>
      <c r="I5" s="35" t="s">
        <v>21</v>
      </c>
      <c r="J5" s="30">
        <f>IF(G5&lt;$H$10,$H$16,IF(G5&gt;$I$10,$H$16,$H$11))*E5/600</f>
        <v>5.6821573600000001E-2</v>
      </c>
      <c r="L5" s="32">
        <f>$J5*($G5-$G4)*60*24</f>
        <v>5.68215735999998E-2</v>
      </c>
    </row>
    <row r="6" spans="1:15">
      <c r="A6" s="22">
        <v>40310.617361111108</v>
      </c>
      <c r="E6" s="26">
        <v>155.28486799999999</v>
      </c>
      <c r="G6" s="27">
        <v>0.61736111111111114</v>
      </c>
      <c r="H6" s="36" t="s">
        <v>7</v>
      </c>
      <c r="I6" s="36" t="s">
        <v>22</v>
      </c>
      <c r="J6" s="30">
        <f>IF(G6&lt;$H$10,$H$16,IF(G6&gt;$I$10,$H$16,$H$11))*E6/600</f>
        <v>5.6937784933333332E-2</v>
      </c>
      <c r="L6" s="32">
        <f>$J6*($G6-$G5)*60*24</f>
        <v>5.6937784933333131E-2</v>
      </c>
      <c r="O6" s="37"/>
    </row>
    <row r="7" spans="1:15">
      <c r="A7" s="22">
        <v>40310.618055555555</v>
      </c>
      <c r="E7" s="26">
        <v>154.77417600000001</v>
      </c>
      <c r="G7" s="27">
        <v>0.61805555555555558</v>
      </c>
      <c r="H7" s="1">
        <v>0</v>
      </c>
      <c r="I7" s="2">
        <v>0</v>
      </c>
      <c r="J7" s="30">
        <f>IF(G7&lt;$H$10,$H$16,IF(G7&gt;$I$10,$H$16,$H$11))*E7/600</f>
        <v>5.6750531200000003E-2</v>
      </c>
      <c r="L7" s="32">
        <f>$J7*($G7-$G6)*60*24</f>
        <v>5.6750531199999801E-2</v>
      </c>
      <c r="N7" s="38"/>
    </row>
    <row r="8" spans="1:15">
      <c r="A8" s="22">
        <v>40310.618750000001</v>
      </c>
      <c r="E8" s="26">
        <v>154.06504000000001</v>
      </c>
      <c r="G8" s="27">
        <v>0.61875000000000002</v>
      </c>
      <c r="J8" s="30">
        <f>IF(G8&lt;$H$10,$H$16,IF(G8&gt;$I$10,$H$16,$H$11))*E8/600</f>
        <v>5.6490514666666672E-2</v>
      </c>
      <c r="L8" s="32">
        <f>$J8*($G8-$G7)*60*24</f>
        <v>5.6490514666666471E-2</v>
      </c>
      <c r="O8" s="39"/>
    </row>
    <row r="9" spans="1:15">
      <c r="A9" s="22">
        <v>40310.619444444441</v>
      </c>
      <c r="E9" s="26">
        <v>154.06872000000001</v>
      </c>
      <c r="G9" s="27">
        <v>0.61944444444444446</v>
      </c>
      <c r="H9" s="40" t="s">
        <v>8</v>
      </c>
      <c r="I9" s="41"/>
      <c r="J9" s="30">
        <f>IF(G9&lt;$H$10,$H$16,IF(G9&gt;$I$10,$H$16,$H$11))*E9/600</f>
        <v>5.6491864000000003E-2</v>
      </c>
      <c r="L9" s="32">
        <f>$J9*($G9-$G8)*60*24</f>
        <v>5.6491863999999795E-2</v>
      </c>
      <c r="N9" s="42"/>
    </row>
    <row r="10" spans="1:15">
      <c r="A10" s="22">
        <v>40310.620138888888</v>
      </c>
      <c r="E10" s="26">
        <v>154.829376</v>
      </c>
      <c r="G10" s="27">
        <v>0.62013888888888891</v>
      </c>
      <c r="H10" s="3">
        <v>0.35416666666666669</v>
      </c>
      <c r="I10" s="4">
        <v>0.75</v>
      </c>
      <c r="J10" s="30">
        <f>IF(G10&lt;$H$10,$H$16,IF(G10&gt;$I$10,$H$16,$H$11))*E10/600</f>
        <v>5.67707712E-2</v>
      </c>
      <c r="L10" s="32">
        <f>$J10*($G10-$G9)*60*24</f>
        <v>5.6770771199999799E-2</v>
      </c>
      <c r="M10" s="42"/>
    </row>
    <row r="11" spans="1:15">
      <c r="A11" s="22">
        <v>40310.620833333334</v>
      </c>
      <c r="E11" s="26">
        <v>154.26928000000001</v>
      </c>
      <c r="G11" s="27">
        <v>0.62083333333333335</v>
      </c>
      <c r="H11" s="5">
        <v>0.22</v>
      </c>
      <c r="I11" s="6" t="s">
        <v>9</v>
      </c>
      <c r="J11" s="30">
        <f>IF(G11&lt;$H$10,$H$16,IF(G11&gt;$I$10,$H$16,$H$11))*E11/600</f>
        <v>5.6565402666666674E-2</v>
      </c>
      <c r="L11" s="32">
        <f>$J11*($G11-$G10)*60*24</f>
        <v>5.6565402666666473E-2</v>
      </c>
    </row>
    <row r="12" spans="1:15">
      <c r="A12" s="22">
        <v>40310.621527777781</v>
      </c>
      <c r="E12" s="26">
        <v>155.22239999999999</v>
      </c>
      <c r="G12" s="27">
        <v>0.62152777777777779</v>
      </c>
      <c r="J12" s="30">
        <f>IF(G12&lt;$H$10,$H$16,IF(G12&gt;$I$10,$H$16,$H$11))*E12/600</f>
        <v>5.6914879999999994E-2</v>
      </c>
      <c r="L12" s="32">
        <f>$J12*($G12-$G11)*60*24</f>
        <v>5.6914879999999793E-2</v>
      </c>
    </row>
    <row r="13" spans="1:15">
      <c r="A13" s="22">
        <v>40310.62222222222</v>
      </c>
      <c r="E13" s="26">
        <v>154.349559</v>
      </c>
      <c r="G13" s="27">
        <v>0.62222222222222223</v>
      </c>
      <c r="J13" s="30">
        <f>IF(G13&lt;$H$10,$H$16,IF(G13&gt;$I$10,$H$16,$H$11))*E13/600</f>
        <v>5.6594838300000005E-2</v>
      </c>
      <c r="L13" s="32">
        <f>$J13*($G13-$G12)*60*24</f>
        <v>5.6594838299999811E-2</v>
      </c>
    </row>
    <row r="14" spans="1:15">
      <c r="A14" s="22">
        <v>40310.622916666667</v>
      </c>
      <c r="E14" s="26">
        <v>154.079835</v>
      </c>
      <c r="G14" s="27">
        <v>0.62291666666666667</v>
      </c>
      <c r="H14" s="44" t="s">
        <v>10</v>
      </c>
      <c r="I14" s="45"/>
      <c r="J14" s="30">
        <f>IF(G14&lt;$H$10,$H$16,IF(G14&gt;$I$10,$H$16,$H$11))*E14/600</f>
        <v>5.6495939500000002E-2</v>
      </c>
      <c r="L14" s="32">
        <f>$J14*($G14-$G13)*60*24</f>
        <v>5.64959394999998E-2</v>
      </c>
    </row>
    <row r="15" spans="1:15">
      <c r="A15" s="22">
        <v>40310.623611111114</v>
      </c>
      <c r="E15" s="26">
        <v>153.96926999999999</v>
      </c>
      <c r="G15" s="27">
        <v>0.62361111111111112</v>
      </c>
      <c r="H15" s="46">
        <f>I10</f>
        <v>0.75</v>
      </c>
      <c r="I15" s="47">
        <f>H10</f>
        <v>0.35416666666666669</v>
      </c>
      <c r="J15" s="30">
        <f>IF(G15&lt;$H$10,$H$16,IF(G15&gt;$I$10,$H$16,$H$11))*E15/600</f>
        <v>5.6455398999999989E-2</v>
      </c>
      <c r="L15" s="32">
        <f>$J15*($G15-$G14)*60*24</f>
        <v>5.6455398999999788E-2</v>
      </c>
    </row>
    <row r="16" spans="1:15">
      <c r="A16" s="22">
        <v>40310.624305555553</v>
      </c>
      <c r="E16" s="26">
        <v>153.89337599999999</v>
      </c>
      <c r="G16" s="27">
        <v>0.62430555555555556</v>
      </c>
      <c r="H16" s="5">
        <v>0.2</v>
      </c>
      <c r="I16" s="43" t="s">
        <v>9</v>
      </c>
      <c r="J16" s="30">
        <f>IF(G16&lt;$H$10,$H$16,IF(G16&gt;$I$10,$H$16,$H$11))*E16/600</f>
        <v>5.6427571199999998E-2</v>
      </c>
      <c r="L16" s="32">
        <f>$J16*($G16-$G15)*60*24</f>
        <v>5.6427571199999797E-2</v>
      </c>
    </row>
    <row r="17" spans="1:15">
      <c r="A17" s="22">
        <v>40310.625</v>
      </c>
      <c r="E17" s="26">
        <v>153.67388399999999</v>
      </c>
      <c r="G17" s="27">
        <v>0.625</v>
      </c>
      <c r="J17" s="30">
        <f>IF(G17&lt;$H$10,$H$16,IF(G17&gt;$I$10,$H$16,$H$11))*E17/600</f>
        <v>5.6347090799999992E-2</v>
      </c>
      <c r="L17" s="32">
        <f>$J17*($G17-$G16)*60*24</f>
        <v>5.6347090799999791E-2</v>
      </c>
      <c r="O17" s="34"/>
    </row>
    <row r="18" spans="1:15">
      <c r="A18" s="22">
        <v>40310.625694444447</v>
      </c>
      <c r="E18" s="26">
        <v>153.642944</v>
      </c>
      <c r="G18" s="27">
        <v>0.62569444444444444</v>
      </c>
      <c r="J18" s="30">
        <f>IF(G18&lt;$H$10,$H$16,IF(G18&gt;$I$10,$H$16,$H$11))*E18/600</f>
        <v>5.6335746133333336E-2</v>
      </c>
      <c r="L18" s="32">
        <f>$J18*($G18-$G17)*60*24</f>
        <v>5.6335746133333142E-2</v>
      </c>
    </row>
    <row r="19" spans="1:15">
      <c r="A19" s="22">
        <v>40310.626388888886</v>
      </c>
      <c r="E19" s="26">
        <v>153.34956</v>
      </c>
      <c r="G19" s="27">
        <v>0.62638888888888888</v>
      </c>
      <c r="J19" s="30">
        <f>IF(G19&lt;$H$10,$H$16,IF(G19&gt;$I$10,$H$16,$H$11))*E19/600</f>
        <v>5.6228172E-2</v>
      </c>
      <c r="L19" s="32">
        <f>$J19*($G19-$G18)*60*24</f>
        <v>5.6228171999999813E-2</v>
      </c>
    </row>
    <row r="20" spans="1:15">
      <c r="A20" s="22">
        <v>40310.627083333333</v>
      </c>
      <c r="E20" s="26">
        <v>154.282128</v>
      </c>
      <c r="G20" s="27">
        <v>0.62708333333333333</v>
      </c>
      <c r="H20" s="48" t="s">
        <v>25</v>
      </c>
      <c r="I20" s="49"/>
      <c r="J20" s="30">
        <f>IF(G20&lt;$H$10,$H$16,IF(G20&gt;$I$10,$H$16,$H$11))*E20/600</f>
        <v>5.6570113599999999E-2</v>
      </c>
      <c r="L20" s="32">
        <f>$J20*($G20-$G19)*60*24</f>
        <v>5.6570113599999805E-2</v>
      </c>
    </row>
    <row r="21" spans="1:15">
      <c r="A21" s="22">
        <v>40310.62777777778</v>
      </c>
      <c r="E21" s="26">
        <v>155.295816</v>
      </c>
      <c r="G21" s="27">
        <v>0.62777777777777777</v>
      </c>
      <c r="H21" s="50">
        <f>J2/H3*60</f>
        <v>1.638890338183922E-2</v>
      </c>
      <c r="I21" s="51" t="s">
        <v>16</v>
      </c>
      <c r="J21" s="30">
        <f>IF(G21&lt;$H$10,$H$16,IF(G21&gt;$I$10,$H$16,$H$11))*E21/600</f>
        <v>5.6941799199999997E-2</v>
      </c>
      <c r="L21" s="32">
        <f>$J21*($G21-$G20)*60*24</f>
        <v>5.6941799199999796E-2</v>
      </c>
    </row>
    <row r="22" spans="1:15">
      <c r="A22" s="22">
        <v>40310.628472222219</v>
      </c>
      <c r="E22" s="26">
        <v>155.02312800000001</v>
      </c>
      <c r="G22" s="27">
        <v>0.62847222222222221</v>
      </c>
      <c r="H22" s="48" t="s">
        <v>13</v>
      </c>
      <c r="I22" s="49"/>
      <c r="J22" s="30">
        <f>IF(G22&lt;$H$10,$H$16,IF(G22&gt;$I$10,$H$16,$H$11))*E22/600</f>
        <v>5.6841813599999999E-2</v>
      </c>
      <c r="L22" s="32">
        <f>$J22*($G22-$G21)*60*24</f>
        <v>5.6841813599999791E-2</v>
      </c>
    </row>
    <row r="23" spans="1:15">
      <c r="A23" s="22">
        <v>40310.629166666666</v>
      </c>
      <c r="E23" s="26">
        <v>154.55558400000001</v>
      </c>
      <c r="G23" s="27">
        <v>0.62916666666666665</v>
      </c>
      <c r="H23" s="50">
        <f>H21*24</f>
        <v>0.39333368116414125</v>
      </c>
      <c r="I23" s="51" t="s">
        <v>16</v>
      </c>
      <c r="J23" s="30">
        <f>IF(G23&lt;$H$10,$H$16,IF(G23&gt;$I$10,$H$16,$H$11))*E23/600</f>
        <v>5.6670380799999996E-2</v>
      </c>
      <c r="L23" s="32">
        <f>$J23*($G23-$G22)*60*24</f>
        <v>5.6670380799999795E-2</v>
      </c>
    </row>
    <row r="24" spans="1:15">
      <c r="A24" s="22">
        <v>40310.629861111112</v>
      </c>
      <c r="E24" s="26">
        <v>154.61796000000001</v>
      </c>
      <c r="G24" s="27">
        <v>0.62986111111111109</v>
      </c>
      <c r="H24" s="48" t="s">
        <v>14</v>
      </c>
      <c r="I24" s="49"/>
      <c r="J24" s="30">
        <f>IF(G24&lt;$H$10,$H$16,IF(G24&gt;$I$10,$H$16,$H$11))*E24/600</f>
        <v>5.6693252000000006E-2</v>
      </c>
      <c r="L24" s="32">
        <f>$J24*($G24-$G23)*60*24</f>
        <v>5.6693251999999805E-2</v>
      </c>
    </row>
    <row r="25" spans="1:15">
      <c r="A25" s="22">
        <v>40310.630555555559</v>
      </c>
      <c r="E25" s="26">
        <v>154.69846000000001</v>
      </c>
      <c r="G25" s="27">
        <v>0.63055555555555554</v>
      </c>
      <c r="H25" s="50">
        <f>H23*30.41</f>
        <v>11.961277244201534</v>
      </c>
      <c r="I25" s="51" t="s">
        <v>16</v>
      </c>
      <c r="J25" s="30">
        <f>IF(G25&lt;$H$10,$H$16,IF(G25&gt;$I$10,$H$16,$H$11))*E25/600</f>
        <v>5.6722768666666673E-2</v>
      </c>
      <c r="L25" s="32">
        <f>$J25*($G25-$G24)*60*24</f>
        <v>5.6722768666666465E-2</v>
      </c>
    </row>
    <row r="26" spans="1:15">
      <c r="A26" s="22">
        <v>40310.631249999999</v>
      </c>
      <c r="E26" s="26">
        <v>154.48548</v>
      </c>
      <c r="G26" s="27">
        <v>0.63124999999999998</v>
      </c>
      <c r="H26" s="48" t="s">
        <v>15</v>
      </c>
      <c r="I26" s="49"/>
      <c r="J26" s="30">
        <f>IF(G26&lt;$H$10,$H$16,IF(G26&gt;$I$10,$H$16,$H$11))*E26/600</f>
        <v>5.6644675999999998E-2</v>
      </c>
      <c r="L26" s="32">
        <f>$J26*($G26-$G25)*60*24</f>
        <v>5.6644675999999797E-2</v>
      </c>
    </row>
    <row r="27" spans="1:15">
      <c r="A27" s="22">
        <v>40310.631944444445</v>
      </c>
      <c r="E27" s="26">
        <v>153.71948800000001</v>
      </c>
      <c r="G27" s="27">
        <v>0.63194444444444442</v>
      </c>
      <c r="H27" s="52">
        <f>H25*12</f>
        <v>143.53532693041842</v>
      </c>
      <c r="I27" s="51" t="s">
        <v>16</v>
      </c>
      <c r="J27" s="30">
        <f>IF(G27&lt;$H$10,$H$16,IF(G27&gt;$I$10,$H$16,$H$11))*E27/600</f>
        <v>5.6363812266666674E-2</v>
      </c>
      <c r="L27" s="32">
        <f>$J27*($G27-$G26)*60*24</f>
        <v>5.6363812266666473E-2</v>
      </c>
    </row>
    <row r="28" spans="1:15">
      <c r="A28" s="22">
        <v>40310.632638888892</v>
      </c>
      <c r="E28" s="26">
        <v>154.12217200000001</v>
      </c>
      <c r="G28" s="27">
        <v>0.63263888888888886</v>
      </c>
      <c r="J28" s="30">
        <f>IF(G28&lt;$H$10,$H$16,IF(G28&gt;$I$10,$H$16,$H$11))*E28/600</f>
        <v>5.6511463066666663E-2</v>
      </c>
      <c r="L28" s="32">
        <f>$J28*($G28-$G27)*60*24</f>
        <v>5.6511463066666462E-2</v>
      </c>
    </row>
    <row r="29" spans="1:15">
      <c r="A29" s="22">
        <v>40310.633333333331</v>
      </c>
      <c r="E29" s="26">
        <v>154.34012000000001</v>
      </c>
      <c r="G29" s="27">
        <v>0.6333333333333333</v>
      </c>
      <c r="H29" s="53" t="s">
        <v>18</v>
      </c>
      <c r="I29" s="53"/>
      <c r="J29" s="30">
        <f>IF(G29&lt;$H$10,$H$16,IF(G29&gt;$I$10,$H$16,$H$11))*E29/600</f>
        <v>5.6591377333333338E-2</v>
      </c>
      <c r="L29" s="32">
        <f>$J29*($G29-$G28)*60*24</f>
        <v>5.6591377333333144E-2</v>
      </c>
    </row>
    <row r="30" spans="1:15">
      <c r="A30" s="22">
        <v>40310.634027777778</v>
      </c>
      <c r="E30" s="26">
        <v>154.61796000000001</v>
      </c>
      <c r="G30" s="27">
        <v>0.63402777777777775</v>
      </c>
      <c r="H30" s="54">
        <f>L2/60/1000*MAX(H11,H16)*100</f>
        <v>8.0002278400000001E-2</v>
      </c>
      <c r="I30" s="53" t="s">
        <v>19</v>
      </c>
      <c r="J30" s="30">
        <f>IF(G30&lt;$H$10,$H$16,IF(G30&gt;$I$10,$H$16,$H$11))*E30/600</f>
        <v>5.6693252000000006E-2</v>
      </c>
      <c r="L30" s="32">
        <f>$J30*($G30-$G29)*60*24</f>
        <v>5.6693251999999805E-2</v>
      </c>
    </row>
    <row r="31" spans="1:15">
      <c r="A31" s="22">
        <v>40310.634722222225</v>
      </c>
      <c r="E31" s="26">
        <v>153.84359599999999</v>
      </c>
      <c r="G31" s="27">
        <v>0.63472222222222219</v>
      </c>
      <c r="J31" s="30">
        <f>IF(G31&lt;$H$10,$H$16,IF(G31&gt;$I$10,$H$16,$H$11))*E31/600</f>
        <v>5.6409318533333336E-2</v>
      </c>
      <c r="L31" s="32">
        <f>$J31*($G31-$G30)*60*24</f>
        <v>5.6409318533333128E-2</v>
      </c>
    </row>
    <row r="32" spans="1:15">
      <c r="A32" s="22">
        <v>40310.635416666664</v>
      </c>
      <c r="E32" s="26">
        <v>153.691428</v>
      </c>
      <c r="G32" s="27">
        <v>0.63541666666666663</v>
      </c>
      <c r="H32" s="55">
        <f>I2/1440*60</f>
        <v>1.2151880696749967E-2</v>
      </c>
      <c r="J32" s="30">
        <f>IF(G32&lt;$H$10,$H$16,IF(G32&gt;$I$10,$H$16,$H$11))*E32/600</f>
        <v>5.6353523600000004E-2</v>
      </c>
      <c r="L32" s="32">
        <f>$J32*($G32-$G31)*60*24</f>
        <v>5.6353523599999802E-2</v>
      </c>
    </row>
    <row r="33" spans="1:12">
      <c r="A33" s="22">
        <v>40310.636111111111</v>
      </c>
      <c r="E33" s="26">
        <v>153.39629199999999</v>
      </c>
      <c r="G33" s="27">
        <v>0.63611111111111118</v>
      </c>
      <c r="H33" s="53" t="s">
        <v>23</v>
      </c>
      <c r="I33" s="53"/>
      <c r="J33" s="30">
        <f>IF(G33&lt;$H$10,$H$16,IF(G33&gt;$I$10,$H$16,$H$11))*E33/600</f>
        <v>5.624530706666666E-2</v>
      </c>
      <c r="L33" s="32">
        <f>$J33*($G33-$G32)*60*24</f>
        <v>5.6245307066675451E-2</v>
      </c>
    </row>
    <row r="34" spans="1:12">
      <c r="A34" s="22">
        <v>40310.636805555558</v>
      </c>
      <c r="E34" s="26">
        <v>153.78885600000001</v>
      </c>
      <c r="G34" s="27">
        <v>0.63680555555555551</v>
      </c>
      <c r="H34" s="56">
        <f>H32*24</f>
        <v>0.29164513672199921</v>
      </c>
      <c r="I34" s="53" t="s">
        <v>16</v>
      </c>
      <c r="J34" s="30">
        <f>IF(G34&lt;$H$10,$H$16,IF(G34&gt;$I$10,$H$16,$H$11))*E34/600</f>
        <v>5.6389247200000006E-2</v>
      </c>
      <c r="L34" s="32">
        <f>$J34*($G34-$G33)*60*24</f>
        <v>5.6389247199990791E-2</v>
      </c>
    </row>
    <row r="35" spans="1:12">
      <c r="A35" s="22">
        <v>40310.637499999997</v>
      </c>
      <c r="E35" s="26">
        <v>153.93697599999999</v>
      </c>
      <c r="G35" s="27">
        <v>0.63750000000000007</v>
      </c>
      <c r="J35" s="30">
        <f>IF(G35&lt;$H$10,$H$16,IF(G35&gt;$I$10,$H$16,$H$11))*E35/600</f>
        <v>5.644355786666666E-2</v>
      </c>
      <c r="L35" s="32">
        <f>$J35*($G35-$G34)*60*24</f>
        <v>5.6443557866675487E-2</v>
      </c>
    </row>
    <row r="36" spans="1:12">
      <c r="A36" s="22">
        <v>40310.638194444444</v>
      </c>
      <c r="E36" s="26">
        <v>153.94139200000001</v>
      </c>
      <c r="G36" s="27">
        <v>0.6381944444444444</v>
      </c>
      <c r="J36" s="30">
        <f>IF(G36&lt;$H$10,$H$16,IF(G36&gt;$I$10,$H$16,$H$11))*E36/600</f>
        <v>5.6445177066666678E-2</v>
      </c>
      <c r="L36" s="32">
        <f>$J36*($G36-$G35)*60*24</f>
        <v>5.6445177066657456E-2</v>
      </c>
    </row>
    <row r="37" spans="1:12">
      <c r="A37" s="22">
        <v>40310.638888888891</v>
      </c>
      <c r="E37" s="26">
        <v>154.28353999999999</v>
      </c>
      <c r="G37" s="27">
        <v>0.63888888888888895</v>
      </c>
      <c r="J37" s="30">
        <f>IF(G37&lt;$H$10,$H$16,IF(G37&gt;$I$10,$H$16,$H$11))*E37/600</f>
        <v>5.6570631333333336E-2</v>
      </c>
      <c r="L37" s="32">
        <f>$J37*($G37-$G36)*60*24</f>
        <v>5.6570631333342183E-2</v>
      </c>
    </row>
    <row r="38" spans="1:12">
      <c r="A38" s="22">
        <v>40310.63958333333</v>
      </c>
      <c r="E38" s="26">
        <v>155.12028000000001</v>
      </c>
      <c r="G38" s="27">
        <v>0.63958333333333328</v>
      </c>
      <c r="J38" s="30">
        <f>IF(G38&lt;$H$10,$H$16,IF(G38&gt;$I$10,$H$16,$H$11))*E38/600</f>
        <v>5.6877435999999996E-2</v>
      </c>
      <c r="L38" s="32">
        <f>$J38*($G38-$G37)*60*24</f>
        <v>5.6877435999990705E-2</v>
      </c>
    </row>
    <row r="39" spans="1:12">
      <c r="A39" s="22">
        <v>40310.640277777777</v>
      </c>
      <c r="E39" s="26">
        <v>156.39624000000001</v>
      </c>
      <c r="G39" s="27">
        <v>0.64027777777777783</v>
      </c>
      <c r="J39" s="30">
        <f>IF(G39&lt;$H$10,$H$16,IF(G39&gt;$I$10,$H$16,$H$11))*E39/600</f>
        <v>5.7345288000000008E-2</v>
      </c>
      <c r="L39" s="32">
        <f>$J39*($G39-$G38)*60*24</f>
        <v>5.7345288000008973E-2</v>
      </c>
    </row>
    <row r="40" spans="1:12">
      <c r="A40" s="22">
        <v>40310.640972222223</v>
      </c>
      <c r="E40" s="26">
        <v>155.35257999999999</v>
      </c>
      <c r="G40" s="27">
        <v>0.64097222222222217</v>
      </c>
      <c r="J40" s="30">
        <f>IF(G40&lt;$H$10,$H$16,IF(G40&gt;$I$10,$H$16,$H$11))*E40/600</f>
        <v>5.6962612666666662E-2</v>
      </c>
      <c r="L40" s="32">
        <f>$J40*($G40-$G39)*60*24</f>
        <v>5.6962612666657364E-2</v>
      </c>
    </row>
    <row r="41" spans="1:12">
      <c r="A41" s="22">
        <v>40310.64166666667</v>
      </c>
      <c r="E41" s="26">
        <v>155.93475599999999</v>
      </c>
      <c r="G41" s="27">
        <v>0.64166666666666672</v>
      </c>
      <c r="J41" s="30">
        <f>IF(G41&lt;$H$10,$H$16,IF(G41&gt;$I$10,$H$16,$H$11))*E41/600</f>
        <v>5.7176077200000001E-2</v>
      </c>
      <c r="L41" s="32">
        <f>$J41*($G41-$G40)*60*24</f>
        <v>5.7176077200008946E-2</v>
      </c>
    </row>
    <row r="42" spans="1:12">
      <c r="A42" s="22">
        <v>40310.642361111109</v>
      </c>
      <c r="E42" s="26">
        <v>157.322484</v>
      </c>
      <c r="G42" s="27">
        <v>0.64236111111111105</v>
      </c>
      <c r="J42" s="30">
        <f>IF(G42&lt;$H$10,$H$16,IF(G42&gt;$I$10,$H$16,$H$11))*E42/600</f>
        <v>5.7684910800000003E-2</v>
      </c>
      <c r="L42" s="32">
        <f>$J42*($G42-$G41)*60*24</f>
        <v>5.768491079999058E-2</v>
      </c>
    </row>
    <row r="43" spans="1:12">
      <c r="A43" s="22">
        <v>40310.643055555556</v>
      </c>
      <c r="E43" s="26">
        <v>153.016682</v>
      </c>
      <c r="G43" s="27">
        <v>0.6430555555555556</v>
      </c>
      <c r="J43" s="30">
        <f>IF(G43&lt;$H$10,$H$16,IF(G43&gt;$I$10,$H$16,$H$11))*E43/600</f>
        <v>5.6106116733333329E-2</v>
      </c>
      <c r="L43" s="32">
        <f>$J43*($G43-$G42)*60*24</f>
        <v>5.6106116733342107E-2</v>
      </c>
    </row>
    <row r="44" spans="1:12">
      <c r="A44" s="22">
        <v>40310.643750000003</v>
      </c>
      <c r="E44" s="26">
        <v>153.28349399999999</v>
      </c>
      <c r="G44" s="27">
        <v>0.64374999999999993</v>
      </c>
      <c r="J44" s="30">
        <f>IF(G44&lt;$H$10,$H$16,IF(G44&gt;$I$10,$H$16,$H$11))*E44/600</f>
        <v>5.6203947799999994E-2</v>
      </c>
      <c r="L44" s="32">
        <f>$J44*($G44-$G43)*60*24</f>
        <v>5.6203947799990814E-2</v>
      </c>
    </row>
    <row r="45" spans="1:12">
      <c r="A45" s="22">
        <v>40310.644444444442</v>
      </c>
      <c r="E45" s="26">
        <v>153.55030600000001</v>
      </c>
      <c r="G45" s="27">
        <v>0.64444444444444449</v>
      </c>
      <c r="J45" s="30">
        <f>IF(G45&lt;$H$10,$H$16,IF(G45&gt;$I$10,$H$16,$H$11))*E45/600</f>
        <v>5.6301778866666666E-2</v>
      </c>
      <c r="L45" s="32">
        <f>$J45*($G45-$G44)*60*24</f>
        <v>5.6301778866675464E-2</v>
      </c>
    </row>
    <row r="46" spans="1:12">
      <c r="A46" s="22">
        <v>40310.645138888889</v>
      </c>
      <c r="E46" s="26">
        <v>153.827856</v>
      </c>
      <c r="G46" s="27">
        <v>0.64513888888888882</v>
      </c>
      <c r="J46" s="30">
        <f>IF(G46&lt;$H$10,$H$16,IF(G46&gt;$I$10,$H$16,$H$11))*E46/600</f>
        <v>5.6403547200000001E-2</v>
      </c>
      <c r="L46" s="32">
        <f>$J46*($G46-$G45)*60*24</f>
        <v>5.6403547199990793E-2</v>
      </c>
    </row>
    <row r="47" spans="1:12">
      <c r="A47" s="22">
        <v>40310.645833333336</v>
      </c>
      <c r="E47" s="26">
        <v>153.48424</v>
      </c>
      <c r="G47" s="27">
        <v>0.64583333333333337</v>
      </c>
      <c r="J47" s="30">
        <f>IF(G47&lt;$H$10,$H$16,IF(G47&gt;$I$10,$H$16,$H$11))*E47/600</f>
        <v>5.6277554666666667E-2</v>
      </c>
      <c r="L47" s="32">
        <f>$J47*($G47-$G46)*60*24</f>
        <v>5.6277554666675472E-2</v>
      </c>
    </row>
    <row r="48" spans="1:12">
      <c r="A48" s="22">
        <v>40310.646527777775</v>
      </c>
      <c r="E48" s="26">
        <v>153.49261200000001</v>
      </c>
      <c r="G48" s="27">
        <v>0.64652777777777781</v>
      </c>
      <c r="J48" s="30">
        <f>IF(G48&lt;$H$10,$H$16,IF(G48&gt;$I$10,$H$16,$H$11))*E48/600</f>
        <v>5.6280624400000007E-2</v>
      </c>
      <c r="L48" s="32">
        <f>$J48*($G48-$G47)*60*24</f>
        <v>5.6280624399999805E-2</v>
      </c>
    </row>
    <row r="49" spans="1:12">
      <c r="A49" s="22">
        <v>40310.647222222222</v>
      </c>
      <c r="E49" s="26">
        <v>153.58616000000001</v>
      </c>
      <c r="G49" s="27">
        <v>0.64722222222222225</v>
      </c>
      <c r="J49" s="30">
        <f>IF(G49&lt;$H$10,$H$16,IF(G49&gt;$I$10,$H$16,$H$11))*E49/600</f>
        <v>5.6314925333333342E-2</v>
      </c>
      <c r="L49" s="32">
        <f>$J49*($G49-$G48)*60*24</f>
        <v>5.6314925333333148E-2</v>
      </c>
    </row>
    <row r="50" spans="1:12">
      <c r="A50" s="22">
        <v>40310.647916666669</v>
      </c>
      <c r="E50" s="26">
        <v>155.57485199999999</v>
      </c>
      <c r="G50" s="27">
        <v>0.6479166666666667</v>
      </c>
      <c r="J50" s="30">
        <f>IF(G50&lt;$H$10,$H$16,IF(G50&gt;$I$10,$H$16,$H$11))*E50/600</f>
        <v>5.7044112399999999E-2</v>
      </c>
      <c r="L50" s="32">
        <f>$J50*($G50-$G49)*60*24</f>
        <v>5.7044112399999791E-2</v>
      </c>
    </row>
    <row r="51" spans="1:12">
      <c r="A51" s="22">
        <v>40310.648611111108</v>
      </c>
      <c r="E51" s="26">
        <v>153.67388399999999</v>
      </c>
      <c r="G51" s="27">
        <v>0.64861111111111114</v>
      </c>
      <c r="J51" s="30">
        <f>IF(G51&lt;$H$10,$H$16,IF(G51&gt;$I$10,$H$16,$H$11))*E51/600</f>
        <v>5.6347090799999992E-2</v>
      </c>
      <c r="L51" s="32">
        <f>$J51*($G51-$G50)*60*24</f>
        <v>5.6347090799999791E-2</v>
      </c>
    </row>
    <row r="52" spans="1:12">
      <c r="A52" s="22">
        <v>40310.649305555555</v>
      </c>
      <c r="E52" s="26">
        <v>153.45330000000001</v>
      </c>
      <c r="G52" s="27">
        <v>0.64930555555555558</v>
      </c>
      <c r="J52" s="30">
        <f>IF(G52&lt;$H$10,$H$16,IF(G52&gt;$I$10,$H$16,$H$11))*E52/600</f>
        <v>5.6266210000000004E-2</v>
      </c>
      <c r="L52" s="32">
        <f>$J52*($G52-$G51)*60*24</f>
        <v>5.6266209999999803E-2</v>
      </c>
    </row>
    <row r="53" spans="1:12">
      <c r="A53" s="22">
        <v>40310.65</v>
      </c>
      <c r="E53" s="26">
        <v>153.730031</v>
      </c>
      <c r="G53" s="27">
        <v>0.65</v>
      </c>
      <c r="J53" s="30">
        <f>IF(G53&lt;$H$10,$H$16,IF(G53&gt;$I$10,$H$16,$H$11))*E53/600</f>
        <v>5.6367678033333334E-2</v>
      </c>
      <c r="L53" s="32">
        <f>$J53*($G53-$G52)*60*24</f>
        <v>5.6367678033333125E-2</v>
      </c>
    </row>
    <row r="54" spans="1:12">
      <c r="A54" s="22">
        <v>40310.650694444441</v>
      </c>
      <c r="E54" s="26">
        <v>153.78545</v>
      </c>
      <c r="G54" s="27">
        <v>0.65069444444444446</v>
      </c>
      <c r="J54" s="30">
        <f>IF(G54&lt;$H$10,$H$16,IF(G54&gt;$I$10,$H$16,$H$11))*E54/600</f>
        <v>5.6387998333333335E-2</v>
      </c>
      <c r="L54" s="32">
        <f>$J54*($G54-$G53)*60*24</f>
        <v>5.6387998333333134E-2</v>
      </c>
    </row>
    <row r="55" spans="1:12">
      <c r="A55" s="22">
        <v>40310.651388888888</v>
      </c>
      <c r="E55" s="26">
        <v>153.18758</v>
      </c>
      <c r="G55" s="27">
        <v>0.65138888888888891</v>
      </c>
      <c r="J55" s="30">
        <f>IF(G55&lt;$H$10,$H$16,IF(G55&gt;$I$10,$H$16,$H$11))*E55/600</f>
        <v>5.6168779333333335E-2</v>
      </c>
      <c r="L55" s="32">
        <f>$J55*($G55-$G54)*60*24</f>
        <v>5.6168779333333134E-2</v>
      </c>
    </row>
    <row r="56" spans="1:12">
      <c r="A56" s="22">
        <v>40310.652083333334</v>
      </c>
      <c r="E56" s="26">
        <v>155.46675200000001</v>
      </c>
      <c r="G56" s="27">
        <v>0.65208333333333335</v>
      </c>
      <c r="J56" s="30">
        <f>IF(G56&lt;$H$10,$H$16,IF(G56&gt;$I$10,$H$16,$H$11))*E56/600</f>
        <v>5.7004475733333337E-2</v>
      </c>
      <c r="L56" s="32">
        <f>$J56*($G56-$G55)*60*24</f>
        <v>5.7004475733333143E-2</v>
      </c>
    </row>
    <row r="57" spans="1:12">
      <c r="A57" s="22">
        <v>40310.652777777781</v>
      </c>
      <c r="E57" s="26">
        <v>154.90049200000001</v>
      </c>
      <c r="G57" s="27">
        <v>0.65277777777777779</v>
      </c>
      <c r="J57" s="30">
        <f>IF(G57&lt;$H$10,$H$16,IF(G57&gt;$I$10,$H$16,$H$11))*E57/600</f>
        <v>5.6796847066666677E-2</v>
      </c>
      <c r="L57" s="32">
        <f>$J57*($G57-$G56)*60*24</f>
        <v>5.6796847066666475E-2</v>
      </c>
    </row>
    <row r="58" spans="1:12">
      <c r="A58" s="22">
        <v>40310.65347222222</v>
      </c>
      <c r="E58" s="26">
        <v>154.28403900000001</v>
      </c>
      <c r="G58" s="27">
        <v>0.65347222222222223</v>
      </c>
      <c r="J58" s="30">
        <f>IF(G58&lt;$H$10,$H$16,IF(G58&gt;$I$10,$H$16,$H$11))*E58/600</f>
        <v>5.6570814300000001E-2</v>
      </c>
      <c r="L58" s="32">
        <f>$J58*($G58-$G57)*60*24</f>
        <v>5.65708142999998E-2</v>
      </c>
    </row>
    <row r="59" spans="1:12">
      <c r="A59" s="22">
        <v>40310.654166666667</v>
      </c>
      <c r="E59" s="26">
        <v>154.14016799999999</v>
      </c>
      <c r="G59" s="27">
        <v>0.65416666666666667</v>
      </c>
      <c r="J59" s="30">
        <f>IF(G59&lt;$H$10,$H$16,IF(G59&gt;$I$10,$H$16,$H$11))*E59/600</f>
        <v>5.6518061599999996E-2</v>
      </c>
      <c r="L59" s="32">
        <f>$J59*($G59-$G58)*60*24</f>
        <v>5.6518061599999794E-2</v>
      </c>
    </row>
    <row r="60" spans="1:12">
      <c r="A60" s="22">
        <v>40310.654861111114</v>
      </c>
      <c r="E60" s="26">
        <v>156.44784000000001</v>
      </c>
      <c r="G60" s="27">
        <v>0.65486111111111112</v>
      </c>
      <c r="J60" s="30">
        <f>IF(G60&lt;$H$10,$H$16,IF(G60&gt;$I$10,$H$16,$H$11))*E60/600</f>
        <v>5.7364208E-2</v>
      </c>
      <c r="L60" s="32">
        <f>$J60*($G60-$G59)*60*24</f>
        <v>5.7364207999999799E-2</v>
      </c>
    </row>
    <row r="61" spans="1:12">
      <c r="A61" s="22">
        <v>40310.655555555553</v>
      </c>
      <c r="E61" s="26">
        <v>153.89337599999999</v>
      </c>
      <c r="G61" s="27">
        <v>0.65555555555555556</v>
      </c>
      <c r="J61" s="30">
        <f>IF(G61&lt;$H$10,$H$16,IF(G61&gt;$I$10,$H$16,$H$11))*E61/600</f>
        <v>5.6427571199999998E-2</v>
      </c>
      <c r="L61" s="32">
        <f>$J61*($G61-$G60)*60*24</f>
        <v>5.6427571199999797E-2</v>
      </c>
    </row>
    <row r="62" spans="1:12">
      <c r="A62" s="22">
        <v>40310.65625</v>
      </c>
      <c r="E62" s="26">
        <v>153.442016</v>
      </c>
      <c r="G62" s="27">
        <v>0.65625</v>
      </c>
      <c r="J62" s="30">
        <f>IF(G62&lt;$H$10,$H$16,IF(G62&gt;$I$10,$H$16,$H$11))*E62/600</f>
        <v>5.6262072533333325E-2</v>
      </c>
      <c r="L62" s="32">
        <f>$J62*($G62-$G61)*60*24</f>
        <v>5.6262072533333131E-2</v>
      </c>
    </row>
    <row r="63" spans="1:12">
      <c r="A63" s="22">
        <v>40310.656944444447</v>
      </c>
      <c r="E63" s="26">
        <v>153.642944</v>
      </c>
      <c r="G63" s="27">
        <v>0.65694444444444444</v>
      </c>
      <c r="J63" s="30">
        <f>IF(G63&lt;$H$10,$H$16,IF(G63&gt;$I$10,$H$16,$H$11))*E63/600</f>
        <v>5.6335746133333336E-2</v>
      </c>
      <c r="L63" s="32">
        <f>$J63*($G63-$G62)*60*24</f>
        <v>5.6335746133333142E-2</v>
      </c>
    </row>
    <row r="64" spans="1:12">
      <c r="A64" s="22">
        <v>40310.657638888886</v>
      </c>
      <c r="E64" s="26">
        <v>155.15947199999999</v>
      </c>
      <c r="G64" s="27">
        <v>0.65763888888888888</v>
      </c>
      <c r="J64" s="30">
        <f>IF(G64&lt;$H$10,$H$16,IF(G64&gt;$I$10,$H$16,$H$11))*E64/600</f>
        <v>5.6891806400000001E-2</v>
      </c>
      <c r="L64" s="32">
        <f>$J64*($G64-$G63)*60*24</f>
        <v>5.6891806399999807E-2</v>
      </c>
    </row>
    <row r="65" spans="1:12">
      <c r="A65" s="22">
        <v>40310.658333333333</v>
      </c>
      <c r="E65" s="26">
        <v>155.73060799999999</v>
      </c>
      <c r="G65" s="27">
        <v>0.65833333333333333</v>
      </c>
      <c r="J65" s="30">
        <f>IF(G65&lt;$H$10,$H$16,IF(G65&gt;$I$10,$H$16,$H$11))*E65/600</f>
        <v>5.7101222933333334E-2</v>
      </c>
      <c r="L65" s="32">
        <f>$J65*($G65-$G64)*60*24</f>
        <v>5.7101222933333126E-2</v>
      </c>
    </row>
    <row r="66" spans="1:12">
      <c r="A66" s="22">
        <v>40310.65902777778</v>
      </c>
      <c r="E66" s="26">
        <v>155.45644799999999</v>
      </c>
      <c r="G66" s="27">
        <v>0.65902777777777777</v>
      </c>
      <c r="J66" s="30">
        <f>IF(G66&lt;$H$10,$H$16,IF(G66&gt;$I$10,$H$16,$H$11))*E66/600</f>
        <v>5.700069759999999E-2</v>
      </c>
      <c r="L66" s="32">
        <f>$J66*($G66-$G65)*60*24</f>
        <v>5.7000697599999789E-2</v>
      </c>
    </row>
    <row r="67" spans="1:12">
      <c r="A67" s="22">
        <v>40310.659722222219</v>
      </c>
      <c r="E67" s="26">
        <v>154.61796000000001</v>
      </c>
      <c r="G67" s="27">
        <v>0.65972222222222221</v>
      </c>
      <c r="J67" s="30">
        <f>IF(G67&lt;$H$10,$H$16,IF(G67&gt;$I$10,$H$16,$H$11))*E67/600</f>
        <v>5.6693252000000006E-2</v>
      </c>
      <c r="L67" s="32">
        <f>$J67*($G67-$G66)*60*24</f>
        <v>5.6693251999999805E-2</v>
      </c>
    </row>
    <row r="68" spans="1:12">
      <c r="A68" s="22">
        <v>40310.660416666666</v>
      </c>
      <c r="E68" s="26">
        <v>154.68622400000001</v>
      </c>
      <c r="G68" s="27">
        <v>0.66041666666666665</v>
      </c>
      <c r="J68" s="30">
        <f>IF(G68&lt;$H$10,$H$16,IF(G68&gt;$I$10,$H$16,$H$11))*E68/600</f>
        <v>5.6718282133333332E-2</v>
      </c>
      <c r="L68" s="32">
        <f>$J68*($G68-$G67)*60*24</f>
        <v>5.6718282133333131E-2</v>
      </c>
    </row>
    <row r="69" spans="1:12">
      <c r="A69" s="22">
        <v>40310.661111111112</v>
      </c>
      <c r="E69" s="26">
        <v>155.99704</v>
      </c>
      <c r="G69" s="27">
        <v>0.66111111111111109</v>
      </c>
      <c r="J69" s="30">
        <f>IF(G69&lt;$H$10,$H$16,IF(G69&gt;$I$10,$H$16,$H$11))*E69/600</f>
        <v>5.719891466666667E-2</v>
      </c>
      <c r="L69" s="32">
        <f>$J69*($G69-$G68)*60*24</f>
        <v>5.7198914666666469E-2</v>
      </c>
    </row>
    <row r="70" spans="1:12">
      <c r="A70" s="22">
        <v>40310.661805555559</v>
      </c>
      <c r="E70" s="26">
        <v>154.03615500000001</v>
      </c>
      <c r="G70" s="27">
        <v>0.66180555555555554</v>
      </c>
      <c r="J70" s="30">
        <f>IF(G70&lt;$H$10,$H$16,IF(G70&gt;$I$10,$H$16,$H$11))*E70/600</f>
        <v>5.6479923500000001E-2</v>
      </c>
      <c r="L70" s="32">
        <f>$J70*($G70-$G69)*60*24</f>
        <v>5.6479923499999793E-2</v>
      </c>
    </row>
    <row r="71" spans="1:12">
      <c r="A71" s="22">
        <v>40310.662499999999</v>
      </c>
      <c r="E71" s="26">
        <v>153.28576899999999</v>
      </c>
      <c r="G71" s="27">
        <v>0.66249999999999998</v>
      </c>
      <c r="J71" s="30">
        <f>IF(G71&lt;$H$10,$H$16,IF(G71&gt;$I$10,$H$16,$H$11))*E71/600</f>
        <v>5.6204781966666659E-2</v>
      </c>
      <c r="L71" s="32">
        <f>$J71*($G71-$G70)*60*24</f>
        <v>5.6204781966666464E-2</v>
      </c>
    </row>
    <row r="72" spans="1:12">
      <c r="A72" s="22">
        <v>40310.663194444445</v>
      </c>
      <c r="E72" s="26">
        <v>153.90647999999999</v>
      </c>
      <c r="G72" s="27">
        <v>0.66319444444444442</v>
      </c>
      <c r="J72" s="30">
        <f>IF(G72&lt;$H$10,$H$16,IF(G72&gt;$I$10,$H$16,$H$11))*E72/600</f>
        <v>5.6432375999999992E-2</v>
      </c>
      <c r="L72" s="32">
        <f>$J72*($G72-$G71)*60*24</f>
        <v>5.6432375999999791E-2</v>
      </c>
    </row>
    <row r="73" spans="1:12">
      <c r="A73" s="22">
        <v>40310.663888888892</v>
      </c>
      <c r="E73" s="26">
        <v>153.70746299999999</v>
      </c>
      <c r="G73" s="27">
        <v>0.66388888888888886</v>
      </c>
      <c r="J73" s="30">
        <f>IF(G73&lt;$H$10,$H$16,IF(G73&gt;$I$10,$H$16,$H$11))*E73/600</f>
        <v>5.6359403099999997E-2</v>
      </c>
      <c r="L73" s="32">
        <f>$J73*($G73-$G72)*60*24</f>
        <v>5.6359403099999789E-2</v>
      </c>
    </row>
    <row r="74" spans="1:12">
      <c r="A74" s="22">
        <v>40310.664583333331</v>
      </c>
      <c r="E74" s="26">
        <v>153.45330000000001</v>
      </c>
      <c r="G74" s="27">
        <v>0.6645833333333333</v>
      </c>
      <c r="J74" s="30">
        <f>IF(G74&lt;$H$10,$H$16,IF(G74&gt;$I$10,$H$16,$H$11))*E74/600</f>
        <v>5.6266210000000004E-2</v>
      </c>
      <c r="L74" s="32">
        <f>$J74*($G74-$G73)*60*24</f>
        <v>5.6266209999999803E-2</v>
      </c>
    </row>
    <row r="75" spans="1:12">
      <c r="A75" s="22">
        <v>40310.665277777778</v>
      </c>
      <c r="E75" s="26">
        <v>155.38192799999999</v>
      </c>
      <c r="G75" s="27">
        <v>0.66527777777777775</v>
      </c>
      <c r="J75" s="30">
        <f>IF(G75&lt;$H$10,$H$16,IF(G75&gt;$I$10,$H$16,$H$11))*E75/600</f>
        <v>5.6973373600000002E-2</v>
      </c>
      <c r="L75" s="32">
        <f>$J75*($G75-$G74)*60*24</f>
        <v>5.6973373599999794E-2</v>
      </c>
    </row>
    <row r="76" spans="1:12">
      <c r="A76" s="22">
        <v>40310.665972222225</v>
      </c>
      <c r="E76" s="26">
        <v>155.988392</v>
      </c>
      <c r="G76" s="27">
        <v>0.66597222222222219</v>
      </c>
      <c r="J76" s="30">
        <f>IF(G76&lt;$H$10,$H$16,IF(G76&gt;$I$10,$H$16,$H$11))*E76/600</f>
        <v>5.7195743733333339E-2</v>
      </c>
      <c r="L76" s="32">
        <f>$J76*($G76-$G75)*60*24</f>
        <v>5.7195743733333138E-2</v>
      </c>
    </row>
    <row r="77" spans="1:12">
      <c r="A77" s="22">
        <v>40310.666666666664</v>
      </c>
      <c r="E77" s="26">
        <v>158.231168</v>
      </c>
      <c r="G77" s="27">
        <v>0.66666666666666663</v>
      </c>
      <c r="J77" s="30">
        <f>IF(G77&lt;$H$10,$H$16,IF(G77&gt;$I$10,$H$16,$H$11))*E77/600</f>
        <v>5.801809493333334E-2</v>
      </c>
      <c r="L77" s="32">
        <f>$J77*($G77-$G76)*60*24</f>
        <v>5.8018094933333139E-2</v>
      </c>
    </row>
    <row r="78" spans="1:12">
      <c r="A78" s="22">
        <v>40310.667361111111</v>
      </c>
      <c r="E78" s="26">
        <v>158.8587</v>
      </c>
      <c r="G78" s="27">
        <v>0.66736111111111107</v>
      </c>
      <c r="J78" s="30">
        <f>IF(G78&lt;$H$10,$H$16,IF(G78&gt;$I$10,$H$16,$H$11))*E78/600</f>
        <v>5.8248190000000005E-2</v>
      </c>
      <c r="L78" s="32">
        <f>$J78*($G78-$G77)*60*24</f>
        <v>5.8248189999999797E-2</v>
      </c>
    </row>
    <row r="79" spans="1:12">
      <c r="A79" s="22">
        <v>40310.668055555558</v>
      </c>
      <c r="E79" s="26">
        <v>154.67959999999999</v>
      </c>
      <c r="G79" s="27">
        <v>0.66805555555555562</v>
      </c>
      <c r="J79" s="30">
        <f>IF(G79&lt;$H$10,$H$16,IF(G79&gt;$I$10,$H$16,$H$11))*E79/600</f>
        <v>5.671585333333333E-2</v>
      </c>
      <c r="L79" s="32">
        <f>$J79*($G79-$G78)*60*24</f>
        <v>5.6715853333342191E-2</v>
      </c>
    </row>
    <row r="80" spans="1:12">
      <c r="A80" s="22">
        <v>40310.668749999997</v>
      </c>
      <c r="E80" s="26">
        <v>154.97676000000001</v>
      </c>
      <c r="G80" s="27">
        <v>0.66875000000000007</v>
      </c>
      <c r="J80" s="30">
        <f>IF(G80&lt;$H$10,$H$16,IF(G80&gt;$I$10,$H$16,$H$11))*E80/600</f>
        <v>5.6824812000000002E-2</v>
      </c>
      <c r="L80" s="32">
        <f>$J80*($G80-$G79)*60*24</f>
        <v>5.6824811999999808E-2</v>
      </c>
    </row>
    <row r="81" spans="1:12">
      <c r="A81" s="22">
        <v>40310.669444444444</v>
      </c>
      <c r="E81" s="26">
        <v>157.92223200000001</v>
      </c>
      <c r="G81" s="27">
        <v>0.6694444444444444</v>
      </c>
      <c r="J81" s="30">
        <f>IF(G81&lt;$H$10,$H$16,IF(G81&gt;$I$10,$H$16,$H$11))*E81/600</f>
        <v>5.7904818400000009E-2</v>
      </c>
      <c r="L81" s="32">
        <f>$J81*($G81-$G80)*60*24</f>
        <v>5.7904818399990551E-2</v>
      </c>
    </row>
    <row r="82" spans="1:12">
      <c r="A82" s="22">
        <v>40310.670138888891</v>
      </c>
      <c r="E82" s="26">
        <v>160.24422000000001</v>
      </c>
      <c r="G82" s="27">
        <v>0.67013888888888884</v>
      </c>
      <c r="J82" s="30">
        <f>IF(G82&lt;$H$10,$H$16,IF(G82&gt;$I$10,$H$16,$H$11))*E82/600</f>
        <v>5.8756214000000001E-2</v>
      </c>
      <c r="L82" s="32">
        <f>$J82*($G82-$G81)*60*24</f>
        <v>5.8756213999999793E-2</v>
      </c>
    </row>
    <row r="83" spans="1:12">
      <c r="A83" s="22">
        <v>40310.67083333333</v>
      </c>
      <c r="E83" s="26">
        <v>161.731584</v>
      </c>
      <c r="G83" s="27">
        <v>0.67083333333333339</v>
      </c>
      <c r="J83" s="30">
        <f>IF(G83&lt;$H$10,$H$16,IF(G83&gt;$I$10,$H$16,$H$11))*E83/600</f>
        <v>5.9301580799999996E-2</v>
      </c>
      <c r="L83" s="32">
        <f>$J83*($G83-$G82)*60*24</f>
        <v>5.9301580800009274E-2</v>
      </c>
    </row>
    <row r="84" spans="1:12">
      <c r="A84" s="22">
        <v>40310.671527777777</v>
      </c>
      <c r="E84" s="26">
        <v>159.55698000000001</v>
      </c>
      <c r="G84" s="27">
        <v>0.67152777777777783</v>
      </c>
      <c r="J84" s="30">
        <f>IF(G84&lt;$H$10,$H$16,IF(G84&gt;$I$10,$H$16,$H$11))*E84/600</f>
        <v>5.8504226000000006E-2</v>
      </c>
      <c r="L84" s="32">
        <f>$J84*($G84-$G83)*60*24</f>
        <v>5.8504225999999805E-2</v>
      </c>
    </row>
    <row r="85" spans="1:12">
      <c r="A85" s="22">
        <v>40310.672222222223</v>
      </c>
      <c r="E85" s="26">
        <v>163.76588799999999</v>
      </c>
      <c r="G85" s="27">
        <v>0.67222222222222217</v>
      </c>
      <c r="J85" s="30">
        <f>IF(G85&lt;$H$10,$H$16,IF(G85&gt;$I$10,$H$16,$H$11))*E85/600</f>
        <v>6.0047492266666669E-2</v>
      </c>
      <c r="L85" s="32">
        <f>$J85*($G85-$G84)*60*24</f>
        <v>6.0047492266656857E-2</v>
      </c>
    </row>
    <row r="86" spans="1:12">
      <c r="A86" s="22">
        <v>40310.67291666667</v>
      </c>
      <c r="E86" s="26">
        <v>155.06048000000001</v>
      </c>
      <c r="G86" s="27">
        <v>0.67291666666666661</v>
      </c>
      <c r="J86" s="30">
        <f>IF(G86&lt;$H$10,$H$16,IF(G86&gt;$I$10,$H$16,$H$11))*E86/600</f>
        <v>5.6855509333333339E-2</v>
      </c>
      <c r="L86" s="32">
        <f>$J86*($G86-$G85)*60*24</f>
        <v>5.685550933333313E-2</v>
      </c>
    </row>
    <row r="87" spans="1:12">
      <c r="A87" s="22">
        <v>40310.673611111109</v>
      </c>
      <c r="E87" s="26">
        <v>155.37385499999999</v>
      </c>
      <c r="G87" s="27">
        <v>0.67361111111111116</v>
      </c>
      <c r="J87" s="30">
        <f>IF(G87&lt;$H$10,$H$16,IF(G87&gt;$I$10,$H$16,$H$11))*E87/600</f>
        <v>5.697041349999999E-2</v>
      </c>
      <c r="L87" s="32">
        <f>$J87*($G87-$G86)*60*24</f>
        <v>5.69704135000089E-2</v>
      </c>
    </row>
    <row r="88" spans="1:12">
      <c r="A88" s="22">
        <v>40310.674305555556</v>
      </c>
      <c r="E88" s="26">
        <v>154.59480400000001</v>
      </c>
      <c r="G88" s="27">
        <v>0.6743055555555556</v>
      </c>
      <c r="J88" s="30">
        <f>IF(G88&lt;$H$10,$H$16,IF(G88&gt;$I$10,$H$16,$H$11))*E88/600</f>
        <v>5.6684761466666678E-2</v>
      </c>
      <c r="L88" s="32">
        <f>$J88*($G88-$G87)*60*24</f>
        <v>5.6684761466666483E-2</v>
      </c>
    </row>
    <row r="89" spans="1:12">
      <c r="A89" s="22">
        <v>40310.675000000003</v>
      </c>
      <c r="E89" s="26">
        <v>154.19567799999999</v>
      </c>
      <c r="G89" s="27">
        <v>0.67499999999999993</v>
      </c>
      <c r="J89" s="30">
        <f>IF(G89&lt;$H$10,$H$16,IF(G89&gt;$I$10,$H$16,$H$11))*E89/600</f>
        <v>5.6538415266666663E-2</v>
      </c>
      <c r="L89" s="32">
        <f>$J89*($G89-$G88)*60*24</f>
        <v>5.6538415266657427E-2</v>
      </c>
    </row>
    <row r="90" spans="1:12">
      <c r="A90" s="22">
        <v>40310.675694444442</v>
      </c>
      <c r="E90" s="26">
        <v>156.83065199999999</v>
      </c>
      <c r="G90" s="27">
        <v>0.67569444444444438</v>
      </c>
      <c r="J90" s="30">
        <f>IF(G90&lt;$H$10,$H$16,IF(G90&gt;$I$10,$H$16,$H$11))*E90/600</f>
        <v>5.7504572399999995E-2</v>
      </c>
      <c r="L90" s="32">
        <f>$J90*($G90-$G89)*60*24</f>
        <v>5.7504572399999787E-2</v>
      </c>
    </row>
    <row r="91" spans="1:12">
      <c r="A91" s="22">
        <v>40310.676388888889</v>
      </c>
      <c r="E91" s="26">
        <v>154.64758399999999</v>
      </c>
      <c r="G91" s="27">
        <v>0.67638888888888893</v>
      </c>
      <c r="J91" s="30">
        <f>IF(G91&lt;$H$10,$H$16,IF(G91&gt;$I$10,$H$16,$H$11))*E91/600</f>
        <v>5.6704114133333337E-2</v>
      </c>
      <c r="L91" s="32">
        <f>$J91*($G91-$G90)*60*24</f>
        <v>5.6704114133342198E-2</v>
      </c>
    </row>
    <row r="92" spans="1:12">
      <c r="A92" s="22">
        <v>40310.677083333336</v>
      </c>
      <c r="E92" s="26">
        <v>156.87701999999999</v>
      </c>
      <c r="G92" s="27">
        <v>0.67708333333333337</v>
      </c>
      <c r="J92" s="30">
        <f>IF(G92&lt;$H$10,$H$16,IF(G92&gt;$I$10,$H$16,$H$11))*E92/600</f>
        <v>5.7521573999999992E-2</v>
      </c>
      <c r="L92" s="32">
        <f>$J92*($G92-$G91)*60*24</f>
        <v>5.7521573999999798E-2</v>
      </c>
    </row>
    <row r="93" spans="1:12">
      <c r="A93" s="22">
        <v>40310.677777777775</v>
      </c>
      <c r="E93" s="26">
        <v>155.1028</v>
      </c>
      <c r="G93" s="27">
        <v>0.6777777777777777</v>
      </c>
      <c r="J93" s="30">
        <f>IF(G93&lt;$H$10,$H$16,IF(G93&gt;$I$10,$H$16,$H$11))*E93/600</f>
        <v>5.6871026666666664E-2</v>
      </c>
      <c r="L93" s="32">
        <f>$J93*($G93-$G92)*60*24</f>
        <v>5.6871026666657366E-2</v>
      </c>
    </row>
    <row r="94" spans="1:12">
      <c r="A94" s="22">
        <v>40310.678472222222</v>
      </c>
      <c r="E94" s="26">
        <v>165.58794800000001</v>
      </c>
      <c r="G94" s="27">
        <v>0.67847222222222225</v>
      </c>
      <c r="J94" s="30">
        <f>IF(G94&lt;$H$10,$H$16,IF(G94&gt;$I$10,$H$16,$H$11))*E94/600</f>
        <v>6.0715580933333332E-2</v>
      </c>
      <c r="L94" s="32">
        <f>$J94*($G94-$G93)*60*24</f>
        <v>6.0715580933342825E-2</v>
      </c>
    </row>
    <row r="95" spans="1:12">
      <c r="A95" s="22">
        <v>40310.679166666669</v>
      </c>
      <c r="E95" s="26">
        <v>174.37797599999999</v>
      </c>
      <c r="G95" s="27">
        <v>0.6791666666666667</v>
      </c>
      <c r="J95" s="30">
        <f>IF(G95&lt;$H$10,$H$16,IF(G95&gt;$I$10,$H$16,$H$11))*E95/600</f>
        <v>6.3938591199999992E-2</v>
      </c>
      <c r="L95" s="32">
        <f>$J95*($G95-$G94)*60*24</f>
        <v>6.393859119999977E-2</v>
      </c>
    </row>
    <row r="96" spans="1:12">
      <c r="A96" s="22">
        <v>40310.679861111108</v>
      </c>
      <c r="E96" s="26">
        <v>175.64110199999999</v>
      </c>
      <c r="G96" s="27">
        <v>0.67986111111111114</v>
      </c>
      <c r="J96" s="30">
        <f>IF(G96&lt;$H$10,$H$16,IF(G96&gt;$I$10,$H$16,$H$11))*E96/600</f>
        <v>6.4401737400000006E-2</v>
      </c>
      <c r="L96" s="32">
        <f>$J96*($G96-$G95)*60*24</f>
        <v>6.440173739999977E-2</v>
      </c>
    </row>
    <row r="97" spans="1:12">
      <c r="A97" s="22">
        <v>40310.680555555555</v>
      </c>
      <c r="E97" s="26">
        <v>157.00720000000001</v>
      </c>
      <c r="G97" s="27">
        <v>0.68055555555555547</v>
      </c>
      <c r="J97" s="30">
        <f>IF(G97&lt;$H$10,$H$16,IF(G97&gt;$I$10,$H$16,$H$11))*E97/600</f>
        <v>5.7569306666666667E-2</v>
      </c>
      <c r="L97" s="32">
        <f>$J97*($G97-$G96)*60*24</f>
        <v>5.7569306666657258E-2</v>
      </c>
    </row>
    <row r="98" spans="1:12">
      <c r="A98" s="22">
        <v>40310.681250000001</v>
      </c>
      <c r="E98" s="26">
        <v>156.17552000000001</v>
      </c>
      <c r="G98" s="27">
        <v>0.68125000000000002</v>
      </c>
      <c r="J98" s="30">
        <f>IF(G98&lt;$H$10,$H$16,IF(G98&gt;$I$10,$H$16,$H$11))*E98/600</f>
        <v>5.7264357333333335E-2</v>
      </c>
      <c r="L98" s="32">
        <f>$J98*($G98-$G97)*60*24</f>
        <v>5.7264357333342293E-2</v>
      </c>
    </row>
    <row r="99" spans="1:12">
      <c r="A99" s="22">
        <v>40310.681944444441</v>
      </c>
      <c r="E99" s="26">
        <v>156.250224</v>
      </c>
      <c r="G99" s="27">
        <v>0.68194444444444446</v>
      </c>
      <c r="J99" s="30">
        <f>IF(G99&lt;$H$10,$H$16,IF(G99&gt;$I$10,$H$16,$H$11))*E99/600</f>
        <v>5.72917488E-2</v>
      </c>
      <c r="L99" s="32">
        <f>$J99*($G99-$G98)*60*24</f>
        <v>5.7291748799999792E-2</v>
      </c>
    </row>
    <row r="100" spans="1:12">
      <c r="A100" s="22">
        <v>40310.682638888888</v>
      </c>
      <c r="E100" s="26">
        <v>155.82131999999999</v>
      </c>
      <c r="G100" s="27">
        <v>0.68263888888888891</v>
      </c>
      <c r="J100" s="30">
        <f>IF(G100&lt;$H$10,$H$16,IF(G100&gt;$I$10,$H$16,$H$11))*E100/600</f>
        <v>5.7134483999999992E-2</v>
      </c>
      <c r="L100" s="32">
        <f>$J100*($G100-$G99)*60*24</f>
        <v>5.7134483999999791E-2</v>
      </c>
    </row>
    <row r="101" spans="1:12">
      <c r="A101" s="22">
        <v>40310.683333333334</v>
      </c>
      <c r="E101" s="26">
        <v>155.36398800000001</v>
      </c>
      <c r="G101" s="27">
        <v>0.68333333333333324</v>
      </c>
      <c r="J101" s="30">
        <f>IF(G101&lt;$H$10,$H$16,IF(G101&gt;$I$10,$H$16,$H$11))*E101/600</f>
        <v>5.6966795599999995E-2</v>
      </c>
      <c r="L101" s="32">
        <f>$J101*($G101-$G100)*60*24</f>
        <v>5.6966795599990683E-2</v>
      </c>
    </row>
    <row r="102" spans="1:12">
      <c r="A102" s="22">
        <v>40310.684027777781</v>
      </c>
      <c r="E102" s="26">
        <v>154.64694</v>
      </c>
      <c r="G102" s="27">
        <v>0.68402777777777779</v>
      </c>
      <c r="J102" s="30">
        <f>IF(G102&lt;$H$10,$H$16,IF(G102&gt;$I$10,$H$16,$H$11))*E102/600</f>
        <v>5.6703878000000006E-2</v>
      </c>
      <c r="L102" s="32">
        <f>$J102*($G102-$G101)*60*24</f>
        <v>5.6703878000008881E-2</v>
      </c>
    </row>
    <row r="103" spans="1:12">
      <c r="A103" s="22">
        <v>40310.68472222222</v>
      </c>
      <c r="E103" s="26">
        <v>154.938672</v>
      </c>
      <c r="G103" s="27">
        <v>0.68472222222222223</v>
      </c>
      <c r="J103" s="30">
        <f>IF(G103&lt;$H$10,$H$16,IF(G103&gt;$I$10,$H$16,$H$11))*E103/600</f>
        <v>5.6810846400000004E-2</v>
      </c>
      <c r="L103" s="32">
        <f>$J103*($G103-$G102)*60*24</f>
        <v>5.6810846399999795E-2</v>
      </c>
    </row>
    <row r="104" spans="1:12">
      <c r="A104" s="22">
        <v>40310.685416666667</v>
      </c>
      <c r="E104" s="26">
        <v>154.531296</v>
      </c>
      <c r="G104" s="27">
        <v>0.68541666666666667</v>
      </c>
      <c r="J104" s="30">
        <f>IF(G104&lt;$H$10,$H$16,IF(G104&gt;$I$10,$H$16,$H$11))*E104/600</f>
        <v>5.6661475200000005E-2</v>
      </c>
      <c r="L104" s="32">
        <f>$J104*($G104-$G103)*60*24</f>
        <v>5.6661475199999811E-2</v>
      </c>
    </row>
    <row r="105" spans="1:12">
      <c r="A105" s="22">
        <v>40310.686111111114</v>
      </c>
      <c r="E105" s="26">
        <v>154.54592400000001</v>
      </c>
      <c r="G105" s="27">
        <v>0.68611111111111101</v>
      </c>
      <c r="J105" s="30">
        <f>IF(G105&lt;$H$10,$H$16,IF(G105&gt;$I$10,$H$16,$H$11))*E105/600</f>
        <v>5.6666838800000008E-2</v>
      </c>
      <c r="L105" s="32">
        <f>$J105*($G105-$G104)*60*24</f>
        <v>5.6666838799990737E-2</v>
      </c>
    </row>
    <row r="106" spans="1:12">
      <c r="A106" s="22">
        <v>40310.686805555553</v>
      </c>
      <c r="E106" s="26">
        <v>155.01264</v>
      </c>
      <c r="G106" s="27">
        <v>0.68680555555555556</v>
      </c>
      <c r="J106" s="30">
        <f>IF(G106&lt;$H$10,$H$16,IF(G106&gt;$I$10,$H$16,$H$11))*E106/600</f>
        <v>5.6837967999999996E-2</v>
      </c>
      <c r="L106" s="32">
        <f>$J106*($G106-$G105)*60*24</f>
        <v>5.6837968000008877E-2</v>
      </c>
    </row>
    <row r="107" spans="1:12">
      <c r="A107" s="22">
        <v>40310.6875</v>
      </c>
      <c r="E107" s="26">
        <v>154.54592400000001</v>
      </c>
      <c r="G107" s="27">
        <v>0.6875</v>
      </c>
      <c r="J107" s="30">
        <f>IF(G107&lt;$H$10,$H$16,IF(G107&gt;$I$10,$H$16,$H$11))*E107/600</f>
        <v>5.6666838800000008E-2</v>
      </c>
      <c r="L107" s="32">
        <f>$J107*($G107-$G106)*60*24</f>
        <v>5.6666838799999807E-2</v>
      </c>
    </row>
    <row r="108" spans="1:12">
      <c r="A108" s="22">
        <v>40310.688194444447</v>
      </c>
      <c r="E108" s="26">
        <v>154.87077600000001</v>
      </c>
      <c r="G108" s="27">
        <v>0.68819444444444444</v>
      </c>
      <c r="J108" s="30">
        <f>IF(G108&lt;$H$10,$H$16,IF(G108&gt;$I$10,$H$16,$H$11))*E108/600</f>
        <v>5.6785951200000004E-2</v>
      </c>
      <c r="L108" s="32">
        <f>$J108*($G108-$G107)*60*24</f>
        <v>5.6785951199999803E-2</v>
      </c>
    </row>
    <row r="109" spans="1:12">
      <c r="A109" s="22">
        <v>40310.688888888886</v>
      </c>
      <c r="E109" s="26">
        <v>155.02754400000001</v>
      </c>
      <c r="G109" s="27">
        <v>0.68888888888888899</v>
      </c>
      <c r="J109" s="30">
        <f>IF(G109&lt;$H$10,$H$16,IF(G109&gt;$I$10,$H$16,$H$11))*E109/600</f>
        <v>5.6843432800000003E-2</v>
      </c>
      <c r="L109" s="32">
        <f>$J109*($G109-$G108)*60*24</f>
        <v>5.6843432800008892E-2</v>
      </c>
    </row>
    <row r="110" spans="1:12">
      <c r="A110" s="22">
        <v>40310.689583333333</v>
      </c>
      <c r="E110" s="26">
        <v>156.11387999999999</v>
      </c>
      <c r="G110" s="27">
        <v>0.68958333333333333</v>
      </c>
      <c r="J110" s="30">
        <f>IF(G110&lt;$H$10,$H$16,IF(G110&gt;$I$10,$H$16,$H$11))*E110/600</f>
        <v>5.7241755999999998E-2</v>
      </c>
      <c r="L110" s="32">
        <f>$J110*($G110-$G109)*60*24</f>
        <v>5.7241755999990644E-2</v>
      </c>
    </row>
    <row r="111" spans="1:12">
      <c r="A111" s="22">
        <v>40310.69027777778</v>
      </c>
      <c r="E111" s="26">
        <v>154.03615500000001</v>
      </c>
      <c r="G111" s="27">
        <v>0.69027777777777777</v>
      </c>
      <c r="J111" s="30">
        <f>IF(G111&lt;$H$10,$H$16,IF(G111&gt;$I$10,$H$16,$H$11))*E111/600</f>
        <v>5.6479923500000001E-2</v>
      </c>
      <c r="L111" s="32">
        <f>$J111*($G111-$G110)*60*24</f>
        <v>5.6479923499999793E-2</v>
      </c>
    </row>
    <row r="112" spans="1:12">
      <c r="A112" s="22">
        <v>40310.690972222219</v>
      </c>
      <c r="E112" s="26">
        <v>153.75978799999999</v>
      </c>
      <c r="G112" s="27">
        <v>0.69097222222222221</v>
      </c>
      <c r="J112" s="30">
        <f>IF(G112&lt;$H$10,$H$16,IF(G112&gt;$I$10,$H$16,$H$11))*E112/600</f>
        <v>5.6378588933333328E-2</v>
      </c>
      <c r="L112" s="32">
        <f>$J112*($G112-$G111)*60*24</f>
        <v>5.6378588933333126E-2</v>
      </c>
    </row>
    <row r="113" spans="1:12">
      <c r="A113" s="22">
        <v>40310.691666666666</v>
      </c>
      <c r="E113" s="26">
        <v>153.76861500000001</v>
      </c>
      <c r="G113" s="27">
        <v>0.69166666666666676</v>
      </c>
      <c r="J113" s="30">
        <f>IF(G113&lt;$H$10,$H$16,IF(G113&gt;$I$10,$H$16,$H$11))*E113/600</f>
        <v>5.638182550000001E-2</v>
      </c>
      <c r="L113" s="32">
        <f>$J113*($G113-$G112)*60*24</f>
        <v>5.6381825500008823E-2</v>
      </c>
    </row>
    <row r="114" spans="1:12">
      <c r="A114" s="22">
        <v>40310.692361111112</v>
      </c>
      <c r="E114" s="26">
        <v>153.11396099999999</v>
      </c>
      <c r="G114" s="27">
        <v>0.69236111111111109</v>
      </c>
      <c r="J114" s="30">
        <f>IF(G114&lt;$H$10,$H$16,IF(G114&gt;$I$10,$H$16,$H$11))*E114/600</f>
        <v>5.6141785700000002E-2</v>
      </c>
      <c r="L114" s="32">
        <f>$J114*($G114-$G113)*60*24</f>
        <v>5.6141785699990829E-2</v>
      </c>
    </row>
    <row r="115" spans="1:12">
      <c r="A115" s="22">
        <v>40310.693055555559</v>
      </c>
      <c r="E115" s="26">
        <v>154.69247999999999</v>
      </c>
      <c r="G115" s="27">
        <v>0.69305555555555554</v>
      </c>
      <c r="J115" s="30">
        <f>IF(G115&lt;$H$10,$H$16,IF(G115&gt;$I$10,$H$16,$H$11))*E115/600</f>
        <v>5.6720576000000002E-2</v>
      </c>
      <c r="L115" s="32">
        <f>$J115*($G115-$G114)*60*24</f>
        <v>5.67205759999998E-2</v>
      </c>
    </row>
    <row r="116" spans="1:12">
      <c r="A116" s="22">
        <v>40310.693749999999</v>
      </c>
      <c r="E116" s="26">
        <v>154.89469600000001</v>
      </c>
      <c r="G116" s="27">
        <v>0.69374999999999998</v>
      </c>
      <c r="J116" s="30">
        <f>IF(G116&lt;$H$10,$H$16,IF(G116&gt;$I$10,$H$16,$H$11))*E116/600</f>
        <v>5.6794721866666675E-2</v>
      </c>
      <c r="L116" s="32">
        <f>$J116*($G116-$G115)*60*24</f>
        <v>5.6794721866666467E-2</v>
      </c>
    </row>
    <row r="117" spans="1:12">
      <c r="A117" s="22">
        <v>40310.694444444445</v>
      </c>
      <c r="E117" s="26">
        <v>154.418688</v>
      </c>
      <c r="G117" s="27">
        <v>0.69444444444444453</v>
      </c>
      <c r="J117" s="30">
        <f>IF(G117&lt;$H$10,$H$16,IF(G117&gt;$I$10,$H$16,$H$11))*E117/600</f>
        <v>5.6620185599999998E-2</v>
      </c>
      <c r="L117" s="32">
        <f>$J117*($G117-$G116)*60*24</f>
        <v>5.6620185600008852E-2</v>
      </c>
    </row>
    <row r="118" spans="1:12">
      <c r="A118" s="22">
        <v>40310.695138888892</v>
      </c>
      <c r="E118" s="26">
        <v>154.89782400000001</v>
      </c>
      <c r="G118" s="27">
        <v>0.69513888888888886</v>
      </c>
      <c r="J118" s="30">
        <f>IF(G118&lt;$H$10,$H$16,IF(G118&gt;$I$10,$H$16,$H$11))*E118/600</f>
        <v>5.679586880000001E-2</v>
      </c>
      <c r="L118" s="32">
        <f>$J118*($G118-$G117)*60*24</f>
        <v>5.6795868799990719E-2</v>
      </c>
    </row>
    <row r="119" spans="1:12">
      <c r="A119" s="22">
        <v>40310.695833333331</v>
      </c>
      <c r="E119" s="26">
        <v>154.55558400000001</v>
      </c>
      <c r="G119" s="27">
        <v>0.6958333333333333</v>
      </c>
      <c r="J119" s="30">
        <f>IF(G119&lt;$H$10,$H$16,IF(G119&gt;$I$10,$H$16,$H$11))*E119/600</f>
        <v>5.6670380799999996E-2</v>
      </c>
      <c r="L119" s="32">
        <f>$J119*($G119-$G118)*60*24</f>
        <v>5.6670380799999795E-2</v>
      </c>
    </row>
    <row r="120" spans="1:12">
      <c r="A120" s="22">
        <v>40310.696527777778</v>
      </c>
      <c r="E120" s="26">
        <v>156.007712</v>
      </c>
      <c r="G120" s="27">
        <v>0.69652777777777775</v>
      </c>
      <c r="J120" s="30">
        <f>IF(G120&lt;$H$10,$H$16,IF(G120&gt;$I$10,$H$16,$H$11))*E120/600</f>
        <v>5.7202827733333329E-2</v>
      </c>
      <c r="L120" s="32">
        <f>$J120*($G120-$G119)*60*24</f>
        <v>5.7202827733333121E-2</v>
      </c>
    </row>
    <row r="121" spans="1:12">
      <c r="A121" s="22">
        <v>40310.697222222225</v>
      </c>
      <c r="E121" s="26">
        <v>154.83379199999999</v>
      </c>
      <c r="G121" s="27">
        <v>0.6972222222222223</v>
      </c>
      <c r="J121" s="30">
        <f>IF(G121&lt;$H$10,$H$16,IF(G121&gt;$I$10,$H$16,$H$11))*E121/600</f>
        <v>5.6772390399999997E-2</v>
      </c>
      <c r="L121" s="32">
        <f>$J121*($G121-$G120)*60*24</f>
        <v>5.6772390400008872E-2</v>
      </c>
    </row>
    <row r="122" spans="1:12">
      <c r="A122" s="22">
        <v>40310.697916666664</v>
      </c>
      <c r="E122" s="26">
        <v>155.11126400000001</v>
      </c>
      <c r="G122" s="27">
        <v>0.69791666666666663</v>
      </c>
      <c r="J122" s="30">
        <f>IF(G122&lt;$H$10,$H$16,IF(G122&gt;$I$10,$H$16,$H$11))*E122/600</f>
        <v>5.6874130133333339E-2</v>
      </c>
      <c r="L122" s="32">
        <f>$J122*($G122-$G121)*60*24</f>
        <v>5.6874130133324041E-2</v>
      </c>
    </row>
    <row r="123" spans="1:12">
      <c r="A123" s="22">
        <v>40310.698611111111</v>
      </c>
      <c r="E123" s="26">
        <v>154.689628</v>
      </c>
      <c r="G123" s="27">
        <v>0.69861111111111107</v>
      </c>
      <c r="J123" s="30">
        <f>IF(G123&lt;$H$10,$H$16,IF(G123&gt;$I$10,$H$16,$H$11))*E123/600</f>
        <v>5.6719530266666658E-2</v>
      </c>
      <c r="L123" s="32">
        <f>$J123*($G123-$G122)*60*24</f>
        <v>5.6719530266666457E-2</v>
      </c>
    </row>
    <row r="124" spans="1:12">
      <c r="A124" s="22">
        <v>40310.699305555558</v>
      </c>
      <c r="E124" s="26">
        <v>154.62789599999999</v>
      </c>
      <c r="G124" s="27">
        <v>0.69930555555555562</v>
      </c>
      <c r="J124" s="30">
        <f>IF(G124&lt;$H$10,$H$16,IF(G124&gt;$I$10,$H$16,$H$11))*E124/600</f>
        <v>5.66968952E-2</v>
      </c>
      <c r="L124" s="32">
        <f>$J124*($G124-$G123)*60*24</f>
        <v>5.6696895200008868E-2</v>
      </c>
    </row>
    <row r="125" spans="1:12">
      <c r="A125" s="22">
        <v>40310.699999999997</v>
      </c>
      <c r="E125" s="26">
        <v>157.043172</v>
      </c>
      <c r="G125" s="27">
        <v>0.70000000000000007</v>
      </c>
      <c r="J125" s="30">
        <f>IF(G125&lt;$H$10,$H$16,IF(G125&gt;$I$10,$H$16,$H$11))*E125/600</f>
        <v>5.7582496400000002E-2</v>
      </c>
      <c r="L125" s="32">
        <f>$J125*($G125-$G124)*60*24</f>
        <v>5.7582496399999801E-2</v>
      </c>
    </row>
    <row r="126" spans="1:12">
      <c r="A126" s="22">
        <v>40310.700694444444</v>
      </c>
      <c r="E126" s="26">
        <v>159.804</v>
      </c>
      <c r="G126" s="27">
        <v>0.7006944444444444</v>
      </c>
      <c r="J126" s="30">
        <f>IF(G126&lt;$H$10,$H$16,IF(G126&gt;$I$10,$H$16,$H$11))*E126/600</f>
        <v>5.8594800000000002E-2</v>
      </c>
      <c r="L126" s="32">
        <f>$J126*($G126-$G125)*60*24</f>
        <v>5.8594799999990427E-2</v>
      </c>
    </row>
    <row r="127" spans="1:12">
      <c r="A127" s="22">
        <v>40310.701388888891</v>
      </c>
      <c r="E127" s="26">
        <v>155.576784</v>
      </c>
      <c r="G127" s="27">
        <v>0.70138888888888884</v>
      </c>
      <c r="J127" s="30">
        <f>IF(G127&lt;$H$10,$H$16,IF(G127&gt;$I$10,$H$16,$H$11))*E127/600</f>
        <v>5.7044820800000007E-2</v>
      </c>
      <c r="L127" s="32">
        <f>$J127*($G127-$G126)*60*24</f>
        <v>5.7044820799999799E-2</v>
      </c>
    </row>
    <row r="128" spans="1:12">
      <c r="A128" s="22">
        <v>40310.70208333333</v>
      </c>
      <c r="E128" s="26">
        <v>154.97041200000001</v>
      </c>
      <c r="G128" s="27">
        <v>0.70208333333333339</v>
      </c>
      <c r="J128" s="30">
        <f>IF(G128&lt;$H$10,$H$16,IF(G128&gt;$I$10,$H$16,$H$11))*E128/600</f>
        <v>5.6822484400000012E-2</v>
      </c>
      <c r="L128" s="32">
        <f>$J128*($G128-$G127)*60*24</f>
        <v>5.6822484400008894E-2</v>
      </c>
    </row>
    <row r="129" spans="1:12">
      <c r="A129" s="22">
        <v>40310.702777777777</v>
      </c>
      <c r="E129" s="26">
        <v>154.75688</v>
      </c>
      <c r="G129" s="27">
        <v>0.70277777777777783</v>
      </c>
      <c r="J129" s="30">
        <f>IF(G129&lt;$H$10,$H$16,IF(G129&gt;$I$10,$H$16,$H$11))*E129/600</f>
        <v>5.6744189333333327E-2</v>
      </c>
      <c r="L129" s="32">
        <f>$J129*($G129-$G128)*60*24</f>
        <v>5.6744189333333125E-2</v>
      </c>
    </row>
    <row r="130" spans="1:12">
      <c r="A130" s="22">
        <v>40310.703472222223</v>
      </c>
      <c r="E130" s="26">
        <v>155.22239999999999</v>
      </c>
      <c r="G130" s="27">
        <v>0.70347222222222217</v>
      </c>
      <c r="J130" s="30">
        <f>IF(G130&lt;$H$10,$H$16,IF(G130&gt;$I$10,$H$16,$H$11))*E130/600</f>
        <v>5.6914879999999994E-2</v>
      </c>
      <c r="L130" s="32">
        <f>$J130*($G130-$G129)*60*24</f>
        <v>5.6914879999990689E-2</v>
      </c>
    </row>
    <row r="131" spans="1:12">
      <c r="A131" s="22">
        <v>40310.70416666667</v>
      </c>
      <c r="E131" s="26">
        <v>154.693308</v>
      </c>
      <c r="G131" s="27">
        <v>0.70416666666666661</v>
      </c>
      <c r="J131" s="30">
        <f>IF(G131&lt;$H$10,$H$16,IF(G131&gt;$I$10,$H$16,$H$11))*E131/600</f>
        <v>5.6720879600000003E-2</v>
      </c>
      <c r="L131" s="32">
        <f>$J131*($G131-$G130)*60*24</f>
        <v>5.6720879599999802E-2</v>
      </c>
    </row>
    <row r="132" spans="1:12">
      <c r="A132" s="22">
        <v>40310.704861111109</v>
      </c>
      <c r="E132" s="26">
        <v>155.45644799999999</v>
      </c>
      <c r="G132" s="27">
        <v>0.70486111111111116</v>
      </c>
      <c r="J132" s="30">
        <f>IF(G132&lt;$H$10,$H$16,IF(G132&gt;$I$10,$H$16,$H$11))*E132/600</f>
        <v>5.700069759999999E-2</v>
      </c>
      <c r="L132" s="32">
        <f>$J132*($G132-$G131)*60*24</f>
        <v>5.7000697600008893E-2</v>
      </c>
    </row>
    <row r="133" spans="1:12">
      <c r="A133" s="22">
        <v>40310.705555555556</v>
      </c>
      <c r="E133" s="26">
        <v>154.61409599999999</v>
      </c>
      <c r="G133" s="27">
        <v>0.7055555555555556</v>
      </c>
      <c r="J133" s="30">
        <f>IF(G133&lt;$H$10,$H$16,IF(G133&gt;$I$10,$H$16,$H$11))*E133/600</f>
        <v>5.6691835199999992E-2</v>
      </c>
      <c r="L133" s="32">
        <f>$J133*($G133-$G132)*60*24</f>
        <v>5.6691835199999797E-2</v>
      </c>
    </row>
    <row r="134" spans="1:12">
      <c r="A134" s="22">
        <v>40310.706250000003</v>
      </c>
      <c r="E134" s="26">
        <v>154.54969600000001</v>
      </c>
      <c r="G134" s="27">
        <v>0.70624999999999993</v>
      </c>
      <c r="J134" s="30">
        <f>IF(G134&lt;$H$10,$H$16,IF(G134&gt;$I$10,$H$16,$H$11))*E134/600</f>
        <v>5.6668221866666674E-2</v>
      </c>
      <c r="L134" s="32">
        <f>$J134*($G134-$G133)*60*24</f>
        <v>5.6668221866657417E-2</v>
      </c>
    </row>
    <row r="135" spans="1:12">
      <c r="A135" s="22">
        <v>40310.706944444442</v>
      </c>
      <c r="E135" s="26">
        <v>154.96894</v>
      </c>
      <c r="G135" s="27">
        <v>0.70694444444444438</v>
      </c>
      <c r="J135" s="30">
        <f>IF(G135&lt;$H$10,$H$16,IF(G135&gt;$I$10,$H$16,$H$11))*E135/600</f>
        <v>5.6821944666666666E-2</v>
      </c>
      <c r="L135" s="32">
        <f>$J135*($G135-$G134)*60*24</f>
        <v>5.6821944666666464E-2</v>
      </c>
    </row>
    <row r="136" spans="1:12">
      <c r="A136" s="22">
        <v>40310.707638888889</v>
      </c>
      <c r="E136" s="26">
        <v>155.384964</v>
      </c>
      <c r="G136" s="27">
        <v>0.70763888888888893</v>
      </c>
      <c r="J136" s="30">
        <f>IF(G136&lt;$H$10,$H$16,IF(G136&gt;$I$10,$H$16,$H$11))*E136/600</f>
        <v>5.6974486799999995E-2</v>
      </c>
      <c r="L136" s="32">
        <f>$J136*($G136-$G135)*60*24</f>
        <v>5.6974486800008904E-2</v>
      </c>
    </row>
    <row r="137" spans="1:12">
      <c r="A137" s="22">
        <v>40310.708333333336</v>
      </c>
      <c r="E137" s="26">
        <v>155.09976399999999</v>
      </c>
      <c r="G137" s="27">
        <v>0.70833333333333337</v>
      </c>
      <c r="J137" s="30">
        <f>IF(G137&lt;$H$10,$H$16,IF(G137&gt;$I$10,$H$16,$H$11))*E137/600</f>
        <v>5.6869913466666658E-2</v>
      </c>
      <c r="L137" s="32">
        <f>$J137*($G137-$G136)*60*24</f>
        <v>5.686991346666645E-2</v>
      </c>
    </row>
    <row r="138" spans="1:12">
      <c r="A138" s="22">
        <v>40310.709027777775</v>
      </c>
      <c r="E138" s="26">
        <v>155.44540799999999</v>
      </c>
      <c r="G138" s="27">
        <v>0.7090277777777777</v>
      </c>
      <c r="J138" s="30">
        <f>IF(G138&lt;$H$10,$H$16,IF(G138&gt;$I$10,$H$16,$H$11))*E138/600</f>
        <v>5.6996649599999998E-2</v>
      </c>
      <c r="L138" s="32">
        <f>$J138*($G138-$G137)*60*24</f>
        <v>5.6996649599990686E-2</v>
      </c>
    </row>
    <row r="139" spans="1:12">
      <c r="A139" s="22">
        <v>40310.709722222222</v>
      </c>
      <c r="E139" s="26">
        <v>154.67776000000001</v>
      </c>
      <c r="G139" s="27">
        <v>0.70972222222222225</v>
      </c>
      <c r="J139" s="30">
        <f>IF(G139&lt;$H$10,$H$16,IF(G139&gt;$I$10,$H$16,$H$11))*E139/600</f>
        <v>5.6715178666666664E-2</v>
      </c>
      <c r="L139" s="32">
        <f>$J139*($G139-$G138)*60*24</f>
        <v>5.6715178666675532E-2</v>
      </c>
    </row>
    <row r="140" spans="1:12">
      <c r="A140" s="22">
        <v>40310.710416666669</v>
      </c>
      <c r="E140" s="26">
        <v>155.24751599999999</v>
      </c>
      <c r="G140" s="27">
        <v>0.7104166666666667</v>
      </c>
      <c r="J140" s="30">
        <f>IF(G140&lt;$H$10,$H$16,IF(G140&gt;$I$10,$H$16,$H$11))*E140/600</f>
        <v>5.6924089199999993E-2</v>
      </c>
      <c r="L140" s="32">
        <f>$J140*($G140-$G139)*60*24</f>
        <v>5.6924089199999785E-2</v>
      </c>
    </row>
    <row r="141" spans="1:12">
      <c r="A141" s="22">
        <v>40310.711111111108</v>
      </c>
      <c r="E141" s="26">
        <v>154.28501199999999</v>
      </c>
      <c r="G141" s="27">
        <v>0.71111111111111114</v>
      </c>
      <c r="J141" s="30">
        <f>IF(G141&lt;$H$10,$H$16,IF(G141&gt;$I$10,$H$16,$H$11))*E141/600</f>
        <v>5.6571171066666669E-2</v>
      </c>
      <c r="L141" s="32">
        <f>$J141*($G141-$G140)*60*24</f>
        <v>5.6571171066666467E-2</v>
      </c>
    </row>
    <row r="142" spans="1:12">
      <c r="A142" s="22">
        <v>40310.711805555555</v>
      </c>
      <c r="E142" s="26">
        <v>154.902976</v>
      </c>
      <c r="G142" s="27">
        <v>0.71180555555555547</v>
      </c>
      <c r="J142" s="30">
        <f>IF(G142&lt;$H$10,$H$16,IF(G142&gt;$I$10,$H$16,$H$11))*E142/600</f>
        <v>5.6797757866666659E-2</v>
      </c>
      <c r="L142" s="32">
        <f>$J142*($G142-$G141)*60*24</f>
        <v>5.6797757866657389E-2</v>
      </c>
    </row>
    <row r="143" spans="1:12">
      <c r="A143" s="22">
        <v>40310.712500000001</v>
      </c>
      <c r="E143" s="26">
        <v>154.49155200000001</v>
      </c>
      <c r="G143" s="27">
        <v>0.71250000000000002</v>
      </c>
      <c r="J143" s="30">
        <f>IF(G143&lt;$H$10,$H$16,IF(G143&gt;$I$10,$H$16,$H$11))*E143/600</f>
        <v>5.6646902399999997E-2</v>
      </c>
      <c r="L143" s="32">
        <f>$J143*($G143-$G142)*60*24</f>
        <v>5.6646902400008851E-2</v>
      </c>
    </row>
    <row r="144" spans="1:12">
      <c r="A144" s="22">
        <v>40310.713194444441</v>
      </c>
      <c r="E144" s="26">
        <v>155.386528</v>
      </c>
      <c r="G144" s="27">
        <v>0.71319444444444446</v>
      </c>
      <c r="J144" s="30">
        <f>IF(G144&lt;$H$10,$H$16,IF(G144&gt;$I$10,$H$16,$H$11))*E144/600</f>
        <v>5.6975060266666669E-2</v>
      </c>
      <c r="L144" s="32">
        <f>$J144*($G144-$G143)*60*24</f>
        <v>5.6975060266666475E-2</v>
      </c>
    </row>
    <row r="145" spans="1:12">
      <c r="A145" s="22">
        <v>40310.713888888888</v>
      </c>
      <c r="E145" s="26">
        <v>155.31421599999999</v>
      </c>
      <c r="G145" s="27">
        <v>0.71388888888888891</v>
      </c>
      <c r="J145" s="30">
        <f>IF(G145&lt;$H$10,$H$16,IF(G145&gt;$I$10,$H$16,$H$11))*E145/600</f>
        <v>5.6948545866666658E-2</v>
      </c>
      <c r="L145" s="32">
        <f>$J145*($G145-$G144)*60*24</f>
        <v>5.694854586666645E-2</v>
      </c>
    </row>
    <row r="146" spans="1:12">
      <c r="A146" s="22">
        <v>40310.714583333334</v>
      </c>
      <c r="E146" s="26">
        <v>154.97409200000001</v>
      </c>
      <c r="G146" s="27">
        <v>0.71458333333333324</v>
      </c>
      <c r="J146" s="30">
        <f>IF(G146&lt;$H$10,$H$16,IF(G146&gt;$I$10,$H$16,$H$11))*E146/600</f>
        <v>5.6823833733333336E-2</v>
      </c>
      <c r="L146" s="32">
        <f>$J146*($G146-$G145)*60*24</f>
        <v>5.6823833733324058E-2</v>
      </c>
    </row>
    <row r="147" spans="1:12">
      <c r="A147" s="22">
        <v>40310.715277777781</v>
      </c>
      <c r="E147" s="26">
        <v>154.560644</v>
      </c>
      <c r="G147" s="27">
        <v>0.71527777777777779</v>
      </c>
      <c r="J147" s="30">
        <f>IF(G147&lt;$H$10,$H$16,IF(G147&gt;$I$10,$H$16,$H$11))*E147/600</f>
        <v>5.6672236133333331E-2</v>
      </c>
      <c r="L147" s="32">
        <f>$J147*($G147-$G146)*60*24</f>
        <v>5.6672236133342192E-2</v>
      </c>
    </row>
    <row r="148" spans="1:12">
      <c r="A148" s="22">
        <v>40310.71597222222</v>
      </c>
      <c r="E148" s="26">
        <v>155.99575200000001</v>
      </c>
      <c r="G148" s="27">
        <v>0.71597222222222223</v>
      </c>
      <c r="J148" s="30">
        <f>IF(G148&lt;$H$10,$H$16,IF(G148&gt;$I$10,$H$16,$H$11))*E148/600</f>
        <v>5.7198442400000007E-2</v>
      </c>
      <c r="L148" s="32">
        <f>$J148*($G148-$G147)*60*24</f>
        <v>5.7198442399999813E-2</v>
      </c>
    </row>
    <row r="149" spans="1:12">
      <c r="A149" s="22">
        <v>40310.716666666667</v>
      </c>
      <c r="E149" s="26">
        <v>155.375764</v>
      </c>
      <c r="G149" s="27">
        <v>0.71666666666666667</v>
      </c>
      <c r="J149" s="30">
        <f>IF(G149&lt;$H$10,$H$16,IF(G149&gt;$I$10,$H$16,$H$11))*E149/600</f>
        <v>5.6971113466666667E-2</v>
      </c>
      <c r="L149" s="32">
        <f>$J149*($G149-$G148)*60*24</f>
        <v>5.6971113466666459E-2</v>
      </c>
    </row>
    <row r="150" spans="1:12">
      <c r="A150" s="22">
        <v>40310.717361111114</v>
      </c>
      <c r="E150" s="26">
        <v>157.16884400000001</v>
      </c>
      <c r="G150" s="27">
        <v>0.71736111111111101</v>
      </c>
      <c r="J150" s="30">
        <f>IF(G150&lt;$H$10,$H$16,IF(G150&gt;$I$10,$H$16,$H$11))*E150/600</f>
        <v>5.7628576133333338E-2</v>
      </c>
      <c r="L150" s="32">
        <f>$J150*($G150-$G149)*60*24</f>
        <v>5.7628576133323929E-2</v>
      </c>
    </row>
    <row r="151" spans="1:12">
      <c r="A151" s="22">
        <v>40310.718055555553</v>
      </c>
      <c r="E151" s="26">
        <v>155.227644</v>
      </c>
      <c r="G151" s="27">
        <v>0.71805555555555556</v>
      </c>
      <c r="J151" s="30">
        <f>IF(G151&lt;$H$10,$H$16,IF(G151&gt;$I$10,$H$16,$H$11))*E151/600</f>
        <v>5.6916802799999999E-2</v>
      </c>
      <c r="L151" s="32">
        <f>$J151*($G151-$G150)*60*24</f>
        <v>5.6916802800008895E-2</v>
      </c>
    </row>
    <row r="152" spans="1:12">
      <c r="A152" s="22">
        <v>40310.71875</v>
      </c>
      <c r="E152" s="26">
        <v>155.14236</v>
      </c>
      <c r="G152" s="27">
        <v>0.71875</v>
      </c>
      <c r="J152" s="30">
        <f>IF(G152&lt;$H$10,$H$16,IF(G152&gt;$I$10,$H$16,$H$11))*E152/600</f>
        <v>5.6885532000000003E-2</v>
      </c>
      <c r="L152" s="32">
        <f>$J152*($G152-$G151)*60*24</f>
        <v>5.6885531999999794E-2</v>
      </c>
    </row>
    <row r="153" spans="1:12">
      <c r="A153" s="22">
        <v>40310.719444444447</v>
      </c>
      <c r="E153" s="26">
        <v>155.3006</v>
      </c>
      <c r="G153" s="27">
        <v>0.71944444444444444</v>
      </c>
      <c r="J153" s="30">
        <f>IF(G153&lt;$H$10,$H$16,IF(G153&gt;$I$10,$H$16,$H$11))*E153/600</f>
        <v>5.6943553333333327E-2</v>
      </c>
      <c r="L153" s="32">
        <f>$J153*($G153-$G152)*60*24</f>
        <v>5.6943553333333126E-2</v>
      </c>
    </row>
    <row r="154" spans="1:12">
      <c r="A154" s="22">
        <v>40310.720138888886</v>
      </c>
      <c r="E154" s="26">
        <v>159.34639200000001</v>
      </c>
      <c r="G154" s="27">
        <v>0.72013888888888899</v>
      </c>
      <c r="J154" s="30">
        <f>IF(G154&lt;$H$10,$H$16,IF(G154&gt;$I$10,$H$16,$H$11))*E154/600</f>
        <v>5.84270104E-2</v>
      </c>
      <c r="L154" s="32">
        <f>$J154*($G154-$G153)*60*24</f>
        <v>5.8427010400009131E-2</v>
      </c>
    </row>
    <row r="155" spans="1:12">
      <c r="A155" s="22">
        <v>40310.720833333333</v>
      </c>
      <c r="E155" s="26">
        <v>158.57718</v>
      </c>
      <c r="G155" s="27">
        <v>0.72083333333333333</v>
      </c>
      <c r="J155" s="30">
        <f>IF(G155&lt;$H$10,$H$16,IF(G155&gt;$I$10,$H$16,$H$11))*E155/600</f>
        <v>5.8144965999999992E-2</v>
      </c>
      <c r="L155" s="32">
        <f>$J155*($G155-$G154)*60*24</f>
        <v>5.8144965999990486E-2</v>
      </c>
    </row>
    <row r="156" spans="1:12">
      <c r="A156" s="22">
        <v>40310.72152777778</v>
      </c>
      <c r="E156" s="26">
        <v>157.80870400000001</v>
      </c>
      <c r="G156" s="27">
        <v>0.72152777777777777</v>
      </c>
      <c r="J156" s="30">
        <f>IF(G156&lt;$H$10,$H$16,IF(G156&gt;$I$10,$H$16,$H$11))*E156/600</f>
        <v>5.7863191466666672E-2</v>
      </c>
      <c r="L156" s="32">
        <f>$J156*($G156-$G155)*60*24</f>
        <v>5.7863191466666478E-2</v>
      </c>
    </row>
    <row r="157" spans="1:12">
      <c r="A157" s="22">
        <v>40310.722222222219</v>
      </c>
      <c r="E157" s="26">
        <v>153.73052799999999</v>
      </c>
      <c r="G157" s="27">
        <v>0.72222222222222221</v>
      </c>
      <c r="J157" s="30">
        <f>IF(G157&lt;$H$10,$H$16,IF(G157&gt;$I$10,$H$16,$H$11))*E157/600</f>
        <v>5.636786026666666E-2</v>
      </c>
      <c r="L157" s="32">
        <f>$J157*($G157-$G156)*60*24</f>
        <v>5.6367860266666459E-2</v>
      </c>
    </row>
    <row r="158" spans="1:12">
      <c r="A158" s="22">
        <v>40310.722916666666</v>
      </c>
      <c r="E158" s="26">
        <v>156.70065600000001</v>
      </c>
      <c r="G158" s="27">
        <v>0.72291666666666676</v>
      </c>
      <c r="J158" s="30">
        <f>IF(G158&lt;$H$10,$H$16,IF(G158&gt;$I$10,$H$16,$H$11))*E158/600</f>
        <v>5.7456907200000004E-2</v>
      </c>
      <c r="L158" s="32">
        <f>$J158*($G158-$G157)*60*24</f>
        <v>5.7456907200008983E-2</v>
      </c>
    </row>
    <row r="159" spans="1:12">
      <c r="A159" s="22">
        <v>40310.723611111112</v>
      </c>
      <c r="E159" s="26">
        <v>153.66668000000001</v>
      </c>
      <c r="G159" s="27">
        <v>0.72361111111111109</v>
      </c>
      <c r="J159" s="30">
        <f>IF(G159&lt;$H$10,$H$16,IF(G159&gt;$I$10,$H$16,$H$11))*E159/600</f>
        <v>5.6344449333333345E-2</v>
      </c>
      <c r="L159" s="32">
        <f>$J159*($G159-$G158)*60*24</f>
        <v>5.6344449333324144E-2</v>
      </c>
    </row>
    <row r="160" spans="1:12">
      <c r="A160" s="22">
        <v>40310.724305555559</v>
      </c>
      <c r="E160" s="26">
        <v>156.07882799999999</v>
      </c>
      <c r="G160" s="27">
        <v>0.72430555555555554</v>
      </c>
      <c r="J160" s="30">
        <f>IF(G160&lt;$H$10,$H$16,IF(G160&gt;$I$10,$H$16,$H$11))*E160/600</f>
        <v>5.7228903599999999E-2</v>
      </c>
      <c r="L160" s="32">
        <f>$J160*($G160-$G159)*60*24</f>
        <v>5.7228903599999791E-2</v>
      </c>
    </row>
    <row r="161" spans="1:12">
      <c r="A161" s="22">
        <v>40310.724999999999</v>
      </c>
      <c r="E161" s="26">
        <v>160.235388</v>
      </c>
      <c r="G161" s="27">
        <v>0.72499999999999998</v>
      </c>
      <c r="J161" s="30">
        <f>IF(G161&lt;$H$10,$H$16,IF(G161&gt;$I$10,$H$16,$H$11))*E161/600</f>
        <v>5.87529756E-2</v>
      </c>
      <c r="L161" s="32">
        <f>$J161*($G161-$G160)*60*24</f>
        <v>5.8752975599999799E-2</v>
      </c>
    </row>
    <row r="162" spans="1:12">
      <c r="A162" s="22">
        <v>40310.725694444445</v>
      </c>
      <c r="E162" s="26">
        <v>156.90047999999999</v>
      </c>
      <c r="G162" s="27">
        <v>0.72569444444444453</v>
      </c>
      <c r="J162" s="30">
        <f>IF(G162&lt;$H$10,$H$16,IF(G162&gt;$I$10,$H$16,$H$11))*E162/600</f>
        <v>5.7530175999999995E-2</v>
      </c>
      <c r="L162" s="32">
        <f>$J162*($G162-$G161)*60*24</f>
        <v>5.7530176000008988E-2</v>
      </c>
    </row>
    <row r="163" spans="1:12">
      <c r="A163" s="22">
        <v>40310.726388888892</v>
      </c>
      <c r="E163" s="26">
        <v>153.79272</v>
      </c>
      <c r="G163" s="27">
        <v>0.72638888888888886</v>
      </c>
      <c r="J163" s="30">
        <f>IF(G163&lt;$H$10,$H$16,IF(G163&gt;$I$10,$H$16,$H$11))*E163/600</f>
        <v>5.6390663999999993E-2</v>
      </c>
      <c r="L163" s="32">
        <f>$J163*($G163-$G162)*60*24</f>
        <v>5.6390663999990778E-2</v>
      </c>
    </row>
    <row r="164" spans="1:12">
      <c r="A164" s="22">
        <v>40310.727083333331</v>
      </c>
      <c r="E164" s="26">
        <v>153.39251999999999</v>
      </c>
      <c r="G164" s="27">
        <v>0.7270833333333333</v>
      </c>
      <c r="J164" s="30">
        <f>IF(G164&lt;$H$10,$H$16,IF(G164&gt;$I$10,$H$16,$H$11))*E164/600</f>
        <v>5.6243924000000001E-2</v>
      </c>
      <c r="L164" s="32">
        <f>$J164*($G164-$G163)*60*24</f>
        <v>5.6243923999999806E-2</v>
      </c>
    </row>
    <row r="165" spans="1:12">
      <c r="A165" s="22">
        <v>40310.727777777778</v>
      </c>
      <c r="E165" s="26">
        <v>153.87156400000001</v>
      </c>
      <c r="G165" s="27">
        <v>0.72777777777777775</v>
      </c>
      <c r="J165" s="30">
        <f>IF(G165&lt;$H$10,$H$16,IF(G165&gt;$I$10,$H$16,$H$11))*E165/600</f>
        <v>5.6419573466666671E-2</v>
      </c>
      <c r="L165" s="32">
        <f>$J165*($G165-$G164)*60*24</f>
        <v>5.641957346666647E-2</v>
      </c>
    </row>
    <row r="166" spans="1:12">
      <c r="A166" s="22">
        <v>40310.728472222225</v>
      </c>
      <c r="E166" s="26">
        <v>154.00937999999999</v>
      </c>
      <c r="G166" s="27">
        <v>0.7284722222222223</v>
      </c>
      <c r="J166" s="30">
        <f>IF(G166&lt;$H$10,$H$16,IF(G166&gt;$I$10,$H$16,$H$11))*E166/600</f>
        <v>5.6470106000000006E-2</v>
      </c>
      <c r="L166" s="32">
        <f>$J166*($G166-$G165)*60*24</f>
        <v>5.6470106000008832E-2</v>
      </c>
    </row>
    <row r="167" spans="1:12">
      <c r="A167" s="22">
        <v>40310.729166666664</v>
      </c>
      <c r="E167" s="26">
        <v>153.38092800000001</v>
      </c>
      <c r="G167" s="27">
        <v>0.72916666666666663</v>
      </c>
      <c r="J167" s="30">
        <f>IF(G167&lt;$H$10,$H$16,IF(G167&gt;$I$10,$H$16,$H$11))*E167/600</f>
        <v>5.6239673600000005E-2</v>
      </c>
      <c r="L167" s="32">
        <f>$J167*($G167-$G166)*60*24</f>
        <v>5.6239673599990818E-2</v>
      </c>
    </row>
    <row r="168" spans="1:12">
      <c r="A168" s="22">
        <v>40310.729861111111</v>
      </c>
      <c r="E168" s="26">
        <v>153.24127200000001</v>
      </c>
      <c r="G168" s="27">
        <v>0.72986111111111107</v>
      </c>
      <c r="J168" s="30">
        <f>IF(G168&lt;$H$10,$H$16,IF(G168&gt;$I$10,$H$16,$H$11))*E168/600</f>
        <v>5.6188466399999998E-2</v>
      </c>
      <c r="L168" s="32">
        <f>$J168*($G168-$G167)*60*24</f>
        <v>5.6188466399999804E-2</v>
      </c>
    </row>
    <row r="169" spans="1:12">
      <c r="A169" s="22">
        <v>40310.730555555558</v>
      </c>
      <c r="E169" s="26">
        <v>153.17337599999999</v>
      </c>
      <c r="G169" s="27">
        <v>0.73055555555555562</v>
      </c>
      <c r="J169" s="30">
        <f>IF(G169&lt;$H$10,$H$16,IF(G169&gt;$I$10,$H$16,$H$11))*E169/600</f>
        <v>5.6163571199999998E-2</v>
      </c>
      <c r="L169" s="32">
        <f>$J169*($G169-$G168)*60*24</f>
        <v>5.6163571200008776E-2</v>
      </c>
    </row>
    <row r="170" spans="1:12">
      <c r="A170" s="22">
        <v>40310.731249999997</v>
      </c>
      <c r="E170" s="26">
        <v>153.932376</v>
      </c>
      <c r="G170" s="27">
        <v>0.73125000000000007</v>
      </c>
      <c r="J170" s="30">
        <f>IF(G170&lt;$H$10,$H$16,IF(G170&gt;$I$10,$H$16,$H$11))*E170/600</f>
        <v>5.64418712E-2</v>
      </c>
      <c r="L170" s="32">
        <f>$J170*($G170-$G169)*60*24</f>
        <v>5.6441871199999799E-2</v>
      </c>
    </row>
    <row r="171" spans="1:12">
      <c r="A171" s="22">
        <v>40310.731944444444</v>
      </c>
      <c r="E171" s="26">
        <v>153.38424000000001</v>
      </c>
      <c r="G171" s="27">
        <v>0.7319444444444444</v>
      </c>
      <c r="J171" s="30">
        <f>IF(G171&lt;$H$10,$H$16,IF(G171&gt;$I$10,$H$16,$H$11))*E171/600</f>
        <v>5.6240888000000003E-2</v>
      </c>
      <c r="L171" s="32">
        <f>$J171*($G171-$G170)*60*24</f>
        <v>5.6240887999990802E-2</v>
      </c>
    </row>
    <row r="172" spans="1:12">
      <c r="A172" s="22">
        <v>40310.732638888891</v>
      </c>
      <c r="E172" s="26">
        <v>153.455172</v>
      </c>
      <c r="G172" s="27">
        <v>0.73263888888888884</v>
      </c>
      <c r="J172" s="30">
        <f>IF(G172&lt;$H$10,$H$16,IF(G172&gt;$I$10,$H$16,$H$11))*E172/600</f>
        <v>5.6266896399999995E-2</v>
      </c>
      <c r="L172" s="32">
        <f>$J172*($G172-$G171)*60*24</f>
        <v>5.6266896399999794E-2</v>
      </c>
    </row>
    <row r="173" spans="1:12">
      <c r="A173" s="22">
        <v>40310.73333333333</v>
      </c>
      <c r="E173" s="26">
        <v>152.97576000000001</v>
      </c>
      <c r="G173" s="27">
        <v>0.73333333333333339</v>
      </c>
      <c r="J173" s="30">
        <f>IF(G173&lt;$H$10,$H$16,IF(G173&gt;$I$10,$H$16,$H$11))*E173/600</f>
        <v>5.6091111999999999E-2</v>
      </c>
      <c r="L173" s="32">
        <f>$J173*($G173-$G172)*60*24</f>
        <v>5.6091112000008769E-2</v>
      </c>
    </row>
    <row r="174" spans="1:12">
      <c r="A174" s="22">
        <v>40310.734027777777</v>
      </c>
      <c r="E174" s="26">
        <v>152.38843199999999</v>
      </c>
      <c r="G174" s="27">
        <v>0.73402777777777783</v>
      </c>
      <c r="J174" s="30">
        <f>IF(G174&lt;$H$10,$H$16,IF(G174&gt;$I$10,$H$16,$H$11))*E174/600</f>
        <v>5.5875758399999996E-2</v>
      </c>
      <c r="L174" s="32">
        <f>$J174*($G174-$G173)*60*24</f>
        <v>5.5875758399999795E-2</v>
      </c>
    </row>
    <row r="175" spans="1:12">
      <c r="A175" s="22">
        <v>40310.734722222223</v>
      </c>
      <c r="E175" s="26">
        <v>152.38107199999999</v>
      </c>
      <c r="G175" s="27">
        <v>0.73472222222222217</v>
      </c>
      <c r="J175" s="30">
        <f>IF(G175&lt;$H$10,$H$16,IF(G175&gt;$I$10,$H$16,$H$11))*E175/600</f>
        <v>5.5873059733333327E-2</v>
      </c>
      <c r="L175" s="32">
        <f>$J175*($G175-$G174)*60*24</f>
        <v>5.5873059733324203E-2</v>
      </c>
    </row>
    <row r="176" spans="1:12">
      <c r="A176" s="22">
        <v>40310.73541666667</v>
      </c>
      <c r="E176" s="26">
        <v>151.76375200000001</v>
      </c>
      <c r="G176" s="27">
        <v>0.73541666666666661</v>
      </c>
      <c r="J176" s="30">
        <f>IF(G176&lt;$H$10,$H$16,IF(G176&gt;$I$10,$H$16,$H$11))*E176/600</f>
        <v>5.5646709066666668E-2</v>
      </c>
      <c r="L176" s="32">
        <f>$J176*($G176-$G175)*60*24</f>
        <v>5.5646709066666467E-2</v>
      </c>
    </row>
    <row r="177" spans="1:12">
      <c r="A177" s="22">
        <v>40310.736111111109</v>
      </c>
      <c r="E177" s="26">
        <v>151.825208</v>
      </c>
      <c r="G177" s="27">
        <v>0.73611111111111116</v>
      </c>
      <c r="J177" s="30">
        <f>IF(G177&lt;$H$10,$H$16,IF(G177&gt;$I$10,$H$16,$H$11))*E177/600</f>
        <v>5.5669242933333328E-2</v>
      </c>
      <c r="L177" s="32">
        <f>$J177*($G177-$G176)*60*24</f>
        <v>5.5669242933342029E-2</v>
      </c>
    </row>
    <row r="178" spans="1:12">
      <c r="A178" s="22">
        <v>40310.736805555556</v>
      </c>
      <c r="E178" s="26">
        <v>155.34522000000001</v>
      </c>
      <c r="G178" s="27">
        <v>0.7368055555555556</v>
      </c>
      <c r="J178" s="30">
        <f>IF(G178&lt;$H$10,$H$16,IF(G178&gt;$I$10,$H$16,$H$11))*E178/600</f>
        <v>5.6959914000000007E-2</v>
      </c>
      <c r="L178" s="32">
        <f>$J178*($G178-$G177)*60*24</f>
        <v>5.6959913999999806E-2</v>
      </c>
    </row>
    <row r="179" spans="1:12">
      <c r="A179" s="22">
        <v>40310.737500000003</v>
      </c>
      <c r="E179" s="26">
        <v>179.560304</v>
      </c>
      <c r="G179" s="27">
        <v>0.73749999999999993</v>
      </c>
      <c r="J179" s="30">
        <f>IF(G179&lt;$H$10,$H$16,IF(G179&gt;$I$10,$H$16,$H$11))*E179/600</f>
        <v>6.5838778133333331E-2</v>
      </c>
      <c r="L179" s="32">
        <f>$J179*($G179-$G178)*60*24</f>
        <v>6.5838778133322562E-2</v>
      </c>
    </row>
    <row r="180" spans="1:12">
      <c r="A180" s="22">
        <v>40310.738194444442</v>
      </c>
      <c r="E180" s="26">
        <v>179.08193800000001</v>
      </c>
      <c r="G180" s="27">
        <v>0.73819444444444438</v>
      </c>
      <c r="J180" s="30">
        <f>IF(G180&lt;$H$10,$H$16,IF(G180&gt;$I$10,$H$16,$H$11))*E180/600</f>
        <v>6.566337726666667E-2</v>
      </c>
      <c r="L180" s="32">
        <f>$J180*($G180-$G179)*60*24</f>
        <v>6.5663377266666434E-2</v>
      </c>
    </row>
    <row r="181" spans="1:12">
      <c r="A181" s="22">
        <v>40310.738888888889</v>
      </c>
      <c r="E181" s="26">
        <v>178.583832</v>
      </c>
      <c r="G181" s="27">
        <v>0.73888888888888893</v>
      </c>
      <c r="J181" s="30">
        <f>IF(G181&lt;$H$10,$H$16,IF(G181&gt;$I$10,$H$16,$H$11))*E181/600</f>
        <v>6.5480738400000002E-2</v>
      </c>
      <c r="L181" s="32">
        <f>$J181*($G181-$G180)*60*24</f>
        <v>6.548073840001023E-2</v>
      </c>
    </row>
    <row r="182" spans="1:12">
      <c r="A182" s="22">
        <v>40310.739583333336</v>
      </c>
      <c r="E182" s="26">
        <v>178.298542</v>
      </c>
      <c r="G182" s="27">
        <v>0.73958333333333337</v>
      </c>
      <c r="J182" s="30">
        <f>IF(G182&lt;$H$10,$H$16,IF(G182&gt;$I$10,$H$16,$H$11))*E182/600</f>
        <v>6.5376132066666662E-2</v>
      </c>
      <c r="L182" s="32">
        <f>$J182*($G182-$G181)*60*24</f>
        <v>6.5376132066666426E-2</v>
      </c>
    </row>
    <row r="183" spans="1:12">
      <c r="A183" s="22">
        <v>40310.740277777775</v>
      </c>
      <c r="E183" s="26">
        <v>178.36312000000001</v>
      </c>
      <c r="G183" s="27">
        <v>0.7402777777777777</v>
      </c>
      <c r="J183" s="30">
        <f>IF(G183&lt;$H$10,$H$16,IF(G183&gt;$I$10,$H$16,$H$11))*E183/600</f>
        <v>6.5399810666666669E-2</v>
      </c>
      <c r="L183" s="32">
        <f>$J183*($G183-$G182)*60*24</f>
        <v>6.5399810666655983E-2</v>
      </c>
    </row>
    <row r="184" spans="1:12">
      <c r="A184" s="22">
        <v>40310.740972222222</v>
      </c>
      <c r="E184" s="26">
        <v>178.00347600000001</v>
      </c>
      <c r="G184" s="27">
        <v>0.74097222222222225</v>
      </c>
      <c r="J184" s="30">
        <f>IF(G184&lt;$H$10,$H$16,IF(G184&gt;$I$10,$H$16,$H$11))*E184/600</f>
        <v>6.5267941199999999E-2</v>
      </c>
      <c r="L184" s="32">
        <f>$J184*($G184-$G183)*60*24</f>
        <v>6.5267941200010199E-2</v>
      </c>
    </row>
    <row r="185" spans="1:12">
      <c r="A185" s="22">
        <v>40310.741666666669</v>
      </c>
      <c r="E185" s="26">
        <v>178.914806</v>
      </c>
      <c r="G185" s="27">
        <v>0.7416666666666667</v>
      </c>
      <c r="J185" s="30">
        <f>IF(G185&lt;$H$10,$H$16,IF(G185&gt;$I$10,$H$16,$H$11))*E185/600</f>
        <v>6.5602095533333335E-2</v>
      </c>
      <c r="L185" s="32">
        <f>$J185*($G185-$G184)*60*24</f>
        <v>6.5602095533333099E-2</v>
      </c>
    </row>
    <row r="186" spans="1:12">
      <c r="A186" s="22">
        <v>40310.742361111108</v>
      </c>
      <c r="E186" s="26">
        <v>179.11606</v>
      </c>
      <c r="G186" s="27">
        <v>0.74236111111111114</v>
      </c>
      <c r="J186" s="30">
        <f>IF(G186&lt;$H$10,$H$16,IF(G186&gt;$I$10,$H$16,$H$11))*E186/600</f>
        <v>6.5675888666666668E-2</v>
      </c>
      <c r="L186" s="32">
        <f>$J186*($G186-$G185)*60*24</f>
        <v>6.5675888666666432E-2</v>
      </c>
    </row>
    <row r="187" spans="1:12">
      <c r="A187" s="22">
        <v>40310.743055555555</v>
      </c>
      <c r="E187" s="26">
        <v>179.14388400000001</v>
      </c>
      <c r="G187" s="27">
        <v>0.74305555555555547</v>
      </c>
      <c r="J187" s="30">
        <f>IF(G187&lt;$H$10,$H$16,IF(G187&gt;$I$10,$H$16,$H$11))*E187/600</f>
        <v>6.5686090799999999E-2</v>
      </c>
      <c r="L187" s="32">
        <f>$J187*($G187-$G186)*60*24</f>
        <v>6.5686090799989272E-2</v>
      </c>
    </row>
    <row r="188" spans="1:12">
      <c r="A188" s="22">
        <v>40310.743750000001</v>
      </c>
      <c r="E188" s="26">
        <v>179.63399999999999</v>
      </c>
      <c r="G188" s="27">
        <v>0.74375000000000002</v>
      </c>
      <c r="J188" s="30">
        <f>IF(G188&lt;$H$10,$H$16,IF(G188&gt;$I$10,$H$16,$H$11))*E188/600</f>
        <v>6.5865799999999988E-2</v>
      </c>
      <c r="L188" s="32">
        <f>$J188*($G188-$G187)*60*24</f>
        <v>6.5865800000010286E-2</v>
      </c>
    </row>
    <row r="189" spans="1:12">
      <c r="A189" s="22">
        <v>40310.744444444441</v>
      </c>
      <c r="E189" s="26">
        <v>179.59188800000001</v>
      </c>
      <c r="G189" s="27">
        <v>0.74444444444444446</v>
      </c>
      <c r="J189" s="30">
        <f>IF(G189&lt;$H$10,$H$16,IF(G189&gt;$I$10,$H$16,$H$11))*E189/600</f>
        <v>6.5850358933333339E-2</v>
      </c>
      <c r="L189" s="32">
        <f>$J189*($G189-$G188)*60*24</f>
        <v>6.5850358933333103E-2</v>
      </c>
    </row>
    <row r="190" spans="1:12">
      <c r="A190" s="22">
        <v>40310.745138888888</v>
      </c>
      <c r="E190" s="26">
        <v>178.96396799999999</v>
      </c>
      <c r="G190" s="27">
        <v>0.74513888888888891</v>
      </c>
      <c r="J190" s="30">
        <f>IF(G190&lt;$H$10,$H$16,IF(G190&gt;$I$10,$H$16,$H$11))*E190/600</f>
        <v>6.5620121599999998E-2</v>
      </c>
      <c r="L190" s="32">
        <f>$J190*($G190-$G189)*60*24</f>
        <v>6.5620121599999762E-2</v>
      </c>
    </row>
    <row r="191" spans="1:12">
      <c r="A191" s="22">
        <v>40310.745833333334</v>
      </c>
      <c r="E191" s="26">
        <v>178.36312000000001</v>
      </c>
      <c r="G191" s="27">
        <v>0.74583333333333324</v>
      </c>
      <c r="J191" s="30">
        <f>IF(G191&lt;$H$10,$H$16,IF(G191&gt;$I$10,$H$16,$H$11))*E191/600</f>
        <v>6.5399810666666669E-2</v>
      </c>
      <c r="L191" s="32">
        <f>$J191*($G191-$G190)*60*24</f>
        <v>6.5399810666655983E-2</v>
      </c>
    </row>
    <row r="192" spans="1:12">
      <c r="A192" s="22">
        <v>40310.746527777781</v>
      </c>
      <c r="E192" s="26">
        <v>178.05903000000001</v>
      </c>
      <c r="G192" s="27">
        <v>0.74652777777777779</v>
      </c>
      <c r="J192" s="30">
        <f>IF(G192&lt;$H$10,$H$16,IF(G192&gt;$I$10,$H$16,$H$11))*E192/600</f>
        <v>6.5288311000000002E-2</v>
      </c>
      <c r="L192" s="32">
        <f>$J192*($G192-$G191)*60*24</f>
        <v>6.5288311000010216E-2</v>
      </c>
    </row>
    <row r="193" spans="1:12">
      <c r="A193" s="22">
        <v>40310.74722222222</v>
      </c>
      <c r="E193" s="26">
        <v>175.28697</v>
      </c>
      <c r="G193" s="27">
        <v>0.74722222222222223</v>
      </c>
      <c r="J193" s="30">
        <f>IF(G193&lt;$H$10,$H$16,IF(G193&gt;$I$10,$H$16,$H$11))*E193/600</f>
        <v>6.4271888999999999E-2</v>
      </c>
      <c r="L193" s="32">
        <f>$J193*($G193-$G192)*60*24</f>
        <v>6.4271888999999777E-2</v>
      </c>
    </row>
    <row r="194" spans="1:12">
      <c r="A194" s="22">
        <v>40310.747916666667</v>
      </c>
      <c r="E194" s="26">
        <v>170.62974</v>
      </c>
      <c r="G194" s="27">
        <v>0.74791666666666667</v>
      </c>
      <c r="J194" s="30">
        <f>IF(G194&lt;$H$10,$H$16,IF(G194&gt;$I$10,$H$16,$H$11))*E194/600</f>
        <v>6.2564238000000008E-2</v>
      </c>
      <c r="L194" s="32">
        <f>$J194*($G194-$G193)*60*24</f>
        <v>6.25642379999998E-2</v>
      </c>
    </row>
    <row r="195" spans="1:12">
      <c r="A195" s="22">
        <v>40310.748611111114</v>
      </c>
      <c r="E195" s="26">
        <v>148.27824000000001</v>
      </c>
      <c r="G195" s="27">
        <v>0.74861111111111101</v>
      </c>
      <c r="J195" s="30">
        <f>IF(G195&lt;$H$10,$H$16,IF(G195&gt;$I$10,$H$16,$H$11))*E195/600</f>
        <v>5.4368688000000005E-2</v>
      </c>
      <c r="L195" s="32">
        <f>$J195*($G195-$G194)*60*24</f>
        <v>5.4368687999991117E-2</v>
      </c>
    </row>
    <row r="196" spans="1:12">
      <c r="A196" s="22">
        <v>40310.749305555553</v>
      </c>
      <c r="E196" s="26">
        <v>148.62876</v>
      </c>
      <c r="G196" s="27">
        <v>0.74930555555555556</v>
      </c>
      <c r="J196" s="30">
        <f>IF(G196&lt;$H$10,$H$16,IF(G196&gt;$I$10,$H$16,$H$11))*E196/600</f>
        <v>5.4497212000000003E-2</v>
      </c>
      <c r="L196" s="32">
        <f>$J196*($G196-$G195)*60*24</f>
        <v>5.4497212000008524E-2</v>
      </c>
    </row>
    <row r="197" spans="1:12">
      <c r="A197" s="22">
        <v>40310.75</v>
      </c>
      <c r="E197" s="26">
        <v>148.26416399999999</v>
      </c>
      <c r="G197" s="27">
        <v>0.75</v>
      </c>
      <c r="J197" s="30">
        <f>IF(G197&lt;$H$10,$H$16,IF(G197&gt;$I$10,$H$16,$H$11))*E197/600</f>
        <v>5.4363526799999999E-2</v>
      </c>
      <c r="L197" s="32">
        <f>$J197*($G197-$G196)*60*24</f>
        <v>5.4363526799999805E-2</v>
      </c>
    </row>
    <row r="198" spans="1:12">
      <c r="A198" s="22">
        <v>40310.750694444447</v>
      </c>
      <c r="E198" s="26">
        <v>149.123268</v>
      </c>
      <c r="G198" s="27">
        <v>0.75069444444444444</v>
      </c>
      <c r="J198" s="30">
        <f>IF(G198&lt;$H$10,$H$16,IF(G198&gt;$I$10,$H$16,$H$11))*E198/600</f>
        <v>4.9707755999999999E-2</v>
      </c>
      <c r="L198" s="32">
        <f>$J198*($G198-$G197)*60*24</f>
        <v>4.9707755999999825E-2</v>
      </c>
    </row>
    <row r="199" spans="1:12">
      <c r="A199" s="22">
        <v>40310.751388888886</v>
      </c>
      <c r="E199" s="26">
        <v>149.71046999999999</v>
      </c>
      <c r="G199" s="27">
        <v>0.75138888888888899</v>
      </c>
      <c r="J199" s="30">
        <f>IF(G199&lt;$H$10,$H$16,IF(G199&gt;$I$10,$H$16,$H$11))*E199/600</f>
        <v>4.9903489999999995E-2</v>
      </c>
      <c r="L199" s="32">
        <f>$J199*($G199-$G198)*60*24</f>
        <v>4.9903490000007801E-2</v>
      </c>
    </row>
    <row r="200" spans="1:12">
      <c r="A200" s="22">
        <v>40310.752083333333</v>
      </c>
      <c r="E200" s="26">
        <v>149.05296000000001</v>
      </c>
      <c r="G200" s="27">
        <v>0.75208333333333333</v>
      </c>
      <c r="J200" s="30">
        <f>IF(G200&lt;$H$10,$H$16,IF(G200&gt;$I$10,$H$16,$H$11))*E200/600</f>
        <v>4.9684320000000004E-2</v>
      </c>
      <c r="L200" s="32">
        <f>$J200*($G200-$G199)*60*24</f>
        <v>4.9684319999991892E-2</v>
      </c>
    </row>
    <row r="201" spans="1:12">
      <c r="A201" s="22">
        <v>40310.75277777778</v>
      </c>
      <c r="E201" s="26">
        <v>156.409167</v>
      </c>
      <c r="G201" s="27">
        <v>0.75277777777777777</v>
      </c>
      <c r="J201" s="30">
        <f>IF(G201&lt;$H$10,$H$16,IF(G201&gt;$I$10,$H$16,$H$11))*E201/600</f>
        <v>5.2136388999999998E-2</v>
      </c>
      <c r="L201" s="32">
        <f>$J201*($G201-$G200)*60*24</f>
        <v>5.2136388999999811E-2</v>
      </c>
    </row>
    <row r="202" spans="1:12">
      <c r="A202" s="22">
        <v>40310.753472222219</v>
      </c>
      <c r="E202" s="26">
        <v>153.36951999999999</v>
      </c>
      <c r="G202" s="27">
        <v>0.75347222222222221</v>
      </c>
      <c r="J202" s="30">
        <f>IF(G202&lt;$H$10,$H$16,IF(G202&gt;$I$10,$H$16,$H$11))*E202/600</f>
        <v>5.1123173333333334E-2</v>
      </c>
      <c r="L202" s="32">
        <f>$J202*($G202-$G201)*60*24</f>
        <v>5.1123173333333147E-2</v>
      </c>
    </row>
    <row r="203" spans="1:12">
      <c r="A203" s="22">
        <v>40310.754166666666</v>
      </c>
      <c r="E203" s="26">
        <v>152.89940000000001</v>
      </c>
      <c r="G203" s="27">
        <v>0.75416666666666676</v>
      </c>
      <c r="J203" s="30">
        <f>IF(G203&lt;$H$10,$H$16,IF(G203&gt;$I$10,$H$16,$H$11))*E203/600</f>
        <v>5.0966466666666668E-2</v>
      </c>
      <c r="L203" s="32">
        <f>$J203*($G203-$G202)*60*24</f>
        <v>5.0966466666674648E-2</v>
      </c>
    </row>
    <row r="204" spans="1:12">
      <c r="A204" s="22">
        <v>40310.754861111112</v>
      </c>
      <c r="E204" s="26">
        <v>153.63558399999999</v>
      </c>
      <c r="G204" s="27">
        <v>0.75486111111111109</v>
      </c>
      <c r="J204" s="30">
        <f>IF(G204&lt;$H$10,$H$16,IF(G204&gt;$I$10,$H$16,$H$11))*E204/600</f>
        <v>5.1211861333333338E-2</v>
      </c>
      <c r="L204" s="32">
        <f>$J204*($G204-$G203)*60*24</f>
        <v>5.1211861333324962E-2</v>
      </c>
    </row>
    <row r="205" spans="1:12">
      <c r="A205" s="22">
        <v>40310.755555555559</v>
      </c>
      <c r="E205" s="26">
        <v>152.34767600000001</v>
      </c>
      <c r="G205" s="27">
        <v>0.75555555555555554</v>
      </c>
      <c r="J205" s="30">
        <f>IF(G205&lt;$H$10,$H$16,IF(G205&gt;$I$10,$H$16,$H$11))*E205/600</f>
        <v>5.0782558666666672E-2</v>
      </c>
      <c r="L205" s="32">
        <f>$J205*($G205-$G204)*60*24</f>
        <v>5.0782558666666498E-2</v>
      </c>
    </row>
    <row r="206" spans="1:12">
      <c r="A206" s="22">
        <v>40310.756249999999</v>
      </c>
      <c r="E206" s="26">
        <v>153.269792</v>
      </c>
      <c r="G206" s="27">
        <v>0.75624999999999998</v>
      </c>
      <c r="J206" s="30">
        <f>IF(G206&lt;$H$10,$H$16,IF(G206&gt;$I$10,$H$16,$H$11))*E206/600</f>
        <v>5.1089930666666665E-2</v>
      </c>
      <c r="L206" s="32">
        <f>$J206*($G206-$G205)*60*24</f>
        <v>5.1089930666666492E-2</v>
      </c>
    </row>
    <row r="207" spans="1:12">
      <c r="A207" s="22">
        <v>40310.756944444445</v>
      </c>
      <c r="E207" s="26">
        <v>152.77262400000001</v>
      </c>
      <c r="G207" s="27">
        <v>0.75694444444444453</v>
      </c>
      <c r="J207" s="30">
        <f>IF(G207&lt;$H$10,$H$16,IF(G207&gt;$I$10,$H$16,$H$11))*E207/600</f>
        <v>5.0924208000000006E-2</v>
      </c>
      <c r="L207" s="32">
        <f>$J207*($G207-$G206)*60*24</f>
        <v>5.0924208000007964E-2</v>
      </c>
    </row>
    <row r="208" spans="1:12">
      <c r="A208" s="22">
        <v>40310.757638888892</v>
      </c>
      <c r="E208" s="26">
        <v>153.25626800000001</v>
      </c>
      <c r="G208" s="27">
        <v>0.75763888888888886</v>
      </c>
      <c r="J208" s="30">
        <f>IF(G208&lt;$H$10,$H$16,IF(G208&gt;$I$10,$H$16,$H$11))*E208/600</f>
        <v>5.1085422666666672E-2</v>
      </c>
      <c r="L208" s="32">
        <f>$J208*($G208-$G207)*60*24</f>
        <v>5.1085422666658317E-2</v>
      </c>
    </row>
    <row r="209" spans="1:12">
      <c r="A209" s="22">
        <v>40310.758333333331</v>
      </c>
      <c r="E209" s="26">
        <v>153.464832</v>
      </c>
      <c r="G209" s="27">
        <v>0.7583333333333333</v>
      </c>
      <c r="J209" s="30">
        <f>IF(G209&lt;$H$10,$H$16,IF(G209&gt;$I$10,$H$16,$H$11))*E209/600</f>
        <v>5.1154944000000008E-2</v>
      </c>
      <c r="L209" s="32">
        <f>$J209*($G209-$G208)*60*24</f>
        <v>5.1154943999999827E-2</v>
      </c>
    </row>
    <row r="210" spans="1:12">
      <c r="A210" s="22">
        <v>40310.759027777778</v>
      </c>
      <c r="E210" s="26">
        <v>153.25626800000001</v>
      </c>
      <c r="G210" s="27">
        <v>0.75902777777777775</v>
      </c>
      <c r="J210" s="30">
        <f>IF(G210&lt;$H$10,$H$16,IF(G210&gt;$I$10,$H$16,$H$11))*E210/600</f>
        <v>5.1085422666666672E-2</v>
      </c>
      <c r="L210" s="32">
        <f>$J210*($G210-$G209)*60*24</f>
        <v>5.1085422666666491E-2</v>
      </c>
    </row>
    <row r="211" spans="1:12">
      <c r="A211" s="22">
        <v>40310.759722222225</v>
      </c>
      <c r="E211" s="26">
        <v>153.22783999999999</v>
      </c>
      <c r="G211" s="27">
        <v>0.7597222222222223</v>
      </c>
      <c r="J211" s="30">
        <f>IF(G211&lt;$H$10,$H$16,IF(G211&gt;$I$10,$H$16,$H$11))*E211/600</f>
        <v>5.1075946666666663E-2</v>
      </c>
      <c r="L211" s="32">
        <f>$J211*($G211-$G210)*60*24</f>
        <v>5.107594666667465E-2</v>
      </c>
    </row>
    <row r="212" spans="1:12">
      <c r="A212" s="22">
        <v>40310.760416666664</v>
      </c>
      <c r="E212" s="26">
        <v>152.957176</v>
      </c>
      <c r="G212" s="27">
        <v>0.76041666666666663</v>
      </c>
      <c r="J212" s="30">
        <f>IF(G212&lt;$H$10,$H$16,IF(G212&gt;$I$10,$H$16,$H$11))*E212/600</f>
        <v>5.0985725333333336E-2</v>
      </c>
      <c r="L212" s="32">
        <f>$J212*($G212-$G211)*60*24</f>
        <v>5.0985725333324995E-2</v>
      </c>
    </row>
    <row r="213" spans="1:12">
      <c r="A213" s="22">
        <v>40310.761111111111</v>
      </c>
      <c r="E213" s="26">
        <v>152.77106000000001</v>
      </c>
      <c r="G213" s="27">
        <v>0.76111111111111107</v>
      </c>
      <c r="J213" s="30">
        <f>IF(G213&lt;$H$10,$H$16,IF(G213&gt;$I$10,$H$16,$H$11))*E213/600</f>
        <v>5.0923686666666669E-2</v>
      </c>
      <c r="L213" s="32">
        <f>$J213*($G213-$G212)*60*24</f>
        <v>5.0923686666666489E-2</v>
      </c>
    </row>
    <row r="214" spans="1:12">
      <c r="A214" s="22">
        <v>40310.761805555558</v>
      </c>
      <c r="E214" s="26">
        <v>152.982752</v>
      </c>
      <c r="G214" s="27">
        <v>0.76180555555555562</v>
      </c>
      <c r="J214" s="30">
        <f>IF(G214&lt;$H$10,$H$16,IF(G214&gt;$I$10,$H$16,$H$11))*E214/600</f>
        <v>5.0994250666666671E-2</v>
      </c>
      <c r="L214" s="32">
        <f>$J214*($G214-$G213)*60*24</f>
        <v>5.0994250666674644E-2</v>
      </c>
    </row>
    <row r="215" spans="1:12">
      <c r="A215" s="22">
        <v>40310.762499999997</v>
      </c>
      <c r="E215" s="26">
        <v>150.71946</v>
      </c>
      <c r="G215" s="27">
        <v>0.76250000000000007</v>
      </c>
      <c r="J215" s="30">
        <f>IF(G215&lt;$H$10,$H$16,IF(G215&gt;$I$10,$H$16,$H$11))*E215/600</f>
        <v>5.0239820000000004E-2</v>
      </c>
      <c r="L215" s="32">
        <f>$J215*($G215-$G214)*60*24</f>
        <v>5.0239819999999838E-2</v>
      </c>
    </row>
    <row r="216" spans="1:12">
      <c r="A216" s="22">
        <v>40310.763194444444</v>
      </c>
      <c r="E216" s="26">
        <v>149.573048</v>
      </c>
      <c r="G216" s="27">
        <v>0.7631944444444444</v>
      </c>
      <c r="J216" s="30">
        <f>IF(G216&lt;$H$10,$H$16,IF(G216&gt;$I$10,$H$16,$H$11))*E216/600</f>
        <v>4.9857682666666674E-2</v>
      </c>
      <c r="L216" s="32">
        <f>$J216*($G216-$G215)*60*24</f>
        <v>4.985768266665852E-2</v>
      </c>
    </row>
    <row r="217" spans="1:12">
      <c r="A217" s="22">
        <v>40310.763888888891</v>
      </c>
      <c r="E217" s="26">
        <v>150.117504</v>
      </c>
      <c r="G217" s="27">
        <v>0.76388888888888884</v>
      </c>
      <c r="J217" s="30">
        <f>IF(G217&lt;$H$10,$H$16,IF(G217&gt;$I$10,$H$16,$H$11))*E217/600</f>
        <v>5.0039168000000002E-2</v>
      </c>
      <c r="L217" s="32">
        <f>$J217*($G217-$G216)*60*24</f>
        <v>5.0039167999999828E-2</v>
      </c>
    </row>
    <row r="218" spans="1:12">
      <c r="A218" s="22">
        <v>40310.76458333333</v>
      </c>
      <c r="E218" s="26">
        <v>148.90199999999999</v>
      </c>
      <c r="G218" s="27">
        <v>0.76458333333333339</v>
      </c>
      <c r="J218" s="30">
        <f>IF(G218&lt;$H$10,$H$16,IF(G218&gt;$I$10,$H$16,$H$11))*E218/600</f>
        <v>4.9633999999999998E-2</v>
      </c>
      <c r="L218" s="32">
        <f>$J218*($G218-$G217)*60*24</f>
        <v>4.9634000000007755E-2</v>
      </c>
    </row>
    <row r="219" spans="1:12">
      <c r="A219" s="22">
        <v>40310.765277777777</v>
      </c>
      <c r="E219" s="26">
        <v>149.368256</v>
      </c>
      <c r="G219" s="27">
        <v>0.76527777777777783</v>
      </c>
      <c r="J219" s="30">
        <f>IF(G219&lt;$H$10,$H$16,IF(G219&gt;$I$10,$H$16,$H$11))*E219/600</f>
        <v>4.9789418666666668E-2</v>
      </c>
      <c r="L219" s="32">
        <f>$J219*($G219-$G218)*60*24</f>
        <v>4.9789418666666495E-2</v>
      </c>
    </row>
    <row r="220" spans="1:12">
      <c r="A220" s="22">
        <v>40310.765972222223</v>
      </c>
      <c r="E220" s="26">
        <v>148.69499999999999</v>
      </c>
      <c r="G220" s="27">
        <v>0.76597222222222217</v>
      </c>
      <c r="J220" s="30">
        <f>IF(G220&lt;$H$10,$H$16,IF(G220&gt;$I$10,$H$16,$H$11))*E220/600</f>
        <v>4.9564999999999998E-2</v>
      </c>
      <c r="L220" s="32">
        <f>$J220*($G220-$G219)*60*24</f>
        <v>4.9564999999991893E-2</v>
      </c>
    </row>
    <row r="221" spans="1:12">
      <c r="A221" s="22">
        <v>40310.76666666667</v>
      </c>
      <c r="E221" s="26">
        <v>148.50492800000001</v>
      </c>
      <c r="G221" s="27">
        <v>0.76666666666666661</v>
      </c>
      <c r="J221" s="30">
        <f>IF(G221&lt;$H$10,$H$16,IF(G221&gt;$I$10,$H$16,$H$11))*E221/600</f>
        <v>4.9501642666666672E-2</v>
      </c>
      <c r="L221" s="32">
        <f>$J221*($G221-$G220)*60*24</f>
        <v>4.9501642666666498E-2</v>
      </c>
    </row>
    <row r="222" spans="1:12">
      <c r="A222" s="22">
        <v>40310.767361111109</v>
      </c>
      <c r="E222" s="26">
        <v>149.73708400000001</v>
      </c>
      <c r="G222" s="27">
        <v>0.76736111111111116</v>
      </c>
      <c r="J222" s="30">
        <f>IF(G222&lt;$H$10,$H$16,IF(G222&gt;$I$10,$H$16,$H$11))*E222/600</f>
        <v>4.9912361333333335E-2</v>
      </c>
      <c r="L222" s="32">
        <f>$J222*($G222-$G221)*60*24</f>
        <v>4.9912361333341135E-2</v>
      </c>
    </row>
    <row r="223" spans="1:12">
      <c r="A223" s="22">
        <v>40310.768055555556</v>
      </c>
      <c r="E223" s="26">
        <v>149.03319200000001</v>
      </c>
      <c r="G223" s="27">
        <v>0.7680555555555556</v>
      </c>
      <c r="J223" s="30">
        <f>IF(G223&lt;$H$10,$H$16,IF(G223&gt;$I$10,$H$16,$H$11))*E223/600</f>
        <v>4.9677730666666677E-2</v>
      </c>
      <c r="L223" s="32">
        <f>$J223*($G223-$G222)*60*24</f>
        <v>4.9677730666666503E-2</v>
      </c>
    </row>
    <row r="224" spans="1:12">
      <c r="A224" s="22">
        <v>40310.768750000003</v>
      </c>
      <c r="E224" s="26">
        <v>149.16327999999999</v>
      </c>
      <c r="G224" s="27">
        <v>0.76874999999999993</v>
      </c>
      <c r="J224" s="30">
        <f>IF(G224&lt;$H$10,$H$16,IF(G224&gt;$I$10,$H$16,$H$11))*E224/600</f>
        <v>4.9721093333333334E-2</v>
      </c>
      <c r="L224" s="32">
        <f>$J224*($G224-$G223)*60*24</f>
        <v>4.9721093333325209E-2</v>
      </c>
    </row>
    <row r="225" spans="1:12">
      <c r="A225" s="22">
        <v>40310.769444444442</v>
      </c>
      <c r="E225" s="26">
        <v>185.67256</v>
      </c>
      <c r="G225" s="27">
        <v>0.76944444444444438</v>
      </c>
      <c r="J225" s="30">
        <f>IF(G225&lt;$H$10,$H$16,IF(G225&gt;$I$10,$H$16,$H$11))*E225/600</f>
        <v>6.1890853333333336E-2</v>
      </c>
      <c r="L225" s="32">
        <f>$J225*($G225-$G224)*60*24</f>
        <v>6.1890853333333107E-2</v>
      </c>
    </row>
    <row r="226" spans="1:12">
      <c r="A226" s="22">
        <v>40310.770138888889</v>
      </c>
      <c r="E226" s="26">
        <v>189.36958000000001</v>
      </c>
      <c r="G226" s="27">
        <v>0.77013888888888893</v>
      </c>
      <c r="J226" s="30">
        <f>IF(G226&lt;$H$10,$H$16,IF(G226&gt;$I$10,$H$16,$H$11))*E226/600</f>
        <v>6.3123193333333341E-2</v>
      </c>
      <c r="L226" s="32">
        <f>$J226*($G226-$G225)*60*24</f>
        <v>6.3123193333343208E-2</v>
      </c>
    </row>
    <row r="227" spans="1:12">
      <c r="A227" s="22">
        <v>40310.770833333336</v>
      </c>
      <c r="E227" s="26">
        <v>189.72212500000001</v>
      </c>
      <c r="G227" s="27">
        <v>0.77083333333333337</v>
      </c>
      <c r="J227" s="30">
        <f>IF(G227&lt;$H$10,$H$16,IF(G227&gt;$I$10,$H$16,$H$11))*E227/600</f>
        <v>6.324070833333334E-2</v>
      </c>
      <c r="L227" s="32">
        <f>$J227*($G227-$G226)*60*24</f>
        <v>6.3240708333333118E-2</v>
      </c>
    </row>
    <row r="228" spans="1:12">
      <c r="A228" s="22">
        <v>40310.771527777775</v>
      </c>
      <c r="E228" s="26">
        <v>188.90170499999999</v>
      </c>
      <c r="G228" s="27">
        <v>0.7715277777777777</v>
      </c>
      <c r="J228" s="30">
        <f>IF(G228&lt;$H$10,$H$16,IF(G228&gt;$I$10,$H$16,$H$11))*E228/600</f>
        <v>6.2967234999999996E-2</v>
      </c>
      <c r="L228" s="32">
        <f>$J228*($G228-$G227)*60*24</f>
        <v>6.2967234999989699E-2</v>
      </c>
    </row>
    <row r="229" spans="1:12">
      <c r="A229" s="22">
        <v>40310.772222222222</v>
      </c>
      <c r="E229" s="26">
        <v>190.32490000000001</v>
      </c>
      <c r="G229" s="27">
        <v>0.77222222222222225</v>
      </c>
      <c r="J229" s="30">
        <f>IF(G229&lt;$H$10,$H$16,IF(G229&gt;$I$10,$H$16,$H$11))*E229/600</f>
        <v>6.3441633333333344E-2</v>
      </c>
      <c r="L229" s="32">
        <f>$J229*($G229-$G228)*60*24</f>
        <v>6.3441633333343267E-2</v>
      </c>
    </row>
    <row r="230" spans="1:12">
      <c r="A230" s="22">
        <v>40310.772916666669</v>
      </c>
      <c r="E230" s="26">
        <v>194.49616</v>
      </c>
      <c r="G230" s="27">
        <v>0.7729166666666667</v>
      </c>
      <c r="J230" s="30">
        <f>IF(G230&lt;$H$10,$H$16,IF(G230&gt;$I$10,$H$16,$H$11))*E230/600</f>
        <v>6.4832053333333348E-2</v>
      </c>
      <c r="L230" s="32">
        <f>$J230*($G230-$G229)*60*24</f>
        <v>6.4832053333333126E-2</v>
      </c>
    </row>
    <row r="231" spans="1:12">
      <c r="A231" s="22">
        <v>40310.773611111108</v>
      </c>
      <c r="E231" s="26">
        <v>196.72542999999999</v>
      </c>
      <c r="G231" s="27">
        <v>0.77361111111111114</v>
      </c>
      <c r="J231" s="30">
        <f>IF(G231&lt;$H$10,$H$16,IF(G231&gt;$I$10,$H$16,$H$11))*E231/600</f>
        <v>6.5575143333333336E-2</v>
      </c>
      <c r="L231" s="32">
        <f>$J231*($G231-$G230)*60*24</f>
        <v>6.55751433333331E-2</v>
      </c>
    </row>
    <row r="232" spans="1:12">
      <c r="A232" s="22">
        <v>40310.774305555555</v>
      </c>
      <c r="E232" s="26">
        <v>197.97116500000001</v>
      </c>
      <c r="G232" s="27">
        <v>0.77430555555555547</v>
      </c>
      <c r="J232" s="30">
        <f>IF(G232&lt;$H$10,$H$16,IF(G232&gt;$I$10,$H$16,$H$11))*E232/600</f>
        <v>6.5990388333333344E-2</v>
      </c>
      <c r="L232" s="32">
        <f>$J232*($G232-$G231)*60*24</f>
        <v>6.5990388333322561E-2</v>
      </c>
    </row>
    <row r="233" spans="1:12">
      <c r="A233" s="22">
        <v>40310.775000000001</v>
      </c>
      <c r="E233" s="26">
        <v>206.99055999999999</v>
      </c>
      <c r="G233" s="27">
        <v>0.77500000000000002</v>
      </c>
      <c r="J233" s="30">
        <f>IF(G233&lt;$H$10,$H$16,IF(G233&gt;$I$10,$H$16,$H$11))*E233/600</f>
        <v>6.899685333333333E-2</v>
      </c>
      <c r="L233" s="32">
        <f>$J233*($G233-$G232)*60*24</f>
        <v>6.8996853333344127E-2</v>
      </c>
    </row>
    <row r="234" spans="1:12">
      <c r="A234" s="22">
        <v>40310.775694444441</v>
      </c>
      <c r="E234" s="26">
        <v>215.54977500000001</v>
      </c>
      <c r="G234" s="27">
        <v>0.77569444444444446</v>
      </c>
      <c r="J234" s="30">
        <f>IF(G234&lt;$H$10,$H$16,IF(G234&gt;$I$10,$H$16,$H$11))*E234/600</f>
        <v>7.1849925000000009E-2</v>
      </c>
      <c r="L234" s="32">
        <f>$J234*($G234-$G233)*60*24</f>
        <v>7.1849924999999759E-2</v>
      </c>
    </row>
    <row r="235" spans="1:12">
      <c r="A235" s="22">
        <v>40310.776388888888</v>
      </c>
      <c r="E235" s="26">
        <v>212.04</v>
      </c>
      <c r="G235" s="27">
        <v>0.77638888888888891</v>
      </c>
      <c r="J235" s="30">
        <f>IF(G235&lt;$H$10,$H$16,IF(G235&gt;$I$10,$H$16,$H$11))*E235/600</f>
        <v>7.0680000000000007E-2</v>
      </c>
      <c r="L235" s="32">
        <f>$J235*($G235-$G234)*60*24</f>
        <v>7.0679999999999757E-2</v>
      </c>
    </row>
    <row r="236" spans="1:12">
      <c r="A236" s="22">
        <v>40310.777083333334</v>
      </c>
      <c r="E236" s="26">
        <v>196.79820000000001</v>
      </c>
      <c r="G236" s="27">
        <v>0.77708333333333324</v>
      </c>
      <c r="J236" s="30">
        <f>IF(G236&lt;$H$10,$H$16,IF(G236&gt;$I$10,$H$16,$H$11))*E236/600</f>
        <v>6.5599400000000016E-2</v>
      </c>
      <c r="L236" s="32">
        <f>$J236*($G236-$G235)*60*24</f>
        <v>6.5599399999989289E-2</v>
      </c>
    </row>
    <row r="237" spans="1:12">
      <c r="A237" s="22">
        <v>40310.777777777781</v>
      </c>
      <c r="E237" s="26">
        <v>196.65</v>
      </c>
      <c r="G237" s="27">
        <v>0.77777777777777779</v>
      </c>
      <c r="J237" s="30">
        <f>IF(G237&lt;$H$10,$H$16,IF(G237&gt;$I$10,$H$16,$H$11))*E237/600</f>
        <v>6.5550000000000011E-2</v>
      </c>
      <c r="L237" s="32">
        <f>$J237*($G237-$G236)*60*24</f>
        <v>6.5550000000010253E-2</v>
      </c>
    </row>
    <row r="238" spans="1:12">
      <c r="A238" s="22">
        <v>40310.77847222222</v>
      </c>
      <c r="E238" s="26">
        <v>196.79012499999999</v>
      </c>
      <c r="G238" s="27">
        <v>0.77847222222222223</v>
      </c>
      <c r="J238" s="30">
        <f>IF(G238&lt;$H$10,$H$16,IF(G238&gt;$I$10,$H$16,$H$11))*E238/600</f>
        <v>6.5596708333333323E-2</v>
      </c>
      <c r="L238" s="32">
        <f>$J238*($G238-$G237)*60*24</f>
        <v>6.5596708333333087E-2</v>
      </c>
    </row>
    <row r="239" spans="1:12">
      <c r="A239" s="22">
        <v>40310.779166666667</v>
      </c>
      <c r="E239" s="26">
        <v>197.035605</v>
      </c>
      <c r="G239" s="27">
        <v>0.77916666666666667</v>
      </c>
      <c r="J239" s="30">
        <f>IF(G239&lt;$H$10,$H$16,IF(G239&gt;$I$10,$H$16,$H$11))*E239/600</f>
        <v>6.567853500000001E-2</v>
      </c>
      <c r="L239" s="32">
        <f>$J239*($G239-$G238)*60*24</f>
        <v>6.5678534999999788E-2</v>
      </c>
    </row>
    <row r="240" spans="1:12">
      <c r="A240" s="22">
        <v>40310.779861111114</v>
      </c>
      <c r="E240" s="26">
        <v>197.85146499999999</v>
      </c>
      <c r="G240" s="27">
        <v>0.77986111111111101</v>
      </c>
      <c r="J240" s="30">
        <f>IF(G240&lt;$H$10,$H$16,IF(G240&gt;$I$10,$H$16,$H$11))*E240/600</f>
        <v>6.5950488333333335E-2</v>
      </c>
      <c r="L240" s="32">
        <f>$J240*($G240-$G239)*60*24</f>
        <v>6.5950488333322552E-2</v>
      </c>
    </row>
    <row r="241" spans="1:12">
      <c r="A241" s="22">
        <v>40310.780555555553</v>
      </c>
      <c r="E241" s="26">
        <v>200.17601999999999</v>
      </c>
      <c r="G241" s="27">
        <v>0.78055555555555556</v>
      </c>
      <c r="J241" s="30">
        <f>IF(G241&lt;$H$10,$H$16,IF(G241&gt;$I$10,$H$16,$H$11))*E241/600</f>
        <v>6.6725339999999994E-2</v>
      </c>
      <c r="L241" s="32">
        <f>$J241*($G241-$G240)*60*24</f>
        <v>6.672534000001043E-2</v>
      </c>
    </row>
    <row r="242" spans="1:12">
      <c r="A242" s="22">
        <v>40310.78125</v>
      </c>
      <c r="E242" s="26">
        <v>198.028355</v>
      </c>
      <c r="G242" s="27">
        <v>0.78125</v>
      </c>
      <c r="J242" s="30">
        <f>IF(G242&lt;$H$10,$H$16,IF(G242&gt;$I$10,$H$16,$H$11))*E242/600</f>
        <v>6.6009451666666663E-2</v>
      </c>
      <c r="L242" s="32">
        <f>$J242*($G242-$G241)*60*24</f>
        <v>6.6009451666666427E-2</v>
      </c>
    </row>
    <row r="243" spans="1:12">
      <c r="A243" s="22">
        <v>40310.781944444447</v>
      </c>
      <c r="E243" s="26">
        <v>197.09003999999999</v>
      </c>
      <c r="G243" s="27">
        <v>0.78194444444444444</v>
      </c>
      <c r="J243" s="30">
        <f>IF(G243&lt;$H$10,$H$16,IF(G243&gt;$I$10,$H$16,$H$11))*E243/600</f>
        <v>6.5696680000000007E-2</v>
      </c>
      <c r="L243" s="32">
        <f>$J243*($G243-$G242)*60*24</f>
        <v>6.5696679999999785E-2</v>
      </c>
    </row>
    <row r="244" spans="1:12">
      <c r="A244" s="22">
        <v>40310.782638888886</v>
      </c>
      <c r="E244" s="26">
        <v>198.14739</v>
      </c>
      <c r="G244" s="27">
        <v>0.78263888888888899</v>
      </c>
      <c r="J244" s="30">
        <f>IF(G244&lt;$H$10,$H$16,IF(G244&gt;$I$10,$H$16,$H$11))*E244/600</f>
        <v>6.6049130000000011E-2</v>
      </c>
      <c r="L244" s="32">
        <f>$J244*($G244-$G243)*60*24</f>
        <v>6.6049130000010337E-2</v>
      </c>
    </row>
    <row r="245" spans="1:12">
      <c r="A245" s="22">
        <v>40310.783333333333</v>
      </c>
      <c r="E245" s="26">
        <v>200.250595</v>
      </c>
      <c r="G245" s="27">
        <v>0.78333333333333333</v>
      </c>
      <c r="J245" s="30">
        <f>IF(G245&lt;$H$10,$H$16,IF(G245&gt;$I$10,$H$16,$H$11))*E245/600</f>
        <v>6.6750198333333344E-2</v>
      </c>
      <c r="L245" s="32">
        <f>$J245*($G245-$G244)*60*24</f>
        <v>6.6750198333322436E-2</v>
      </c>
    </row>
    <row r="246" spans="1:12">
      <c r="A246" s="22">
        <v>40310.78402777778</v>
      </c>
      <c r="E246" s="26">
        <v>198.701145</v>
      </c>
      <c r="G246" s="27">
        <v>0.78402777777777777</v>
      </c>
      <c r="J246" s="30">
        <f>IF(G246&lt;$H$10,$H$16,IF(G246&gt;$I$10,$H$16,$H$11))*E246/600</f>
        <v>6.6233714999999999E-2</v>
      </c>
      <c r="L246" s="32">
        <f>$J246*($G246-$G245)*60*24</f>
        <v>6.6233714999999763E-2</v>
      </c>
    </row>
    <row r="247" spans="1:12">
      <c r="A247" s="22">
        <v>40310.784722222219</v>
      </c>
      <c r="E247" s="26">
        <v>199.05112500000001</v>
      </c>
      <c r="G247" s="27">
        <v>0.78472222222222221</v>
      </c>
      <c r="J247" s="30">
        <f>IF(G247&lt;$H$10,$H$16,IF(G247&gt;$I$10,$H$16,$H$11))*E247/600</f>
        <v>6.6350375000000003E-2</v>
      </c>
      <c r="L247" s="32">
        <f>$J247*($G247-$G246)*60*24</f>
        <v>6.6350374999999767E-2</v>
      </c>
    </row>
    <row r="248" spans="1:12">
      <c r="A248" s="22">
        <v>40310.785416666666</v>
      </c>
      <c r="E248" s="26">
        <v>198.18368000000001</v>
      </c>
      <c r="G248" s="27">
        <v>0.78541666666666676</v>
      </c>
      <c r="J248" s="30">
        <f>IF(G248&lt;$H$10,$H$16,IF(G248&gt;$I$10,$H$16,$H$11))*E248/600</f>
        <v>6.6061226666666681E-2</v>
      </c>
      <c r="L248" s="32">
        <f>$J248*($G248-$G247)*60*24</f>
        <v>6.6061226666677006E-2</v>
      </c>
    </row>
    <row r="249" spans="1:12">
      <c r="A249" s="22">
        <v>40310.786111111112</v>
      </c>
      <c r="E249" s="26">
        <v>198.41813999999999</v>
      </c>
      <c r="G249" s="27">
        <v>0.78611111111111109</v>
      </c>
      <c r="J249" s="30">
        <f>IF(G249&lt;$H$10,$H$16,IF(G249&gt;$I$10,$H$16,$H$11))*E249/600</f>
        <v>6.6139379999999998E-2</v>
      </c>
      <c r="L249" s="32">
        <f>$J249*($G249-$G248)*60*24</f>
        <v>6.6139379999989187E-2</v>
      </c>
    </row>
    <row r="250" spans="1:12">
      <c r="A250" s="22">
        <v>40310.786805555559</v>
      </c>
      <c r="E250" s="26">
        <v>197.44173000000001</v>
      </c>
      <c r="G250" s="27">
        <v>0.78680555555555554</v>
      </c>
      <c r="J250" s="30">
        <f>IF(G250&lt;$H$10,$H$16,IF(G250&gt;$I$10,$H$16,$H$11))*E250/600</f>
        <v>6.5813910000000017E-2</v>
      </c>
      <c r="L250" s="32">
        <f>$J250*($G250-$G249)*60*24</f>
        <v>6.5813909999999781E-2</v>
      </c>
    </row>
    <row r="251" spans="1:12">
      <c r="A251" s="22">
        <v>40310.787499999999</v>
      </c>
      <c r="E251" s="26">
        <v>196.10261</v>
      </c>
      <c r="G251" s="27">
        <v>0.78749999999999998</v>
      </c>
      <c r="J251" s="30">
        <f>IF(G251&lt;$H$10,$H$16,IF(G251&gt;$I$10,$H$16,$H$11))*E251/600</f>
        <v>6.536753666666667E-2</v>
      </c>
      <c r="L251" s="32">
        <f>$J251*($G251-$G250)*60*24</f>
        <v>6.5367536666666434E-2</v>
      </c>
    </row>
    <row r="252" spans="1:12">
      <c r="A252" s="22">
        <v>40310.788194444445</v>
      </c>
      <c r="E252" s="26">
        <v>195.44017500000001</v>
      </c>
      <c r="G252" s="27">
        <v>0.78819444444444453</v>
      </c>
      <c r="J252" s="30">
        <f>IF(G252&lt;$H$10,$H$16,IF(G252&gt;$I$10,$H$16,$H$11))*E252/600</f>
        <v>6.5146725000000003E-2</v>
      </c>
      <c r="L252" s="32">
        <f>$J252*($G252-$G251)*60*24</f>
        <v>6.5146725000010189E-2</v>
      </c>
    </row>
    <row r="253" spans="1:12">
      <c r="A253" s="22">
        <v>40310.788888888892</v>
      </c>
      <c r="E253" s="26">
        <v>195.82711</v>
      </c>
      <c r="G253" s="27">
        <v>0.78888888888888886</v>
      </c>
      <c r="J253" s="30">
        <f>IF(G253&lt;$H$10,$H$16,IF(G253&gt;$I$10,$H$16,$H$11))*E253/600</f>
        <v>6.5275703333333338E-2</v>
      </c>
      <c r="L253" s="32">
        <f>$J253*($G253-$G252)*60*24</f>
        <v>6.5275703333322666E-2</v>
      </c>
    </row>
    <row r="254" spans="1:12">
      <c r="A254" s="22">
        <v>40310.789583333331</v>
      </c>
      <c r="E254" s="26">
        <v>197.98285000000001</v>
      </c>
      <c r="G254" s="27">
        <v>0.7895833333333333</v>
      </c>
      <c r="J254" s="30">
        <f>IF(G254&lt;$H$10,$H$16,IF(G254&gt;$I$10,$H$16,$H$11))*E254/600</f>
        <v>6.5994283333333348E-2</v>
      </c>
      <c r="L254" s="32">
        <f>$J254*($G254-$G253)*60*24</f>
        <v>6.5994283333333112E-2</v>
      </c>
    </row>
    <row r="255" spans="1:12">
      <c r="A255" s="22">
        <v>40310.790277777778</v>
      </c>
      <c r="E255" s="26">
        <v>196.04865000000001</v>
      </c>
      <c r="G255" s="27">
        <v>0.79027777777777775</v>
      </c>
      <c r="J255" s="30">
        <f>IF(G255&lt;$H$10,$H$16,IF(G255&gt;$I$10,$H$16,$H$11))*E255/600</f>
        <v>6.5349550000000006E-2</v>
      </c>
      <c r="L255" s="32">
        <f>$J255*($G255-$G254)*60*24</f>
        <v>6.534954999999977E-2</v>
      </c>
    </row>
    <row r="256" spans="1:12">
      <c r="A256" s="22">
        <v>40310.790972222225</v>
      </c>
      <c r="E256" s="26">
        <v>195.57175000000001</v>
      </c>
      <c r="G256" s="27">
        <v>0.7909722222222223</v>
      </c>
      <c r="J256" s="30">
        <f>IF(G256&lt;$H$10,$H$16,IF(G256&gt;$I$10,$H$16,$H$11))*E256/600</f>
        <v>6.519058333333333E-2</v>
      </c>
      <c r="L256" s="32">
        <f>$J256*($G256-$G255)*60*24</f>
        <v>6.5190583333343516E-2</v>
      </c>
    </row>
    <row r="257" spans="1:12">
      <c r="A257" s="22">
        <v>40310.791666666664</v>
      </c>
      <c r="E257" s="26">
        <v>196.37031999999999</v>
      </c>
      <c r="G257" s="27">
        <v>0.79166666666666663</v>
      </c>
      <c r="J257" s="30">
        <f>IF(G257&lt;$H$10,$H$16,IF(G257&gt;$I$10,$H$16,$H$11))*E257/600</f>
        <v>6.5456773333333343E-2</v>
      </c>
      <c r="L257" s="32">
        <f>$J257*($G257-$G256)*60*24</f>
        <v>6.5456773333322643E-2</v>
      </c>
    </row>
    <row r="258" spans="1:12">
      <c r="A258" s="22">
        <v>40310.792361111111</v>
      </c>
      <c r="E258" s="26">
        <v>194.34890999999999</v>
      </c>
      <c r="G258" s="27">
        <v>0.79236111111111107</v>
      </c>
      <c r="J258" s="30">
        <f>IF(G258&lt;$H$10,$H$16,IF(G258&gt;$I$10,$H$16,$H$11))*E258/600</f>
        <v>6.4782969999999995E-2</v>
      </c>
      <c r="L258" s="32">
        <f>$J258*($G258-$G257)*60*24</f>
        <v>6.4782969999999773E-2</v>
      </c>
    </row>
    <row r="259" spans="1:12">
      <c r="A259" s="22">
        <v>40310.793055555558</v>
      </c>
      <c r="E259" s="26">
        <v>193.48564500000001</v>
      </c>
      <c r="G259" s="27">
        <v>0.79305555555555562</v>
      </c>
      <c r="J259" s="30">
        <f>IF(G259&lt;$H$10,$H$16,IF(G259&gt;$I$10,$H$16,$H$11))*E259/600</f>
        <v>6.4495215000000009E-2</v>
      </c>
      <c r="L259" s="32">
        <f>$J259*($G259-$G258)*60*24</f>
        <v>6.4495215000010098E-2</v>
      </c>
    </row>
    <row r="260" spans="1:12">
      <c r="A260" s="22">
        <v>40310.793749999997</v>
      </c>
      <c r="E260" s="26">
        <v>192.83403999999999</v>
      </c>
      <c r="G260" s="27">
        <v>0.79375000000000007</v>
      </c>
      <c r="J260" s="30">
        <f>IF(G260&lt;$H$10,$H$16,IF(G260&gt;$I$10,$H$16,$H$11))*E260/600</f>
        <v>6.4278013333333342E-2</v>
      </c>
      <c r="L260" s="32">
        <f>$J260*($G260-$G259)*60*24</f>
        <v>6.4278013333333106E-2</v>
      </c>
    </row>
    <row r="261" spans="1:12">
      <c r="A261" s="22">
        <v>40310.794444444444</v>
      </c>
      <c r="E261" s="26">
        <v>196.80694</v>
      </c>
      <c r="G261" s="27">
        <v>0.7944444444444444</v>
      </c>
      <c r="J261" s="30">
        <f>IF(G261&lt;$H$10,$H$16,IF(G261&gt;$I$10,$H$16,$H$11))*E261/600</f>
        <v>6.5602313333333342E-2</v>
      </c>
      <c r="L261" s="32">
        <f>$J261*($G261-$G260)*60*24</f>
        <v>6.5602313333322615E-2</v>
      </c>
    </row>
    <row r="262" spans="1:12">
      <c r="A262" s="22">
        <v>40310.795138888891</v>
      </c>
      <c r="E262" s="26">
        <v>194.57862</v>
      </c>
      <c r="G262" s="27">
        <v>0.79513888888888884</v>
      </c>
      <c r="J262" s="30">
        <f>IF(G262&lt;$H$10,$H$16,IF(G262&gt;$I$10,$H$16,$H$11))*E262/600</f>
        <v>6.4859540000000007E-2</v>
      </c>
      <c r="L262" s="32">
        <f>$J262*($G262-$G261)*60*24</f>
        <v>6.4859539999999771E-2</v>
      </c>
    </row>
    <row r="263" spans="1:12">
      <c r="A263" s="22">
        <v>40310.79583333333</v>
      </c>
      <c r="E263" s="26">
        <v>193.87144000000001</v>
      </c>
      <c r="G263" s="27">
        <v>0.79583333333333339</v>
      </c>
      <c r="J263" s="30">
        <f>IF(G263&lt;$H$10,$H$16,IF(G263&gt;$I$10,$H$16,$H$11))*E263/600</f>
        <v>6.4623813333333349E-2</v>
      </c>
      <c r="L263" s="32">
        <f>$J263*($G263-$G262)*60*24</f>
        <v>6.4623813333343452E-2</v>
      </c>
    </row>
    <row r="264" spans="1:12">
      <c r="A264" s="22">
        <v>40310.796527777777</v>
      </c>
      <c r="E264" s="26">
        <v>194.78381999999999</v>
      </c>
      <c r="G264" s="27">
        <v>0.79652777777777783</v>
      </c>
      <c r="J264" s="30">
        <f>IF(G264&lt;$H$10,$H$16,IF(G264&gt;$I$10,$H$16,$H$11))*E264/600</f>
        <v>6.4927940000000003E-2</v>
      </c>
      <c r="L264" s="32">
        <f>$J264*($G264-$G263)*60*24</f>
        <v>6.4927939999999768E-2</v>
      </c>
    </row>
    <row r="265" spans="1:12">
      <c r="A265" s="22">
        <v>40310.797222222223</v>
      </c>
      <c r="E265" s="26">
        <v>195.29339999999999</v>
      </c>
      <c r="G265" s="27">
        <v>0.79722222222222217</v>
      </c>
      <c r="J265" s="30">
        <f>IF(G265&lt;$H$10,$H$16,IF(G265&gt;$I$10,$H$16,$H$11))*E265/600</f>
        <v>6.5097799999999997E-2</v>
      </c>
      <c r="L265" s="32">
        <f>$J265*($G265-$G264)*60*24</f>
        <v>6.5097799999989353E-2</v>
      </c>
    </row>
    <row r="266" spans="1:12">
      <c r="A266" s="22">
        <v>40310.79791666667</v>
      </c>
      <c r="E266" s="26">
        <v>194.359455</v>
      </c>
      <c r="G266" s="27">
        <v>0.79791666666666661</v>
      </c>
      <c r="J266" s="30">
        <f>IF(G266&lt;$H$10,$H$16,IF(G266&gt;$I$10,$H$16,$H$11))*E266/600</f>
        <v>6.4786485000000005E-2</v>
      </c>
      <c r="L266" s="32">
        <f>$J266*($G266-$G265)*60*24</f>
        <v>6.4786484999999769E-2</v>
      </c>
    </row>
    <row r="267" spans="1:12">
      <c r="A267" s="22">
        <v>40310.798611111109</v>
      </c>
      <c r="E267" s="26">
        <v>194.923755</v>
      </c>
      <c r="G267" s="27">
        <v>0.79861111111111116</v>
      </c>
      <c r="J267" s="30">
        <f>IF(G267&lt;$H$10,$H$16,IF(G267&gt;$I$10,$H$16,$H$11))*E267/600</f>
        <v>6.4974585000000001E-2</v>
      </c>
      <c r="L267" s="32">
        <f>$J267*($G267-$G266)*60*24</f>
        <v>6.497458500001016E-2</v>
      </c>
    </row>
    <row r="268" spans="1:12">
      <c r="A268" s="22">
        <v>40310.799305555556</v>
      </c>
      <c r="E268" s="26">
        <v>195.21397999999999</v>
      </c>
      <c r="G268" s="27">
        <v>0.7993055555555556</v>
      </c>
      <c r="J268" s="30">
        <f>IF(G268&lt;$H$10,$H$16,IF(G268&gt;$I$10,$H$16,$H$11))*E268/600</f>
        <v>6.5071326666666665E-2</v>
      </c>
      <c r="L268" s="32">
        <f>$J268*($G268-$G267)*60*24</f>
        <v>6.5071326666666429E-2</v>
      </c>
    </row>
    <row r="269" spans="1:12">
      <c r="A269" s="22">
        <v>40310.800000000003</v>
      </c>
      <c r="E269" s="26">
        <v>195.96904000000001</v>
      </c>
      <c r="G269" s="27">
        <v>0.79999999999999993</v>
      </c>
      <c r="J269" s="30">
        <f>IF(G269&lt;$H$10,$H$16,IF(G269&gt;$I$10,$H$16,$H$11))*E269/600</f>
        <v>6.5323013333333346E-2</v>
      </c>
      <c r="L269" s="32">
        <f>$J269*($G269-$G268)*60*24</f>
        <v>6.5323013333322674E-2</v>
      </c>
    </row>
    <row r="270" spans="1:12">
      <c r="A270" s="22">
        <v>40310.800694444442</v>
      </c>
      <c r="E270" s="26">
        <v>195.46344999999999</v>
      </c>
      <c r="G270" s="27">
        <v>0.80069444444444438</v>
      </c>
      <c r="J270" s="30">
        <f>IF(G270&lt;$H$10,$H$16,IF(G270&gt;$I$10,$H$16,$H$11))*E270/600</f>
        <v>6.5154483333333346E-2</v>
      </c>
      <c r="L270" s="32">
        <f>$J270*($G270-$G269)*60*24</f>
        <v>6.515448333333311E-2</v>
      </c>
    </row>
    <row r="271" spans="1:12">
      <c r="A271" s="22">
        <v>40310.801388888889</v>
      </c>
      <c r="E271" s="26">
        <v>194.06182000000001</v>
      </c>
      <c r="G271" s="27">
        <v>0.80138888888888893</v>
      </c>
      <c r="J271" s="30">
        <f>IF(G271&lt;$H$10,$H$16,IF(G271&gt;$I$10,$H$16,$H$11))*E271/600</f>
        <v>6.4687273333333337E-2</v>
      </c>
      <c r="L271" s="32">
        <f>$J271*($G271-$G270)*60*24</f>
        <v>6.4687273333343454E-2</v>
      </c>
    </row>
    <row r="272" spans="1:12">
      <c r="A272" s="22">
        <v>40310.802083333336</v>
      </c>
      <c r="E272" s="26">
        <v>194.83607000000001</v>
      </c>
      <c r="G272" s="27">
        <v>0.80208333333333337</v>
      </c>
      <c r="J272" s="30">
        <f>IF(G272&lt;$H$10,$H$16,IF(G272&gt;$I$10,$H$16,$H$11))*E272/600</f>
        <v>6.4945356666666676E-2</v>
      </c>
      <c r="L272" s="32">
        <f>$J272*($G272-$G271)*60*24</f>
        <v>6.4945356666666454E-2</v>
      </c>
    </row>
    <row r="273" spans="1:12">
      <c r="A273" s="22">
        <v>40310.802777777775</v>
      </c>
      <c r="E273" s="26">
        <v>194.359455</v>
      </c>
      <c r="G273" s="27">
        <v>0.8027777777777777</v>
      </c>
      <c r="J273" s="30">
        <f>IF(G273&lt;$H$10,$H$16,IF(G273&gt;$I$10,$H$16,$H$11))*E273/600</f>
        <v>6.4786485000000005E-2</v>
      </c>
      <c r="L273" s="32">
        <f>$J273*($G273-$G272)*60*24</f>
        <v>6.4786484999989416E-2</v>
      </c>
    </row>
    <row r="274" spans="1:12">
      <c r="A274" s="22">
        <v>40310.803472222222</v>
      </c>
      <c r="E274" s="26">
        <v>194.183325</v>
      </c>
      <c r="G274" s="27">
        <v>0.80347222222222225</v>
      </c>
      <c r="J274" s="30">
        <f>IF(G274&lt;$H$10,$H$16,IF(G274&gt;$I$10,$H$16,$H$11))*E274/600</f>
        <v>6.4727775000000001E-2</v>
      </c>
      <c r="L274" s="32">
        <f>$J274*($G274-$G273)*60*24</f>
        <v>6.4727775000010118E-2</v>
      </c>
    </row>
    <row r="275" spans="1:12">
      <c r="A275" s="22">
        <v>40310.804166666669</v>
      </c>
      <c r="E275" s="26">
        <v>195.17037500000001</v>
      </c>
      <c r="G275" s="27">
        <v>0.8041666666666667</v>
      </c>
      <c r="J275" s="30">
        <f>IF(G275&lt;$H$10,$H$16,IF(G275&gt;$I$10,$H$16,$H$11))*E275/600</f>
        <v>6.5056791666666669E-2</v>
      </c>
      <c r="L275" s="32">
        <f>$J275*($G275-$G274)*60*24</f>
        <v>6.5056791666666433E-2</v>
      </c>
    </row>
    <row r="276" spans="1:12">
      <c r="A276" s="22">
        <v>40310.804861111108</v>
      </c>
      <c r="E276" s="26">
        <v>195.29472999999999</v>
      </c>
      <c r="G276" s="27">
        <v>0.80486111111111114</v>
      </c>
      <c r="J276" s="30">
        <f>IF(G276&lt;$H$10,$H$16,IF(G276&gt;$I$10,$H$16,$H$11))*E276/600</f>
        <v>6.5098243333333333E-2</v>
      </c>
      <c r="L276" s="32">
        <f>$J276*($G276-$G275)*60*24</f>
        <v>6.5098243333333097E-2</v>
      </c>
    </row>
    <row r="277" spans="1:12">
      <c r="A277" s="22">
        <v>40310.805555555555</v>
      </c>
      <c r="E277" s="26">
        <v>196.43634499999999</v>
      </c>
      <c r="G277" s="27">
        <v>0.80555555555555547</v>
      </c>
      <c r="J277" s="30">
        <f>IF(G277&lt;$H$10,$H$16,IF(G277&gt;$I$10,$H$16,$H$11))*E277/600</f>
        <v>6.5478781666666666E-2</v>
      </c>
      <c r="L277" s="32">
        <f>$J277*($G277-$G276)*60*24</f>
        <v>6.5478781666655966E-2</v>
      </c>
    </row>
    <row r="278" spans="1:12">
      <c r="A278" s="22">
        <v>40310.806250000001</v>
      </c>
      <c r="E278" s="26">
        <v>197.28953999999999</v>
      </c>
      <c r="G278" s="27">
        <v>0.80625000000000002</v>
      </c>
      <c r="J278" s="30">
        <f>IF(G278&lt;$H$10,$H$16,IF(G278&gt;$I$10,$H$16,$H$11))*E278/600</f>
        <v>6.5763180000000004E-2</v>
      </c>
      <c r="L278" s="32">
        <f>$J278*($G278-$G277)*60*24</f>
        <v>6.5763180000010274E-2</v>
      </c>
    </row>
    <row r="279" spans="1:12">
      <c r="A279" s="22">
        <v>40310.806944444441</v>
      </c>
      <c r="E279" s="26">
        <v>194.40210999999999</v>
      </c>
      <c r="G279" s="27">
        <v>0.80694444444444446</v>
      </c>
      <c r="J279" s="30">
        <f>IF(G279&lt;$H$10,$H$16,IF(G279&gt;$I$10,$H$16,$H$11))*E279/600</f>
        <v>6.4800703333333334E-2</v>
      </c>
      <c r="L279" s="32">
        <f>$J279*($G279-$G278)*60*24</f>
        <v>6.4800703333333098E-2</v>
      </c>
    </row>
    <row r="280" spans="1:12">
      <c r="A280" s="22">
        <v>40310.807638888888</v>
      </c>
      <c r="E280" s="26">
        <v>196.01103000000001</v>
      </c>
      <c r="G280" s="27">
        <v>0.80763888888888891</v>
      </c>
      <c r="J280" s="30">
        <f>IF(G280&lt;$H$10,$H$16,IF(G280&gt;$I$10,$H$16,$H$11))*E280/600</f>
        <v>6.5337010000000001E-2</v>
      </c>
      <c r="L280" s="32">
        <f>$J280*($G280-$G279)*60*24</f>
        <v>6.5337009999999765E-2</v>
      </c>
    </row>
    <row r="281" spans="1:12">
      <c r="A281" s="22">
        <v>40310.808333333334</v>
      </c>
      <c r="E281" s="26">
        <v>196.63413499999999</v>
      </c>
      <c r="G281" s="27">
        <v>0.80833333333333324</v>
      </c>
      <c r="J281" s="30">
        <f>IF(G281&lt;$H$10,$H$16,IF(G281&gt;$I$10,$H$16,$H$11))*E281/600</f>
        <v>6.5544711666666672E-2</v>
      </c>
      <c r="L281" s="32">
        <f>$J281*($G281-$G280)*60*24</f>
        <v>6.5544711666655958E-2</v>
      </c>
    </row>
    <row r="282" spans="1:12">
      <c r="A282" s="22">
        <v>40310.809027777781</v>
      </c>
      <c r="E282" s="26">
        <v>193.75611000000001</v>
      </c>
      <c r="G282" s="27">
        <v>0.80902777777777779</v>
      </c>
      <c r="J282" s="30">
        <f>IF(G282&lt;$H$10,$H$16,IF(G282&gt;$I$10,$H$16,$H$11))*E282/600</f>
        <v>6.4585370000000003E-2</v>
      </c>
      <c r="L282" s="32">
        <f>$J282*($G282-$G281)*60*24</f>
        <v>6.4585370000010106E-2</v>
      </c>
    </row>
    <row r="283" spans="1:12">
      <c r="A283" s="22">
        <v>40310.80972222222</v>
      </c>
      <c r="E283" s="26">
        <v>194.61291499999999</v>
      </c>
      <c r="G283" s="27">
        <v>0.80972222222222223</v>
      </c>
      <c r="J283" s="30">
        <f>IF(G283&lt;$H$10,$H$16,IF(G283&gt;$I$10,$H$16,$H$11))*E283/600</f>
        <v>6.4870971666666666E-2</v>
      </c>
      <c r="L283" s="32">
        <f>$J283*($G283-$G282)*60*24</f>
        <v>6.487097166666643E-2</v>
      </c>
    </row>
    <row r="284" spans="1:12">
      <c r="A284" s="22">
        <v>40310.810416666667</v>
      </c>
      <c r="E284" s="26">
        <v>193.99247</v>
      </c>
      <c r="G284" s="27">
        <v>0.81041666666666667</v>
      </c>
      <c r="J284" s="30">
        <f>IF(G284&lt;$H$10,$H$16,IF(G284&gt;$I$10,$H$16,$H$11))*E284/600</f>
        <v>6.4664156666666681E-2</v>
      </c>
      <c r="L284" s="32">
        <f>$J284*($G284-$G283)*60*24</f>
        <v>6.4664156666666445E-2</v>
      </c>
    </row>
    <row r="285" spans="1:12">
      <c r="A285" s="22">
        <v>40310.811111111114</v>
      </c>
      <c r="E285" s="26">
        <v>196.38399999999999</v>
      </c>
      <c r="G285" s="27">
        <v>0.81111111111111101</v>
      </c>
      <c r="J285" s="30">
        <f>IF(G285&lt;$H$10,$H$16,IF(G285&gt;$I$10,$H$16,$H$11))*E285/600</f>
        <v>6.546133333333333E-2</v>
      </c>
      <c r="L285" s="32">
        <f>$J285*($G285-$G284)*60*24</f>
        <v>6.546133333332263E-2</v>
      </c>
    </row>
    <row r="286" spans="1:12">
      <c r="A286" s="22">
        <v>40310.811805555553</v>
      </c>
      <c r="E286" s="26">
        <v>194.14124000000001</v>
      </c>
      <c r="G286" s="27">
        <v>0.81180555555555556</v>
      </c>
      <c r="J286" s="30">
        <f>IF(G286&lt;$H$10,$H$16,IF(G286&gt;$I$10,$H$16,$H$11))*E286/600</f>
        <v>6.4713746666666669E-2</v>
      </c>
      <c r="L286" s="32">
        <f>$J286*($G286-$G285)*60*24</f>
        <v>6.4713746666676786E-2</v>
      </c>
    </row>
    <row r="287" spans="1:12">
      <c r="A287" s="22">
        <v>40310.8125</v>
      </c>
      <c r="E287" s="26">
        <v>193.465125</v>
      </c>
      <c r="G287" s="27">
        <v>0.8125</v>
      </c>
      <c r="J287" s="30">
        <f>IF(G287&lt;$H$10,$H$16,IF(G287&gt;$I$10,$H$16,$H$11))*E287/600</f>
        <v>6.4488375000000014E-2</v>
      </c>
      <c r="L287" s="32">
        <f>$J287*($G287-$G286)*60*24</f>
        <v>6.4488374999999792E-2</v>
      </c>
    </row>
    <row r="288" spans="1:12">
      <c r="A288" s="22">
        <v>40310.813194444447</v>
      </c>
      <c r="E288" s="26">
        <v>193.60239999999999</v>
      </c>
      <c r="G288" s="27">
        <v>0.81319444444444444</v>
      </c>
      <c r="J288" s="30">
        <f>IF(G288&lt;$H$10,$H$16,IF(G288&gt;$I$10,$H$16,$H$11))*E288/600</f>
        <v>6.4534133333333341E-2</v>
      </c>
      <c r="L288" s="32">
        <f>$J288*($G288-$G287)*60*24</f>
        <v>6.4534133333333105E-2</v>
      </c>
    </row>
    <row r="289" spans="1:12">
      <c r="A289" s="22">
        <v>40310.813888888886</v>
      </c>
      <c r="E289" s="26">
        <v>193.19437500000001</v>
      </c>
      <c r="G289" s="27">
        <v>0.81388888888888899</v>
      </c>
      <c r="J289" s="30">
        <f>IF(G289&lt;$H$10,$H$16,IF(G289&gt;$I$10,$H$16,$H$11))*E289/600</f>
        <v>6.4398125000000014E-2</v>
      </c>
      <c r="L289" s="32">
        <f>$J289*($G289-$G288)*60*24</f>
        <v>6.4398125000010076E-2</v>
      </c>
    </row>
    <row r="290" spans="1:12">
      <c r="A290" s="22">
        <v>40310.814583333333</v>
      </c>
      <c r="E290" s="26">
        <v>195.97198499999999</v>
      </c>
      <c r="G290" s="27">
        <v>0.81458333333333333</v>
      </c>
      <c r="J290" s="30">
        <f>IF(G290&lt;$H$10,$H$16,IF(G290&gt;$I$10,$H$16,$H$11))*E290/600</f>
        <v>6.532399500000001E-2</v>
      </c>
      <c r="L290" s="32">
        <f>$J290*($G290-$G289)*60*24</f>
        <v>6.5323994999989338E-2</v>
      </c>
    </row>
    <row r="291" spans="1:12">
      <c r="A291" s="22">
        <v>40310.81527777778</v>
      </c>
      <c r="E291" s="26">
        <v>194.94152</v>
      </c>
      <c r="G291" s="27">
        <v>0.81527777777777777</v>
      </c>
      <c r="J291" s="30">
        <f>IF(G291&lt;$H$10,$H$16,IF(G291&gt;$I$10,$H$16,$H$11))*E291/600</f>
        <v>6.498050666666666E-2</v>
      </c>
      <c r="L291" s="32">
        <f>$J291*($G291-$G290)*60*24</f>
        <v>6.4980506666666438E-2</v>
      </c>
    </row>
    <row r="292" spans="1:12">
      <c r="A292" s="22">
        <v>40310.815972222219</v>
      </c>
      <c r="E292" s="26">
        <v>193.95988500000001</v>
      </c>
      <c r="G292" s="27">
        <v>0.81597222222222221</v>
      </c>
      <c r="J292" s="30">
        <f>IF(G292&lt;$H$10,$H$16,IF(G292&gt;$I$10,$H$16,$H$11))*E292/600</f>
        <v>6.4653295E-2</v>
      </c>
      <c r="L292" s="32">
        <f>$J292*($G292-$G291)*60*24</f>
        <v>6.4653294999999764E-2</v>
      </c>
    </row>
    <row r="293" spans="1:12">
      <c r="A293" s="22">
        <v>40310.816666666666</v>
      </c>
      <c r="E293" s="26">
        <v>194.26027500000001</v>
      </c>
      <c r="G293" s="27">
        <v>0.81666666666666676</v>
      </c>
      <c r="J293" s="30">
        <f>IF(G293&lt;$H$10,$H$16,IF(G293&gt;$I$10,$H$16,$H$11))*E293/600</f>
        <v>6.4753425000000017E-2</v>
      </c>
      <c r="L293" s="32">
        <f>$J293*($G293-$G292)*60*24</f>
        <v>6.4753425000010134E-2</v>
      </c>
    </row>
    <row r="294" spans="1:12">
      <c r="A294" s="22">
        <v>40310.817361111112</v>
      </c>
      <c r="E294" s="26">
        <v>195.44986499999999</v>
      </c>
      <c r="G294" s="27">
        <v>0.81736111111111109</v>
      </c>
      <c r="J294" s="30">
        <f>IF(G294&lt;$H$10,$H$16,IF(G294&gt;$I$10,$H$16,$H$11))*E294/600</f>
        <v>6.5149954999999996E-2</v>
      </c>
      <c r="L294" s="32">
        <f>$J294*($G294-$G293)*60*24</f>
        <v>6.5149954999989351E-2</v>
      </c>
    </row>
    <row r="295" spans="1:12">
      <c r="A295" s="22">
        <v>40310.818055555559</v>
      </c>
      <c r="E295" s="26">
        <v>198.94852499999999</v>
      </c>
      <c r="G295" s="27">
        <v>0.81805555555555554</v>
      </c>
      <c r="J295" s="30">
        <f>IF(G295&lt;$H$10,$H$16,IF(G295&gt;$I$10,$H$16,$H$11))*E295/600</f>
        <v>6.6316174999999991E-2</v>
      </c>
      <c r="L295" s="32">
        <f>$J295*($G295-$G294)*60*24</f>
        <v>6.6316174999999755E-2</v>
      </c>
    </row>
    <row r="296" spans="1:12">
      <c r="A296" s="22">
        <v>40310.818749999999</v>
      </c>
      <c r="E296" s="26">
        <v>197.28555</v>
      </c>
      <c r="G296" s="27">
        <v>0.81874999999999998</v>
      </c>
      <c r="J296" s="30">
        <f>IF(G296&lt;$H$10,$H$16,IF(G296&gt;$I$10,$H$16,$H$11))*E296/600</f>
        <v>6.5761849999999997E-2</v>
      </c>
      <c r="L296" s="32">
        <f>$J296*($G296-$G295)*60*24</f>
        <v>6.5761849999999761E-2</v>
      </c>
    </row>
    <row r="297" spans="1:12">
      <c r="A297" s="22">
        <v>40310.819444444445</v>
      </c>
      <c r="E297" s="26">
        <v>197.51298</v>
      </c>
      <c r="G297" s="27">
        <v>0.81944444444444453</v>
      </c>
      <c r="J297" s="30">
        <f>IF(G297&lt;$H$10,$H$16,IF(G297&gt;$I$10,$H$16,$H$11))*E297/600</f>
        <v>6.5837660000000006E-2</v>
      </c>
      <c r="L297" s="32">
        <f>$J297*($G297-$G296)*60*24</f>
        <v>6.583766000001029E-2</v>
      </c>
    </row>
    <row r="298" spans="1:12">
      <c r="A298" s="22">
        <v>40310.820138888892</v>
      </c>
      <c r="E298" s="26">
        <v>196.56108</v>
      </c>
      <c r="G298" s="27">
        <v>0.82013888888888886</v>
      </c>
      <c r="J298" s="30">
        <f>IF(G298&lt;$H$10,$H$16,IF(G298&gt;$I$10,$H$16,$H$11))*E298/600</f>
        <v>6.5520360000000014E-2</v>
      </c>
      <c r="L298" s="32">
        <f>$J298*($G298-$G297)*60*24</f>
        <v>6.55203599999893E-2</v>
      </c>
    </row>
    <row r="299" spans="1:12">
      <c r="A299" s="22">
        <v>40310.820833333331</v>
      </c>
      <c r="E299" s="26">
        <v>196.38495</v>
      </c>
      <c r="G299" s="27">
        <v>0.8208333333333333</v>
      </c>
      <c r="J299" s="30">
        <f>IF(G299&lt;$H$10,$H$16,IF(G299&gt;$I$10,$H$16,$H$11))*E299/600</f>
        <v>6.546165000000001E-2</v>
      </c>
      <c r="L299" s="32">
        <f>$J299*($G299-$G298)*60*24</f>
        <v>6.5461649999999774E-2</v>
      </c>
    </row>
    <row r="300" spans="1:12">
      <c r="A300" s="22">
        <v>40310.821527777778</v>
      </c>
      <c r="E300" s="26">
        <v>197.280325</v>
      </c>
      <c r="G300" s="27">
        <v>0.82152777777777775</v>
      </c>
      <c r="J300" s="30">
        <f>IF(G300&lt;$H$10,$H$16,IF(G300&gt;$I$10,$H$16,$H$11))*E300/600</f>
        <v>6.5760108333333331E-2</v>
      </c>
      <c r="L300" s="32">
        <f>$J300*($G300-$G299)*60*24</f>
        <v>6.5760108333333095E-2</v>
      </c>
    </row>
    <row r="301" spans="1:12">
      <c r="A301" s="22">
        <v>40310.822222222225</v>
      </c>
      <c r="E301" s="26">
        <v>195.96029999999999</v>
      </c>
      <c r="G301" s="27">
        <v>0.8222222222222223</v>
      </c>
      <c r="J301" s="30">
        <f>IF(G301&lt;$H$10,$H$16,IF(G301&gt;$I$10,$H$16,$H$11))*E301/600</f>
        <v>6.5320099999999992E-2</v>
      </c>
      <c r="L301" s="32">
        <f>$J301*($G301-$G300)*60*24</f>
        <v>6.5320100000010206E-2</v>
      </c>
    </row>
    <row r="302" spans="1:12">
      <c r="A302" s="22">
        <v>40310.822916666664</v>
      </c>
      <c r="E302" s="26">
        <v>194.83607000000001</v>
      </c>
      <c r="G302" s="27">
        <v>0.82291666666666663</v>
      </c>
      <c r="J302" s="30">
        <f>IF(G302&lt;$H$10,$H$16,IF(G302&gt;$I$10,$H$16,$H$11))*E302/600</f>
        <v>6.4945356666666676E-2</v>
      </c>
      <c r="L302" s="32">
        <f>$J302*($G302-$G301)*60*24</f>
        <v>6.4945356666656059E-2</v>
      </c>
    </row>
    <row r="303" spans="1:12">
      <c r="A303" s="22">
        <v>40310.823611111111</v>
      </c>
      <c r="E303" s="26">
        <v>196.77312000000001</v>
      </c>
      <c r="G303" s="27">
        <v>0.82361111111111107</v>
      </c>
      <c r="J303" s="30">
        <f>IF(G303&lt;$H$10,$H$16,IF(G303&gt;$I$10,$H$16,$H$11))*E303/600</f>
        <v>6.5591040000000003E-2</v>
      </c>
      <c r="L303" s="32">
        <f>$J303*($G303-$G302)*60*24</f>
        <v>6.5591039999999767E-2</v>
      </c>
    </row>
    <row r="304" spans="1:12">
      <c r="A304" s="22">
        <v>40310.824305555558</v>
      </c>
      <c r="E304" s="26">
        <v>198.57774000000001</v>
      </c>
      <c r="G304" s="27">
        <v>0.82430555555555562</v>
      </c>
      <c r="J304" s="30">
        <f>IF(G304&lt;$H$10,$H$16,IF(G304&gt;$I$10,$H$16,$H$11))*E304/600</f>
        <v>6.6192580000000015E-2</v>
      </c>
      <c r="L304" s="32">
        <f>$J304*($G304-$G303)*60*24</f>
        <v>6.6192580000010368E-2</v>
      </c>
    </row>
    <row r="305" spans="1:12">
      <c r="A305" s="22">
        <v>40310.824999999997</v>
      </c>
      <c r="E305" s="26">
        <v>198.24106</v>
      </c>
      <c r="G305" s="27">
        <v>0.82500000000000007</v>
      </c>
      <c r="J305" s="30">
        <f>IF(G305&lt;$H$10,$H$16,IF(G305&gt;$I$10,$H$16,$H$11))*E305/600</f>
        <v>6.6080353333333341E-2</v>
      </c>
      <c r="L305" s="32">
        <f>$J305*($G305-$G304)*60*24</f>
        <v>6.6080353333333106E-2</v>
      </c>
    </row>
    <row r="306" spans="1:12">
      <c r="A306" s="22">
        <v>40310.825694444444</v>
      </c>
      <c r="E306" s="26">
        <v>198.10844</v>
      </c>
      <c r="G306" s="27">
        <v>0.8256944444444444</v>
      </c>
      <c r="J306" s="30">
        <f>IF(G306&lt;$H$10,$H$16,IF(G306&gt;$I$10,$H$16,$H$11))*E306/600</f>
        <v>6.603614666666667E-2</v>
      </c>
      <c r="L306" s="32">
        <f>$J306*($G306-$G305)*60*24</f>
        <v>6.6036146666655887E-2</v>
      </c>
    </row>
    <row r="307" spans="1:12">
      <c r="A307" s="22">
        <v>40310.826388888891</v>
      </c>
      <c r="E307" s="26">
        <v>196.967015</v>
      </c>
      <c r="G307" s="27">
        <v>0.82638888888888884</v>
      </c>
      <c r="J307" s="30">
        <f>IF(G307&lt;$H$10,$H$16,IF(G307&gt;$I$10,$H$16,$H$11))*E307/600</f>
        <v>6.5655671666666679E-2</v>
      </c>
      <c r="L307" s="32">
        <f>$J307*($G307-$G306)*60*24</f>
        <v>6.5655671666666443E-2</v>
      </c>
    </row>
    <row r="308" spans="1:12">
      <c r="A308" s="22">
        <v>40310.82708333333</v>
      </c>
      <c r="E308" s="26">
        <v>197.07749999999999</v>
      </c>
      <c r="G308" s="27">
        <v>0.82708333333333339</v>
      </c>
      <c r="J308" s="30">
        <f>IF(G308&lt;$H$10,$H$16,IF(G308&gt;$I$10,$H$16,$H$11))*E308/600</f>
        <v>6.5692500000000001E-2</v>
      </c>
      <c r="L308" s="32">
        <f>$J308*($G308-$G307)*60*24</f>
        <v>6.5692500000010257E-2</v>
      </c>
    </row>
    <row r="309" spans="1:12">
      <c r="A309" s="22">
        <v>40310.827777777777</v>
      </c>
      <c r="E309" s="26">
        <v>197.32944000000001</v>
      </c>
      <c r="G309" s="27">
        <v>0.82777777777777783</v>
      </c>
      <c r="J309" s="30">
        <f>IF(G309&lt;$H$10,$H$16,IF(G309&gt;$I$10,$H$16,$H$11))*E309/600</f>
        <v>6.5776480000000012E-2</v>
      </c>
      <c r="L309" s="32">
        <f>$J309*($G309-$G308)*60*24</f>
        <v>6.5776479999999776E-2</v>
      </c>
    </row>
    <row r="310" spans="1:12">
      <c r="A310" s="22">
        <v>40310.828472222223</v>
      </c>
      <c r="E310" s="26">
        <v>197.49768499999999</v>
      </c>
      <c r="G310" s="27">
        <v>0.82847222222222217</v>
      </c>
      <c r="J310" s="30">
        <f>IF(G310&lt;$H$10,$H$16,IF(G310&gt;$I$10,$H$16,$H$11))*E310/600</f>
        <v>6.5832561666666678E-2</v>
      </c>
      <c r="L310" s="32">
        <f>$J310*($G310-$G309)*60*24</f>
        <v>6.5832561666655923E-2</v>
      </c>
    </row>
    <row r="311" spans="1:12">
      <c r="A311" s="22">
        <v>40310.82916666667</v>
      </c>
      <c r="E311" s="26">
        <v>197.15806000000001</v>
      </c>
      <c r="G311" s="27">
        <v>0.82916666666666661</v>
      </c>
      <c r="J311" s="30">
        <f>IF(G311&lt;$H$10,$H$16,IF(G311&gt;$I$10,$H$16,$H$11))*E311/600</f>
        <v>6.5719353333333341E-2</v>
      </c>
      <c r="L311" s="32">
        <f>$J311*($G311-$G310)*60*24</f>
        <v>6.5719353333333119E-2</v>
      </c>
    </row>
    <row r="312" spans="1:12">
      <c r="A312" s="22">
        <v>40310.829861111109</v>
      </c>
      <c r="E312" s="26">
        <v>197.29124999999999</v>
      </c>
      <c r="G312" s="27">
        <v>0.82986111111111116</v>
      </c>
      <c r="J312" s="30">
        <f>IF(G312&lt;$H$10,$H$16,IF(G312&gt;$I$10,$H$16,$H$11))*E312/600</f>
        <v>6.5763749999999996E-2</v>
      </c>
      <c r="L312" s="32">
        <f>$J312*($G312-$G311)*60*24</f>
        <v>6.5763750000010279E-2</v>
      </c>
    </row>
    <row r="313" spans="1:12">
      <c r="A313" s="22">
        <v>40310.830555555556</v>
      </c>
      <c r="E313" s="26">
        <v>197.60294500000001</v>
      </c>
      <c r="G313" s="27">
        <v>0.8305555555555556</v>
      </c>
      <c r="J313" s="30">
        <f>IF(G313&lt;$H$10,$H$16,IF(G313&gt;$I$10,$H$16,$H$11))*E313/600</f>
        <v>6.5867648333333334E-2</v>
      </c>
      <c r="L313" s="32">
        <f>$J313*($G313-$G312)*60*24</f>
        <v>6.5867648333333112E-2</v>
      </c>
    </row>
    <row r="314" spans="1:12">
      <c r="A314" s="22">
        <v>40310.831250000003</v>
      </c>
      <c r="E314" s="26">
        <v>196.73588000000001</v>
      </c>
      <c r="G314" s="27">
        <v>0.83124999999999993</v>
      </c>
      <c r="J314" s="30">
        <f>IF(G314&lt;$H$10,$H$16,IF(G314&gt;$I$10,$H$16,$H$11))*E314/600</f>
        <v>6.5578626666666681E-2</v>
      </c>
      <c r="L314" s="32">
        <f>$J314*($G314-$G313)*60*24</f>
        <v>6.5578626666655968E-2</v>
      </c>
    </row>
    <row r="315" spans="1:12">
      <c r="A315" s="22">
        <v>40310.831944444442</v>
      </c>
      <c r="E315" s="26">
        <v>196.340205</v>
      </c>
      <c r="G315" s="27">
        <v>0.83194444444444438</v>
      </c>
      <c r="J315" s="30">
        <f>IF(G315&lt;$H$10,$H$16,IF(G315&gt;$I$10,$H$16,$H$11))*E315/600</f>
        <v>6.5446735000000006E-2</v>
      </c>
      <c r="L315" s="32">
        <f>$J315*($G315-$G314)*60*24</f>
        <v>6.5446734999999784E-2</v>
      </c>
    </row>
    <row r="316" spans="1:12">
      <c r="A316" s="22">
        <v>40310.832638888889</v>
      </c>
      <c r="E316" s="26">
        <v>195.44017500000001</v>
      </c>
      <c r="G316" s="27">
        <v>0.83263888888888893</v>
      </c>
      <c r="J316" s="30">
        <f>IF(G316&lt;$H$10,$H$16,IF(G316&gt;$I$10,$H$16,$H$11))*E316/600</f>
        <v>6.5146725000000003E-2</v>
      </c>
      <c r="L316" s="32">
        <f>$J316*($G316-$G315)*60*24</f>
        <v>6.5146725000010189E-2</v>
      </c>
    </row>
    <row r="317" spans="1:12">
      <c r="A317" s="22">
        <v>40310.833333333336</v>
      </c>
      <c r="E317" s="26">
        <v>197.61786000000001</v>
      </c>
      <c r="G317" s="27">
        <v>0.83333333333333337</v>
      </c>
      <c r="J317" s="30">
        <f>IF(G317&lt;$H$10,$H$16,IF(G317&gt;$I$10,$H$16,$H$11))*E317/600</f>
        <v>6.5872620000000007E-2</v>
      </c>
      <c r="L317" s="32">
        <f>$J317*($G317-$G316)*60*24</f>
        <v>6.5872619999999771E-2</v>
      </c>
    </row>
    <row r="318" spans="1:12">
      <c r="A318" s="22">
        <v>40310.834027777775</v>
      </c>
      <c r="E318" s="26">
        <v>196.36804000000001</v>
      </c>
      <c r="G318" s="27">
        <v>0.8340277777777777</v>
      </c>
      <c r="J318" s="30">
        <f>IF(G318&lt;$H$10,$H$16,IF(G318&gt;$I$10,$H$16,$H$11))*E318/600</f>
        <v>6.545601333333334E-2</v>
      </c>
      <c r="L318" s="32">
        <f>$J318*($G318-$G317)*60*24</f>
        <v>6.5456013333322641E-2</v>
      </c>
    </row>
    <row r="319" spans="1:12">
      <c r="A319" s="22">
        <v>40310.834722222222</v>
      </c>
      <c r="E319" s="26">
        <v>197.905045</v>
      </c>
      <c r="G319" s="27">
        <v>0.83472222222222225</v>
      </c>
      <c r="J319" s="30">
        <f>IF(G319&lt;$H$10,$H$16,IF(G319&gt;$I$10,$H$16,$H$11))*E319/600</f>
        <v>6.5968348333333329E-2</v>
      </c>
      <c r="L319" s="32">
        <f>$J319*($G319-$G318)*60*24</f>
        <v>6.596834833334364E-2</v>
      </c>
    </row>
    <row r="320" spans="1:12">
      <c r="A320" s="22">
        <v>40310.835416666669</v>
      </c>
      <c r="E320" s="26">
        <v>197.630875</v>
      </c>
      <c r="G320" s="27">
        <v>0.8354166666666667</v>
      </c>
      <c r="J320" s="30">
        <f>IF(G320&lt;$H$10,$H$16,IF(G320&gt;$I$10,$H$16,$H$11))*E320/600</f>
        <v>6.5876958333333333E-2</v>
      </c>
      <c r="L320" s="32">
        <f>$J320*($G320-$G319)*60*24</f>
        <v>6.5876958333333097E-2</v>
      </c>
    </row>
    <row r="321" spans="1:12">
      <c r="A321" s="22">
        <v>40310.836111111108</v>
      </c>
      <c r="E321" s="26">
        <v>199.53192000000001</v>
      </c>
      <c r="G321" s="27">
        <v>0.83611111111111114</v>
      </c>
      <c r="J321" s="30">
        <f>IF(G321&lt;$H$10,$H$16,IF(G321&gt;$I$10,$H$16,$H$11))*E321/600</f>
        <v>6.651064000000001E-2</v>
      </c>
      <c r="L321" s="32">
        <f>$J321*($G321-$G320)*60*24</f>
        <v>6.6510639999999774E-2</v>
      </c>
    </row>
    <row r="322" spans="1:12">
      <c r="A322" s="22">
        <v>40310.836805555555</v>
      </c>
      <c r="E322" s="26">
        <v>198.80080000000001</v>
      </c>
      <c r="G322" s="27">
        <v>0.83680555555555547</v>
      </c>
      <c r="J322" s="30">
        <f>IF(G322&lt;$H$10,$H$16,IF(G322&gt;$I$10,$H$16,$H$11))*E322/600</f>
        <v>6.6266933333333347E-2</v>
      </c>
      <c r="L322" s="32">
        <f>$J322*($G322-$G321)*60*24</f>
        <v>6.6266933333322509E-2</v>
      </c>
    </row>
    <row r="323" spans="1:12">
      <c r="A323" s="22">
        <v>40310.837500000001</v>
      </c>
      <c r="E323" s="26">
        <v>205.195155</v>
      </c>
      <c r="G323" s="27">
        <v>0.83750000000000002</v>
      </c>
      <c r="J323" s="30">
        <f>IF(G323&lt;$H$10,$H$16,IF(G323&gt;$I$10,$H$16,$H$11))*E323/600</f>
        <v>6.8398385000000006E-2</v>
      </c>
      <c r="L323" s="32">
        <f>$J323*($G323-$G322)*60*24</f>
        <v>6.8398385000010692E-2</v>
      </c>
    </row>
    <row r="324" spans="1:12">
      <c r="A324" s="22">
        <v>40310.838194444441</v>
      </c>
      <c r="E324" s="26">
        <v>202.31693999999999</v>
      </c>
      <c r="G324" s="27">
        <v>0.83819444444444446</v>
      </c>
      <c r="J324" s="30">
        <f>IF(G324&lt;$H$10,$H$16,IF(G324&gt;$I$10,$H$16,$H$11))*E324/600</f>
        <v>6.7438980000000009E-2</v>
      </c>
      <c r="L324" s="32">
        <f>$J324*($G324-$G323)*60*24</f>
        <v>6.7438979999999774E-2</v>
      </c>
    </row>
    <row r="325" spans="1:12">
      <c r="A325" s="22">
        <v>40310.838888888888</v>
      </c>
      <c r="E325" s="26">
        <v>209.11219500000001</v>
      </c>
      <c r="G325" s="27">
        <v>0.83888888888888891</v>
      </c>
      <c r="J325" s="30">
        <f>IF(G325&lt;$H$10,$H$16,IF(G325&gt;$I$10,$H$16,$H$11))*E325/600</f>
        <v>6.9704065000000009E-2</v>
      </c>
      <c r="L325" s="32">
        <f>$J325*($G325-$G324)*60*24</f>
        <v>6.970406499999976E-2</v>
      </c>
    </row>
    <row r="326" spans="1:12">
      <c r="A326" s="22">
        <v>40310.839583333334</v>
      </c>
      <c r="E326" s="26">
        <v>198.12858</v>
      </c>
      <c r="G326" s="27">
        <v>0.83958333333333324</v>
      </c>
      <c r="J326" s="30">
        <f>IF(G326&lt;$H$10,$H$16,IF(G326&gt;$I$10,$H$16,$H$11))*E326/600</f>
        <v>6.6042860000000009E-2</v>
      </c>
      <c r="L326" s="32">
        <f>$J326*($G326-$G325)*60*24</f>
        <v>6.6042859999989212E-2</v>
      </c>
    </row>
    <row r="327" spans="1:12">
      <c r="A327" s="22">
        <v>40310.840277777781</v>
      </c>
      <c r="E327" s="26">
        <v>197.83313000000001</v>
      </c>
      <c r="G327" s="27">
        <v>0.84027777777777779</v>
      </c>
      <c r="J327" s="30">
        <f>IF(G327&lt;$H$10,$H$16,IF(G327&gt;$I$10,$H$16,$H$11))*E327/600</f>
        <v>6.5944376666666679E-2</v>
      </c>
      <c r="L327" s="32">
        <f>$J327*($G327-$G326)*60*24</f>
        <v>6.594437666667699E-2</v>
      </c>
    </row>
    <row r="328" spans="1:12">
      <c r="A328" s="22">
        <v>40310.84097222222</v>
      </c>
      <c r="E328" s="26">
        <v>196.54398</v>
      </c>
      <c r="G328" s="27">
        <v>0.84097222222222223</v>
      </c>
      <c r="J328" s="30">
        <f>IF(G328&lt;$H$10,$H$16,IF(G328&gt;$I$10,$H$16,$H$11))*E328/600</f>
        <v>6.5514660000000002E-2</v>
      </c>
      <c r="L328" s="32">
        <f>$J328*($G328-$G327)*60*24</f>
        <v>6.5514659999999766E-2</v>
      </c>
    </row>
    <row r="329" spans="1:12">
      <c r="A329" s="22">
        <v>40310.841666666667</v>
      </c>
      <c r="E329" s="26">
        <v>203.17877999999999</v>
      </c>
      <c r="G329" s="27">
        <v>0.84166666666666667</v>
      </c>
      <c r="J329" s="30">
        <f>IF(G329&lt;$H$10,$H$16,IF(G329&gt;$I$10,$H$16,$H$11))*E329/600</f>
        <v>6.7726259999999996E-2</v>
      </c>
      <c r="L329" s="32">
        <f>$J329*($G329-$G328)*60*24</f>
        <v>6.7726259999999761E-2</v>
      </c>
    </row>
    <row r="330" spans="1:12">
      <c r="A330" s="22">
        <v>40310.842361111114</v>
      </c>
      <c r="E330" s="26">
        <v>201.96011999999999</v>
      </c>
      <c r="G330" s="27">
        <v>0.84236111111111101</v>
      </c>
      <c r="J330" s="30">
        <f>IF(G330&lt;$H$10,$H$16,IF(G330&gt;$I$10,$H$16,$H$11))*E330/600</f>
        <v>6.7320039999999998E-2</v>
      </c>
      <c r="L330" s="32">
        <f>$J330*($G330-$G329)*60*24</f>
        <v>6.7320039999988993E-2</v>
      </c>
    </row>
    <row r="331" spans="1:12">
      <c r="A331" s="22">
        <v>40310.843055555553</v>
      </c>
      <c r="E331" s="26">
        <v>194.75076000000001</v>
      </c>
      <c r="G331" s="27">
        <v>0.84305555555555556</v>
      </c>
      <c r="J331" s="30">
        <f>IF(G331&lt;$H$10,$H$16,IF(G331&gt;$I$10,$H$16,$H$11))*E331/600</f>
        <v>6.4916920000000003E-2</v>
      </c>
      <c r="L331" s="32">
        <f>$J331*($G331-$G330)*60*24</f>
        <v>6.4916920000010148E-2</v>
      </c>
    </row>
    <row r="332" spans="1:12">
      <c r="A332" s="22">
        <v>40310.84375</v>
      </c>
      <c r="E332" s="26">
        <v>196.48849999999999</v>
      </c>
      <c r="G332" s="27">
        <v>0.84375</v>
      </c>
      <c r="J332" s="30">
        <f>IF(G332&lt;$H$10,$H$16,IF(G332&gt;$I$10,$H$16,$H$11))*E332/600</f>
        <v>6.5496166666666661E-2</v>
      </c>
      <c r="L332" s="32">
        <f>$J332*($G332-$G331)*60*24</f>
        <v>6.5496166666666425E-2</v>
      </c>
    </row>
    <row r="333" spans="1:12">
      <c r="A333" s="22">
        <v>40310.844444444447</v>
      </c>
      <c r="E333" s="26">
        <v>58.546599999999998</v>
      </c>
      <c r="G333" s="27">
        <v>0.84444444444444444</v>
      </c>
      <c r="J333" s="30">
        <f>IF(G333&lt;$H$10,$H$16,IF(G333&gt;$I$10,$H$16,$H$11))*E333/600</f>
        <v>1.9515533333333335E-2</v>
      </c>
      <c r="L333" s="32">
        <f>$J333*($G333-$G332)*60*24</f>
        <v>1.9515533333333265E-2</v>
      </c>
    </row>
    <row r="334" spans="1:12">
      <c r="A334" s="22">
        <v>40310.845138888886</v>
      </c>
      <c r="E334" s="26">
        <v>19.377279999999999</v>
      </c>
      <c r="G334" s="27">
        <v>0.84513888888888899</v>
      </c>
      <c r="J334" s="30">
        <f>IF(G334&lt;$H$10,$H$16,IF(G334&gt;$I$10,$H$16,$H$11))*E334/600</f>
        <v>6.4590933333333331E-3</v>
      </c>
      <c r="L334" s="32">
        <f>$J334*($G334-$G333)*60*24</f>
        <v>6.4590933333343419E-3</v>
      </c>
    </row>
    <row r="335" spans="1:12">
      <c r="A335" s="22">
        <v>40310.845833333333</v>
      </c>
      <c r="E335" s="26">
        <v>18.987696</v>
      </c>
      <c r="G335" s="27">
        <v>0.84583333333333333</v>
      </c>
      <c r="J335" s="30">
        <f>IF(G335&lt;$H$10,$H$16,IF(G335&gt;$I$10,$H$16,$H$11))*E335/600</f>
        <v>6.3292320000000006E-3</v>
      </c>
      <c r="L335" s="32">
        <f>$J335*($G335-$G334)*60*24</f>
        <v>6.3292319999989667E-3</v>
      </c>
    </row>
    <row r="336" spans="1:12">
      <c r="A336" s="22">
        <v>40310.84652777778</v>
      </c>
      <c r="E336" s="26">
        <v>19.017880000000002</v>
      </c>
      <c r="G336" s="27">
        <v>0.84652777777777777</v>
      </c>
      <c r="J336" s="30">
        <f>IF(G336&lt;$H$10,$H$16,IF(G336&gt;$I$10,$H$16,$H$11))*E336/600</f>
        <v>6.3392933333333342E-3</v>
      </c>
      <c r="L336" s="32">
        <f>$J336*($G336-$G335)*60*24</f>
        <v>6.3392933333333117E-3</v>
      </c>
    </row>
    <row r="337" spans="1:12">
      <c r="A337" s="22">
        <v>40310.847222222219</v>
      </c>
      <c r="E337" s="26">
        <v>18.97448</v>
      </c>
      <c r="G337" s="27">
        <v>0.84722222222222221</v>
      </c>
      <c r="J337" s="30">
        <f>IF(G337&lt;$H$10,$H$16,IF(G337&gt;$I$10,$H$16,$H$11))*E337/600</f>
        <v>6.3248266666666667E-3</v>
      </c>
      <c r="L337" s="32">
        <f>$J337*($G337-$G336)*60*24</f>
        <v>6.324826666666645E-3</v>
      </c>
    </row>
    <row r="338" spans="1:12">
      <c r="A338" s="22">
        <v>40310.847916666666</v>
      </c>
      <c r="E338" s="26">
        <v>18.90756</v>
      </c>
      <c r="G338" s="27">
        <v>0.84791666666666676</v>
      </c>
      <c r="J338" s="30">
        <f>IF(G338&lt;$H$10,$H$16,IF(G338&gt;$I$10,$H$16,$H$11))*E338/600</f>
        <v>6.3025200000000007E-3</v>
      </c>
      <c r="L338" s="32">
        <f>$J338*($G338-$G337)*60*24</f>
        <v>6.3025200000009851E-3</v>
      </c>
    </row>
    <row r="339" spans="1:12">
      <c r="A339" s="22">
        <v>40310.848611111112</v>
      </c>
      <c r="E339" s="26">
        <v>18.90756</v>
      </c>
      <c r="G339" s="27">
        <v>0.84861111111111109</v>
      </c>
      <c r="J339" s="30">
        <f>IF(G339&lt;$H$10,$H$16,IF(G339&gt;$I$10,$H$16,$H$11))*E339/600</f>
        <v>6.3025200000000007E-3</v>
      </c>
      <c r="L339" s="32">
        <f>$J339*($G339-$G338)*60*24</f>
        <v>6.3025199999989711E-3</v>
      </c>
    </row>
    <row r="340" spans="1:12">
      <c r="A340" s="22">
        <v>40310.849305555559</v>
      </c>
      <c r="E340" s="26">
        <v>19.065062000000001</v>
      </c>
      <c r="G340" s="27">
        <v>0.84930555555555554</v>
      </c>
      <c r="J340" s="30">
        <f>IF(G340&lt;$H$10,$H$16,IF(G340&gt;$I$10,$H$16,$H$11))*E340/600</f>
        <v>6.3550206666666675E-3</v>
      </c>
      <c r="L340" s="32">
        <f>$J340*($G340-$G339)*60*24</f>
        <v>6.3550206666666449E-3</v>
      </c>
    </row>
    <row r="341" spans="1:12">
      <c r="A341" s="22">
        <v>40310.85</v>
      </c>
      <c r="E341" s="26">
        <v>19.326129000000002</v>
      </c>
      <c r="G341" s="27">
        <v>0.85</v>
      </c>
      <c r="J341" s="30">
        <f>IF(G341&lt;$H$10,$H$16,IF(G341&gt;$I$10,$H$16,$H$11))*E341/600</f>
        <v>6.4420430000000006E-3</v>
      </c>
      <c r="L341" s="32">
        <f>$J341*($G341-$G340)*60*24</f>
        <v>6.442042999999978E-3</v>
      </c>
    </row>
    <row r="342" spans="1:12">
      <c r="A342" s="22">
        <v>40310.850694444445</v>
      </c>
      <c r="E342" s="26">
        <v>18.916170000000001</v>
      </c>
      <c r="G342" s="27">
        <v>0.85069444444444453</v>
      </c>
      <c r="J342" s="30">
        <f>IF(G342&lt;$H$10,$H$16,IF(G342&gt;$I$10,$H$16,$H$11))*E342/600</f>
        <v>6.3053900000000001E-3</v>
      </c>
      <c r="L342" s="32">
        <f>$J342*($G342-$G341)*60*24</f>
        <v>6.3053900000009846E-3</v>
      </c>
    </row>
    <row r="343" spans="1:12">
      <c r="A343" s="22">
        <v>40310.851388888892</v>
      </c>
      <c r="E343" s="26">
        <v>19.04392</v>
      </c>
      <c r="G343" s="27">
        <v>0.85138888888888886</v>
      </c>
      <c r="J343" s="30">
        <f>IF(G343&lt;$H$10,$H$16,IF(G343&gt;$I$10,$H$16,$H$11))*E343/600</f>
        <v>6.3479733333333338E-3</v>
      </c>
      <c r="L343" s="32">
        <f>$J343*($G343-$G342)*60*24</f>
        <v>6.3479733333322956E-3</v>
      </c>
    </row>
    <row r="344" spans="1:12">
      <c r="A344" s="22">
        <v>40310.852083333331</v>
      </c>
      <c r="E344" s="26">
        <v>18.97448</v>
      </c>
      <c r="G344" s="27">
        <v>0.8520833333333333</v>
      </c>
      <c r="J344" s="30">
        <f>IF(G344&lt;$H$10,$H$16,IF(G344&gt;$I$10,$H$16,$H$11))*E344/600</f>
        <v>6.3248266666666667E-3</v>
      </c>
      <c r="L344" s="32">
        <f>$J344*($G344-$G343)*60*24</f>
        <v>6.324826666666645E-3</v>
      </c>
    </row>
    <row r="345" spans="1:12">
      <c r="A345" s="22">
        <v>40310.852777777778</v>
      </c>
      <c r="E345" s="26">
        <v>18.931080000000001</v>
      </c>
      <c r="G345" s="27">
        <v>0.85277777777777775</v>
      </c>
      <c r="J345" s="30">
        <f>IF(G345&lt;$H$10,$H$16,IF(G345&gt;$I$10,$H$16,$H$11))*E345/600</f>
        <v>6.310360000000001E-3</v>
      </c>
      <c r="L345" s="32">
        <f>$J345*($G345-$G344)*60*24</f>
        <v>6.3103599999999784E-3</v>
      </c>
    </row>
    <row r="346" spans="1:12">
      <c r="A346" s="22">
        <v>40310.853472222225</v>
      </c>
      <c r="E346" s="26">
        <v>18.844280000000001</v>
      </c>
      <c r="G346" s="27">
        <v>0.8534722222222223</v>
      </c>
      <c r="J346" s="30">
        <f>IF(G346&lt;$H$10,$H$16,IF(G346&gt;$I$10,$H$16,$H$11))*E346/600</f>
        <v>6.2814266666666677E-3</v>
      </c>
      <c r="L346" s="32">
        <f>$J346*($G346-$G345)*60*24</f>
        <v>6.2814266666676496E-3</v>
      </c>
    </row>
    <row r="347" spans="1:12">
      <c r="A347" s="22">
        <v>40310.854166666664</v>
      </c>
      <c r="E347" s="26">
        <v>18.896360000000001</v>
      </c>
      <c r="G347" s="27">
        <v>0.85416666666666663</v>
      </c>
      <c r="J347" s="30">
        <f>IF(G347&lt;$H$10,$H$16,IF(G347&gt;$I$10,$H$16,$H$11))*E347/600</f>
        <v>6.2987866666666678E-3</v>
      </c>
      <c r="L347" s="32">
        <f>$J347*($G347-$G346)*60*24</f>
        <v>6.2987866666656383E-3</v>
      </c>
    </row>
    <row r="348" spans="1:12">
      <c r="A348" s="22">
        <v>40310.854861111111</v>
      </c>
      <c r="E348" s="26">
        <v>18.716249999999999</v>
      </c>
      <c r="G348" s="27">
        <v>0.85486111111111107</v>
      </c>
      <c r="J348" s="30">
        <f>IF(G348&lt;$H$10,$H$16,IF(G348&gt;$I$10,$H$16,$H$11))*E348/600</f>
        <v>6.2387499999999995E-3</v>
      </c>
      <c r="L348" s="32">
        <f>$J348*($G348-$G347)*60*24</f>
        <v>6.2387499999999787E-3</v>
      </c>
    </row>
    <row r="349" spans="1:12">
      <c r="A349" s="22">
        <v>40310.855555555558</v>
      </c>
      <c r="E349" s="26">
        <v>18.949124999999999</v>
      </c>
      <c r="G349" s="27">
        <v>0.85555555555555562</v>
      </c>
      <c r="J349" s="30">
        <f>IF(G349&lt;$H$10,$H$16,IF(G349&gt;$I$10,$H$16,$H$11))*E349/600</f>
        <v>6.3163749999999999E-3</v>
      </c>
      <c r="L349" s="32">
        <f>$J349*($G349-$G348)*60*24</f>
        <v>6.3163750000009879E-3</v>
      </c>
    </row>
    <row r="350" spans="1:12">
      <c r="A350" s="22">
        <v>40310.856249999997</v>
      </c>
      <c r="E350" s="26">
        <v>19.02675</v>
      </c>
      <c r="G350" s="27">
        <v>0.85625000000000007</v>
      </c>
      <c r="J350" s="30">
        <f>IF(G350&lt;$H$10,$H$16,IF(G350&gt;$I$10,$H$16,$H$11))*E350/600</f>
        <v>6.3422500000000007E-3</v>
      </c>
      <c r="L350" s="32">
        <f>$J350*($G350-$G349)*60*24</f>
        <v>6.3422499999999781E-3</v>
      </c>
    </row>
    <row r="351" spans="1:12">
      <c r="A351" s="22">
        <v>40310.856944444444</v>
      </c>
      <c r="E351" s="26">
        <v>19.018125000000001</v>
      </c>
      <c r="G351" s="27">
        <v>0.8569444444444444</v>
      </c>
      <c r="J351" s="30">
        <f>IF(G351&lt;$H$10,$H$16,IF(G351&gt;$I$10,$H$16,$H$11))*E351/600</f>
        <v>6.3393750000000004E-3</v>
      </c>
      <c r="L351" s="32">
        <f>$J351*($G351-$G350)*60*24</f>
        <v>6.3393749999989639E-3</v>
      </c>
    </row>
    <row r="352" spans="1:12">
      <c r="A352" s="22">
        <v>40310.857638888891</v>
      </c>
      <c r="E352" s="26">
        <v>18.987696</v>
      </c>
      <c r="G352" s="27">
        <v>0.85763888888888884</v>
      </c>
      <c r="J352" s="30">
        <f>IF(G352&lt;$H$10,$H$16,IF(G352&gt;$I$10,$H$16,$H$11))*E352/600</f>
        <v>6.3292320000000006E-3</v>
      </c>
      <c r="L352" s="32">
        <f>$J352*($G352-$G351)*60*24</f>
        <v>6.3292319999999781E-3</v>
      </c>
    </row>
    <row r="353" spans="1:12">
      <c r="A353" s="22">
        <v>40310.85833333333</v>
      </c>
      <c r="E353" s="26">
        <v>18.515447999999999</v>
      </c>
      <c r="G353" s="27">
        <v>0.85833333333333339</v>
      </c>
      <c r="J353" s="30">
        <f>IF(G353&lt;$H$10,$H$16,IF(G353&gt;$I$10,$H$16,$H$11))*E353/600</f>
        <v>6.1718160000000001E-3</v>
      </c>
      <c r="L353" s="32">
        <f>$J353*($G353-$G352)*60*24</f>
        <v>6.1718160000009646E-3</v>
      </c>
    </row>
    <row r="354" spans="1:12">
      <c r="A354" s="22">
        <v>40310.859027777777</v>
      </c>
      <c r="E354" s="26">
        <v>18.2835</v>
      </c>
      <c r="G354" s="27">
        <v>0.85902777777777783</v>
      </c>
      <c r="J354" s="30">
        <f>IF(G354&lt;$H$10,$H$16,IF(G354&gt;$I$10,$H$16,$H$11))*E354/600</f>
        <v>6.0945000000000001E-3</v>
      </c>
      <c r="L354" s="32">
        <f>$J354*($G354-$G353)*60*24</f>
        <v>6.0944999999999775E-3</v>
      </c>
    </row>
    <row r="355" spans="1:12">
      <c r="A355" s="22">
        <v>40310.859722222223</v>
      </c>
      <c r="E355" s="26">
        <v>18.190000000000001</v>
      </c>
      <c r="G355" s="27">
        <v>0.85972222222222217</v>
      </c>
      <c r="J355" s="30">
        <f>IF(G355&lt;$H$10,$H$16,IF(G355&gt;$I$10,$H$16,$H$11))*E355/600</f>
        <v>6.0633333333333338E-3</v>
      </c>
      <c r="L355" s="32">
        <f>$J355*($G355-$G354)*60*24</f>
        <v>6.0633333333323432E-3</v>
      </c>
    </row>
    <row r="356" spans="1:12">
      <c r="A356" s="22">
        <v>40310.86041666667</v>
      </c>
      <c r="E356" s="26">
        <v>18.335519999999999</v>
      </c>
      <c r="G356" s="27">
        <v>0.86041666666666661</v>
      </c>
      <c r="J356" s="30">
        <f>IF(G356&lt;$H$10,$H$16,IF(G356&gt;$I$10,$H$16,$H$11))*E356/600</f>
        <v>6.1118400000000003E-3</v>
      </c>
      <c r="L356" s="32">
        <f>$J356*($G356-$G355)*60*24</f>
        <v>6.1118399999999786E-3</v>
      </c>
    </row>
    <row r="357" spans="1:12">
      <c r="A357" s="22">
        <v>40310.861111111109</v>
      </c>
      <c r="E357" s="26">
        <v>18.787734</v>
      </c>
      <c r="G357" s="27">
        <v>0.86111111111111116</v>
      </c>
      <c r="J357" s="30">
        <f>IF(G357&lt;$H$10,$H$16,IF(G357&gt;$I$10,$H$16,$H$11))*E357/600</f>
        <v>6.2625780000000004E-3</v>
      </c>
      <c r="L357" s="32">
        <f>$J357*($G357-$G356)*60*24</f>
        <v>6.2625780000009797E-3</v>
      </c>
    </row>
    <row r="358" spans="1:12">
      <c r="A358" s="22">
        <v>40310.861805555556</v>
      </c>
      <c r="E358" s="26">
        <v>18.215499999999999</v>
      </c>
      <c r="G358" s="27">
        <v>0.8618055555555556</v>
      </c>
      <c r="J358" s="30">
        <f>IF(G358&lt;$H$10,$H$16,IF(G358&gt;$I$10,$H$16,$H$11))*E358/600</f>
        <v>6.0718333333333336E-3</v>
      </c>
      <c r="L358" s="32">
        <f>$J358*($G358-$G357)*60*24</f>
        <v>6.0718333333333128E-3</v>
      </c>
    </row>
    <row r="359" spans="1:12">
      <c r="A359" s="22">
        <v>40310.862500000003</v>
      </c>
      <c r="E359" s="26">
        <v>18.088000000000001</v>
      </c>
      <c r="G359" s="27">
        <v>0.86249999999999993</v>
      </c>
      <c r="J359" s="30">
        <f>IF(G359&lt;$H$10,$H$16,IF(G359&gt;$I$10,$H$16,$H$11))*E359/600</f>
        <v>6.0293333333333336E-3</v>
      </c>
      <c r="L359" s="32">
        <f>$J359*($G359-$G358)*60*24</f>
        <v>6.0293333333323491E-3</v>
      </c>
    </row>
    <row r="360" spans="1:12">
      <c r="A360" s="22">
        <v>40310.863194444442</v>
      </c>
      <c r="E360" s="26">
        <v>15.972479999999999</v>
      </c>
      <c r="G360" s="27">
        <v>0.86319444444444438</v>
      </c>
      <c r="J360" s="30">
        <f>IF(G360&lt;$H$10,$H$16,IF(G360&gt;$I$10,$H$16,$H$11))*E360/600</f>
        <v>5.3241599999999997E-3</v>
      </c>
      <c r="L360" s="32">
        <f>$J360*($G360-$G359)*60*24</f>
        <v>5.3241599999999806E-3</v>
      </c>
    </row>
    <row r="361" spans="1:12">
      <c r="A361" s="22">
        <v>40310.863888888889</v>
      </c>
      <c r="E361" s="26">
        <v>14.518000000000001</v>
      </c>
      <c r="G361" s="27">
        <v>0.86388888888888893</v>
      </c>
      <c r="J361" s="30">
        <f>IF(G361&lt;$H$10,$H$16,IF(G361&gt;$I$10,$H$16,$H$11))*E361/600</f>
        <v>4.8393333333333344E-3</v>
      </c>
      <c r="L361" s="32">
        <f>$J361*($G361-$G360)*60*24</f>
        <v>4.8393333333340907E-3</v>
      </c>
    </row>
    <row r="362" spans="1:12">
      <c r="A362" s="22">
        <v>40310.864583333336</v>
      </c>
      <c r="E362" s="26">
        <v>14.880992000000001</v>
      </c>
      <c r="G362" s="27">
        <v>0.86458333333333337</v>
      </c>
      <c r="J362" s="30">
        <f>IF(G362&lt;$H$10,$H$16,IF(G362&gt;$I$10,$H$16,$H$11))*E362/600</f>
        <v>4.960330666666667E-3</v>
      </c>
      <c r="L362" s="32">
        <f>$J362*($G362-$G361)*60*24</f>
        <v>4.9603306666666496E-3</v>
      </c>
    </row>
    <row r="363" spans="1:12">
      <c r="A363" s="22">
        <v>40310.865277777775</v>
      </c>
      <c r="E363" s="26">
        <v>15.325632000000001</v>
      </c>
      <c r="G363" s="27">
        <v>0.8652777777777777</v>
      </c>
      <c r="J363" s="30">
        <f>IF(G363&lt;$H$10,$H$16,IF(G363&gt;$I$10,$H$16,$H$11))*E363/600</f>
        <v>5.1085440000000005E-3</v>
      </c>
      <c r="L363" s="32">
        <f>$J363*($G363-$G362)*60*24</f>
        <v>5.1085439999991652E-3</v>
      </c>
    </row>
    <row r="364" spans="1:12">
      <c r="A364" s="22">
        <v>40310.865972222222</v>
      </c>
      <c r="E364" s="26">
        <v>15.300684</v>
      </c>
      <c r="G364" s="27">
        <v>0.86597222222222225</v>
      </c>
      <c r="J364" s="30">
        <f>IF(G364&lt;$H$10,$H$16,IF(G364&gt;$I$10,$H$16,$H$11))*E364/600</f>
        <v>5.1002280000000009E-3</v>
      </c>
      <c r="L364" s="32">
        <f>$J364*($G364-$G363)*60*24</f>
        <v>5.100228000000798E-3</v>
      </c>
    </row>
    <row r="365" spans="1:12">
      <c r="A365" s="22">
        <v>40310.866666666669</v>
      </c>
      <c r="E365" s="26">
        <v>15.202781999999999</v>
      </c>
      <c r="G365" s="27">
        <v>0.8666666666666667</v>
      </c>
      <c r="J365" s="30">
        <f>IF(G365&lt;$H$10,$H$16,IF(G365&gt;$I$10,$H$16,$H$11))*E365/600</f>
        <v>5.0675939999999999E-3</v>
      </c>
      <c r="L365" s="32">
        <f>$J365*($G365-$G364)*60*24</f>
        <v>5.0675939999999817E-3</v>
      </c>
    </row>
    <row r="366" spans="1:12">
      <c r="A366" s="22">
        <v>40310.867361111108</v>
      </c>
      <c r="E366" s="26">
        <v>15.459695999999999</v>
      </c>
      <c r="G366" s="27">
        <v>0.86736111111111114</v>
      </c>
      <c r="J366" s="30">
        <f>IF(G366&lt;$H$10,$H$16,IF(G366&gt;$I$10,$H$16,$H$11))*E366/600</f>
        <v>5.1532319999999998E-3</v>
      </c>
      <c r="L366" s="32">
        <f>$J366*($G366-$G365)*60*24</f>
        <v>5.1532319999999816E-3</v>
      </c>
    </row>
    <row r="367" spans="1:12">
      <c r="A367" s="22">
        <v>40310.868055555555</v>
      </c>
      <c r="E367" s="26">
        <v>15.636096</v>
      </c>
      <c r="G367" s="27">
        <v>0.86805555555555547</v>
      </c>
      <c r="J367" s="30">
        <f>IF(G367&lt;$H$10,$H$16,IF(G367&gt;$I$10,$H$16,$H$11))*E367/600</f>
        <v>5.2120320000000001E-3</v>
      </c>
      <c r="L367" s="32">
        <f>$J367*($G367-$G366)*60*24</f>
        <v>5.2120319999991484E-3</v>
      </c>
    </row>
    <row r="368" spans="1:12">
      <c r="A368" s="22">
        <v>40310.868750000001</v>
      </c>
      <c r="E368" s="26">
        <v>15.636096</v>
      </c>
      <c r="G368" s="27">
        <v>0.86875000000000002</v>
      </c>
      <c r="J368" s="30">
        <f>IF(G368&lt;$H$10,$H$16,IF(G368&gt;$I$10,$H$16,$H$11))*E368/600</f>
        <v>5.2120320000000001E-3</v>
      </c>
      <c r="L368" s="32">
        <f>$J368*($G368-$G367)*60*24</f>
        <v>5.2120320000008154E-3</v>
      </c>
    </row>
    <row r="369" spans="1:12">
      <c r="A369" s="22">
        <v>40310.869444444441</v>
      </c>
      <c r="E369" s="26">
        <v>15.891648</v>
      </c>
      <c r="G369" s="27">
        <v>0.86944444444444446</v>
      </c>
      <c r="J369" s="30">
        <f>IF(G369&lt;$H$10,$H$16,IF(G369&gt;$I$10,$H$16,$H$11))*E369/600</f>
        <v>5.2972160000000004E-3</v>
      </c>
      <c r="L369" s="32">
        <f>$J369*($G369-$G368)*60*24</f>
        <v>5.2972159999999822E-3</v>
      </c>
    </row>
    <row r="370" spans="1:12">
      <c r="A370" s="22">
        <v>40310.870138888888</v>
      </c>
      <c r="E370" s="26">
        <v>15.863232</v>
      </c>
      <c r="G370" s="27">
        <v>0.87013888888888891</v>
      </c>
      <c r="J370" s="30">
        <f>IF(G370&lt;$H$10,$H$16,IF(G370&gt;$I$10,$H$16,$H$11))*E370/600</f>
        <v>5.2877440000000005E-3</v>
      </c>
      <c r="L370" s="32">
        <f>$J370*($G370-$G369)*60*24</f>
        <v>5.2877439999999823E-3</v>
      </c>
    </row>
    <row r="371" spans="1:12">
      <c r="A371" s="22">
        <v>40310.870833333334</v>
      </c>
      <c r="E371" s="26">
        <v>15.863232</v>
      </c>
      <c r="G371" s="27">
        <v>0.87083333333333324</v>
      </c>
      <c r="J371" s="30">
        <f>IF(G371&lt;$H$10,$H$16,IF(G371&gt;$I$10,$H$16,$H$11))*E371/600</f>
        <v>5.2877440000000005E-3</v>
      </c>
      <c r="L371" s="32">
        <f>$J371*($G371-$G370)*60*24</f>
        <v>5.2877439999991366E-3</v>
      </c>
    </row>
    <row r="372" spans="1:12">
      <c r="A372" s="22">
        <v>40310.871527777781</v>
      </c>
      <c r="E372" s="26">
        <v>15.941376</v>
      </c>
      <c r="G372" s="27">
        <v>0.87152777777777779</v>
      </c>
      <c r="J372" s="30">
        <f>IF(G372&lt;$H$10,$H$16,IF(G372&gt;$I$10,$H$16,$H$11))*E372/600</f>
        <v>5.3137920000000003E-3</v>
      </c>
      <c r="L372" s="32">
        <f>$J372*($G372-$G371)*60*24</f>
        <v>5.3137920000008304E-3</v>
      </c>
    </row>
    <row r="373" spans="1:12">
      <c r="A373" s="22">
        <v>40310.87222222222</v>
      </c>
      <c r="E373" s="26">
        <v>15.636348</v>
      </c>
      <c r="G373" s="27">
        <v>0.87222222222222223</v>
      </c>
      <c r="J373" s="30">
        <f>IF(G373&lt;$H$10,$H$16,IF(G373&gt;$I$10,$H$16,$H$11))*E373/600</f>
        <v>5.2121160000000001E-3</v>
      </c>
      <c r="L373" s="32">
        <f>$J373*($G373-$G372)*60*24</f>
        <v>5.2121159999999811E-3</v>
      </c>
    </row>
    <row r="374" spans="1:12">
      <c r="A374" s="22">
        <v>40310.872916666667</v>
      </c>
      <c r="E374" s="26">
        <v>15.799296</v>
      </c>
      <c r="G374" s="27">
        <v>0.87291666666666667</v>
      </c>
      <c r="J374" s="30">
        <f>IF(G374&lt;$H$10,$H$16,IF(G374&gt;$I$10,$H$16,$H$11))*E374/600</f>
        <v>5.2664320000000006E-3</v>
      </c>
      <c r="L374" s="32">
        <f>$J374*($G374-$G373)*60*24</f>
        <v>5.2664319999999824E-3</v>
      </c>
    </row>
    <row r="375" spans="1:12">
      <c r="A375" s="22">
        <v>40310.873611111114</v>
      </c>
      <c r="E375" s="26">
        <v>15.720768</v>
      </c>
      <c r="G375" s="27">
        <v>0.87361111111111101</v>
      </c>
      <c r="J375" s="30">
        <f>IF(G375&lt;$H$10,$H$16,IF(G375&gt;$I$10,$H$16,$H$11))*E375/600</f>
        <v>5.2402560000000004E-3</v>
      </c>
      <c r="L375" s="32">
        <f>$J375*($G375-$G374)*60*24</f>
        <v>5.2402559999991443E-3</v>
      </c>
    </row>
    <row r="376" spans="1:12">
      <c r="A376" s="22">
        <v>40310.874305555553</v>
      </c>
      <c r="E376" s="26">
        <v>15.820608</v>
      </c>
      <c r="G376" s="27">
        <v>0.87430555555555556</v>
      </c>
      <c r="J376" s="30">
        <f>IF(G376&lt;$H$10,$H$16,IF(G376&gt;$I$10,$H$16,$H$11))*E376/600</f>
        <v>5.2735360000000005E-3</v>
      </c>
      <c r="L376" s="32">
        <f>$J376*($G376-$G375)*60*24</f>
        <v>5.2735360000008245E-3</v>
      </c>
    </row>
    <row r="377" spans="1:12">
      <c r="A377" s="22">
        <v>40310.875</v>
      </c>
      <c r="E377" s="26">
        <v>15.742464</v>
      </c>
      <c r="G377" s="27">
        <v>0.875</v>
      </c>
      <c r="J377" s="30">
        <f>IF(G377&lt;$H$10,$H$16,IF(G377&gt;$I$10,$H$16,$H$11))*E377/600</f>
        <v>5.2474879999999998E-3</v>
      </c>
      <c r="L377" s="32">
        <f>$J377*($G377-$G376)*60*24</f>
        <v>5.2474879999999807E-3</v>
      </c>
    </row>
    <row r="378" spans="1:12">
      <c r="A378" s="22">
        <v>40310.875694444447</v>
      </c>
      <c r="E378" s="26">
        <v>15.466752</v>
      </c>
      <c r="G378" s="27">
        <v>0.87569444444444444</v>
      </c>
      <c r="J378" s="30">
        <f>IF(G378&lt;$H$10,$H$16,IF(G378&gt;$I$10,$H$16,$H$11))*E378/600</f>
        <v>5.1555840000000004E-3</v>
      </c>
      <c r="L378" s="32">
        <f>$J378*($G378-$G377)*60*24</f>
        <v>5.1555839999999822E-3</v>
      </c>
    </row>
    <row r="379" spans="1:12">
      <c r="A379" s="22">
        <v>40310.876388888886</v>
      </c>
      <c r="E379" s="26">
        <v>15.158752</v>
      </c>
      <c r="G379" s="27">
        <v>0.87638888888888899</v>
      </c>
      <c r="J379" s="30">
        <f>IF(G379&lt;$H$10,$H$16,IF(G379&gt;$I$10,$H$16,$H$11))*E379/600</f>
        <v>5.0529173333333337E-3</v>
      </c>
      <c r="L379" s="32">
        <f>$J379*($G379-$G378)*60*24</f>
        <v>5.0529173333341238E-3</v>
      </c>
    </row>
    <row r="380" spans="1:12">
      <c r="A380" s="22">
        <v>40310.877083333333</v>
      </c>
      <c r="E380" s="26">
        <v>15.252062</v>
      </c>
      <c r="G380" s="27">
        <v>0.87708333333333333</v>
      </c>
      <c r="J380" s="30">
        <f>IF(G380&lt;$H$10,$H$16,IF(G380&gt;$I$10,$H$16,$H$11))*E380/600</f>
        <v>5.084020666666667E-3</v>
      </c>
      <c r="L380" s="32">
        <f>$J380*($G380-$G379)*60*24</f>
        <v>5.0840206666658361E-3</v>
      </c>
    </row>
    <row r="381" spans="1:12">
      <c r="A381" s="22">
        <v>40310.87777777778</v>
      </c>
      <c r="E381" s="26">
        <v>15.3468</v>
      </c>
      <c r="G381" s="27">
        <v>0.87777777777777777</v>
      </c>
      <c r="J381" s="30">
        <f>IF(G381&lt;$H$10,$H$16,IF(G381&gt;$I$10,$H$16,$H$11))*E381/600</f>
        <v>5.1156000000000005E-3</v>
      </c>
      <c r="L381" s="32">
        <f>$J381*($G381-$G380)*60*24</f>
        <v>5.1155999999999823E-3</v>
      </c>
    </row>
    <row r="382" spans="1:12">
      <c r="A382" s="22">
        <v>40310.878472222219</v>
      </c>
      <c r="E382" s="26">
        <v>15.487920000000001</v>
      </c>
      <c r="G382" s="27">
        <v>0.87847222222222221</v>
      </c>
      <c r="J382" s="30">
        <f>IF(G382&lt;$H$10,$H$16,IF(G382&gt;$I$10,$H$16,$H$11))*E382/600</f>
        <v>5.1626400000000005E-3</v>
      </c>
      <c r="L382" s="32">
        <f>$J382*($G382-$G381)*60*24</f>
        <v>5.1626399999999822E-3</v>
      </c>
    </row>
    <row r="383" spans="1:12">
      <c r="A383" s="22">
        <v>40310.879166666666</v>
      </c>
      <c r="E383" s="26">
        <v>14.892647999999999</v>
      </c>
      <c r="G383" s="27">
        <v>0.87916666666666676</v>
      </c>
      <c r="J383" s="30">
        <f>IF(G383&lt;$H$10,$H$16,IF(G383&gt;$I$10,$H$16,$H$11))*E383/600</f>
        <v>4.9642159999999996E-3</v>
      </c>
      <c r="L383" s="32">
        <f>$J383*($G383-$G382)*60*24</f>
        <v>4.9642160000007759E-3</v>
      </c>
    </row>
    <row r="384" spans="1:12">
      <c r="A384" s="22">
        <v>40310.879861111112</v>
      </c>
      <c r="E384" s="26">
        <v>14.429183999999999</v>
      </c>
      <c r="G384" s="27">
        <v>0.87986111111111109</v>
      </c>
      <c r="J384" s="30">
        <f>IF(G384&lt;$H$10,$H$16,IF(G384&gt;$I$10,$H$16,$H$11))*E384/600</f>
        <v>4.8097280000000001E-3</v>
      </c>
      <c r="L384" s="32">
        <f>$J384*($G384-$G383)*60*24</f>
        <v>4.8097279999992143E-3</v>
      </c>
    </row>
    <row r="385" spans="1:12">
      <c r="A385" s="22">
        <v>40310.880555555559</v>
      </c>
      <c r="E385" s="26">
        <v>14.449680000000001</v>
      </c>
      <c r="G385" s="27">
        <v>0.88055555555555554</v>
      </c>
      <c r="J385" s="30">
        <f>IF(G385&lt;$H$10,$H$16,IF(G385&gt;$I$10,$H$16,$H$11))*E385/600</f>
        <v>4.816560000000001E-3</v>
      </c>
      <c r="L385" s="32">
        <f>$J385*($G385-$G384)*60*24</f>
        <v>4.8165599999999836E-3</v>
      </c>
    </row>
    <row r="386" spans="1:12">
      <c r="A386" s="22">
        <v>40310.881249999999</v>
      </c>
      <c r="E386" s="26">
        <v>14.654517999999999</v>
      </c>
      <c r="G386" s="27">
        <v>0.88124999999999998</v>
      </c>
      <c r="J386" s="30">
        <f>IF(G386&lt;$H$10,$H$16,IF(G386&gt;$I$10,$H$16,$H$11))*E386/600</f>
        <v>4.8848393333333334E-3</v>
      </c>
      <c r="L386" s="32">
        <f>$J386*($G386-$G385)*60*24</f>
        <v>4.884839333333316E-3</v>
      </c>
    </row>
    <row r="387" spans="1:12">
      <c r="A387" s="22">
        <v>40310.881944444445</v>
      </c>
      <c r="E387" s="26">
        <v>14.702769</v>
      </c>
      <c r="G387" s="27">
        <v>0.88194444444444453</v>
      </c>
      <c r="J387" s="30">
        <f>IF(G387&lt;$H$10,$H$16,IF(G387&gt;$I$10,$H$16,$H$11))*E387/600</f>
        <v>4.9009229999999997E-3</v>
      </c>
      <c r="L387" s="32">
        <f>$J387*($G387-$G386)*60*24</f>
        <v>4.9009230000007665E-3</v>
      </c>
    </row>
    <row r="388" spans="1:12">
      <c r="A388" s="22">
        <v>40310.882638888892</v>
      </c>
      <c r="E388" s="26">
        <v>14.978828</v>
      </c>
      <c r="G388" s="27">
        <v>0.88263888888888886</v>
      </c>
      <c r="J388" s="30">
        <f>IF(G388&lt;$H$10,$H$16,IF(G388&gt;$I$10,$H$16,$H$11))*E388/600</f>
        <v>4.9929426666666674E-3</v>
      </c>
      <c r="L388" s="32">
        <f>$J388*($G388-$G387)*60*24</f>
        <v>4.9929426666658512E-3</v>
      </c>
    </row>
    <row r="389" spans="1:12">
      <c r="A389" s="22">
        <v>40310.883333333331</v>
      </c>
      <c r="E389" s="26">
        <v>14.999846</v>
      </c>
      <c r="G389" s="27">
        <v>0.8833333333333333</v>
      </c>
      <c r="J389" s="30">
        <f>IF(G389&lt;$H$10,$H$16,IF(G389&gt;$I$10,$H$16,$H$11))*E389/600</f>
        <v>4.9999486666666669E-3</v>
      </c>
      <c r="L389" s="32">
        <f>$J389*($G389-$G388)*60*24</f>
        <v>4.9999486666666487E-3</v>
      </c>
    </row>
    <row r="390" spans="1:12">
      <c r="A390" s="22">
        <v>40310.884027777778</v>
      </c>
      <c r="E390" s="26">
        <v>14.778592</v>
      </c>
      <c r="G390" s="27">
        <v>0.88402777777777775</v>
      </c>
      <c r="J390" s="30">
        <f>IF(G390&lt;$H$10,$H$16,IF(G390&gt;$I$10,$H$16,$H$11))*E390/600</f>
        <v>4.9261973333333342E-3</v>
      </c>
      <c r="L390" s="32">
        <f>$J390*($G390-$G389)*60*24</f>
        <v>4.9261973333333169E-3</v>
      </c>
    </row>
    <row r="391" spans="1:12">
      <c r="A391" s="22">
        <v>40310.884722222225</v>
      </c>
      <c r="E391" s="26">
        <v>15.02787</v>
      </c>
      <c r="G391" s="27">
        <v>0.8847222222222223</v>
      </c>
      <c r="J391" s="30">
        <f>IF(G391&lt;$H$10,$H$16,IF(G391&gt;$I$10,$H$16,$H$11))*E391/600</f>
        <v>5.0092900000000004E-3</v>
      </c>
      <c r="L391" s="32">
        <f>$J391*($G391-$G390)*60*24</f>
        <v>5.0092900000007837E-3</v>
      </c>
    </row>
    <row r="392" spans="1:12">
      <c r="A392" s="22">
        <v>40310.885416666664</v>
      </c>
      <c r="E392" s="26">
        <v>15.048888</v>
      </c>
      <c r="G392" s="27">
        <v>0.88541666666666663</v>
      </c>
      <c r="J392" s="30">
        <f>IF(G392&lt;$H$10,$H$16,IF(G392&gt;$I$10,$H$16,$H$11))*E392/600</f>
        <v>5.0162959999999999E-3</v>
      </c>
      <c r="L392" s="32">
        <f>$J392*($G392-$G391)*60*24</f>
        <v>5.0162959999991803E-3</v>
      </c>
    </row>
    <row r="393" spans="1:12">
      <c r="A393" s="22">
        <v>40310.886111111111</v>
      </c>
      <c r="E393" s="26">
        <v>15.297408000000001</v>
      </c>
      <c r="G393" s="27">
        <v>0.88611111111111107</v>
      </c>
      <c r="J393" s="30">
        <f>IF(G393&lt;$H$10,$H$16,IF(G393&gt;$I$10,$H$16,$H$11))*E393/600</f>
        <v>5.0991360000000006E-3</v>
      </c>
      <c r="L393" s="32">
        <f>$J393*($G393-$G392)*60*24</f>
        <v>5.0991359999999833E-3</v>
      </c>
    </row>
    <row r="394" spans="1:12">
      <c r="A394" s="22">
        <v>40310.886805555558</v>
      </c>
      <c r="E394" s="26">
        <v>15.111872999999999</v>
      </c>
      <c r="G394" s="27">
        <v>0.88680555555555562</v>
      </c>
      <c r="J394" s="30">
        <f>IF(G394&lt;$H$10,$H$16,IF(G394&gt;$I$10,$H$16,$H$11))*E394/600</f>
        <v>5.0372910000000002E-3</v>
      </c>
      <c r="L394" s="32">
        <f>$J394*($G394-$G393)*60*24</f>
        <v>5.0372910000007869E-3</v>
      </c>
    </row>
    <row r="395" spans="1:12">
      <c r="A395" s="22">
        <v>40310.887499999997</v>
      </c>
      <c r="E395" s="26">
        <v>15.083900999999999</v>
      </c>
      <c r="G395" s="27">
        <v>0.88750000000000007</v>
      </c>
      <c r="J395" s="30">
        <f>IF(G395&lt;$H$10,$H$16,IF(G395&gt;$I$10,$H$16,$H$11))*E395/600</f>
        <v>5.0279669999999995E-3</v>
      </c>
      <c r="L395" s="32">
        <f>$J395*($G395-$G394)*60*24</f>
        <v>5.0279669999999813E-3</v>
      </c>
    </row>
    <row r="396" spans="1:12">
      <c r="A396" s="22">
        <v>40310.888194444444</v>
      </c>
      <c r="E396" s="26">
        <v>15.4176</v>
      </c>
      <c r="G396" s="27">
        <v>0.8881944444444444</v>
      </c>
      <c r="J396" s="30">
        <f>IF(G396&lt;$H$10,$H$16,IF(G396&gt;$I$10,$H$16,$H$11))*E396/600</f>
        <v>5.1392E-3</v>
      </c>
      <c r="L396" s="32">
        <f>$J396*($G396-$G395)*60*24</f>
        <v>5.1391999999991604E-3</v>
      </c>
    </row>
    <row r="397" spans="1:12">
      <c r="A397" s="22">
        <v>40310.888888888891</v>
      </c>
      <c r="E397" s="26">
        <v>15.45984</v>
      </c>
      <c r="G397" s="27">
        <v>0.88888888888888884</v>
      </c>
      <c r="J397" s="30">
        <f>IF(G397&lt;$H$10,$H$16,IF(G397&gt;$I$10,$H$16,$H$11))*E397/600</f>
        <v>5.1532799999999997E-3</v>
      </c>
      <c r="L397" s="32">
        <f>$J397*($G397-$G396)*60*24</f>
        <v>5.1532799999999815E-3</v>
      </c>
    </row>
    <row r="398" spans="1:12">
      <c r="A398" s="22">
        <v>40310.88958333333</v>
      </c>
      <c r="E398" s="26">
        <v>15.24474</v>
      </c>
      <c r="G398" s="27">
        <v>0.88958333333333339</v>
      </c>
      <c r="J398" s="30">
        <f>IF(G398&lt;$H$10,$H$16,IF(G398&gt;$I$10,$H$16,$H$11))*E398/600</f>
        <v>5.0815800000000005E-3</v>
      </c>
      <c r="L398" s="32">
        <f>$J398*($G398-$G397)*60*24</f>
        <v>5.081580000000795E-3</v>
      </c>
    </row>
    <row r="399" spans="1:12">
      <c r="A399" s="22">
        <v>40310.890277777777</v>
      </c>
      <c r="E399" s="26">
        <v>15.600384</v>
      </c>
      <c r="G399" s="27">
        <v>0.89027777777777783</v>
      </c>
      <c r="J399" s="30">
        <f>IF(G399&lt;$H$10,$H$16,IF(G399&gt;$I$10,$H$16,$H$11))*E399/600</f>
        <v>5.200128E-3</v>
      </c>
      <c r="L399" s="32">
        <f>$J399*($G399-$G398)*60*24</f>
        <v>5.200127999999981E-3</v>
      </c>
    </row>
    <row r="400" spans="1:12">
      <c r="A400" s="22">
        <v>40310.890972222223</v>
      </c>
      <c r="E400" s="26">
        <v>15.6288</v>
      </c>
      <c r="G400" s="27">
        <v>0.89097222222222217</v>
      </c>
      <c r="J400" s="30">
        <f>IF(G400&lt;$H$10,$H$16,IF(G400&gt;$I$10,$H$16,$H$11))*E400/600</f>
        <v>5.2096E-3</v>
      </c>
      <c r="L400" s="32">
        <f>$J400*($G400-$G399)*60*24</f>
        <v>5.2095999999991491E-3</v>
      </c>
    </row>
    <row r="401" spans="1:12">
      <c r="A401" s="22">
        <v>40310.89166666667</v>
      </c>
      <c r="E401" s="26">
        <v>15.363621</v>
      </c>
      <c r="G401" s="27">
        <v>0.89166666666666661</v>
      </c>
      <c r="J401" s="30">
        <f>IF(G401&lt;$H$10,$H$16,IF(G401&gt;$I$10,$H$16,$H$11))*E401/600</f>
        <v>5.121207E-3</v>
      </c>
      <c r="L401" s="32">
        <f>$J401*($G401-$G400)*60*24</f>
        <v>5.1212069999999818E-3</v>
      </c>
    </row>
    <row r="402" spans="1:12">
      <c r="A402" s="22">
        <v>40310.892361111109</v>
      </c>
      <c r="E402" s="26">
        <v>15.419565</v>
      </c>
      <c r="G402" s="27">
        <v>0.89236111111111116</v>
      </c>
      <c r="J402" s="30">
        <f>IF(G402&lt;$H$10,$H$16,IF(G402&gt;$I$10,$H$16,$H$11))*E402/600</f>
        <v>5.1398550000000005E-3</v>
      </c>
      <c r="L402" s="32">
        <f>$J402*($G402-$G401)*60*24</f>
        <v>5.1398550000008036E-3</v>
      </c>
    </row>
    <row r="403" spans="1:12">
      <c r="A403" s="22">
        <v>40310.893055555556</v>
      </c>
      <c r="E403" s="26">
        <v>15.742464</v>
      </c>
      <c r="G403" s="27">
        <v>0.8930555555555556</v>
      </c>
      <c r="J403" s="30">
        <f>IF(G403&lt;$H$10,$H$16,IF(G403&gt;$I$10,$H$16,$H$11))*E403/600</f>
        <v>5.2474879999999998E-3</v>
      </c>
      <c r="L403" s="32">
        <f>$J403*($G403-$G402)*60*24</f>
        <v>5.2474879999999807E-3</v>
      </c>
    </row>
    <row r="404" spans="1:12">
      <c r="A404" s="22">
        <v>40310.893750000003</v>
      </c>
      <c r="E404" s="26">
        <v>15.349634999999999</v>
      </c>
      <c r="G404" s="27">
        <v>0.89374999999999993</v>
      </c>
      <c r="J404" s="30">
        <f>IF(G404&lt;$H$10,$H$16,IF(G404&gt;$I$10,$H$16,$H$11))*E404/600</f>
        <v>5.1165450000000001E-3</v>
      </c>
      <c r="L404" s="32">
        <f>$J404*($G404-$G403)*60*24</f>
        <v>5.116544999999164E-3</v>
      </c>
    </row>
    <row r="405" spans="1:12">
      <c r="A405" s="22">
        <v>40310.894444444442</v>
      </c>
      <c r="E405" s="26">
        <v>15.398586</v>
      </c>
      <c r="G405" s="27">
        <v>0.89444444444444438</v>
      </c>
      <c r="J405" s="30">
        <f>IF(G405&lt;$H$10,$H$16,IF(G405&gt;$I$10,$H$16,$H$11))*E405/600</f>
        <v>5.1328620000000002E-3</v>
      </c>
      <c r="L405" s="32">
        <f>$J405*($G405-$G404)*60*24</f>
        <v>5.1328619999999828E-3</v>
      </c>
    </row>
    <row r="406" spans="1:12">
      <c r="A406" s="22">
        <v>40310.895138888889</v>
      </c>
      <c r="E406" s="26">
        <v>15.389136000000001</v>
      </c>
      <c r="G406" s="27">
        <v>0.89513888888888893</v>
      </c>
      <c r="J406" s="30">
        <f>IF(G406&lt;$H$10,$H$16,IF(G406&gt;$I$10,$H$16,$H$11))*E406/600</f>
        <v>5.1297120000000007E-3</v>
      </c>
      <c r="L406" s="32">
        <f>$J406*($G406-$G405)*60*24</f>
        <v>5.129712000000803E-3</v>
      </c>
    </row>
    <row r="407" spans="1:12">
      <c r="A407" s="22">
        <v>40310.895833333336</v>
      </c>
      <c r="E407" s="26">
        <v>15.096256</v>
      </c>
      <c r="G407" s="27">
        <v>0.89583333333333337</v>
      </c>
      <c r="J407" s="30">
        <f>IF(G407&lt;$H$10,$H$16,IF(G407&gt;$I$10,$H$16,$H$11))*E407/600</f>
        <v>5.0320853333333335E-3</v>
      </c>
      <c r="L407" s="32">
        <f>$J407*($G407-$G406)*60*24</f>
        <v>5.0320853333333162E-3</v>
      </c>
    </row>
    <row r="408" spans="1:12">
      <c r="A408" s="22">
        <v>40310.896527777775</v>
      </c>
      <c r="E408" s="26">
        <v>15.146972</v>
      </c>
      <c r="G408" s="27">
        <v>0.8965277777777777</v>
      </c>
      <c r="J408" s="30">
        <f>IF(G408&lt;$H$10,$H$16,IF(G408&gt;$I$10,$H$16,$H$11))*E408/600</f>
        <v>5.0489906666666669E-3</v>
      </c>
      <c r="L408" s="32">
        <f>$J408*($G408-$G407)*60*24</f>
        <v>5.0489906666658412E-3</v>
      </c>
    </row>
    <row r="409" spans="1:12">
      <c r="A409" s="22">
        <v>40310.897222222222</v>
      </c>
      <c r="E409" s="26">
        <v>14.999040000000001</v>
      </c>
      <c r="G409" s="27">
        <v>0.89722222222222225</v>
      </c>
      <c r="J409" s="30">
        <f>IF(G409&lt;$H$10,$H$16,IF(G409&gt;$I$10,$H$16,$H$11))*E409/600</f>
        <v>4.9996800000000003E-3</v>
      </c>
      <c r="L409" s="32">
        <f>$J409*($G409-$G408)*60*24</f>
        <v>4.9996800000007818E-3</v>
      </c>
    </row>
    <row r="410" spans="1:12">
      <c r="A410" s="22">
        <v>40310.897916666669</v>
      </c>
      <c r="E410" s="26">
        <v>15.27624</v>
      </c>
      <c r="G410" s="27">
        <v>0.8979166666666667</v>
      </c>
      <c r="J410" s="30">
        <f>IF(G410&lt;$H$10,$H$16,IF(G410&gt;$I$10,$H$16,$H$11))*E410/600</f>
        <v>5.0920800000000006E-3</v>
      </c>
      <c r="L410" s="32">
        <f>$J410*($G410-$G409)*60*24</f>
        <v>5.0920799999999823E-3</v>
      </c>
    </row>
    <row r="411" spans="1:12">
      <c r="A411" s="22">
        <v>40310.898611111108</v>
      </c>
      <c r="E411" s="26">
        <v>14.839328</v>
      </c>
      <c r="G411" s="27">
        <v>0.89861111111111114</v>
      </c>
      <c r="J411" s="30">
        <f>IF(G411&lt;$H$10,$H$16,IF(G411&gt;$I$10,$H$16,$H$11))*E411/600</f>
        <v>4.9464426666666669E-3</v>
      </c>
      <c r="L411" s="32">
        <f>$J411*($G411-$G410)*60*24</f>
        <v>4.9464426666666495E-3</v>
      </c>
    </row>
    <row r="412" spans="1:12">
      <c r="A412" s="22">
        <v>40310.899305555555</v>
      </c>
      <c r="E412" s="26">
        <v>14.518000000000001</v>
      </c>
      <c r="G412" s="27">
        <v>0.89930555555555547</v>
      </c>
      <c r="J412" s="30">
        <f>IF(G412&lt;$H$10,$H$16,IF(G412&gt;$I$10,$H$16,$H$11))*E412/600</f>
        <v>4.8393333333333344E-3</v>
      </c>
      <c r="L412" s="32">
        <f>$J412*($G412-$G411)*60*24</f>
        <v>4.8393333333325433E-3</v>
      </c>
    </row>
    <row r="413" spans="1:12">
      <c r="A413" s="22">
        <v>40310.9</v>
      </c>
      <c r="E413" s="26">
        <v>14.769888</v>
      </c>
      <c r="G413" s="27">
        <v>0.9</v>
      </c>
      <c r="J413" s="30">
        <f>IF(G413&lt;$H$10,$H$16,IF(G413&gt;$I$10,$H$16,$H$11))*E413/600</f>
        <v>4.9232959999999997E-3</v>
      </c>
      <c r="L413" s="32">
        <f>$J413*($G413-$G412)*60*24</f>
        <v>4.9232960000007691E-3</v>
      </c>
    </row>
    <row r="414" spans="1:12">
      <c r="A414" s="22">
        <v>40310.900694444441</v>
      </c>
      <c r="E414" s="26">
        <v>15.132852</v>
      </c>
      <c r="G414" s="27">
        <v>0.90069444444444446</v>
      </c>
      <c r="J414" s="30">
        <f>IF(G414&lt;$H$10,$H$16,IF(G414&gt;$I$10,$H$16,$H$11))*E414/600</f>
        <v>5.0442840000000004E-3</v>
      </c>
      <c r="L414" s="32">
        <f>$J414*($G414-$G413)*60*24</f>
        <v>5.0442839999999822E-3</v>
      </c>
    </row>
    <row r="415" spans="1:12">
      <c r="A415" s="22">
        <v>40310.901388888888</v>
      </c>
      <c r="E415" s="26">
        <v>15.41056</v>
      </c>
      <c r="G415" s="27">
        <v>0.90138888888888891</v>
      </c>
      <c r="J415" s="30">
        <f>IF(G415&lt;$H$10,$H$16,IF(G415&gt;$I$10,$H$16,$H$11))*E415/600</f>
        <v>5.1368533333333343E-3</v>
      </c>
      <c r="L415" s="32">
        <f>$J415*($G415-$G414)*60*24</f>
        <v>5.1368533333333161E-3</v>
      </c>
    </row>
    <row r="416" spans="1:12">
      <c r="A416" s="22">
        <v>40310.902083333334</v>
      </c>
      <c r="E416" s="26">
        <v>15.45984</v>
      </c>
      <c r="G416" s="27">
        <v>0.90208333333333324</v>
      </c>
      <c r="J416" s="30">
        <f>IF(G416&lt;$H$10,$H$16,IF(G416&gt;$I$10,$H$16,$H$11))*E416/600</f>
        <v>5.1532799999999997E-3</v>
      </c>
      <c r="L416" s="32">
        <f>$J416*($G416-$G415)*60*24</f>
        <v>5.1532799999991566E-3</v>
      </c>
    </row>
    <row r="417" spans="1:12">
      <c r="A417" s="22">
        <v>40310.902777777781</v>
      </c>
      <c r="E417" s="26">
        <v>15.43872</v>
      </c>
      <c r="G417" s="27">
        <v>0.90277777777777779</v>
      </c>
      <c r="J417" s="30">
        <f>IF(G417&lt;$H$10,$H$16,IF(G417&gt;$I$10,$H$16,$H$11))*E417/600</f>
        <v>5.1462400000000007E-3</v>
      </c>
      <c r="L417" s="32">
        <f>$J417*($G417-$G416)*60*24</f>
        <v>5.1462400000008056E-3</v>
      </c>
    </row>
    <row r="418" spans="1:12">
      <c r="A418" s="22">
        <v>40310.90347222222</v>
      </c>
      <c r="E418" s="26">
        <v>15.209775</v>
      </c>
      <c r="G418" s="27">
        <v>0.90347222222222223</v>
      </c>
      <c r="J418" s="30">
        <f>IF(G418&lt;$H$10,$H$16,IF(G418&gt;$I$10,$H$16,$H$11))*E418/600</f>
        <v>5.0699250000000003E-3</v>
      </c>
      <c r="L418" s="32">
        <f>$J418*($G418-$G417)*60*24</f>
        <v>5.0699249999999821E-3</v>
      </c>
    </row>
    <row r="419" spans="1:12">
      <c r="A419" s="22">
        <v>40310.904166666667</v>
      </c>
      <c r="E419" s="26">
        <v>15.45984</v>
      </c>
      <c r="G419" s="27">
        <v>0.90416666666666667</v>
      </c>
      <c r="J419" s="30">
        <f>IF(G419&lt;$H$10,$H$16,IF(G419&gt;$I$10,$H$16,$H$11))*E419/600</f>
        <v>5.1532799999999997E-3</v>
      </c>
      <c r="L419" s="32">
        <f>$J419*($G419-$G418)*60*24</f>
        <v>5.1532799999999815E-3</v>
      </c>
    </row>
    <row r="420" spans="1:12">
      <c r="A420" s="22">
        <v>40310.904861111114</v>
      </c>
      <c r="E420" s="26">
        <v>16.008849999999999</v>
      </c>
      <c r="G420" s="27">
        <v>0.90486111111111101</v>
      </c>
      <c r="J420" s="30">
        <f>IF(G420&lt;$H$10,$H$16,IF(G420&gt;$I$10,$H$16,$H$11))*E420/600</f>
        <v>5.336283333333333E-3</v>
      </c>
      <c r="L420" s="32">
        <f>$J420*($G420-$G419)*60*24</f>
        <v>5.3362833333324604E-3</v>
      </c>
    </row>
    <row r="421" spans="1:12">
      <c r="A421" s="22">
        <v>40310.905555555553</v>
      </c>
      <c r="E421" s="26">
        <v>15.82789</v>
      </c>
      <c r="G421" s="27">
        <v>0.90555555555555556</v>
      </c>
      <c r="J421" s="30">
        <f>IF(G421&lt;$H$10,$H$16,IF(G421&gt;$I$10,$H$16,$H$11))*E421/600</f>
        <v>5.275963333333333E-3</v>
      </c>
      <c r="L421" s="32">
        <f>$J421*($G421-$G420)*60*24</f>
        <v>5.2759633333341587E-3</v>
      </c>
    </row>
    <row r="422" spans="1:12">
      <c r="A422" s="22">
        <v>40310.90625</v>
      </c>
      <c r="E422" s="26">
        <v>15.84206</v>
      </c>
      <c r="G422" s="27">
        <v>0.90625</v>
      </c>
      <c r="J422" s="30">
        <f>IF(G422&lt;$H$10,$H$16,IF(G422&gt;$I$10,$H$16,$H$11))*E422/600</f>
        <v>5.2806866666666669E-3</v>
      </c>
      <c r="L422" s="32">
        <f>$J422*($G422-$G421)*60*24</f>
        <v>5.2806866666666487E-3</v>
      </c>
    </row>
    <row r="423" spans="1:12">
      <c r="A423" s="22">
        <v>40310.906944444447</v>
      </c>
      <c r="E423" s="26">
        <v>15.75704</v>
      </c>
      <c r="G423" s="27">
        <v>0.90694444444444444</v>
      </c>
      <c r="J423" s="30">
        <f>IF(G423&lt;$H$10,$H$16,IF(G423&gt;$I$10,$H$16,$H$11))*E423/600</f>
        <v>5.2523466666666669E-3</v>
      </c>
      <c r="L423" s="32">
        <f>$J423*($G423-$G422)*60*24</f>
        <v>5.2523466666666487E-3</v>
      </c>
    </row>
    <row r="424" spans="1:12">
      <c r="A424" s="22">
        <v>40310.907638888886</v>
      </c>
      <c r="E424" s="26">
        <v>15.516159999999999</v>
      </c>
      <c r="G424" s="27">
        <v>0.90763888888888899</v>
      </c>
      <c r="J424" s="30">
        <f>IF(G424&lt;$H$10,$H$16,IF(G424&gt;$I$10,$H$16,$H$11))*E424/600</f>
        <v>5.1720533333333334E-3</v>
      </c>
      <c r="L424" s="32">
        <f>$J424*($G424-$G423)*60*24</f>
        <v>5.1720533333341426E-3</v>
      </c>
    </row>
    <row r="425" spans="1:12">
      <c r="A425" s="22">
        <v>40310.908333333333</v>
      </c>
      <c r="E425" s="26">
        <v>15.85623</v>
      </c>
      <c r="G425" s="27">
        <v>0.90833333333333333</v>
      </c>
      <c r="J425" s="30">
        <f>IF(G425&lt;$H$10,$H$16,IF(G425&gt;$I$10,$H$16,$H$11))*E425/600</f>
        <v>5.2854099999999999E-3</v>
      </c>
      <c r="L425" s="32">
        <f>$J425*($G425-$G424)*60*24</f>
        <v>5.285409999999136E-3</v>
      </c>
    </row>
    <row r="426" spans="1:12">
      <c r="A426" s="22">
        <v>40310.90902777778</v>
      </c>
      <c r="E426" s="26">
        <v>15.8704</v>
      </c>
      <c r="G426" s="27">
        <v>0.90902777777777777</v>
      </c>
      <c r="J426" s="30">
        <f>IF(G426&lt;$H$10,$H$16,IF(G426&gt;$I$10,$H$16,$H$11))*E426/600</f>
        <v>5.290133333333333E-3</v>
      </c>
      <c r="L426" s="32">
        <f>$J426*($G426-$G425)*60*24</f>
        <v>5.2901333333333148E-3</v>
      </c>
    </row>
    <row r="427" spans="1:12">
      <c r="A427" s="22">
        <v>40310.909722222219</v>
      </c>
      <c r="E427" s="26">
        <v>15.988104</v>
      </c>
      <c r="G427" s="27">
        <v>0.90972222222222221</v>
      </c>
      <c r="J427" s="30">
        <f>IF(G427&lt;$H$10,$H$16,IF(G427&gt;$I$10,$H$16,$H$11))*E427/600</f>
        <v>5.3293680000000001E-3</v>
      </c>
      <c r="L427" s="32">
        <f>$J427*($G427-$G426)*60*24</f>
        <v>5.329367999999981E-3</v>
      </c>
    </row>
    <row r="428" spans="1:12">
      <c r="A428" s="22">
        <v>40310.910416666666</v>
      </c>
      <c r="E428" s="26">
        <v>15.877485</v>
      </c>
      <c r="G428" s="27">
        <v>0.91041666666666676</v>
      </c>
      <c r="J428" s="30">
        <f>IF(G428&lt;$H$10,$H$16,IF(G428&gt;$I$10,$H$16,$H$11))*E428/600</f>
        <v>5.2924950000000004E-3</v>
      </c>
      <c r="L428" s="32">
        <f>$J428*($G428-$G427)*60*24</f>
        <v>5.2924950000008278E-3</v>
      </c>
    </row>
    <row r="429" spans="1:12">
      <c r="A429" s="22">
        <v>40310.911111111112</v>
      </c>
      <c r="E429" s="26">
        <v>15.905825</v>
      </c>
      <c r="G429" s="27">
        <v>0.91111111111111109</v>
      </c>
      <c r="J429" s="30">
        <f>IF(G429&lt;$H$10,$H$16,IF(G429&gt;$I$10,$H$16,$H$11))*E429/600</f>
        <v>5.3019416666666664E-3</v>
      </c>
      <c r="L429" s="32">
        <f>$J429*($G429-$G428)*60*24</f>
        <v>5.3019416666657999E-3</v>
      </c>
    </row>
    <row r="430" spans="1:12">
      <c r="A430" s="22">
        <v>40310.911805555559</v>
      </c>
      <c r="E430" s="26">
        <v>15.88457</v>
      </c>
      <c r="G430" s="27">
        <v>0.91180555555555554</v>
      </c>
      <c r="J430" s="30">
        <f>IF(G430&lt;$H$10,$H$16,IF(G430&gt;$I$10,$H$16,$H$11))*E430/600</f>
        <v>5.2948566666666669E-3</v>
      </c>
      <c r="L430" s="32">
        <f>$J430*($G430-$G429)*60*24</f>
        <v>5.2948566666666478E-3</v>
      </c>
    </row>
    <row r="431" spans="1:12">
      <c r="A431" s="22">
        <v>40310.912499999999</v>
      </c>
      <c r="E431" s="26">
        <v>15.976675</v>
      </c>
      <c r="G431" s="27">
        <v>0.91249999999999998</v>
      </c>
      <c r="J431" s="30">
        <f>IF(G431&lt;$H$10,$H$16,IF(G431&gt;$I$10,$H$16,$H$11))*E431/600</f>
        <v>5.3255583333333334E-3</v>
      </c>
      <c r="L431" s="32">
        <f>$J431*($G431-$G430)*60*24</f>
        <v>5.3255583333333143E-3</v>
      </c>
    </row>
    <row r="432" spans="1:12">
      <c r="A432" s="22">
        <v>40310.913194444445</v>
      </c>
      <c r="E432" s="26">
        <v>15.990845</v>
      </c>
      <c r="G432" s="27">
        <v>0.91319444444444453</v>
      </c>
      <c r="J432" s="30">
        <f>IF(G432&lt;$H$10,$H$16,IF(G432&gt;$I$10,$H$16,$H$11))*E432/600</f>
        <v>5.3302816666666664E-3</v>
      </c>
      <c r="L432" s="32">
        <f>$J432*($G432-$G431)*60*24</f>
        <v>5.3302816666674999E-3</v>
      </c>
    </row>
    <row r="433" spans="1:12">
      <c r="A433" s="22">
        <v>40310.913888888892</v>
      </c>
      <c r="E433" s="26">
        <v>16.06878</v>
      </c>
      <c r="G433" s="27">
        <v>0.91388888888888886</v>
      </c>
      <c r="J433" s="30">
        <f>IF(G433&lt;$H$10,$H$16,IF(G433&gt;$I$10,$H$16,$H$11))*E433/600</f>
        <v>5.3562599999999998E-3</v>
      </c>
      <c r="L433" s="32">
        <f>$J433*($G433-$G432)*60*24</f>
        <v>5.3562599999991247E-3</v>
      </c>
    </row>
    <row r="434" spans="1:12">
      <c r="A434" s="22">
        <v>40310.914583333331</v>
      </c>
      <c r="E434" s="26">
        <v>15.9003</v>
      </c>
      <c r="G434" s="27">
        <v>0.9145833333333333</v>
      </c>
      <c r="J434" s="30">
        <f>IF(G434&lt;$H$10,$H$16,IF(G434&gt;$I$10,$H$16,$H$11))*E434/600</f>
        <v>5.3001000000000003E-3</v>
      </c>
      <c r="L434" s="32">
        <f>$J434*($G434-$G433)*60*24</f>
        <v>5.3000999999999812E-3</v>
      </c>
    </row>
    <row r="435" spans="1:12">
      <c r="A435" s="22">
        <v>40310.915277777778</v>
      </c>
      <c r="E435" s="26">
        <v>15.9003</v>
      </c>
      <c r="G435" s="27">
        <v>0.91527777777777775</v>
      </c>
      <c r="J435" s="30">
        <f>IF(G435&lt;$H$10,$H$16,IF(G435&gt;$I$10,$H$16,$H$11))*E435/600</f>
        <v>5.3001000000000003E-3</v>
      </c>
      <c r="L435" s="32">
        <f>$J435*($G435-$G434)*60*24</f>
        <v>5.3000999999999812E-3</v>
      </c>
    </row>
    <row r="436" spans="1:12">
      <c r="A436" s="22">
        <v>40310.915972222225</v>
      </c>
      <c r="E436" s="26">
        <v>15.914339999999999</v>
      </c>
      <c r="G436" s="27">
        <v>0.9159722222222223</v>
      </c>
      <c r="J436" s="30">
        <f>IF(G436&lt;$H$10,$H$16,IF(G436&gt;$I$10,$H$16,$H$11))*E436/600</f>
        <v>5.3047800000000003E-3</v>
      </c>
      <c r="L436" s="32">
        <f>$J436*($G436-$G435)*60*24</f>
        <v>5.3047800000008295E-3</v>
      </c>
    </row>
    <row r="437" spans="1:12">
      <c r="A437" s="22">
        <v>40310.916666666664</v>
      </c>
      <c r="E437" s="26">
        <v>15.94242</v>
      </c>
      <c r="G437" s="27">
        <v>0.91666666666666663</v>
      </c>
      <c r="J437" s="30">
        <f>IF(G437&lt;$H$10,$H$16,IF(G437&gt;$I$10,$H$16,$H$11))*E437/600</f>
        <v>5.3141400000000002E-3</v>
      </c>
      <c r="L437" s="32">
        <f>$J437*($G437-$G436)*60*24</f>
        <v>5.314139999999132E-3</v>
      </c>
    </row>
    <row r="438" spans="1:12">
      <c r="A438" s="22">
        <v>40310.917361111111</v>
      </c>
      <c r="E438" s="26">
        <v>15.976675</v>
      </c>
      <c r="G438" s="27">
        <v>0.91736111111111107</v>
      </c>
      <c r="J438" s="30">
        <f>IF(G438&lt;$H$10,$H$16,IF(G438&gt;$I$10,$H$16,$H$11))*E438/600</f>
        <v>5.3255583333333334E-3</v>
      </c>
      <c r="L438" s="32">
        <f>$J438*($G438-$G437)*60*24</f>
        <v>5.3255583333333143E-3</v>
      </c>
    </row>
    <row r="439" spans="1:12">
      <c r="A439" s="22">
        <v>40310.918055555558</v>
      </c>
      <c r="E439" s="26">
        <v>15.893280000000001</v>
      </c>
      <c r="G439" s="27">
        <v>0.91805555555555562</v>
      </c>
      <c r="J439" s="30">
        <f>IF(G439&lt;$H$10,$H$16,IF(G439&gt;$I$10,$H$16,$H$11))*E439/600</f>
        <v>5.2977600000000003E-3</v>
      </c>
      <c r="L439" s="32">
        <f>$J439*($G439-$G438)*60*24</f>
        <v>5.2977600000008286E-3</v>
      </c>
    </row>
    <row r="440" spans="1:12">
      <c r="A440" s="22">
        <v>40310.918749999997</v>
      </c>
      <c r="E440" s="26">
        <v>15.928380000000001</v>
      </c>
      <c r="G440" s="27">
        <v>0.91875000000000007</v>
      </c>
      <c r="J440" s="30">
        <f>IF(G440&lt;$H$10,$H$16,IF(G440&gt;$I$10,$H$16,$H$11))*E440/600</f>
        <v>5.3094600000000011E-3</v>
      </c>
      <c r="L440" s="32">
        <f>$J440*($G440-$G439)*60*24</f>
        <v>5.309459999999982E-3</v>
      </c>
    </row>
    <row r="441" spans="1:12">
      <c r="A441" s="22">
        <v>40310.919444444444</v>
      </c>
      <c r="E441" s="26">
        <v>16.019185</v>
      </c>
      <c r="G441" s="27">
        <v>0.9194444444444444</v>
      </c>
      <c r="J441" s="30">
        <f>IF(G441&lt;$H$10,$H$16,IF(G441&gt;$I$10,$H$16,$H$11))*E441/600</f>
        <v>5.3397283333333333E-3</v>
      </c>
      <c r="L441" s="32">
        <f>$J441*($G441-$G440)*60*24</f>
        <v>5.3397283333324608E-3</v>
      </c>
    </row>
    <row r="442" spans="1:12">
      <c r="A442" s="22">
        <v>40310.920138888891</v>
      </c>
      <c r="E442" s="26">
        <v>16.04044</v>
      </c>
      <c r="G442" s="27">
        <v>0.92013888888888884</v>
      </c>
      <c r="J442" s="30">
        <f>IF(G442&lt;$H$10,$H$16,IF(G442&gt;$I$10,$H$16,$H$11))*E442/600</f>
        <v>5.3468133333333338E-3</v>
      </c>
      <c r="L442" s="32">
        <f>$J442*($G442-$G441)*60*24</f>
        <v>5.3468133333333147E-3</v>
      </c>
    </row>
    <row r="443" spans="1:12">
      <c r="A443" s="22">
        <v>40310.92083333333</v>
      </c>
      <c r="E443" s="26">
        <v>16.02627</v>
      </c>
      <c r="G443" s="27">
        <v>0.92083333333333339</v>
      </c>
      <c r="J443" s="30">
        <f>IF(G443&lt;$H$10,$H$16,IF(G443&gt;$I$10,$H$16,$H$11))*E443/600</f>
        <v>5.3420899999999999E-3</v>
      </c>
      <c r="L443" s="32">
        <f>$J443*($G443-$G442)*60*24</f>
        <v>5.3420900000008351E-3</v>
      </c>
    </row>
    <row r="444" spans="1:12">
      <c r="A444" s="22">
        <v>40310.921527777777</v>
      </c>
      <c r="E444" s="26">
        <v>16.104205</v>
      </c>
      <c r="G444" s="27">
        <v>0.92152777777777783</v>
      </c>
      <c r="J444" s="30">
        <f>IF(G444&lt;$H$10,$H$16,IF(G444&gt;$I$10,$H$16,$H$11))*E444/600</f>
        <v>5.3680683333333333E-3</v>
      </c>
      <c r="L444" s="32">
        <f>$J444*($G444-$G443)*60*24</f>
        <v>5.3680683333333142E-3</v>
      </c>
    </row>
    <row r="445" spans="1:12">
      <c r="A445" s="22">
        <v>40310.922222222223</v>
      </c>
      <c r="E445" s="26">
        <v>15.95646</v>
      </c>
      <c r="G445" s="27">
        <v>0.92222222222222217</v>
      </c>
      <c r="J445" s="30">
        <f>IF(G445&lt;$H$10,$H$16,IF(G445&gt;$I$10,$H$16,$H$11))*E445/600</f>
        <v>5.3188200000000001E-3</v>
      </c>
      <c r="L445" s="32">
        <f>$J445*($G445-$G444)*60*24</f>
        <v>5.318819999999131E-3</v>
      </c>
    </row>
    <row r="446" spans="1:12">
      <c r="A446" s="22">
        <v>40310.92291666667</v>
      </c>
      <c r="E446" s="26">
        <v>15.949439999999999</v>
      </c>
      <c r="G446" s="27">
        <v>0.92291666666666661</v>
      </c>
      <c r="J446" s="30">
        <f>IF(G446&lt;$H$10,$H$16,IF(G446&gt;$I$10,$H$16,$H$11))*E446/600</f>
        <v>5.3164799999999993E-3</v>
      </c>
      <c r="L446" s="32">
        <f>$J446*($G446-$G445)*60*24</f>
        <v>5.3164799999999811E-3</v>
      </c>
    </row>
    <row r="447" spans="1:12">
      <c r="A447" s="22">
        <v>40310.923611111109</v>
      </c>
      <c r="E447" s="26">
        <v>15.9354</v>
      </c>
      <c r="G447" s="27">
        <v>0.92361111111111116</v>
      </c>
      <c r="J447" s="30">
        <f>IF(G447&lt;$H$10,$H$16,IF(G447&gt;$I$10,$H$16,$H$11))*E447/600</f>
        <v>5.3118000000000002E-3</v>
      </c>
      <c r="L447" s="32">
        <f>$J447*($G447-$G446)*60*24</f>
        <v>5.3118000000008311E-3</v>
      </c>
    </row>
    <row r="448" spans="1:12">
      <c r="A448" s="22">
        <v>40310.924305555556</v>
      </c>
      <c r="E448" s="26">
        <v>15.9354</v>
      </c>
      <c r="G448" s="27">
        <v>0.9243055555555556</v>
      </c>
      <c r="J448" s="30">
        <f>IF(G448&lt;$H$10,$H$16,IF(G448&gt;$I$10,$H$16,$H$11))*E448/600</f>
        <v>5.3118000000000002E-3</v>
      </c>
      <c r="L448" s="32">
        <f>$J448*($G448-$G447)*60*24</f>
        <v>5.3117999999999811E-3</v>
      </c>
    </row>
    <row r="449" spans="1:12">
      <c r="A449" s="22">
        <v>40310.925000000003</v>
      </c>
      <c r="E449" s="26">
        <v>15.963480000000001</v>
      </c>
      <c r="G449" s="27">
        <v>0.92499999999999993</v>
      </c>
      <c r="J449" s="30">
        <f>IF(G449&lt;$H$10,$H$16,IF(G449&gt;$I$10,$H$16,$H$11))*E449/600</f>
        <v>5.3211600000000001E-3</v>
      </c>
      <c r="L449" s="32">
        <f>$J449*($G449-$G448)*60*24</f>
        <v>5.321159999999131E-3</v>
      </c>
    </row>
    <row r="450" spans="1:12">
      <c r="A450" s="22">
        <v>40310.925694444442</v>
      </c>
      <c r="E450" s="26">
        <v>16.033355</v>
      </c>
      <c r="G450" s="27">
        <v>0.92569444444444438</v>
      </c>
      <c r="J450" s="30">
        <f>IF(G450&lt;$H$10,$H$16,IF(G450&gt;$I$10,$H$16,$H$11))*E450/600</f>
        <v>5.3444516666666664E-3</v>
      </c>
      <c r="L450" s="32">
        <f>$J450*($G450-$G449)*60*24</f>
        <v>5.3444516666666473E-3</v>
      </c>
    </row>
    <row r="451" spans="1:12">
      <c r="A451" s="22">
        <v>40310.926388888889</v>
      </c>
      <c r="E451" s="26">
        <v>16.047525</v>
      </c>
      <c r="G451" s="27">
        <v>0.92638888888888893</v>
      </c>
      <c r="J451" s="30">
        <f>IF(G451&lt;$H$10,$H$16,IF(G451&gt;$I$10,$H$16,$H$11))*E451/600</f>
        <v>5.3491750000000003E-3</v>
      </c>
      <c r="L451" s="32">
        <f>$J451*($G451-$G450)*60*24</f>
        <v>5.3491750000008364E-3</v>
      </c>
    </row>
    <row r="452" spans="1:12">
      <c r="A452" s="22">
        <v>40310.927083333336</v>
      </c>
      <c r="E452" s="26">
        <v>15.737856000000001</v>
      </c>
      <c r="G452" s="27">
        <v>0.92708333333333337</v>
      </c>
      <c r="J452" s="30">
        <f>IF(G452&lt;$H$10,$H$16,IF(G452&gt;$I$10,$H$16,$H$11))*E452/600</f>
        <v>5.2459520000000008E-3</v>
      </c>
      <c r="L452" s="32">
        <f>$J452*($G452-$G451)*60*24</f>
        <v>5.2459519999999826E-3</v>
      </c>
    </row>
    <row r="453" spans="1:12">
      <c r="A453" s="22">
        <v>40310.927777777775</v>
      </c>
      <c r="E453" s="26">
        <v>16.101800000000001</v>
      </c>
      <c r="G453" s="27">
        <v>0.9277777777777777</v>
      </c>
      <c r="J453" s="30">
        <f>IF(G453&lt;$H$10,$H$16,IF(G453&gt;$I$10,$H$16,$H$11))*E453/600</f>
        <v>5.3672666666666671E-3</v>
      </c>
      <c r="L453" s="32">
        <f>$J453*($G453-$G452)*60*24</f>
        <v>5.3672666666657902E-3</v>
      </c>
    </row>
    <row r="454" spans="1:12">
      <c r="A454" s="22">
        <v>40310.928472222222</v>
      </c>
      <c r="E454" s="26">
        <v>16.044599999999999</v>
      </c>
      <c r="G454" s="27">
        <v>0.92847222222222225</v>
      </c>
      <c r="J454" s="30">
        <f>IF(G454&lt;$H$10,$H$16,IF(G454&gt;$I$10,$H$16,$H$11))*E454/600</f>
        <v>5.3482E-3</v>
      </c>
      <c r="L454" s="32">
        <f>$J454*($G454-$G453)*60*24</f>
        <v>5.3482000000008353E-3</v>
      </c>
    </row>
    <row r="455" spans="1:12">
      <c r="A455" s="22">
        <v>40310.929166666669</v>
      </c>
      <c r="E455" s="26">
        <v>15.98376</v>
      </c>
      <c r="G455" s="27">
        <v>0.9291666666666667</v>
      </c>
      <c r="J455" s="30">
        <f>IF(G455&lt;$H$10,$H$16,IF(G455&gt;$I$10,$H$16,$H$11))*E455/600</f>
        <v>5.3279199999999999E-3</v>
      </c>
      <c r="L455" s="32">
        <f>$J455*($G455-$G454)*60*24</f>
        <v>5.3279199999999808E-3</v>
      </c>
    </row>
    <row r="456" spans="1:12">
      <c r="A456" s="22">
        <v>40310.929861111108</v>
      </c>
      <c r="E456" s="26">
        <v>15.99793</v>
      </c>
      <c r="G456" s="27">
        <v>0.92986111111111114</v>
      </c>
      <c r="J456" s="30">
        <f>IF(G456&lt;$H$10,$H$16,IF(G456&gt;$I$10,$H$16,$H$11))*E456/600</f>
        <v>5.3326433333333338E-3</v>
      </c>
      <c r="L456" s="32">
        <f>$J456*($G456-$G455)*60*24</f>
        <v>5.3326433333333147E-3</v>
      </c>
    </row>
    <row r="457" spans="1:12">
      <c r="A457" s="22">
        <v>40310.930555555555</v>
      </c>
      <c r="E457" s="26">
        <v>16.0121</v>
      </c>
      <c r="G457" s="27">
        <v>0.93055555555555547</v>
      </c>
      <c r="J457" s="30">
        <f>IF(G457&lt;$H$10,$H$16,IF(G457&gt;$I$10,$H$16,$H$11))*E457/600</f>
        <v>5.3373666666666668E-3</v>
      </c>
      <c r="L457" s="32">
        <f>$J457*($G457-$G456)*60*24</f>
        <v>5.3373666666657951E-3</v>
      </c>
    </row>
    <row r="458" spans="1:12">
      <c r="A458" s="22">
        <v>40310.931250000001</v>
      </c>
      <c r="E458" s="26">
        <v>15.83296</v>
      </c>
      <c r="G458" s="27">
        <v>0.93125000000000002</v>
      </c>
      <c r="J458" s="30">
        <f>IF(G458&lt;$H$10,$H$16,IF(G458&gt;$I$10,$H$16,$H$11))*E458/600</f>
        <v>5.2776533333333334E-3</v>
      </c>
      <c r="L458" s="32">
        <f>$J458*($G458-$G457)*60*24</f>
        <v>5.2776533333341591E-3</v>
      </c>
    </row>
    <row r="459" spans="1:12">
      <c r="A459" s="22">
        <v>40310.931944444441</v>
      </c>
      <c r="E459" s="26">
        <v>15.78368</v>
      </c>
      <c r="G459" s="27">
        <v>0.93194444444444446</v>
      </c>
      <c r="J459" s="30">
        <f>IF(G459&lt;$H$10,$H$16,IF(G459&gt;$I$10,$H$16,$H$11))*E459/600</f>
        <v>5.2612266666666671E-3</v>
      </c>
      <c r="L459" s="32">
        <f>$J459*($G459-$G458)*60*24</f>
        <v>5.261226666666648E-3</v>
      </c>
    </row>
    <row r="460" spans="1:12">
      <c r="A460" s="22">
        <v>40310.932638888888</v>
      </c>
      <c r="E460" s="26">
        <v>15.755520000000001</v>
      </c>
      <c r="G460" s="27">
        <v>0.93263888888888891</v>
      </c>
      <c r="J460" s="30">
        <f>IF(G460&lt;$H$10,$H$16,IF(G460&gt;$I$10,$H$16,$H$11))*E460/600</f>
        <v>5.2518399999999998E-3</v>
      </c>
      <c r="L460" s="32">
        <f>$J460*($G460-$G459)*60*24</f>
        <v>5.2518399999999816E-3</v>
      </c>
    </row>
    <row r="461" spans="1:12">
      <c r="A461" s="22">
        <v>40310.933333333334</v>
      </c>
      <c r="E461" s="26">
        <v>15.749568</v>
      </c>
      <c r="G461" s="27">
        <v>0.93333333333333324</v>
      </c>
      <c r="J461" s="30">
        <f>IF(G461&lt;$H$10,$H$16,IF(G461&gt;$I$10,$H$16,$H$11))*E461/600</f>
        <v>5.2498559999999998E-3</v>
      </c>
      <c r="L461" s="32">
        <f>$J461*($G461-$G460)*60*24</f>
        <v>5.249855999999142E-3</v>
      </c>
    </row>
    <row r="462" spans="1:12">
      <c r="A462" s="22">
        <v>40310.934027777781</v>
      </c>
      <c r="E462" s="26">
        <v>15.849024</v>
      </c>
      <c r="G462" s="27">
        <v>0.93402777777777779</v>
      </c>
      <c r="J462" s="30">
        <f>IF(G462&lt;$H$10,$H$16,IF(G462&gt;$I$10,$H$16,$H$11))*E462/600</f>
        <v>5.2830080000000005E-3</v>
      </c>
      <c r="L462" s="32">
        <f>$J462*($G462-$G461)*60*24</f>
        <v>5.2830080000008262E-3</v>
      </c>
    </row>
    <row r="463" spans="1:12">
      <c r="A463" s="22">
        <v>40310.93472222222</v>
      </c>
      <c r="E463" s="26">
        <v>15.94848</v>
      </c>
      <c r="G463" s="27">
        <v>0.93472222222222223</v>
      </c>
      <c r="J463" s="30">
        <f>IF(G463&lt;$H$10,$H$16,IF(G463&gt;$I$10,$H$16,$H$11))*E463/600</f>
        <v>5.3161600000000003E-3</v>
      </c>
      <c r="L463" s="32">
        <f>$J463*($G463-$G462)*60*24</f>
        <v>5.3161599999999812E-3</v>
      </c>
    </row>
    <row r="464" spans="1:12">
      <c r="A464" s="22">
        <v>40310.935416666667</v>
      </c>
      <c r="E464" s="26">
        <v>16.005015</v>
      </c>
      <c r="G464" s="27">
        <v>0.93541666666666667</v>
      </c>
      <c r="J464" s="30">
        <f>IF(G464&lt;$H$10,$H$16,IF(G464&gt;$I$10,$H$16,$H$11))*E464/600</f>
        <v>5.3350050000000003E-3</v>
      </c>
      <c r="L464" s="32">
        <f>$J464*($G464-$G463)*60*24</f>
        <v>5.3350049999999812E-3</v>
      </c>
    </row>
    <row r="465" spans="1:12">
      <c r="A465" s="22">
        <v>40310.936111111114</v>
      </c>
      <c r="E465" s="26">
        <v>16.005015</v>
      </c>
      <c r="G465" s="27">
        <v>0.93611111111111101</v>
      </c>
      <c r="J465" s="30">
        <f>IF(G465&lt;$H$10,$H$16,IF(G465&gt;$I$10,$H$16,$H$11))*E465/600</f>
        <v>5.3350050000000003E-3</v>
      </c>
      <c r="L465" s="32">
        <f>$J465*($G465-$G464)*60*24</f>
        <v>5.3350049999991286E-3</v>
      </c>
    </row>
    <row r="466" spans="1:12">
      <c r="A466" s="22">
        <v>40310.936805555553</v>
      </c>
      <c r="E466" s="26">
        <v>16.019185</v>
      </c>
      <c r="G466" s="27">
        <v>0.93680555555555556</v>
      </c>
      <c r="J466" s="30">
        <f>IF(G466&lt;$H$10,$H$16,IF(G466&gt;$I$10,$H$16,$H$11))*E466/600</f>
        <v>5.3397283333333333E-3</v>
      </c>
      <c r="L466" s="32">
        <f>$J466*($G466-$G465)*60*24</f>
        <v>5.3397283333341677E-3</v>
      </c>
    </row>
    <row r="467" spans="1:12">
      <c r="A467" s="22">
        <v>40310.9375</v>
      </c>
      <c r="E467" s="26">
        <v>15.948335</v>
      </c>
      <c r="G467" s="27">
        <v>0.9375</v>
      </c>
      <c r="J467" s="30">
        <f>IF(G467&lt;$H$10,$H$16,IF(G467&gt;$I$10,$H$16,$H$11))*E467/600</f>
        <v>5.3161116666666664E-3</v>
      </c>
      <c r="L467" s="32">
        <f>$J467*($G467-$G466)*60*24</f>
        <v>5.3161116666666473E-3</v>
      </c>
    </row>
    <row r="468" spans="1:12">
      <c r="A468" s="22">
        <v>40310.938194444447</v>
      </c>
      <c r="E468" s="26">
        <v>15.891655</v>
      </c>
      <c r="G468" s="27">
        <v>0.93819444444444444</v>
      </c>
      <c r="J468" s="30">
        <f>IF(G468&lt;$H$10,$H$16,IF(G468&gt;$I$10,$H$16,$H$11))*E468/600</f>
        <v>5.2972183333333334E-3</v>
      </c>
      <c r="L468" s="32">
        <f>$J468*($G468-$G467)*60*24</f>
        <v>5.2972183333333143E-3</v>
      </c>
    </row>
    <row r="469" spans="1:12">
      <c r="A469" s="22">
        <v>40310.938888888886</v>
      </c>
      <c r="E469" s="26">
        <v>15.91291</v>
      </c>
      <c r="G469" s="27">
        <v>0.93888888888888899</v>
      </c>
      <c r="J469" s="30">
        <f>IF(G469&lt;$H$10,$H$16,IF(G469&gt;$I$10,$H$16,$H$11))*E469/600</f>
        <v>5.304303333333333E-3</v>
      </c>
      <c r="L469" s="32">
        <f>$J469*($G469-$G468)*60*24</f>
        <v>5.3043033333341622E-3</v>
      </c>
    </row>
    <row r="470" spans="1:12">
      <c r="A470" s="22">
        <v>40310.939583333333</v>
      </c>
      <c r="E470" s="26">
        <v>15.962505</v>
      </c>
      <c r="G470" s="27">
        <v>0.93958333333333333</v>
      </c>
      <c r="J470" s="30">
        <f>IF(G470&lt;$H$10,$H$16,IF(G470&gt;$I$10,$H$16,$H$11))*E470/600</f>
        <v>5.3208350000000003E-3</v>
      </c>
      <c r="L470" s="32">
        <f>$J470*($G470-$G469)*60*24</f>
        <v>5.3208349999991312E-3</v>
      </c>
    </row>
    <row r="471" spans="1:12">
      <c r="A471" s="22">
        <v>40310.94027777778</v>
      </c>
      <c r="E471" s="26">
        <v>15.89874</v>
      </c>
      <c r="G471" s="27">
        <v>0.94027777777777777</v>
      </c>
      <c r="J471" s="30">
        <f>IF(G471&lt;$H$10,$H$16,IF(G471&gt;$I$10,$H$16,$H$11))*E471/600</f>
        <v>5.2995799999999999E-3</v>
      </c>
      <c r="L471" s="32">
        <f>$J471*($G471-$G470)*60*24</f>
        <v>5.2995799999999808E-3</v>
      </c>
    </row>
    <row r="472" spans="1:12">
      <c r="A472" s="22">
        <v>40310.940972222219</v>
      </c>
      <c r="E472" s="26">
        <v>15.919995</v>
      </c>
      <c r="G472" s="27">
        <v>0.94097222222222221</v>
      </c>
      <c r="J472" s="30">
        <f>IF(G472&lt;$H$10,$H$16,IF(G472&gt;$I$10,$H$16,$H$11))*E472/600</f>
        <v>5.3066650000000003E-3</v>
      </c>
      <c r="L472" s="32">
        <f>$J472*($G472-$G471)*60*24</f>
        <v>5.3066649999999813E-3</v>
      </c>
    </row>
    <row r="473" spans="1:12">
      <c r="A473" s="22">
        <v>40310.941666666666</v>
      </c>
      <c r="E473" s="26">
        <v>15.962505</v>
      </c>
      <c r="G473" s="27">
        <v>0.94166666666666676</v>
      </c>
      <c r="J473" s="30">
        <f>IF(G473&lt;$H$10,$H$16,IF(G473&gt;$I$10,$H$16,$H$11))*E473/600</f>
        <v>5.3208350000000003E-3</v>
      </c>
      <c r="L473" s="32">
        <f>$J473*($G473-$G472)*60*24</f>
        <v>5.3208350000008321E-3</v>
      </c>
    </row>
    <row r="474" spans="1:12">
      <c r="A474" s="22">
        <v>40310.942361111112</v>
      </c>
      <c r="E474" s="26">
        <v>15.891655</v>
      </c>
      <c r="G474" s="27">
        <v>0.94236111111111109</v>
      </c>
      <c r="J474" s="30">
        <f>IF(G474&lt;$H$10,$H$16,IF(G474&gt;$I$10,$H$16,$H$11))*E474/600</f>
        <v>5.2972183333333334E-3</v>
      </c>
      <c r="L474" s="32">
        <f>$J474*($G474-$G473)*60*24</f>
        <v>5.2972183333324678E-3</v>
      </c>
    </row>
    <row r="475" spans="1:12">
      <c r="A475" s="22">
        <v>40310.943055555559</v>
      </c>
      <c r="E475" s="26">
        <v>15.849145</v>
      </c>
      <c r="G475" s="27">
        <v>0.94305555555555554</v>
      </c>
      <c r="J475" s="30">
        <f>IF(G475&lt;$H$10,$H$16,IF(G475&gt;$I$10,$H$16,$H$11))*E475/600</f>
        <v>5.2830483333333334E-3</v>
      </c>
      <c r="L475" s="32">
        <f>$J475*($G475-$G474)*60*24</f>
        <v>5.2830483333333143E-3</v>
      </c>
    </row>
    <row r="476" spans="1:12">
      <c r="A476" s="22">
        <v>40310.943749999999</v>
      </c>
      <c r="E476" s="26">
        <v>15.692159999999999</v>
      </c>
      <c r="G476" s="27">
        <v>0.94374999999999998</v>
      </c>
      <c r="J476" s="30">
        <f>IF(G476&lt;$H$10,$H$16,IF(G476&gt;$I$10,$H$16,$H$11))*E476/600</f>
        <v>5.2307199999999995E-3</v>
      </c>
      <c r="L476" s="32">
        <f>$J476*($G476-$G475)*60*24</f>
        <v>5.2307199999999804E-3</v>
      </c>
    </row>
    <row r="477" spans="1:12">
      <c r="A477" s="22">
        <v>40310.944444444445</v>
      </c>
      <c r="E477" s="26">
        <v>15.59136</v>
      </c>
      <c r="G477" s="27">
        <v>0.94444444444444453</v>
      </c>
      <c r="J477" s="30">
        <f>IF(G477&lt;$H$10,$H$16,IF(G477&gt;$I$10,$H$16,$H$11))*E477/600</f>
        <v>5.1971200000000004E-3</v>
      </c>
      <c r="L477" s="32">
        <f>$J477*($G477-$G476)*60*24</f>
        <v>5.1971200000008122E-3</v>
      </c>
    </row>
    <row r="478" spans="1:12">
      <c r="A478" s="22">
        <v>40310.945138888892</v>
      </c>
      <c r="E478" s="26">
        <v>14.898618000000001</v>
      </c>
      <c r="G478" s="27">
        <v>0.94513888888888886</v>
      </c>
      <c r="J478" s="30">
        <f>IF(G478&lt;$H$10,$H$16,IF(G478&gt;$I$10,$H$16,$H$11))*E478/600</f>
        <v>4.9662060000000008E-3</v>
      </c>
      <c r="L478" s="32">
        <f>$J478*($G478-$G477)*60*24</f>
        <v>4.9662059999991889E-3</v>
      </c>
    </row>
    <row r="479" spans="1:12">
      <c r="A479" s="22">
        <v>40310.945833333331</v>
      </c>
      <c r="E479" s="26">
        <v>14.845193999999999</v>
      </c>
      <c r="G479" s="27">
        <v>0.9458333333333333</v>
      </c>
      <c r="J479" s="30">
        <f>IF(G479&lt;$H$10,$H$16,IF(G479&gt;$I$10,$H$16,$H$11))*E479/600</f>
        <v>4.9483979999999997E-3</v>
      </c>
      <c r="L479" s="32">
        <f>$J479*($G479-$G478)*60*24</f>
        <v>4.9483979999999823E-3</v>
      </c>
    </row>
    <row r="480" spans="1:12">
      <c r="A480" s="22">
        <v>40310.946527777778</v>
      </c>
      <c r="E480" s="26">
        <v>14.905296</v>
      </c>
      <c r="G480" s="27">
        <v>0.94652777777777775</v>
      </c>
      <c r="J480" s="30">
        <f>IF(G480&lt;$H$10,$H$16,IF(G480&gt;$I$10,$H$16,$H$11))*E480/600</f>
        <v>4.9684320000000001E-3</v>
      </c>
      <c r="L480" s="32">
        <f>$J480*($G480-$G479)*60*24</f>
        <v>4.9684319999999827E-3</v>
      </c>
    </row>
    <row r="481" spans="1:12">
      <c r="A481" s="22">
        <v>40310.947222222225</v>
      </c>
      <c r="E481" s="26">
        <v>14.938686000000001</v>
      </c>
      <c r="G481" s="27">
        <v>0.9472222222222223</v>
      </c>
      <c r="J481" s="30">
        <f>IF(G481&lt;$H$10,$H$16,IF(G481&gt;$I$10,$H$16,$H$11))*E481/600</f>
        <v>4.9795620000000007E-3</v>
      </c>
      <c r="L481" s="32">
        <f>$J481*($G481-$G480)*60*24</f>
        <v>4.9795620000007788E-3</v>
      </c>
    </row>
    <row r="482" spans="1:12">
      <c r="A482" s="22">
        <v>40310.947916666664</v>
      </c>
      <c r="E482" s="26">
        <v>14.863905000000001</v>
      </c>
      <c r="G482" s="27">
        <v>0.94791666666666663</v>
      </c>
      <c r="J482" s="30">
        <f>IF(G482&lt;$H$10,$H$16,IF(G482&gt;$I$10,$H$16,$H$11))*E482/600</f>
        <v>4.9546350000000006E-3</v>
      </c>
      <c r="L482" s="32">
        <f>$J482*($G482-$G481)*60*24</f>
        <v>4.9546349999991905E-3</v>
      </c>
    </row>
    <row r="483" spans="1:12">
      <c r="A483" s="22">
        <v>40310.948611111111</v>
      </c>
      <c r="E483" s="26">
        <v>14.943284999999999</v>
      </c>
      <c r="G483" s="27">
        <v>0.94861111111111107</v>
      </c>
      <c r="J483" s="30">
        <f>IF(G483&lt;$H$10,$H$16,IF(G483&gt;$I$10,$H$16,$H$11))*E483/600</f>
        <v>4.9810949999999996E-3</v>
      </c>
      <c r="L483" s="32">
        <f>$J483*($G483-$G482)*60*24</f>
        <v>4.9810949999999823E-3</v>
      </c>
    </row>
    <row r="484" spans="1:12">
      <c r="A484" s="22">
        <v>40310.949305555558</v>
      </c>
      <c r="E484" s="26">
        <v>14.903594999999999</v>
      </c>
      <c r="G484" s="27">
        <v>0.94930555555555562</v>
      </c>
      <c r="J484" s="30">
        <f>IF(G484&lt;$H$10,$H$16,IF(G484&gt;$I$10,$H$16,$H$11))*E484/600</f>
        <v>4.9678650000000001E-3</v>
      </c>
      <c r="L484" s="32">
        <f>$J484*($G484-$G483)*60*24</f>
        <v>4.9678650000007764E-3</v>
      </c>
    </row>
    <row r="485" spans="1:12">
      <c r="A485" s="22">
        <v>40310.949999999997</v>
      </c>
      <c r="E485" s="26">
        <v>14.930054999999999</v>
      </c>
      <c r="G485" s="27">
        <v>0.95000000000000007</v>
      </c>
      <c r="J485" s="30">
        <f>IF(G485&lt;$H$10,$H$16,IF(G485&gt;$I$10,$H$16,$H$11))*E485/600</f>
        <v>4.9766849999999998E-3</v>
      </c>
      <c r="L485" s="32">
        <f>$J485*($G485-$G484)*60*24</f>
        <v>4.9766849999999824E-3</v>
      </c>
    </row>
    <row r="486" spans="1:12">
      <c r="A486" s="22">
        <v>40310.950694444444</v>
      </c>
      <c r="E486" s="26">
        <v>14.870520000000001</v>
      </c>
      <c r="G486" s="27">
        <v>0.9506944444444444</v>
      </c>
      <c r="J486" s="30">
        <f>IF(G486&lt;$H$10,$H$16,IF(G486&gt;$I$10,$H$16,$H$11))*E486/600</f>
        <v>4.9568400000000006E-3</v>
      </c>
      <c r="L486" s="32">
        <f>$J486*($G486-$G485)*60*24</f>
        <v>4.9568399999991904E-3</v>
      </c>
    </row>
    <row r="487" spans="1:12">
      <c r="A487" s="22">
        <v>40310.951388888891</v>
      </c>
      <c r="E487" s="26">
        <v>14.863905000000001</v>
      </c>
      <c r="G487" s="27">
        <v>0.95138888888888884</v>
      </c>
      <c r="J487" s="30">
        <f>IF(G487&lt;$H$10,$H$16,IF(G487&gt;$I$10,$H$16,$H$11))*E487/600</f>
        <v>4.9546350000000006E-3</v>
      </c>
      <c r="L487" s="32">
        <f>$J487*($G487-$G486)*60*24</f>
        <v>4.9546349999999833E-3</v>
      </c>
    </row>
    <row r="488" spans="1:12">
      <c r="A488" s="22">
        <v>40310.95208333333</v>
      </c>
      <c r="E488" s="26">
        <v>14.77791</v>
      </c>
      <c r="G488" s="27">
        <v>0.95208333333333339</v>
      </c>
      <c r="J488" s="30">
        <f>IF(G488&lt;$H$10,$H$16,IF(G488&gt;$I$10,$H$16,$H$11))*E488/600</f>
        <v>4.92597E-3</v>
      </c>
      <c r="L488" s="32">
        <f>$J488*($G488-$G487)*60*24</f>
        <v>4.9259700000007702E-3</v>
      </c>
    </row>
    <row r="489" spans="1:12">
      <c r="A489" s="22">
        <v>40310.952777777777</v>
      </c>
      <c r="E489" s="26">
        <v>14.76468</v>
      </c>
      <c r="G489" s="27">
        <v>0.95277777777777783</v>
      </c>
      <c r="J489" s="30">
        <f>IF(G489&lt;$H$10,$H$16,IF(G489&gt;$I$10,$H$16,$H$11))*E489/600</f>
        <v>4.9215600000000002E-3</v>
      </c>
      <c r="L489" s="32">
        <f>$J489*($G489-$G488)*60*24</f>
        <v>4.9215599999999828E-3</v>
      </c>
    </row>
    <row r="490" spans="1:12">
      <c r="A490" s="22">
        <v>40310.953472222223</v>
      </c>
      <c r="E490" s="26">
        <v>14.916096</v>
      </c>
      <c r="G490" s="27">
        <v>0.95347222222222217</v>
      </c>
      <c r="J490" s="30">
        <f>IF(G490&lt;$H$10,$H$16,IF(G490&gt;$I$10,$H$16,$H$11))*E490/600</f>
        <v>4.9720320000000004E-3</v>
      </c>
      <c r="L490" s="32">
        <f>$J490*($G490-$G489)*60*24</f>
        <v>4.9720319999991876E-3</v>
      </c>
    </row>
    <row r="491" spans="1:12">
      <c r="A491" s="22">
        <v>40310.95416666667</v>
      </c>
      <c r="E491" s="26">
        <v>14.77791</v>
      </c>
      <c r="G491" s="27">
        <v>0.95416666666666661</v>
      </c>
      <c r="J491" s="30">
        <f>IF(G491&lt;$H$10,$H$16,IF(G491&gt;$I$10,$H$16,$H$11))*E491/600</f>
        <v>4.92597E-3</v>
      </c>
      <c r="L491" s="32">
        <f>$J491*($G491-$G490)*60*24</f>
        <v>4.9259699999999818E-3</v>
      </c>
    </row>
    <row r="492" spans="1:12">
      <c r="A492" s="22">
        <v>40310.954861111109</v>
      </c>
      <c r="E492" s="26">
        <v>14.863905000000001</v>
      </c>
      <c r="G492" s="27">
        <v>0.95486111111111116</v>
      </c>
      <c r="J492" s="30">
        <f>IF(G492&lt;$H$10,$H$16,IF(G492&gt;$I$10,$H$16,$H$11))*E492/600</f>
        <v>4.9546350000000006E-3</v>
      </c>
      <c r="L492" s="32">
        <f>$J492*($G492-$G491)*60*24</f>
        <v>4.9546350000007752E-3</v>
      </c>
    </row>
    <row r="493" spans="1:12">
      <c r="A493" s="22">
        <v>40310.955555555556</v>
      </c>
      <c r="E493" s="26">
        <v>14.817600000000001</v>
      </c>
      <c r="G493" s="27">
        <v>0.9555555555555556</v>
      </c>
      <c r="J493" s="30">
        <f>IF(G493&lt;$H$10,$H$16,IF(G493&gt;$I$10,$H$16,$H$11))*E493/600</f>
        <v>4.9392000000000004E-3</v>
      </c>
      <c r="L493" s="32">
        <f>$J493*($G493-$G492)*60*24</f>
        <v>4.939199999999983E-3</v>
      </c>
    </row>
    <row r="494" spans="1:12">
      <c r="A494" s="22">
        <v>40310.956250000003</v>
      </c>
      <c r="E494" s="26">
        <v>14.890364999999999</v>
      </c>
      <c r="G494" s="27">
        <v>0.95624999999999993</v>
      </c>
      <c r="J494" s="30">
        <f>IF(G494&lt;$H$10,$H$16,IF(G494&gt;$I$10,$H$16,$H$11))*E494/600</f>
        <v>4.9634550000000003E-3</v>
      </c>
      <c r="L494" s="32">
        <f>$J494*($G494-$G493)*60*24</f>
        <v>4.9634549999991893E-3</v>
      </c>
    </row>
    <row r="495" spans="1:12">
      <c r="A495" s="22">
        <v>40310.956944444442</v>
      </c>
      <c r="E495" s="26">
        <v>15.029248000000001</v>
      </c>
      <c r="G495" s="27">
        <v>0.95694444444444438</v>
      </c>
      <c r="J495" s="30">
        <f>IF(G495&lt;$H$10,$H$16,IF(G495&gt;$I$10,$H$16,$H$11))*E495/600</f>
        <v>5.009749333333334E-3</v>
      </c>
      <c r="L495" s="32">
        <f>$J495*($G495-$G494)*60*24</f>
        <v>5.0097493333333167E-3</v>
      </c>
    </row>
    <row r="496" spans="1:12">
      <c r="A496" s="22">
        <v>40310.957638888889</v>
      </c>
      <c r="E496" s="26">
        <v>14.80437</v>
      </c>
      <c r="G496" s="27">
        <v>0.95763888888888893</v>
      </c>
      <c r="J496" s="30">
        <f>IF(G496&lt;$H$10,$H$16,IF(G496&gt;$I$10,$H$16,$H$11))*E496/600</f>
        <v>4.9347900000000005E-3</v>
      </c>
      <c r="L496" s="32">
        <f>$J496*($G496-$G495)*60*24</f>
        <v>4.9347900000007716E-3</v>
      </c>
    </row>
    <row r="497" spans="1:12">
      <c r="A497" s="22">
        <v>40310.958333333336</v>
      </c>
      <c r="E497" s="26">
        <v>15.032640000000001</v>
      </c>
      <c r="G497" s="27">
        <v>0.95833333333333337</v>
      </c>
      <c r="J497" s="30">
        <f>IF(G497&lt;$H$10,$H$16,IF(G497&gt;$I$10,$H$16,$H$11))*E497/600</f>
        <v>5.0108800000000005E-3</v>
      </c>
      <c r="L497" s="32">
        <f>$J497*($G497-$G496)*60*24</f>
        <v>5.0108799999999823E-3</v>
      </c>
    </row>
    <row r="498" spans="1:12">
      <c r="A498" s="22">
        <v>40310.959027777775</v>
      </c>
      <c r="E498" s="26">
        <v>14.916096</v>
      </c>
      <c r="G498" s="27">
        <v>0.9590277777777777</v>
      </c>
      <c r="J498" s="30">
        <f>IF(G498&lt;$H$10,$H$16,IF(G498&gt;$I$10,$H$16,$H$11))*E498/600</f>
        <v>4.9720320000000004E-3</v>
      </c>
      <c r="L498" s="32">
        <f>$J498*($G498-$G497)*60*24</f>
        <v>4.9720319999991876E-3</v>
      </c>
    </row>
    <row r="499" spans="1:12">
      <c r="A499" s="22">
        <v>40310.959722222222</v>
      </c>
      <c r="E499" s="26">
        <v>14.889472</v>
      </c>
      <c r="G499" s="27">
        <v>0.95972222222222225</v>
      </c>
      <c r="J499" s="30">
        <f>IF(G499&lt;$H$10,$H$16,IF(G499&gt;$I$10,$H$16,$H$11))*E499/600</f>
        <v>4.9631573333333342E-3</v>
      </c>
      <c r="L499" s="32">
        <f>$J499*($G499-$G498)*60*24</f>
        <v>4.9631573333341096E-3</v>
      </c>
    </row>
    <row r="500" spans="1:12">
      <c r="A500" s="22">
        <v>40310.960416666669</v>
      </c>
      <c r="E500" s="26">
        <v>14.956032</v>
      </c>
      <c r="G500" s="27">
        <v>0.9604166666666667</v>
      </c>
      <c r="J500" s="30">
        <f>IF(G500&lt;$H$10,$H$16,IF(G500&gt;$I$10,$H$16,$H$11))*E500/600</f>
        <v>4.9853440000000001E-3</v>
      </c>
      <c r="L500" s="32">
        <f>$J500*($G500-$G499)*60*24</f>
        <v>4.9853439999999827E-3</v>
      </c>
    </row>
    <row r="501" spans="1:12">
      <c r="A501" s="22">
        <v>40310.961111111108</v>
      </c>
      <c r="E501" s="26">
        <v>15.07296</v>
      </c>
      <c r="G501" s="27">
        <v>0.96111111111111114</v>
      </c>
      <c r="J501" s="30">
        <f>IF(G501&lt;$H$10,$H$16,IF(G501&gt;$I$10,$H$16,$H$11))*E501/600</f>
        <v>5.0243200000000005E-3</v>
      </c>
      <c r="L501" s="32">
        <f>$J501*($G501-$G500)*60*24</f>
        <v>5.0243199999999832E-3</v>
      </c>
    </row>
    <row r="502" spans="1:12">
      <c r="A502" s="22">
        <v>40310.961805555555</v>
      </c>
      <c r="E502" s="26">
        <v>14.995968</v>
      </c>
      <c r="G502" s="27">
        <v>0.96180555555555547</v>
      </c>
      <c r="J502" s="30">
        <f>IF(G502&lt;$H$10,$H$16,IF(G502&gt;$I$10,$H$16,$H$11))*E502/600</f>
        <v>4.9986559999999998E-3</v>
      </c>
      <c r="L502" s="32">
        <f>$J502*($G502-$G501)*60*24</f>
        <v>4.9986559999991827E-3</v>
      </c>
    </row>
    <row r="503" spans="1:12">
      <c r="A503" s="22">
        <v>40310.962500000001</v>
      </c>
      <c r="E503" s="26">
        <v>15.022592</v>
      </c>
      <c r="G503" s="27">
        <v>0.96250000000000002</v>
      </c>
      <c r="J503" s="30">
        <f>IF(G503&lt;$H$10,$H$16,IF(G503&gt;$I$10,$H$16,$H$11))*E503/600</f>
        <v>5.0075306666666668E-3</v>
      </c>
      <c r="L503" s="32">
        <f>$J503*($G503-$G502)*60*24</f>
        <v>5.00753066666745E-3</v>
      </c>
    </row>
    <row r="504" spans="1:12">
      <c r="A504" s="22">
        <v>40310.963194444441</v>
      </c>
      <c r="E504" s="26">
        <v>14.917695999999999</v>
      </c>
      <c r="G504" s="27">
        <v>0.96319444444444446</v>
      </c>
      <c r="J504" s="30">
        <f>IF(G504&lt;$H$10,$H$16,IF(G504&gt;$I$10,$H$16,$H$11))*E504/600</f>
        <v>4.9725653333333331E-3</v>
      </c>
      <c r="L504" s="32">
        <f>$J504*($G504-$G503)*60*24</f>
        <v>4.9725653333333158E-3</v>
      </c>
    </row>
    <row r="505" spans="1:12">
      <c r="A505" s="22">
        <v>40310.963888888888</v>
      </c>
      <c r="E505" s="26">
        <v>14.897919999999999</v>
      </c>
      <c r="G505" s="27">
        <v>0.96388888888888891</v>
      </c>
      <c r="J505" s="30">
        <f>IF(G505&lt;$H$10,$H$16,IF(G505&gt;$I$10,$H$16,$H$11))*E505/600</f>
        <v>4.9659733333333334E-3</v>
      </c>
      <c r="L505" s="32">
        <f>$J505*($G505-$G504)*60*24</f>
        <v>4.9659733333333161E-3</v>
      </c>
    </row>
    <row r="506" spans="1:12">
      <c r="A506" s="22">
        <v>40310.964583333334</v>
      </c>
      <c r="E506" s="26">
        <v>15.164175</v>
      </c>
      <c r="G506" s="27">
        <v>0.96458333333333324</v>
      </c>
      <c r="J506" s="30">
        <f>IF(G506&lt;$H$10,$H$16,IF(G506&gt;$I$10,$H$16,$H$11))*E506/600</f>
        <v>5.0547250000000004E-3</v>
      </c>
      <c r="L506" s="32">
        <f>$J506*($G506-$G505)*60*24</f>
        <v>5.0547249999991746E-3</v>
      </c>
    </row>
    <row r="507" spans="1:12">
      <c r="A507" s="22">
        <v>40310.965277777781</v>
      </c>
      <c r="E507" s="26">
        <v>15.190955000000001</v>
      </c>
      <c r="G507" s="27">
        <v>0.96527777777777779</v>
      </c>
      <c r="J507" s="30">
        <f>IF(G507&lt;$H$10,$H$16,IF(G507&gt;$I$10,$H$16,$H$11))*E507/600</f>
        <v>5.0636516666666669E-3</v>
      </c>
      <c r="L507" s="32">
        <f>$J507*($G507-$G506)*60*24</f>
        <v>5.0636516666674588E-3</v>
      </c>
    </row>
    <row r="508" spans="1:12">
      <c r="A508" s="22">
        <v>40310.96597222222</v>
      </c>
      <c r="E508" s="26">
        <v>15.124005</v>
      </c>
      <c r="G508" s="27">
        <v>0.96597222222222223</v>
      </c>
      <c r="J508" s="30">
        <f>IF(G508&lt;$H$10,$H$16,IF(G508&gt;$I$10,$H$16,$H$11))*E508/600</f>
        <v>5.0413350000000001E-3</v>
      </c>
      <c r="L508" s="32">
        <f>$J508*($G508-$G507)*60*24</f>
        <v>5.0413349999999819E-3</v>
      </c>
    </row>
    <row r="509" spans="1:12">
      <c r="A509" s="22">
        <v>40310.966666666667</v>
      </c>
      <c r="E509" s="26">
        <v>15.07714</v>
      </c>
      <c r="G509" s="27">
        <v>0.96666666666666667</v>
      </c>
      <c r="J509" s="30">
        <f>IF(G509&lt;$H$10,$H$16,IF(G509&gt;$I$10,$H$16,$H$11))*E509/600</f>
        <v>5.0257133333333334E-3</v>
      </c>
      <c r="L509" s="32">
        <f>$J509*($G509-$G508)*60*24</f>
        <v>5.0257133333333152E-3</v>
      </c>
    </row>
    <row r="510" spans="1:12">
      <c r="A510" s="22">
        <v>40310.967361111114</v>
      </c>
      <c r="E510" s="26">
        <v>15.057055</v>
      </c>
      <c r="G510" s="27">
        <v>0.96736111111111101</v>
      </c>
      <c r="J510" s="30">
        <f>IF(G510&lt;$H$10,$H$16,IF(G510&gt;$I$10,$H$16,$H$11))*E510/600</f>
        <v>5.0190183333333341E-3</v>
      </c>
      <c r="L510" s="32">
        <f>$J510*($G510-$G509)*60*24</f>
        <v>5.0190183333325145E-3</v>
      </c>
    </row>
    <row r="511" spans="1:12">
      <c r="A511" s="22">
        <v>40310.968055555553</v>
      </c>
      <c r="E511" s="26">
        <v>15.097225</v>
      </c>
      <c r="G511" s="27">
        <v>0.96805555555555556</v>
      </c>
      <c r="J511" s="30">
        <f>IF(G511&lt;$H$10,$H$16,IF(G511&gt;$I$10,$H$16,$H$11))*E511/600</f>
        <v>5.0324083333333335E-3</v>
      </c>
      <c r="L511" s="32">
        <f>$J511*($G511-$G510)*60*24</f>
        <v>5.0324083333341202E-3</v>
      </c>
    </row>
    <row r="512" spans="1:12">
      <c r="A512" s="22">
        <v>40310.96875</v>
      </c>
      <c r="E512" s="26">
        <v>15.01695</v>
      </c>
      <c r="G512" s="27">
        <v>0.96875</v>
      </c>
      <c r="J512" s="30">
        <f>IF(G512&lt;$H$10,$H$16,IF(G512&gt;$I$10,$H$16,$H$11))*E512/600</f>
        <v>5.0056500000000004E-3</v>
      </c>
      <c r="L512" s="32">
        <f>$J512*($G512-$G511)*60*24</f>
        <v>5.0056499999999822E-3</v>
      </c>
    </row>
    <row r="513" spans="1:12">
      <c r="A513" s="22">
        <v>40310.969444444447</v>
      </c>
      <c r="E513" s="26">
        <v>15.03684</v>
      </c>
      <c r="G513" s="27">
        <v>0.96944444444444444</v>
      </c>
      <c r="J513" s="30">
        <f>IF(G513&lt;$H$10,$H$16,IF(G513&gt;$I$10,$H$16,$H$11))*E513/600</f>
        <v>5.01228E-3</v>
      </c>
      <c r="L513" s="32">
        <f>$J513*($G513-$G512)*60*24</f>
        <v>5.0122799999999827E-3</v>
      </c>
    </row>
    <row r="514" spans="1:12">
      <c r="A514" s="22">
        <v>40310.970138888886</v>
      </c>
      <c r="E514" s="26">
        <v>14.896127999999999</v>
      </c>
      <c r="G514" s="27">
        <v>0.97013888888888899</v>
      </c>
      <c r="J514" s="30">
        <f>IF(G514&lt;$H$10,$H$16,IF(G514&gt;$I$10,$H$16,$H$11))*E514/600</f>
        <v>4.9653759999999996E-3</v>
      </c>
      <c r="L514" s="32">
        <f>$J514*($G514-$G513)*60*24</f>
        <v>4.9653760000007759E-3</v>
      </c>
    </row>
    <row r="515" spans="1:12">
      <c r="A515" s="22">
        <v>40310.970833333333</v>
      </c>
      <c r="E515" s="26">
        <v>14.785856000000001</v>
      </c>
      <c r="G515" s="27">
        <v>0.97083333333333333</v>
      </c>
      <c r="J515" s="30">
        <f>IF(G515&lt;$H$10,$H$16,IF(G515&gt;$I$10,$H$16,$H$11))*E515/600</f>
        <v>4.9286186666666672E-3</v>
      </c>
      <c r="L515" s="32">
        <f>$J515*($G515-$G514)*60*24</f>
        <v>4.9286186666658615E-3</v>
      </c>
    </row>
    <row r="516" spans="1:12">
      <c r="A516" s="22">
        <v>40310.97152777778</v>
      </c>
      <c r="E516" s="26">
        <v>14.759487999999999</v>
      </c>
      <c r="G516" s="27">
        <v>0.97152777777777777</v>
      </c>
      <c r="J516" s="30">
        <f>IF(G516&lt;$H$10,$H$16,IF(G516&gt;$I$10,$H$16,$H$11))*E516/600</f>
        <v>4.9198293333333337E-3</v>
      </c>
      <c r="L516" s="32">
        <f>$J516*($G516-$G515)*60*24</f>
        <v>4.9198293333333164E-3</v>
      </c>
    </row>
    <row r="517" spans="1:12">
      <c r="A517" s="22">
        <v>40310.972222222219</v>
      </c>
      <c r="E517" s="26">
        <v>15.01019</v>
      </c>
      <c r="G517" s="27">
        <v>0.97222222222222221</v>
      </c>
      <c r="J517" s="30">
        <f>IF(G517&lt;$H$10,$H$16,IF(G517&gt;$I$10,$H$16,$H$11))*E517/600</f>
        <v>5.0033966666666674E-3</v>
      </c>
      <c r="L517" s="32">
        <f>$J517*($G517-$G516)*60*24</f>
        <v>5.0033966666666492E-3</v>
      </c>
    </row>
    <row r="518" spans="1:12">
      <c r="A518" s="22">
        <v>40310.972916666666</v>
      </c>
      <c r="E518" s="26">
        <v>14.896127999999999</v>
      </c>
      <c r="G518" s="27">
        <v>0.97291666666666676</v>
      </c>
      <c r="J518" s="30">
        <f>IF(G518&lt;$H$10,$H$16,IF(G518&gt;$I$10,$H$16,$H$11))*E518/600</f>
        <v>4.9653759999999996E-3</v>
      </c>
      <c r="L518" s="32">
        <f>$J518*($G518-$G517)*60*24</f>
        <v>4.9653760000007759E-3</v>
      </c>
    </row>
    <row r="519" spans="1:12">
      <c r="A519" s="22">
        <v>40310.973611111112</v>
      </c>
      <c r="E519" s="26">
        <v>14.842879999999999</v>
      </c>
      <c r="G519" s="27">
        <v>0.97361111111111109</v>
      </c>
      <c r="J519" s="30">
        <f>IF(G519&lt;$H$10,$H$16,IF(G519&gt;$I$10,$H$16,$H$11))*E519/600</f>
        <v>4.9476266666666664E-3</v>
      </c>
      <c r="L519" s="32">
        <f>$J519*($G519-$G518)*60*24</f>
        <v>4.947626666665858E-3</v>
      </c>
    </row>
    <row r="520" spans="1:12">
      <c r="A520" s="22">
        <v>40310.974305555559</v>
      </c>
      <c r="E520" s="26">
        <v>14.869503999999999</v>
      </c>
      <c r="G520" s="27">
        <v>0.97430555555555554</v>
      </c>
      <c r="J520" s="30">
        <f>IF(G520&lt;$H$10,$H$16,IF(G520&gt;$I$10,$H$16,$H$11))*E520/600</f>
        <v>4.9565013333333335E-3</v>
      </c>
      <c r="L520" s="32">
        <f>$J520*($G520-$G519)*60*24</f>
        <v>4.9565013333333153E-3</v>
      </c>
    </row>
    <row r="521" spans="1:12">
      <c r="A521" s="22">
        <v>40310.974999999999</v>
      </c>
      <c r="E521" s="26">
        <v>14.87616</v>
      </c>
      <c r="G521" s="27">
        <v>0.97499999999999998</v>
      </c>
      <c r="J521" s="30">
        <f>IF(G521&lt;$H$10,$H$16,IF(G521&gt;$I$10,$H$16,$H$11))*E521/600</f>
        <v>4.9587199999999998E-3</v>
      </c>
      <c r="L521" s="32">
        <f>$J521*($G521-$G520)*60*24</f>
        <v>4.9587199999999824E-3</v>
      </c>
    </row>
    <row r="522" spans="1:12">
      <c r="A522" s="22">
        <v>40310.975694444445</v>
      </c>
      <c r="E522" s="26">
        <v>14.849536000000001</v>
      </c>
      <c r="G522" s="27">
        <v>0.97569444444444453</v>
      </c>
      <c r="J522" s="30">
        <f>IF(G522&lt;$H$10,$H$16,IF(G522&gt;$I$10,$H$16,$H$11))*E522/600</f>
        <v>4.9498453333333336E-3</v>
      </c>
      <c r="L522" s="32">
        <f>$J522*($G522-$G521)*60*24</f>
        <v>4.9498453333341073E-3</v>
      </c>
    </row>
    <row r="523" spans="1:12">
      <c r="A523" s="22">
        <v>40310.976388888892</v>
      </c>
      <c r="E523" s="26">
        <v>14.929408</v>
      </c>
      <c r="G523" s="27">
        <v>0.97638888888888886</v>
      </c>
      <c r="J523" s="30">
        <f>IF(G523&lt;$H$10,$H$16,IF(G523&gt;$I$10,$H$16,$H$11))*E523/600</f>
        <v>4.9764693333333339E-3</v>
      </c>
      <c r="L523" s="32">
        <f>$J523*($G523-$G522)*60*24</f>
        <v>4.9764693333325203E-3</v>
      </c>
    </row>
    <row r="524" spans="1:12">
      <c r="A524" s="22">
        <v>40310.977083333331</v>
      </c>
      <c r="E524" s="26">
        <v>15.059519999999999</v>
      </c>
      <c r="G524" s="27">
        <v>0.9770833333333333</v>
      </c>
      <c r="J524" s="30">
        <f>IF(G524&lt;$H$10,$H$16,IF(G524&gt;$I$10,$H$16,$H$11))*E524/600</f>
        <v>5.0198400000000002E-3</v>
      </c>
      <c r="L524" s="32">
        <f>$J524*($G524-$G523)*60*24</f>
        <v>5.0198399999999829E-3</v>
      </c>
    </row>
    <row r="525" spans="1:12">
      <c r="A525" s="22">
        <v>40310.977777777778</v>
      </c>
      <c r="E525" s="26">
        <v>15.07714</v>
      </c>
      <c r="G525" s="27">
        <v>0.97777777777777775</v>
      </c>
      <c r="J525" s="30">
        <f>IF(G525&lt;$H$10,$H$16,IF(G525&gt;$I$10,$H$16,$H$11))*E525/600</f>
        <v>5.0257133333333334E-3</v>
      </c>
      <c r="L525" s="32">
        <f>$J525*($G525-$G524)*60*24</f>
        <v>5.0257133333333152E-3</v>
      </c>
    </row>
    <row r="526" spans="1:12">
      <c r="A526" s="22">
        <v>40310.978472222225</v>
      </c>
      <c r="E526" s="26">
        <v>15.05673</v>
      </c>
      <c r="G526" s="27">
        <v>0.9784722222222223</v>
      </c>
      <c r="J526" s="30">
        <f>IF(G526&lt;$H$10,$H$16,IF(G526&gt;$I$10,$H$16,$H$11))*E526/600</f>
        <v>5.0189100000000006E-3</v>
      </c>
      <c r="L526" s="32">
        <f>$J526*($G526-$G525)*60*24</f>
        <v>5.0189100000007855E-3</v>
      </c>
    </row>
    <row r="527" spans="1:12">
      <c r="A527" s="22">
        <v>40310.979166666664</v>
      </c>
      <c r="E527" s="26">
        <v>15.23574</v>
      </c>
      <c r="G527" s="27">
        <v>0.97916666666666663</v>
      </c>
      <c r="J527" s="30">
        <f>IF(G527&lt;$H$10,$H$16,IF(G527&gt;$I$10,$H$16,$H$11))*E527/600</f>
        <v>5.0785800000000001E-3</v>
      </c>
      <c r="L527" s="32">
        <f>$J527*($G527-$G526)*60*24</f>
        <v>5.07857999999917E-3</v>
      </c>
    </row>
    <row r="528" spans="1:12">
      <c r="A528" s="22">
        <v>40310.979861111111</v>
      </c>
      <c r="E528" s="26">
        <v>15.22911</v>
      </c>
      <c r="G528" s="27">
        <v>0.97986111111111107</v>
      </c>
      <c r="J528" s="30">
        <f>IF(G528&lt;$H$10,$H$16,IF(G528&gt;$I$10,$H$16,$H$11))*E528/600</f>
        <v>5.0763700000000002E-3</v>
      </c>
      <c r="L528" s="32">
        <f>$J528*($G528-$G527)*60*24</f>
        <v>5.076369999999982E-3</v>
      </c>
    </row>
    <row r="529" spans="1:12">
      <c r="A529" s="22">
        <v>40310.980555555558</v>
      </c>
      <c r="E529" s="26">
        <v>15.20922</v>
      </c>
      <c r="G529" s="27">
        <v>0.98055555555555562</v>
      </c>
      <c r="J529" s="30">
        <f>IF(G529&lt;$H$10,$H$16,IF(G529&gt;$I$10,$H$16,$H$11))*E529/600</f>
        <v>5.0697400000000005E-3</v>
      </c>
      <c r="L529" s="32">
        <f>$J529*($G529-$G528)*60*24</f>
        <v>5.0697400000007924E-3</v>
      </c>
    </row>
    <row r="530" spans="1:12">
      <c r="A530" s="22">
        <v>40310.981249999997</v>
      </c>
      <c r="E530" s="26">
        <v>15.18933</v>
      </c>
      <c r="G530" s="27">
        <v>0.98125000000000007</v>
      </c>
      <c r="J530" s="30">
        <f>IF(G530&lt;$H$10,$H$16,IF(G530&gt;$I$10,$H$16,$H$11))*E530/600</f>
        <v>5.06311E-3</v>
      </c>
      <c r="L530" s="32">
        <f>$J530*($G530-$G529)*60*24</f>
        <v>5.0631099999999818E-3</v>
      </c>
    </row>
    <row r="531" spans="1:12">
      <c r="A531" s="22">
        <v>40310.981944444444</v>
      </c>
      <c r="E531" s="26">
        <v>15.14292</v>
      </c>
      <c r="G531" s="27">
        <v>0.9819444444444444</v>
      </c>
      <c r="J531" s="30">
        <f>IF(G531&lt;$H$10,$H$16,IF(G531&gt;$I$10,$H$16,$H$11))*E531/600</f>
        <v>5.0476400000000008E-3</v>
      </c>
      <c r="L531" s="32">
        <f>$J531*($G531-$G530)*60*24</f>
        <v>5.0476399999991759E-3</v>
      </c>
    </row>
    <row r="532" spans="1:12">
      <c r="A532" s="22">
        <v>40310.982638888891</v>
      </c>
      <c r="E532" s="26">
        <v>15.29138</v>
      </c>
      <c r="G532" s="27">
        <v>0.98263888888888884</v>
      </c>
      <c r="J532" s="30">
        <f>IF(G532&lt;$H$10,$H$16,IF(G532&gt;$I$10,$H$16,$H$11))*E532/600</f>
        <v>5.0971266666666667E-3</v>
      </c>
      <c r="L532" s="32">
        <f>$J532*($G532-$G531)*60*24</f>
        <v>5.0971266666666494E-3</v>
      </c>
    </row>
    <row r="533" spans="1:12">
      <c r="A533" s="22">
        <v>40310.98333333333</v>
      </c>
      <c r="E533" s="26">
        <v>15.25121</v>
      </c>
      <c r="G533" s="27">
        <v>0.98333333333333339</v>
      </c>
      <c r="J533" s="30">
        <f>IF(G533&lt;$H$10,$H$16,IF(G533&gt;$I$10,$H$16,$H$11))*E533/600</f>
        <v>5.0837366666666673E-3</v>
      </c>
      <c r="L533" s="32">
        <f>$J533*($G533-$G532)*60*24</f>
        <v>5.0837366666674618E-3</v>
      </c>
    </row>
    <row r="534" spans="1:12">
      <c r="A534" s="22">
        <v>40310.984027777777</v>
      </c>
      <c r="E534" s="26">
        <v>15.2646</v>
      </c>
      <c r="G534" s="27">
        <v>0.98402777777777783</v>
      </c>
      <c r="J534" s="30">
        <f>IF(G534&lt;$H$10,$H$16,IF(G534&gt;$I$10,$H$16,$H$11))*E534/600</f>
        <v>5.0882000000000002E-3</v>
      </c>
      <c r="L534" s="32">
        <f>$J534*($G534-$G533)*60*24</f>
        <v>5.088199999999982E-3</v>
      </c>
    </row>
    <row r="535" spans="1:12">
      <c r="A535" s="22">
        <v>40310.984722222223</v>
      </c>
      <c r="E535" s="26">
        <v>15.197649999999999</v>
      </c>
      <c r="G535" s="27">
        <v>0.98472222222222217</v>
      </c>
      <c r="J535" s="30">
        <f>IF(G535&lt;$H$10,$H$16,IF(G535&gt;$I$10,$H$16,$H$11))*E535/600</f>
        <v>5.0658833333333333E-3</v>
      </c>
      <c r="L535" s="32">
        <f>$J535*($G535-$G534)*60*24</f>
        <v>5.065883333332505E-3</v>
      </c>
    </row>
    <row r="536" spans="1:12">
      <c r="A536" s="22">
        <v>40310.98541666667</v>
      </c>
      <c r="E536" s="26">
        <v>15.042944</v>
      </c>
      <c r="G536" s="27">
        <v>0.98541666666666661</v>
      </c>
      <c r="J536" s="30">
        <f>IF(G536&lt;$H$10,$H$16,IF(G536&gt;$I$10,$H$16,$H$11))*E536/600</f>
        <v>5.0143146666666669E-3</v>
      </c>
      <c r="L536" s="32">
        <f>$J536*($G536-$G535)*60*24</f>
        <v>5.0143146666666487E-3</v>
      </c>
    </row>
    <row r="537" spans="1:12">
      <c r="A537" s="22">
        <v>40310.986111111109</v>
      </c>
      <c r="E537" s="26">
        <v>15.324854999999999</v>
      </c>
      <c r="G537" s="27">
        <v>0.98611111111111116</v>
      </c>
      <c r="J537" s="30">
        <f>IF(G537&lt;$H$10,$H$16,IF(G537&gt;$I$10,$H$16,$H$11))*E537/600</f>
        <v>5.1082849999999997E-3</v>
      </c>
      <c r="L537" s="32">
        <f>$J537*($G537-$G536)*60*24</f>
        <v>5.1082850000007986E-3</v>
      </c>
    </row>
    <row r="538" spans="1:12">
      <c r="A538" s="22">
        <v>40310.986805555556</v>
      </c>
      <c r="E538" s="26">
        <v>15.33155</v>
      </c>
      <c r="G538" s="27">
        <v>0.9868055555555556</v>
      </c>
      <c r="J538" s="30">
        <f>IF(G538&lt;$H$10,$H$16,IF(G538&gt;$I$10,$H$16,$H$11))*E538/600</f>
        <v>5.110516666666667E-3</v>
      </c>
      <c r="L538" s="32">
        <f>$J538*($G538-$G537)*60*24</f>
        <v>5.1105166666666488E-3</v>
      </c>
    </row>
    <row r="539" spans="1:12">
      <c r="A539" s="22">
        <v>40310.987500000003</v>
      </c>
      <c r="E539" s="26">
        <v>15.09568</v>
      </c>
      <c r="G539" s="27">
        <v>0.98749999999999993</v>
      </c>
      <c r="J539" s="30">
        <f>IF(G539&lt;$H$10,$H$16,IF(G539&gt;$I$10,$H$16,$H$11))*E539/600</f>
        <v>5.0318933333333331E-3</v>
      </c>
      <c r="L539" s="32">
        <f>$J539*($G539-$G538)*60*24</f>
        <v>5.0318933333325109E-3</v>
      </c>
    </row>
    <row r="540" spans="1:12">
      <c r="A540" s="22">
        <v>40310.988194444442</v>
      </c>
      <c r="E540" s="26">
        <v>15.202590000000001</v>
      </c>
      <c r="G540" s="27">
        <v>0.98819444444444438</v>
      </c>
      <c r="J540" s="30">
        <f>IF(G540&lt;$H$10,$H$16,IF(G540&gt;$I$10,$H$16,$H$11))*E540/600</f>
        <v>5.0675300000000006E-3</v>
      </c>
      <c r="L540" s="32">
        <f>$J540*($G540-$G539)*60*24</f>
        <v>5.0675299999999824E-3</v>
      </c>
    </row>
    <row r="541" spans="1:12">
      <c r="A541" s="22">
        <v>40310.988888888889</v>
      </c>
      <c r="E541" s="26">
        <v>15.298075000000001</v>
      </c>
      <c r="G541" s="27">
        <v>0.98888888888888893</v>
      </c>
      <c r="J541" s="30">
        <f>IF(G541&lt;$H$10,$H$16,IF(G541&gt;$I$10,$H$16,$H$11))*E541/600</f>
        <v>5.099358333333334E-3</v>
      </c>
      <c r="L541" s="32">
        <f>$J541*($G541-$G540)*60*24</f>
        <v>5.0993583333341311E-3</v>
      </c>
    </row>
    <row r="542" spans="1:12">
      <c r="A542" s="22">
        <v>40310.989583333336</v>
      </c>
      <c r="E542" s="26">
        <v>15.298075000000001</v>
      </c>
      <c r="G542" s="27">
        <v>0.98958333333333337</v>
      </c>
      <c r="J542" s="30">
        <f>IF(G542&lt;$H$10,$H$16,IF(G542&gt;$I$10,$H$16,$H$11))*E542/600</f>
        <v>5.099358333333334E-3</v>
      </c>
      <c r="L542" s="32">
        <f>$J542*($G542-$G541)*60*24</f>
        <v>5.0993583333333158E-3</v>
      </c>
    </row>
    <row r="543" spans="1:12">
      <c r="A543" s="22">
        <v>40310.990277777775</v>
      </c>
      <c r="E543" s="26">
        <v>15.399279999999999</v>
      </c>
      <c r="G543" s="27">
        <v>0.9902777777777777</v>
      </c>
      <c r="J543" s="30">
        <f>IF(G543&lt;$H$10,$H$16,IF(G543&gt;$I$10,$H$16,$H$11))*E543/600</f>
        <v>5.1330933333333332E-3</v>
      </c>
      <c r="L543" s="32">
        <f>$J543*($G543-$G542)*60*24</f>
        <v>5.1330933333324936E-3</v>
      </c>
    </row>
    <row r="544" spans="1:12">
      <c r="A544" s="22">
        <v>40310.990972222222</v>
      </c>
      <c r="E544" s="26">
        <v>15.1424</v>
      </c>
      <c r="G544" s="27">
        <v>0.99097222222222225</v>
      </c>
      <c r="J544" s="30">
        <f>IF(G544&lt;$H$10,$H$16,IF(G544&gt;$I$10,$H$16,$H$11))*E544/600</f>
        <v>5.0474666666666668E-3</v>
      </c>
      <c r="L544" s="32">
        <f>$J544*($G544-$G543)*60*24</f>
        <v>5.0474666666674552E-3</v>
      </c>
    </row>
    <row r="545" spans="1:12">
      <c r="A545" s="22">
        <v>40310.991666666669</v>
      </c>
      <c r="E545" s="26">
        <v>15.155711999999999</v>
      </c>
      <c r="G545" s="27">
        <v>0.9916666666666667</v>
      </c>
      <c r="J545" s="30">
        <f>IF(G545&lt;$H$10,$H$16,IF(G545&gt;$I$10,$H$16,$H$11))*E545/600</f>
        <v>5.0519040000000003E-3</v>
      </c>
      <c r="L545" s="32">
        <f>$J545*($G545-$G544)*60*24</f>
        <v>5.0519039999999821E-3</v>
      </c>
    </row>
    <row r="546" spans="1:12">
      <c r="A546" s="22">
        <v>40310.992361111108</v>
      </c>
      <c r="E546" s="26">
        <v>15.162368000000001</v>
      </c>
      <c r="G546" s="27">
        <v>0.99236111111111114</v>
      </c>
      <c r="J546" s="30">
        <f>IF(G546&lt;$H$10,$H$16,IF(G546&gt;$I$10,$H$16,$H$11))*E546/600</f>
        <v>5.0541226666666675E-3</v>
      </c>
      <c r="L546" s="32">
        <f>$J546*($G546-$G545)*60*24</f>
        <v>5.0541226666666493E-3</v>
      </c>
    </row>
    <row r="547" spans="1:12">
      <c r="A547" s="22">
        <v>40310.993055555555</v>
      </c>
      <c r="E547" s="26">
        <v>15.135744000000001</v>
      </c>
      <c r="G547" s="27">
        <v>0.99305555555555547</v>
      </c>
      <c r="J547" s="30">
        <f>IF(G547&lt;$H$10,$H$16,IF(G547&gt;$I$10,$H$16,$H$11))*E547/600</f>
        <v>5.0452480000000004E-3</v>
      </c>
      <c r="L547" s="32">
        <f>$J547*($G547-$G546)*60*24</f>
        <v>5.0452479999991756E-3</v>
      </c>
    </row>
    <row r="548" spans="1:12">
      <c r="A548" s="22">
        <v>40310.993750000001</v>
      </c>
      <c r="E548" s="26">
        <v>15.399279999999999</v>
      </c>
      <c r="G548" s="27">
        <v>0.99375000000000002</v>
      </c>
      <c r="J548" s="30">
        <f>IF(G548&lt;$H$10,$H$16,IF(G548&gt;$I$10,$H$16,$H$11))*E548/600</f>
        <v>5.1330933333333332E-3</v>
      </c>
      <c r="L548" s="32">
        <f>$J548*($G548-$G547)*60*24</f>
        <v>5.1330933333341355E-3</v>
      </c>
    </row>
    <row r="549" spans="1:12">
      <c r="A549" s="22">
        <v>40310.994444444441</v>
      </c>
      <c r="E549" s="26">
        <v>15.399279999999999</v>
      </c>
      <c r="G549" s="27">
        <v>0.99444444444444446</v>
      </c>
      <c r="J549" s="30">
        <f>IF(G549&lt;$H$10,$H$16,IF(G549&gt;$I$10,$H$16,$H$11))*E549/600</f>
        <v>5.1330933333333332E-3</v>
      </c>
      <c r="L549" s="32">
        <f>$J549*($G549-$G548)*60*24</f>
        <v>5.133093333333315E-3</v>
      </c>
    </row>
    <row r="550" spans="1:12">
      <c r="A550" s="22">
        <v>40310.995138888888</v>
      </c>
      <c r="E550" s="26">
        <v>15.385759999999999</v>
      </c>
      <c r="G550" s="27">
        <v>0.99513888888888891</v>
      </c>
      <c r="J550" s="30">
        <f>IF(G550&lt;$H$10,$H$16,IF(G550&gt;$I$10,$H$16,$H$11))*E550/600</f>
        <v>5.1285866666666664E-3</v>
      </c>
      <c r="L550" s="32">
        <f>$J550*($G550-$G549)*60*24</f>
        <v>5.1285866666666482E-3</v>
      </c>
    </row>
    <row r="551" spans="1:12">
      <c r="A551" s="22">
        <v>40310.995833333334</v>
      </c>
      <c r="E551" s="26">
        <v>15.37224</v>
      </c>
      <c r="G551" s="27">
        <v>0.99583333333333324</v>
      </c>
      <c r="J551" s="30">
        <f>IF(G551&lt;$H$10,$H$16,IF(G551&gt;$I$10,$H$16,$H$11))*E551/600</f>
        <v>5.1240800000000005E-3</v>
      </c>
      <c r="L551" s="32">
        <f>$J551*($G551-$G550)*60*24</f>
        <v>5.1240799999991635E-3</v>
      </c>
    </row>
    <row r="552" spans="1:12">
      <c r="A552" s="22">
        <v>40310.996527777781</v>
      </c>
      <c r="E552" s="26">
        <v>15.36548</v>
      </c>
      <c r="G552" s="27">
        <v>0.99652777777777779</v>
      </c>
      <c r="J552" s="30">
        <f>IF(G552&lt;$H$10,$H$16,IF(G552&gt;$I$10,$H$16,$H$11))*E552/600</f>
        <v>5.1218266666666666E-3</v>
      </c>
      <c r="L552" s="32">
        <f>$J552*($G552-$G551)*60*24</f>
        <v>5.1218266666674672E-3</v>
      </c>
    </row>
    <row r="553" spans="1:12">
      <c r="A553" s="22">
        <v>40310.99722222222</v>
      </c>
      <c r="E553" s="26">
        <v>15.25121</v>
      </c>
      <c r="G553" s="27">
        <v>0.99722222222222223</v>
      </c>
      <c r="J553" s="30">
        <f>IF(G553&lt;$H$10,$H$16,IF(G553&gt;$I$10,$H$16,$H$11))*E553/600</f>
        <v>5.0837366666666673E-3</v>
      </c>
      <c r="L553" s="32">
        <f>$J553*($G553-$G552)*60*24</f>
        <v>5.08373666666665E-3</v>
      </c>
    </row>
    <row r="554" spans="1:12">
      <c r="A554" s="22">
        <v>40310.997916666667</v>
      </c>
      <c r="E554" s="26">
        <v>15.412800000000001</v>
      </c>
      <c r="G554" s="27">
        <v>0.99791666666666667</v>
      </c>
      <c r="J554" s="30">
        <f>IF(G554&lt;$H$10,$H$16,IF(G554&gt;$I$10,$H$16,$H$11))*E554/600</f>
        <v>5.1376000000000008E-3</v>
      </c>
      <c r="L554" s="32">
        <f>$J554*($G554-$G553)*60*24</f>
        <v>5.1375999999999826E-3</v>
      </c>
    </row>
    <row r="555" spans="1:12">
      <c r="A555" s="22">
        <v>40310.998611111114</v>
      </c>
      <c r="E555" s="26">
        <v>15.188992000000001</v>
      </c>
      <c r="G555" s="27">
        <v>0.99861111111111101</v>
      </c>
      <c r="J555" s="30">
        <f>IF(G555&lt;$H$10,$H$16,IF(G555&gt;$I$10,$H$16,$H$11))*E555/600</f>
        <v>5.0629973333333337E-3</v>
      </c>
      <c r="L555" s="32">
        <f>$J555*($G555-$G554)*60*24</f>
        <v>5.0629973333325071E-3</v>
      </c>
    </row>
    <row r="556" spans="1:12">
      <c r="A556" s="22">
        <v>40310.999305555553</v>
      </c>
      <c r="E556" s="26">
        <v>15.056127999999999</v>
      </c>
      <c r="G556" s="27">
        <v>0.99930555555555556</v>
      </c>
      <c r="J556" s="30">
        <f>IF(G556&lt;$H$10,$H$16,IF(G556&gt;$I$10,$H$16,$H$11))*E556/600</f>
        <v>5.0187093333333328E-3</v>
      </c>
      <c r="L556" s="32">
        <f>$J556*($G556-$G555)*60*24</f>
        <v>5.0187093333341169E-3</v>
      </c>
    </row>
    <row r="557" spans="1:12">
      <c r="A557" s="22">
        <v>40311</v>
      </c>
      <c r="E557" s="26">
        <v>15.115456</v>
      </c>
      <c r="G557" s="27">
        <v>0</v>
      </c>
      <c r="J557" s="30">
        <f>IF(G557&lt;$H$10,$H$16,IF(G557&gt;$I$10,$H$16,$H$11))*E557/600</f>
        <v>5.0384853333333337E-3</v>
      </c>
      <c r="L557" s="32">
        <f>$J557*($G557-$G556)*60*24</f>
        <v>-7.2503803946666681</v>
      </c>
    </row>
    <row r="558" spans="1:12">
      <c r="A558" s="22">
        <v>40311.000694444447</v>
      </c>
      <c r="E558" s="26">
        <v>15.43867</v>
      </c>
      <c r="G558" s="27">
        <v>6.9444444444444447E-4</v>
      </c>
      <c r="J558" s="30">
        <f>IF(G558&lt;$H$10,$H$16,IF(G558&gt;$I$10,$H$16,$H$11))*E558/600</f>
        <v>5.1462233333333333E-3</v>
      </c>
      <c r="L558" s="32">
        <f>$J558*($G558-$G557)*60*24</f>
        <v>5.1462233333333333E-3</v>
      </c>
    </row>
    <row r="559" spans="1:12">
      <c r="A559" s="22">
        <v>40311.001388888886</v>
      </c>
      <c r="E559" s="26">
        <v>15.465450000000001</v>
      </c>
      <c r="G559" s="27">
        <v>1.3888888888888889E-3</v>
      </c>
      <c r="J559" s="30">
        <f>IF(G559&lt;$H$10,$H$16,IF(G559&gt;$I$10,$H$16,$H$11))*E559/600</f>
        <v>5.1551499999999998E-3</v>
      </c>
      <c r="L559" s="32">
        <f>$J559*($G559-$G558)*60*24</f>
        <v>5.1551499999999998E-3</v>
      </c>
    </row>
    <row r="560" spans="1:12">
      <c r="A560" s="22">
        <v>40311.002083333333</v>
      </c>
      <c r="E560" s="26">
        <v>15.23574</v>
      </c>
      <c r="G560" s="27">
        <v>2.0833333333333333E-3</v>
      </c>
      <c r="J560" s="30">
        <f>IF(G560&lt;$H$10,$H$16,IF(G560&gt;$I$10,$H$16,$H$11))*E560/600</f>
        <v>5.0785800000000001E-3</v>
      </c>
      <c r="L560" s="32">
        <f>$J560*($G560-$G559)*60*24</f>
        <v>5.0785800000000001E-3</v>
      </c>
    </row>
    <row r="561" spans="1:12">
      <c r="A561" s="22">
        <v>40311.00277777778</v>
      </c>
      <c r="E561" s="26">
        <v>15.20922</v>
      </c>
      <c r="G561" s="27">
        <v>2.7777777777777779E-3</v>
      </c>
      <c r="J561" s="30">
        <f>IF(G561&lt;$H$10,$H$16,IF(G561&gt;$I$10,$H$16,$H$11))*E561/600</f>
        <v>5.0697400000000005E-3</v>
      </c>
      <c r="L561" s="32">
        <f>$J561*($G561-$G560)*60*24</f>
        <v>5.0697400000000014E-3</v>
      </c>
    </row>
    <row r="562" spans="1:12">
      <c r="A562" s="22">
        <v>40311.003472222219</v>
      </c>
      <c r="E562" s="26">
        <v>15.324854999999999</v>
      </c>
      <c r="G562" s="27">
        <v>3.472222222222222E-3</v>
      </c>
      <c r="J562" s="30">
        <f>IF(G562&lt;$H$10,$H$16,IF(G562&gt;$I$10,$H$16,$H$11))*E562/600</f>
        <v>5.1082849999999997E-3</v>
      </c>
      <c r="L562" s="32">
        <f>$J562*($G562-$G561)*60*24</f>
        <v>5.1082849999999971E-3</v>
      </c>
    </row>
    <row r="563" spans="1:12">
      <c r="A563" s="22">
        <v>40311.004166666666</v>
      </c>
      <c r="E563" s="26">
        <v>15.29138</v>
      </c>
      <c r="G563" s="27">
        <v>4.1666666666666666E-3</v>
      </c>
      <c r="J563" s="30">
        <f>IF(G563&lt;$H$10,$H$16,IF(G563&gt;$I$10,$H$16,$H$11))*E563/600</f>
        <v>5.0971266666666667E-3</v>
      </c>
      <c r="L563" s="32">
        <f>$J563*($G563-$G562)*60*24</f>
        <v>5.0971266666666676E-3</v>
      </c>
    </row>
    <row r="564" spans="1:12">
      <c r="A564" s="22">
        <v>40311.004861111112</v>
      </c>
      <c r="E564" s="26">
        <v>15.29138</v>
      </c>
      <c r="G564" s="27">
        <v>4.8611111111111112E-3</v>
      </c>
      <c r="J564" s="30">
        <f>IF(G564&lt;$H$10,$H$16,IF(G564&gt;$I$10,$H$16,$H$11))*E564/600</f>
        <v>5.0971266666666667E-3</v>
      </c>
      <c r="L564" s="32">
        <f>$J564*($G564-$G563)*60*24</f>
        <v>5.0971266666666676E-3</v>
      </c>
    </row>
    <row r="565" spans="1:12">
      <c r="A565" s="22">
        <v>40311.005555555559</v>
      </c>
      <c r="E565" s="26">
        <v>15.09651</v>
      </c>
      <c r="G565" s="27">
        <v>5.5555555555555558E-3</v>
      </c>
      <c r="J565" s="30">
        <f>IF(G565&lt;$H$10,$H$16,IF(G565&gt;$I$10,$H$16,$H$11))*E565/600</f>
        <v>5.0321699999999999E-3</v>
      </c>
      <c r="L565" s="32">
        <f>$J565*($G565-$G564)*60*24</f>
        <v>5.0321700000000007E-3</v>
      </c>
    </row>
    <row r="566" spans="1:12">
      <c r="A566" s="22">
        <v>40311.006249999999</v>
      </c>
      <c r="E566" s="26">
        <v>15.30477</v>
      </c>
      <c r="G566" s="27">
        <v>6.2499999999999995E-3</v>
      </c>
      <c r="J566" s="30">
        <f>IF(G566&lt;$H$10,$H$16,IF(G566&gt;$I$10,$H$16,$H$11))*E566/600</f>
        <v>5.1015900000000005E-3</v>
      </c>
      <c r="L566" s="32">
        <f>$J566*($G566-$G565)*60*24</f>
        <v>5.1015899999999953E-3</v>
      </c>
    </row>
    <row r="567" spans="1:12">
      <c r="A567" s="22">
        <v>40311.006944444445</v>
      </c>
      <c r="E567" s="26">
        <v>15.07662</v>
      </c>
      <c r="G567" s="27">
        <v>6.9444444444444441E-3</v>
      </c>
      <c r="J567" s="30">
        <f>IF(G567&lt;$H$10,$H$16,IF(G567&gt;$I$10,$H$16,$H$11))*E567/600</f>
        <v>5.0255400000000002E-3</v>
      </c>
      <c r="L567" s="32">
        <f>$J567*($G567-$G566)*60*24</f>
        <v>5.0255400000000011E-3</v>
      </c>
    </row>
    <row r="568" spans="1:12">
      <c r="A568" s="22">
        <v>40311.007638888892</v>
      </c>
      <c r="E568" s="26">
        <v>15.08325</v>
      </c>
      <c r="G568" s="27">
        <v>7.6388888888888886E-3</v>
      </c>
      <c r="J568" s="30">
        <f>IF(G568&lt;$H$10,$H$16,IF(G568&gt;$I$10,$H$16,$H$11))*E568/600</f>
        <v>5.0277500000000001E-3</v>
      </c>
      <c r="L568" s="32">
        <f>$J568*($G568-$G567)*60*24</f>
        <v>5.027750000000001E-3</v>
      </c>
    </row>
    <row r="569" spans="1:12">
      <c r="A569" s="22">
        <v>40311.008333333331</v>
      </c>
      <c r="E569" s="26">
        <v>15.129659999999999</v>
      </c>
      <c r="G569" s="27">
        <v>8.3333333333333332E-3</v>
      </c>
      <c r="J569" s="30">
        <f>IF(G569&lt;$H$10,$H$16,IF(G569&gt;$I$10,$H$16,$H$11))*E569/600</f>
        <v>5.0432200000000002E-3</v>
      </c>
      <c r="L569" s="32">
        <f>$J569*($G569-$G568)*60*24</f>
        <v>5.043220000000001E-3</v>
      </c>
    </row>
    <row r="570" spans="1:12">
      <c r="A570" s="22">
        <v>40311.009027777778</v>
      </c>
      <c r="E570" s="26">
        <v>15.217734999999999</v>
      </c>
      <c r="G570" s="27">
        <v>9.0277777777777787E-3</v>
      </c>
      <c r="J570" s="30">
        <f>IF(G570&lt;$H$10,$H$16,IF(G570&gt;$I$10,$H$16,$H$11))*E570/600</f>
        <v>5.0725783333333335E-3</v>
      </c>
      <c r="L570" s="32">
        <f>$J570*($G570-$G569)*60*24</f>
        <v>5.0725783333333404E-3</v>
      </c>
    </row>
    <row r="571" spans="1:12">
      <c r="A571" s="22">
        <v>40311.009722222225</v>
      </c>
      <c r="E571" s="26">
        <v>14.94272</v>
      </c>
      <c r="G571" s="27">
        <v>9.7222222222222224E-3</v>
      </c>
      <c r="J571" s="30">
        <f>IF(G571&lt;$H$10,$H$16,IF(G571&gt;$I$10,$H$16,$H$11))*E571/600</f>
        <v>4.9809066666666665E-3</v>
      </c>
      <c r="L571" s="32">
        <f>$J571*($G571-$G570)*60*24</f>
        <v>4.9809066666666613E-3</v>
      </c>
    </row>
    <row r="572" spans="1:12">
      <c r="A572" s="22">
        <v>40311.010416666664</v>
      </c>
      <c r="E572" s="26">
        <v>14.956032</v>
      </c>
      <c r="G572" s="27">
        <v>1.0416666666666666E-2</v>
      </c>
      <c r="J572" s="30">
        <f>IF(G572&lt;$H$10,$H$16,IF(G572&gt;$I$10,$H$16,$H$11))*E572/600</f>
        <v>4.9853440000000001E-3</v>
      </c>
      <c r="L572" s="32">
        <f>$J572*($G572-$G571)*60*24</f>
        <v>4.9853439999999949E-3</v>
      </c>
    </row>
    <row r="573" spans="1:12">
      <c r="A573" s="22">
        <v>40311.011111111111</v>
      </c>
      <c r="E573" s="26">
        <v>14.851775999999999</v>
      </c>
      <c r="G573" s="27">
        <v>1.1111111111111112E-2</v>
      </c>
      <c r="J573" s="30">
        <f>IF(G573&lt;$H$10,$H$16,IF(G573&gt;$I$10,$H$16,$H$11))*E573/600</f>
        <v>4.9505920000000002E-3</v>
      </c>
      <c r="L573" s="32">
        <f>$J573*($G573-$G572)*60*24</f>
        <v>4.9505920000000071E-3</v>
      </c>
    </row>
    <row r="574" spans="1:12">
      <c r="A574" s="22">
        <v>40311.011805555558</v>
      </c>
      <c r="E574" s="26">
        <v>14.792448</v>
      </c>
      <c r="G574" s="27">
        <v>1.1805555555555555E-2</v>
      </c>
      <c r="J574" s="30">
        <f>IF(G574&lt;$H$10,$H$16,IF(G574&gt;$I$10,$H$16,$H$11))*E574/600</f>
        <v>4.9308160000000002E-3</v>
      </c>
      <c r="L574" s="32">
        <f>$J574*($G574-$G573)*60*24</f>
        <v>4.930815999999995E-3</v>
      </c>
    </row>
    <row r="575" spans="1:12">
      <c r="A575" s="22">
        <v>40311.012499999997</v>
      </c>
      <c r="E575" s="26">
        <v>14.896127999999999</v>
      </c>
      <c r="G575" s="27">
        <v>1.2499999999999999E-2</v>
      </c>
      <c r="J575" s="30">
        <f>IF(G575&lt;$H$10,$H$16,IF(G575&gt;$I$10,$H$16,$H$11))*E575/600</f>
        <v>4.9653759999999996E-3</v>
      </c>
      <c r="L575" s="32">
        <f>$J575*($G575-$G574)*60*24</f>
        <v>4.9653759999999944E-3</v>
      </c>
    </row>
    <row r="576" spans="1:12">
      <c r="A576" s="22">
        <v>40311.013194444444</v>
      </c>
      <c r="E576" s="26">
        <v>14.838592</v>
      </c>
      <c r="G576" s="27">
        <v>1.3194444444444444E-2</v>
      </c>
      <c r="J576" s="30">
        <f>IF(G576&lt;$H$10,$H$16,IF(G576&gt;$I$10,$H$16,$H$11))*E576/600</f>
        <v>4.9461973333333334E-3</v>
      </c>
      <c r="L576" s="32">
        <f>$J576*($G576-$G575)*60*24</f>
        <v>4.9461973333333404E-3</v>
      </c>
    </row>
    <row r="577" spans="1:12">
      <c r="A577" s="22">
        <v>40311.013888888891</v>
      </c>
      <c r="E577" s="26">
        <v>14.805631999999999</v>
      </c>
      <c r="G577" s="27">
        <v>1.3888888888888888E-2</v>
      </c>
      <c r="J577" s="30">
        <f>IF(G577&lt;$H$10,$H$16,IF(G577&gt;$I$10,$H$16,$H$11))*E577/600</f>
        <v>4.935210666666667E-3</v>
      </c>
      <c r="L577" s="32">
        <f>$J577*($G577-$G576)*60*24</f>
        <v>4.9352106666666617E-3</v>
      </c>
    </row>
    <row r="578" spans="1:12">
      <c r="A578" s="22">
        <v>40311.01458333333</v>
      </c>
      <c r="E578" s="26">
        <v>14.989312</v>
      </c>
      <c r="G578" s="27">
        <v>1.4583333333333332E-2</v>
      </c>
      <c r="J578" s="30">
        <f>IF(G578&lt;$H$10,$H$16,IF(G578&gt;$I$10,$H$16,$H$11))*E578/600</f>
        <v>4.9964373333333334E-3</v>
      </c>
      <c r="L578" s="32">
        <f>$J578*($G578-$G577)*60*24</f>
        <v>4.9964373333333282E-3</v>
      </c>
    </row>
    <row r="579" spans="1:12">
      <c r="A579" s="22">
        <v>40311.015277777777</v>
      </c>
      <c r="E579" s="26">
        <v>14.902784</v>
      </c>
      <c r="G579" s="27">
        <v>1.5277777777777777E-2</v>
      </c>
      <c r="J579" s="30">
        <f>IF(G579&lt;$H$10,$H$16,IF(G579&gt;$I$10,$H$16,$H$11))*E579/600</f>
        <v>4.9675946666666677E-3</v>
      </c>
      <c r="L579" s="32">
        <f>$J579*($G579-$G578)*60*24</f>
        <v>4.9675946666666755E-3</v>
      </c>
    </row>
    <row r="580" spans="1:12">
      <c r="A580" s="22">
        <v>40311.015972222223</v>
      </c>
      <c r="E580" s="26">
        <v>14.756352</v>
      </c>
      <c r="G580" s="27">
        <v>1.5972222222222224E-2</v>
      </c>
      <c r="J580" s="30">
        <f>IF(G580&lt;$H$10,$H$16,IF(G580&gt;$I$10,$H$16,$H$11))*E580/600</f>
        <v>4.9187840000000007E-3</v>
      </c>
      <c r="L580" s="32">
        <f>$J580*($G580-$G579)*60*24</f>
        <v>4.9187840000000206E-3</v>
      </c>
    </row>
    <row r="581" spans="1:12">
      <c r="A581" s="22">
        <v>40311.01666666667</v>
      </c>
      <c r="E581" s="26">
        <v>14.709759999999999</v>
      </c>
      <c r="G581" s="27">
        <v>1.6666666666666666E-2</v>
      </c>
      <c r="J581" s="30">
        <f>IF(G581&lt;$H$10,$H$16,IF(G581&gt;$I$10,$H$16,$H$11))*E581/600</f>
        <v>4.9032533333333338E-3</v>
      </c>
      <c r="L581" s="32">
        <f>$J581*($G581-$G580)*60*24</f>
        <v>4.9032533333333165E-3</v>
      </c>
    </row>
    <row r="582" spans="1:12">
      <c r="A582" s="22">
        <v>40311.017361111109</v>
      </c>
      <c r="E582" s="26">
        <v>14.782976</v>
      </c>
      <c r="G582" s="27">
        <v>1.7361111111111112E-2</v>
      </c>
      <c r="J582" s="30">
        <f>IF(G582&lt;$H$10,$H$16,IF(G582&gt;$I$10,$H$16,$H$11))*E582/600</f>
        <v>4.9276586666666669E-3</v>
      </c>
      <c r="L582" s="32">
        <f>$J582*($G582-$G581)*60*24</f>
        <v>4.9276586666666738E-3</v>
      </c>
    </row>
    <row r="583" spans="1:12">
      <c r="A583" s="22">
        <v>40311.018055555556</v>
      </c>
      <c r="E583" s="26">
        <v>14.706752</v>
      </c>
      <c r="G583" s="27">
        <v>1.8055555555555557E-2</v>
      </c>
      <c r="J583" s="30">
        <f>IF(G583&lt;$H$10,$H$16,IF(G583&gt;$I$10,$H$16,$H$11))*E583/600</f>
        <v>4.9022506666666667E-3</v>
      </c>
      <c r="L583" s="32">
        <f>$J583*($G583-$G582)*60*24</f>
        <v>4.9022506666666736E-3</v>
      </c>
    </row>
    <row r="584" spans="1:12">
      <c r="A584" s="22">
        <v>40311.018750000003</v>
      </c>
      <c r="E584" s="26">
        <v>14.691915</v>
      </c>
      <c r="G584" s="27">
        <v>1.8749999999999999E-2</v>
      </c>
      <c r="J584" s="30">
        <f>IF(G584&lt;$H$10,$H$16,IF(G584&gt;$I$10,$H$16,$H$11))*E584/600</f>
        <v>4.8973050000000002E-3</v>
      </c>
      <c r="L584" s="32">
        <f>$J584*($G584-$G583)*60*24</f>
        <v>4.8973049999999829E-3</v>
      </c>
    </row>
    <row r="585" spans="1:12">
      <c r="A585" s="22">
        <v>40311.019444444442</v>
      </c>
      <c r="E585" s="26">
        <v>14.678685</v>
      </c>
      <c r="G585" s="27">
        <v>1.9444444444444445E-2</v>
      </c>
      <c r="J585" s="30">
        <f>IF(G585&lt;$H$10,$H$16,IF(G585&gt;$I$10,$H$16,$H$11))*E585/600</f>
        <v>4.8928950000000004E-3</v>
      </c>
      <c r="L585" s="32">
        <f>$J585*($G585-$G584)*60*24</f>
        <v>4.8928950000000073E-3</v>
      </c>
    </row>
    <row r="586" spans="1:12">
      <c r="A586" s="22">
        <v>40311.020138888889</v>
      </c>
      <c r="E586" s="26">
        <v>14.6853</v>
      </c>
      <c r="G586" s="27">
        <v>2.013888888888889E-2</v>
      </c>
      <c r="J586" s="30">
        <f>IF(G586&lt;$H$10,$H$16,IF(G586&gt;$I$10,$H$16,$H$11))*E586/600</f>
        <v>4.8951000000000003E-3</v>
      </c>
      <c r="L586" s="32">
        <f>$J586*($G586-$G585)*60*24</f>
        <v>4.8951000000000073E-3</v>
      </c>
    </row>
    <row r="587" spans="1:12">
      <c r="A587" s="22">
        <v>40311.020833333336</v>
      </c>
      <c r="E587" s="26">
        <v>14.69853</v>
      </c>
      <c r="G587" s="27">
        <v>2.0833333333333332E-2</v>
      </c>
      <c r="J587" s="30">
        <f>IF(G587&lt;$H$10,$H$16,IF(G587&gt;$I$10,$H$16,$H$11))*E587/600</f>
        <v>4.8995100000000001E-3</v>
      </c>
      <c r="L587" s="32">
        <f>$J587*($G587-$G586)*60*24</f>
        <v>4.8995099999999828E-3</v>
      </c>
    </row>
    <row r="588" spans="1:12">
      <c r="A588" s="22">
        <v>40311.021527777775</v>
      </c>
      <c r="E588" s="26">
        <v>14.785856000000001</v>
      </c>
      <c r="G588" s="27">
        <v>2.1527777777777781E-2</v>
      </c>
      <c r="J588" s="30">
        <f>IF(G588&lt;$H$10,$H$16,IF(G588&gt;$I$10,$H$16,$H$11))*E588/600</f>
        <v>4.9286186666666672E-3</v>
      </c>
      <c r="L588" s="32">
        <f>$J588*($G588-$G587)*60*24</f>
        <v>4.9286186666666985E-3</v>
      </c>
    </row>
    <row r="589" spans="1:12">
      <c r="A589" s="22">
        <v>40311.022222222222</v>
      </c>
      <c r="E589" s="26">
        <v>14.766080000000001</v>
      </c>
      <c r="G589" s="27">
        <v>2.2222222222222223E-2</v>
      </c>
      <c r="J589" s="30">
        <f>IF(G589&lt;$H$10,$H$16,IF(G589&gt;$I$10,$H$16,$H$11))*E589/600</f>
        <v>4.9220266666666675E-3</v>
      </c>
      <c r="L589" s="32">
        <f>$J589*($G589-$G588)*60*24</f>
        <v>4.9220266666666502E-3</v>
      </c>
    </row>
    <row r="590" spans="1:12">
      <c r="A590" s="22">
        <v>40311.022916666669</v>
      </c>
      <c r="E590" s="26">
        <v>15.11731</v>
      </c>
      <c r="G590" s="27">
        <v>2.2916666666666669E-2</v>
      </c>
      <c r="J590" s="30">
        <f>IF(G590&lt;$H$10,$H$16,IF(G590&gt;$I$10,$H$16,$H$11))*E590/600</f>
        <v>5.0391033333333337E-3</v>
      </c>
      <c r="L590" s="32">
        <f>$J590*($G590-$G589)*60*24</f>
        <v>5.0391033333333415E-3</v>
      </c>
    </row>
    <row r="591" spans="1:12">
      <c r="A591" s="22">
        <v>40311.023611111108</v>
      </c>
      <c r="E591" s="26">
        <v>15.164175</v>
      </c>
      <c r="G591" s="27">
        <v>2.361111111111111E-2</v>
      </c>
      <c r="J591" s="30">
        <f>IF(G591&lt;$H$10,$H$16,IF(G591&gt;$I$10,$H$16,$H$11))*E591/600</f>
        <v>5.0547250000000004E-3</v>
      </c>
      <c r="L591" s="32">
        <f>$J591*($G591-$G590)*60*24</f>
        <v>5.0547249999999821E-3</v>
      </c>
    </row>
    <row r="592" spans="1:12">
      <c r="A592" s="22">
        <v>40311.024305555555</v>
      </c>
      <c r="E592" s="26">
        <v>15.089880000000001</v>
      </c>
      <c r="G592" s="27">
        <v>2.4305555555555556E-2</v>
      </c>
      <c r="J592" s="30">
        <f>IF(G592&lt;$H$10,$H$16,IF(G592&gt;$I$10,$H$16,$H$11))*E592/600</f>
        <v>5.0299600000000009E-3</v>
      </c>
      <c r="L592" s="32">
        <f>$J592*($G592-$G591)*60*24</f>
        <v>5.0299600000000087E-3</v>
      </c>
    </row>
    <row r="593" spans="1:12">
      <c r="A593" s="22">
        <v>40311.025000000001</v>
      </c>
      <c r="E593" s="26">
        <v>15.12303</v>
      </c>
      <c r="G593" s="27">
        <v>2.4999999999999998E-2</v>
      </c>
      <c r="J593" s="30">
        <f>IF(G593&lt;$H$10,$H$16,IF(G593&gt;$I$10,$H$16,$H$11))*E593/600</f>
        <v>5.0410100000000003E-3</v>
      </c>
      <c r="L593" s="32">
        <f>$J593*($G593-$G592)*60*24</f>
        <v>5.0410099999999829E-3</v>
      </c>
    </row>
    <row r="594" spans="1:12">
      <c r="A594" s="22">
        <v>40311.025694444441</v>
      </c>
      <c r="E594" s="26">
        <v>15.156180000000001</v>
      </c>
      <c r="G594" s="27">
        <v>2.5694444444444447E-2</v>
      </c>
      <c r="J594" s="30">
        <f>IF(G594&lt;$H$10,$H$16,IF(G594&gt;$I$10,$H$16,$H$11))*E594/600</f>
        <v>5.0520600000000006E-3</v>
      </c>
      <c r="L594" s="32">
        <f>$J594*($G594-$G593)*60*24</f>
        <v>5.0520600000000335E-3</v>
      </c>
    </row>
    <row r="595" spans="1:12">
      <c r="A595" s="22">
        <v>40311.026388888888</v>
      </c>
      <c r="E595" s="26">
        <v>15.136290000000001</v>
      </c>
      <c r="G595" s="27">
        <v>2.6388888888888889E-2</v>
      </c>
      <c r="J595" s="30">
        <f>IF(G595&lt;$H$10,$H$16,IF(G595&gt;$I$10,$H$16,$H$11))*E595/600</f>
        <v>5.0454300000000001E-3</v>
      </c>
      <c r="L595" s="32">
        <f>$J595*($G595-$G594)*60*24</f>
        <v>5.0454299999999827E-3</v>
      </c>
    </row>
    <row r="596" spans="1:12">
      <c r="A596" s="22">
        <v>40311.027083333334</v>
      </c>
      <c r="E596" s="26">
        <v>15.14292</v>
      </c>
      <c r="G596" s="27">
        <v>2.7083333333333334E-2</v>
      </c>
      <c r="J596" s="30">
        <f>IF(G596&lt;$H$10,$H$16,IF(G596&gt;$I$10,$H$16,$H$11))*E596/600</f>
        <v>5.0476400000000008E-3</v>
      </c>
      <c r="L596" s="32">
        <f>$J596*($G596-$G595)*60*24</f>
        <v>5.0476400000000077E-3</v>
      </c>
    </row>
    <row r="597" spans="1:12">
      <c r="A597" s="22">
        <v>40311.027777777781</v>
      </c>
      <c r="E597" s="26">
        <v>15.16944</v>
      </c>
      <c r="G597" s="27">
        <v>2.7777777777777776E-2</v>
      </c>
      <c r="J597" s="30">
        <f>IF(G597&lt;$H$10,$H$16,IF(G597&gt;$I$10,$H$16,$H$11))*E597/600</f>
        <v>5.0564800000000003E-3</v>
      </c>
      <c r="L597" s="32">
        <f>$J597*($G597-$G596)*60*24</f>
        <v>5.0564799999999821E-3</v>
      </c>
    </row>
    <row r="598" spans="1:12">
      <c r="A598" s="22">
        <v>40311.02847222222</v>
      </c>
      <c r="E598" s="26">
        <v>15.182700000000001</v>
      </c>
      <c r="G598" s="27">
        <v>2.8472222222222222E-2</v>
      </c>
      <c r="J598" s="30">
        <f>IF(G598&lt;$H$10,$H$16,IF(G598&gt;$I$10,$H$16,$H$11))*E598/600</f>
        <v>5.060900000000001E-3</v>
      </c>
      <c r="L598" s="32">
        <f>$J598*($G598-$G597)*60*24</f>
        <v>5.0609000000000079E-3</v>
      </c>
    </row>
    <row r="599" spans="1:12">
      <c r="A599" s="22">
        <v>40311.029166666667</v>
      </c>
      <c r="E599" s="26">
        <v>15.16944</v>
      </c>
      <c r="G599" s="27">
        <v>2.9166666666666664E-2</v>
      </c>
      <c r="J599" s="30">
        <f>IF(G599&lt;$H$10,$H$16,IF(G599&gt;$I$10,$H$16,$H$11))*E599/600</f>
        <v>5.0564800000000003E-3</v>
      </c>
      <c r="L599" s="32">
        <f>$J599*($G599-$G598)*60*24</f>
        <v>5.0564799999999821E-3</v>
      </c>
    </row>
    <row r="600" spans="1:12">
      <c r="A600" s="22">
        <v>40311.029861111114</v>
      </c>
      <c r="E600" s="26">
        <v>15.182700000000001</v>
      </c>
      <c r="G600" s="27">
        <v>2.9861111111111113E-2</v>
      </c>
      <c r="J600" s="30">
        <f>IF(G600&lt;$H$10,$H$16,IF(G600&gt;$I$10,$H$16,$H$11))*E600/600</f>
        <v>5.060900000000001E-3</v>
      </c>
      <c r="L600" s="32">
        <f>$J600*($G600-$G599)*60*24</f>
        <v>5.0609000000000331E-3</v>
      </c>
    </row>
    <row r="601" spans="1:12">
      <c r="A601" s="22">
        <v>40311.030555555553</v>
      </c>
      <c r="E601" s="26">
        <v>15.202590000000001</v>
      </c>
      <c r="G601" s="27">
        <v>3.0555555555555555E-2</v>
      </c>
      <c r="J601" s="30">
        <f>IF(G601&lt;$H$10,$H$16,IF(G601&gt;$I$10,$H$16,$H$11))*E601/600</f>
        <v>5.0675300000000006E-3</v>
      </c>
      <c r="L601" s="32">
        <f>$J601*($G601-$G600)*60*24</f>
        <v>5.0675299999999824E-3</v>
      </c>
    </row>
    <row r="602" spans="1:12">
      <c r="A602" s="22">
        <v>40311.03125</v>
      </c>
      <c r="E602" s="26">
        <v>15.129659999999999</v>
      </c>
      <c r="G602" s="27">
        <v>3.125E-2</v>
      </c>
      <c r="J602" s="30">
        <f>IF(G602&lt;$H$10,$H$16,IF(G602&gt;$I$10,$H$16,$H$11))*E602/600</f>
        <v>5.0432200000000002E-3</v>
      </c>
      <c r="L602" s="32">
        <f>$J602*($G602-$G601)*60*24</f>
        <v>5.0432200000000071E-3</v>
      </c>
    </row>
    <row r="603" spans="1:12">
      <c r="A603" s="22">
        <v>40311.031944444447</v>
      </c>
      <c r="E603" s="26">
        <v>15.14292</v>
      </c>
      <c r="G603" s="27">
        <v>3.1944444444444449E-2</v>
      </c>
      <c r="J603" s="30">
        <f>IF(G603&lt;$H$10,$H$16,IF(G603&gt;$I$10,$H$16,$H$11))*E603/600</f>
        <v>5.0476400000000008E-3</v>
      </c>
      <c r="L603" s="32">
        <f>$J603*($G603-$G602)*60*24</f>
        <v>5.0476400000000338E-3</v>
      </c>
    </row>
    <row r="604" spans="1:12">
      <c r="A604" s="22">
        <v>40311.032638888886</v>
      </c>
      <c r="E604" s="26">
        <v>15.116400000000001</v>
      </c>
      <c r="G604" s="27">
        <v>3.2638888888888891E-2</v>
      </c>
      <c r="J604" s="30">
        <f>IF(G604&lt;$H$10,$H$16,IF(G604&gt;$I$10,$H$16,$H$11))*E604/600</f>
        <v>5.0388000000000004E-3</v>
      </c>
      <c r="L604" s="32">
        <f>$J604*($G604-$G603)*60*24</f>
        <v>5.0387999999999822E-3</v>
      </c>
    </row>
    <row r="605" spans="1:12">
      <c r="A605" s="22">
        <v>40311.033333333333</v>
      </c>
      <c r="E605" s="26">
        <v>15.116400000000001</v>
      </c>
      <c r="G605" s="27">
        <v>3.3333333333333333E-2</v>
      </c>
      <c r="J605" s="30">
        <f>IF(G605&lt;$H$10,$H$16,IF(G605&gt;$I$10,$H$16,$H$11))*E605/600</f>
        <v>5.0388000000000004E-3</v>
      </c>
      <c r="L605" s="32">
        <f>$J605*($G605-$G604)*60*24</f>
        <v>5.0387999999999822E-3</v>
      </c>
    </row>
    <row r="606" spans="1:12">
      <c r="A606" s="22">
        <v>40311.03402777778</v>
      </c>
      <c r="E606" s="26">
        <v>15.116400000000001</v>
      </c>
      <c r="G606" s="27">
        <v>3.4027777777777775E-2</v>
      </c>
      <c r="J606" s="30">
        <f>IF(G606&lt;$H$10,$H$16,IF(G606&gt;$I$10,$H$16,$H$11))*E606/600</f>
        <v>5.0388000000000004E-3</v>
      </c>
      <c r="L606" s="32">
        <f>$J606*($G606-$G605)*60*24</f>
        <v>5.0387999999999822E-3</v>
      </c>
    </row>
    <row r="607" spans="1:12">
      <c r="A607" s="22">
        <v>40311.034722222219</v>
      </c>
      <c r="E607" s="26">
        <v>15.129659999999999</v>
      </c>
      <c r="G607" s="27">
        <v>3.4722222222222224E-2</v>
      </c>
      <c r="J607" s="30">
        <f>IF(G607&lt;$H$10,$H$16,IF(G607&gt;$I$10,$H$16,$H$11))*E607/600</f>
        <v>5.0432200000000002E-3</v>
      </c>
      <c r="L607" s="32">
        <f>$J607*($G607-$G606)*60*24</f>
        <v>5.0432200000000323E-3</v>
      </c>
    </row>
    <row r="608" spans="1:12">
      <c r="A608" s="22">
        <v>40311.035416666666</v>
      </c>
      <c r="E608" s="26">
        <v>15.109769999999999</v>
      </c>
      <c r="G608" s="27">
        <v>3.5416666666666666E-2</v>
      </c>
      <c r="J608" s="30">
        <f>IF(G608&lt;$H$10,$H$16,IF(G608&gt;$I$10,$H$16,$H$11))*E608/600</f>
        <v>5.0365899999999996E-3</v>
      </c>
      <c r="L608" s="32">
        <f>$J608*($G608-$G607)*60*24</f>
        <v>5.0365899999999823E-3</v>
      </c>
    </row>
    <row r="609" spans="1:12">
      <c r="A609" s="22">
        <v>40311.036111111112</v>
      </c>
      <c r="E609" s="26">
        <v>15.10314</v>
      </c>
      <c r="G609" s="27">
        <v>3.6111111111111115E-2</v>
      </c>
      <c r="J609" s="30">
        <f>IF(G609&lt;$H$10,$H$16,IF(G609&gt;$I$10,$H$16,$H$11))*E609/600</f>
        <v>5.0343800000000006E-3</v>
      </c>
      <c r="L609" s="32">
        <f>$J609*($G609-$G608)*60*24</f>
        <v>5.0343800000000327E-3</v>
      </c>
    </row>
    <row r="610" spans="1:12">
      <c r="A610" s="22">
        <v>40311.036805555559</v>
      </c>
      <c r="E610" s="26">
        <v>15.14292</v>
      </c>
      <c r="G610" s="27">
        <v>3.6805555555555557E-2</v>
      </c>
      <c r="J610" s="30">
        <f>IF(G610&lt;$H$10,$H$16,IF(G610&gt;$I$10,$H$16,$H$11))*E610/600</f>
        <v>5.0476400000000008E-3</v>
      </c>
      <c r="L610" s="32">
        <f>$J610*($G610-$G609)*60*24</f>
        <v>5.0476399999999826E-3</v>
      </c>
    </row>
    <row r="611" spans="1:12">
      <c r="A611" s="22">
        <v>40311.037499999999</v>
      </c>
      <c r="E611" s="26">
        <v>15.211812</v>
      </c>
      <c r="G611" s="27">
        <v>3.7499999999999999E-2</v>
      </c>
      <c r="J611" s="30">
        <f>IF(G611&lt;$H$10,$H$16,IF(G611&gt;$I$10,$H$16,$H$11))*E611/600</f>
        <v>5.0706040000000003E-3</v>
      </c>
      <c r="L611" s="32">
        <f>$J611*($G611-$G610)*60*24</f>
        <v>5.070603999999982E-3</v>
      </c>
    </row>
    <row r="612" spans="1:12">
      <c r="A612" s="22">
        <v>40311.038194444445</v>
      </c>
      <c r="E612" s="26">
        <v>15.211812</v>
      </c>
      <c r="G612" s="27">
        <v>3.8194444444444441E-2</v>
      </c>
      <c r="J612" s="30">
        <f>IF(G612&lt;$H$10,$H$16,IF(G612&gt;$I$10,$H$16,$H$11))*E612/600</f>
        <v>5.0706040000000003E-3</v>
      </c>
      <c r="L612" s="32">
        <f>$J612*($G612-$G611)*60*24</f>
        <v>5.070603999999982E-3</v>
      </c>
    </row>
    <row r="613" spans="1:12">
      <c r="A613" s="22">
        <v>40311.038888888892</v>
      </c>
      <c r="E613" s="26">
        <v>15.20922</v>
      </c>
      <c r="G613" s="27">
        <v>3.888888888888889E-2</v>
      </c>
      <c r="J613" s="30">
        <f>IF(G613&lt;$H$10,$H$16,IF(G613&gt;$I$10,$H$16,$H$11))*E613/600</f>
        <v>5.0697400000000005E-3</v>
      </c>
      <c r="L613" s="32">
        <f>$J613*($G613-$G612)*60*24</f>
        <v>5.0697400000000326E-3</v>
      </c>
    </row>
    <row r="614" spans="1:12">
      <c r="A614" s="22">
        <v>40311.039583333331</v>
      </c>
      <c r="E614" s="26">
        <v>15.132325</v>
      </c>
      <c r="G614" s="27">
        <v>3.9583333333333331E-2</v>
      </c>
      <c r="J614" s="30">
        <f>IF(G614&lt;$H$10,$H$16,IF(G614&gt;$I$10,$H$16,$H$11))*E614/600</f>
        <v>5.0441083333333334E-3</v>
      </c>
      <c r="L614" s="32">
        <f>$J614*($G614-$G613)*60*24</f>
        <v>5.0441083333333161E-3</v>
      </c>
    </row>
    <row r="615" spans="1:12">
      <c r="A615" s="22">
        <v>40311.040277777778</v>
      </c>
      <c r="E615" s="26">
        <v>15.092935000000001</v>
      </c>
      <c r="G615" s="27">
        <v>4.027777777777778E-2</v>
      </c>
      <c r="J615" s="30">
        <f>IF(G615&lt;$H$10,$H$16,IF(G615&gt;$I$10,$H$16,$H$11))*E615/600</f>
        <v>5.0309783333333333E-3</v>
      </c>
      <c r="L615" s="32">
        <f>$J615*($G615-$G614)*60*24</f>
        <v>5.0309783333333654E-3</v>
      </c>
    </row>
    <row r="616" spans="1:12">
      <c r="A616" s="22">
        <v>40311.040972222225</v>
      </c>
      <c r="E616" s="26">
        <v>15.020720000000001</v>
      </c>
      <c r="G616" s="27">
        <v>4.0972222222222222E-2</v>
      </c>
      <c r="J616" s="30">
        <f>IF(G616&lt;$H$10,$H$16,IF(G616&gt;$I$10,$H$16,$H$11))*E616/600</f>
        <v>5.0069066666666665E-3</v>
      </c>
      <c r="L616" s="32">
        <f>$J616*($G616-$G615)*60*24</f>
        <v>5.0069066666666492E-3</v>
      </c>
    </row>
    <row r="617" spans="1:12">
      <c r="A617" s="22">
        <v>40311.041666666664</v>
      </c>
      <c r="E617" s="26">
        <v>15.231809999999999</v>
      </c>
      <c r="G617" s="27">
        <v>4.1666666666666664E-2</v>
      </c>
      <c r="J617" s="30">
        <f>IF(G617&lt;$H$10,$H$16,IF(G617&gt;$I$10,$H$16,$H$11))*E617/600</f>
        <v>5.07727E-3</v>
      </c>
      <c r="L617" s="32">
        <f>$J617*($G617-$G616)*60*24</f>
        <v>5.0772699999999818E-3</v>
      </c>
    </row>
    <row r="618" spans="1:12">
      <c r="A618" s="22">
        <v>40311.042361111111</v>
      </c>
      <c r="E618" s="26">
        <v>15.211812</v>
      </c>
      <c r="G618" s="27">
        <v>4.2361111111111106E-2</v>
      </c>
      <c r="J618" s="30">
        <f>IF(G618&lt;$H$10,$H$16,IF(G618&gt;$I$10,$H$16,$H$11))*E618/600</f>
        <v>5.0706040000000003E-3</v>
      </c>
      <c r="L618" s="32">
        <f>$J618*($G618-$G617)*60*24</f>
        <v>5.070603999999982E-3</v>
      </c>
    </row>
    <row r="619" spans="1:12">
      <c r="A619" s="22">
        <v>40311.043055555558</v>
      </c>
      <c r="E619" s="26">
        <v>15.225144</v>
      </c>
      <c r="G619" s="27">
        <v>4.3055555555555562E-2</v>
      </c>
      <c r="J619" s="30">
        <f>IF(G619&lt;$H$10,$H$16,IF(G619&gt;$I$10,$H$16,$H$11))*E619/600</f>
        <v>5.0750480000000004E-3</v>
      </c>
      <c r="L619" s="32">
        <f>$J619*($G619-$G618)*60*24</f>
        <v>5.0750480000000837E-3</v>
      </c>
    </row>
    <row r="620" spans="1:12">
      <c r="A620" s="22">
        <v>40311.043749999997</v>
      </c>
      <c r="E620" s="26">
        <v>15.218477999999999</v>
      </c>
      <c r="G620" s="27">
        <v>4.3750000000000004E-2</v>
      </c>
      <c r="J620" s="30">
        <f>IF(G620&lt;$H$10,$H$16,IF(G620&gt;$I$10,$H$16,$H$11))*E620/600</f>
        <v>5.0728259999999999E-3</v>
      </c>
      <c r="L620" s="32">
        <f>$J620*($G620-$G619)*60*24</f>
        <v>5.0728259999999817E-3</v>
      </c>
    </row>
    <row r="621" spans="1:12">
      <c r="A621" s="22">
        <v>40311.044444444444</v>
      </c>
      <c r="E621" s="26">
        <v>15.12303</v>
      </c>
      <c r="G621" s="27">
        <v>4.4444444444444446E-2</v>
      </c>
      <c r="J621" s="30">
        <f>IF(G621&lt;$H$10,$H$16,IF(G621&gt;$I$10,$H$16,$H$11))*E621/600</f>
        <v>5.0410100000000003E-3</v>
      </c>
      <c r="L621" s="32">
        <f>$J621*($G621-$G620)*60*24</f>
        <v>5.0410099999999829E-3</v>
      </c>
    </row>
    <row r="622" spans="1:12">
      <c r="A622" s="22">
        <v>40311.045138888891</v>
      </c>
      <c r="E622" s="26">
        <v>15.136290000000001</v>
      </c>
      <c r="G622" s="27">
        <v>4.5138888888888888E-2</v>
      </c>
      <c r="J622" s="30">
        <f>IF(G622&lt;$H$10,$H$16,IF(G622&gt;$I$10,$H$16,$H$11))*E622/600</f>
        <v>5.0454300000000001E-3</v>
      </c>
      <c r="L622" s="32">
        <f>$J622*($G622-$G621)*60*24</f>
        <v>5.0454299999999827E-3</v>
      </c>
    </row>
    <row r="623" spans="1:12">
      <c r="A623" s="22">
        <v>40311.04583333333</v>
      </c>
      <c r="E623" s="26">
        <v>14.99446</v>
      </c>
      <c r="G623" s="27">
        <v>4.5833333333333337E-2</v>
      </c>
      <c r="J623" s="30">
        <f>IF(G623&lt;$H$10,$H$16,IF(G623&gt;$I$10,$H$16,$H$11))*E623/600</f>
        <v>4.9981533333333331E-3</v>
      </c>
      <c r="L623" s="32">
        <f>$J623*($G623-$G622)*60*24</f>
        <v>4.9981533333333652E-3</v>
      </c>
    </row>
    <row r="624" spans="1:12">
      <c r="A624" s="22">
        <v>40311.046527777777</v>
      </c>
      <c r="E624" s="26">
        <v>15.211812</v>
      </c>
      <c r="G624" s="27">
        <v>4.6527777777777779E-2</v>
      </c>
      <c r="J624" s="30">
        <f>IF(G624&lt;$H$10,$H$16,IF(G624&gt;$I$10,$H$16,$H$11))*E624/600</f>
        <v>5.0706040000000003E-3</v>
      </c>
      <c r="L624" s="32">
        <f>$J624*($G624-$G623)*60*24</f>
        <v>5.070603999999982E-3</v>
      </c>
    </row>
    <row r="625" spans="1:12">
      <c r="A625" s="22">
        <v>40311.047222222223</v>
      </c>
      <c r="E625" s="26">
        <v>15.211812</v>
      </c>
      <c r="G625" s="27">
        <v>4.7222222222222221E-2</v>
      </c>
      <c r="J625" s="30">
        <f>IF(G625&lt;$H$10,$H$16,IF(G625&gt;$I$10,$H$16,$H$11))*E625/600</f>
        <v>5.0706040000000003E-3</v>
      </c>
      <c r="L625" s="32">
        <f>$J625*($G625-$G624)*60*24</f>
        <v>5.070603999999982E-3</v>
      </c>
    </row>
    <row r="626" spans="1:12">
      <c r="A626" s="22">
        <v>40311.04791666667</v>
      </c>
      <c r="E626" s="26">
        <v>15.023580000000001</v>
      </c>
      <c r="G626" s="27">
        <v>4.7916666666666663E-2</v>
      </c>
      <c r="J626" s="30">
        <f>IF(G626&lt;$H$10,$H$16,IF(G626&gt;$I$10,$H$16,$H$11))*E626/600</f>
        <v>5.0078600000000003E-3</v>
      </c>
      <c r="L626" s="32">
        <f>$J626*($G626-$G625)*60*24</f>
        <v>5.0078599999999829E-3</v>
      </c>
    </row>
    <row r="627" spans="1:12">
      <c r="A627" s="22">
        <v>40311.048611111109</v>
      </c>
      <c r="E627" s="26">
        <v>15.023580000000001</v>
      </c>
      <c r="G627" s="27">
        <v>4.8611111111111112E-2</v>
      </c>
      <c r="J627" s="30">
        <f>IF(G627&lt;$H$10,$H$16,IF(G627&gt;$I$10,$H$16,$H$11))*E627/600</f>
        <v>5.0078600000000003E-3</v>
      </c>
      <c r="L627" s="32">
        <f>$J627*($G627-$G626)*60*24</f>
        <v>5.0078600000000332E-3</v>
      </c>
    </row>
    <row r="628" spans="1:12">
      <c r="A628" s="22">
        <v>40311.049305555556</v>
      </c>
      <c r="E628" s="26">
        <v>14.997059999999999</v>
      </c>
      <c r="G628" s="27">
        <v>4.9305555555555554E-2</v>
      </c>
      <c r="J628" s="30">
        <f>IF(G628&lt;$H$10,$H$16,IF(G628&gt;$I$10,$H$16,$H$11))*E628/600</f>
        <v>4.9990199999999999E-3</v>
      </c>
      <c r="L628" s="32">
        <f>$J628*($G628-$G627)*60*24</f>
        <v>4.9990199999999825E-3</v>
      </c>
    </row>
    <row r="629" spans="1:12">
      <c r="A629" s="22">
        <v>40311.050000000003</v>
      </c>
      <c r="E629" s="26">
        <v>15.03684</v>
      </c>
      <c r="G629" s="27">
        <v>4.9999999999999996E-2</v>
      </c>
      <c r="J629" s="30">
        <f>IF(G629&lt;$H$10,$H$16,IF(G629&gt;$I$10,$H$16,$H$11))*E629/600</f>
        <v>5.01228E-3</v>
      </c>
      <c r="L629" s="32">
        <f>$J629*($G629-$G628)*60*24</f>
        <v>5.0122799999999827E-3</v>
      </c>
    </row>
    <row r="630" spans="1:12">
      <c r="A630" s="22">
        <v>40311.050694444442</v>
      </c>
      <c r="E630" s="26">
        <v>15.089880000000001</v>
      </c>
      <c r="G630" s="27">
        <v>5.0694444444444452E-2</v>
      </c>
      <c r="J630" s="30">
        <f>IF(G630&lt;$H$10,$H$16,IF(G630&gt;$I$10,$H$16,$H$11))*E630/600</f>
        <v>5.0299600000000009E-3</v>
      </c>
      <c r="L630" s="32">
        <f>$J630*($G630-$G629)*60*24</f>
        <v>5.0299600000000833E-3</v>
      </c>
    </row>
    <row r="631" spans="1:12">
      <c r="A631" s="22">
        <v>40311.051388888889</v>
      </c>
      <c r="E631" s="26">
        <v>15.069990000000001</v>
      </c>
      <c r="G631" s="27">
        <v>5.1388888888888894E-2</v>
      </c>
      <c r="J631" s="30">
        <f>IF(G631&lt;$H$10,$H$16,IF(G631&gt;$I$10,$H$16,$H$11))*E631/600</f>
        <v>5.0233300000000003E-3</v>
      </c>
      <c r="L631" s="32">
        <f>$J631*($G631-$G630)*60*24</f>
        <v>5.023329999999983E-3</v>
      </c>
    </row>
    <row r="632" spans="1:12">
      <c r="A632" s="22">
        <v>40311.052083333336</v>
      </c>
      <c r="E632" s="26">
        <v>14.987895</v>
      </c>
      <c r="G632" s="27">
        <v>5.2083333333333336E-2</v>
      </c>
      <c r="J632" s="30">
        <f>IF(G632&lt;$H$10,$H$16,IF(G632&gt;$I$10,$H$16,$H$11))*E632/600</f>
        <v>4.9959649999999998E-3</v>
      </c>
      <c r="L632" s="32">
        <f>$J632*($G632-$G631)*60*24</f>
        <v>4.9959649999999824E-3</v>
      </c>
    </row>
    <row r="633" spans="1:12">
      <c r="A633" s="22">
        <v>40311.052777777775</v>
      </c>
      <c r="E633" s="26">
        <v>15.027284999999999</v>
      </c>
      <c r="G633" s="27">
        <v>5.2777777777777778E-2</v>
      </c>
      <c r="J633" s="30">
        <f>IF(G633&lt;$H$10,$H$16,IF(G633&gt;$I$10,$H$16,$H$11))*E633/600</f>
        <v>5.0090949999999999E-3</v>
      </c>
      <c r="L633" s="32">
        <f>$J633*($G633-$G632)*60*24</f>
        <v>5.0090949999999825E-3</v>
      </c>
    </row>
    <row r="634" spans="1:12">
      <c r="A634" s="22">
        <v>40311.053472222222</v>
      </c>
      <c r="E634" s="26">
        <v>15.04698</v>
      </c>
      <c r="G634" s="27">
        <v>5.347222222222222E-2</v>
      </c>
      <c r="J634" s="30">
        <f>IF(G634&lt;$H$10,$H$16,IF(G634&gt;$I$10,$H$16,$H$11))*E634/600</f>
        <v>5.0156599999999999E-3</v>
      </c>
      <c r="L634" s="32">
        <f>$J634*($G634-$G633)*60*24</f>
        <v>5.0156599999999826E-3</v>
      </c>
    </row>
    <row r="635" spans="1:12">
      <c r="A635" s="22">
        <v>40311.054166666669</v>
      </c>
      <c r="E635" s="26">
        <v>15.156180000000001</v>
      </c>
      <c r="G635" s="27">
        <v>5.4166666666666669E-2</v>
      </c>
      <c r="J635" s="30">
        <f>IF(G635&lt;$H$10,$H$16,IF(G635&gt;$I$10,$H$16,$H$11))*E635/600</f>
        <v>5.0520600000000006E-3</v>
      </c>
      <c r="L635" s="32">
        <f>$J635*($G635-$G634)*60*24</f>
        <v>5.0520600000000335E-3</v>
      </c>
    </row>
    <row r="636" spans="1:12">
      <c r="A636" s="22">
        <v>40311.054861111108</v>
      </c>
      <c r="E636" s="26">
        <v>15.14955</v>
      </c>
      <c r="G636" s="27">
        <v>5.486111111111111E-2</v>
      </c>
      <c r="J636" s="30">
        <f>IF(G636&lt;$H$10,$H$16,IF(G636&gt;$I$10,$H$16,$H$11))*E636/600</f>
        <v>5.0498499999999998E-3</v>
      </c>
      <c r="L636" s="32">
        <f>$J636*($G636-$G635)*60*24</f>
        <v>5.0498499999999816E-3</v>
      </c>
    </row>
    <row r="637" spans="1:12">
      <c r="A637" s="22">
        <v>40311.055555555555</v>
      </c>
      <c r="E637" s="26">
        <v>14.98133</v>
      </c>
      <c r="G637" s="27">
        <v>5.5555555555555552E-2</v>
      </c>
      <c r="J637" s="30">
        <f>IF(G637&lt;$H$10,$H$16,IF(G637&gt;$I$10,$H$16,$H$11))*E637/600</f>
        <v>4.9937766666666673E-3</v>
      </c>
      <c r="L637" s="32">
        <f>$J637*($G637-$G636)*60*24</f>
        <v>4.99377666666665E-3</v>
      </c>
    </row>
    <row r="638" spans="1:12">
      <c r="A638" s="22">
        <v>40311.056250000001</v>
      </c>
      <c r="E638" s="26">
        <v>15.014155000000001</v>
      </c>
      <c r="G638" s="27">
        <v>5.6250000000000001E-2</v>
      </c>
      <c r="J638" s="30">
        <f>IF(G638&lt;$H$10,$H$16,IF(G638&gt;$I$10,$H$16,$H$11))*E638/600</f>
        <v>5.004718333333334E-3</v>
      </c>
      <c r="L638" s="32">
        <f>$J638*($G638-$G637)*60*24</f>
        <v>5.0047183333333661E-3</v>
      </c>
    </row>
    <row r="639" spans="1:12">
      <c r="A639" s="22">
        <v>40311.056944444441</v>
      </c>
      <c r="E639" s="26">
        <v>15.291804000000001</v>
      </c>
      <c r="G639" s="27">
        <v>5.6944444444444443E-2</v>
      </c>
      <c r="J639" s="30">
        <f>IF(G639&lt;$H$10,$H$16,IF(G639&gt;$I$10,$H$16,$H$11))*E639/600</f>
        <v>5.0972680000000012E-3</v>
      </c>
      <c r="L639" s="32">
        <f>$J639*($G639-$G638)*60*24</f>
        <v>5.0972679999999829E-3</v>
      </c>
    </row>
    <row r="640" spans="1:12">
      <c r="A640" s="22">
        <v>40311.057638888888</v>
      </c>
      <c r="E640" s="26">
        <v>15.285138</v>
      </c>
      <c r="G640" s="27">
        <v>5.7638888888888885E-2</v>
      </c>
      <c r="J640" s="30">
        <f>IF(G640&lt;$H$10,$H$16,IF(G640&gt;$I$10,$H$16,$H$11))*E640/600</f>
        <v>5.0950459999999998E-3</v>
      </c>
      <c r="L640" s="32">
        <f>$J640*($G640-$G639)*60*24</f>
        <v>5.0950459999999816E-3</v>
      </c>
    </row>
    <row r="641" spans="1:12">
      <c r="A641" s="22">
        <v>40311.058333333334</v>
      </c>
      <c r="E641" s="26">
        <v>15.04698</v>
      </c>
      <c r="G641" s="27">
        <v>5.8333333333333327E-2</v>
      </c>
      <c r="J641" s="30">
        <f>IF(G641&lt;$H$10,$H$16,IF(G641&gt;$I$10,$H$16,$H$11))*E641/600</f>
        <v>5.0156599999999999E-3</v>
      </c>
      <c r="L641" s="32">
        <f>$J641*($G641-$G640)*60*24</f>
        <v>5.0156599999999826E-3</v>
      </c>
    </row>
    <row r="642" spans="1:12">
      <c r="A642" s="22">
        <v>40311.059027777781</v>
      </c>
      <c r="E642" s="26">
        <v>15.16944</v>
      </c>
      <c r="G642" s="27">
        <v>5.9027777777777783E-2</v>
      </c>
      <c r="J642" s="30">
        <f>IF(G642&lt;$H$10,$H$16,IF(G642&gt;$I$10,$H$16,$H$11))*E642/600</f>
        <v>5.0564800000000003E-3</v>
      </c>
      <c r="L642" s="32">
        <f>$J642*($G642-$G641)*60*24</f>
        <v>5.0564800000000836E-3</v>
      </c>
    </row>
    <row r="643" spans="1:12">
      <c r="A643" s="22">
        <v>40311.05972222222</v>
      </c>
      <c r="E643" s="26">
        <v>15.271806</v>
      </c>
      <c r="G643" s="27">
        <v>5.9722222222222225E-2</v>
      </c>
      <c r="J643" s="30">
        <f>IF(G643&lt;$H$10,$H$16,IF(G643&gt;$I$10,$H$16,$H$11))*E643/600</f>
        <v>5.0906020000000005E-3</v>
      </c>
      <c r="L643" s="32">
        <f>$J643*($G643-$G642)*60*24</f>
        <v>5.0906019999999823E-3</v>
      </c>
    </row>
    <row r="644" spans="1:12">
      <c r="A644" s="22">
        <v>40311.060416666667</v>
      </c>
      <c r="E644" s="26">
        <v>15.21585</v>
      </c>
      <c r="G644" s="27">
        <v>6.0416666666666667E-2</v>
      </c>
      <c r="J644" s="30">
        <f>IF(G644&lt;$H$10,$H$16,IF(G644&gt;$I$10,$H$16,$H$11))*E644/600</f>
        <v>5.0719499999999995E-3</v>
      </c>
      <c r="L644" s="32">
        <f>$J644*($G644-$G643)*60*24</f>
        <v>5.0719499999999813E-3</v>
      </c>
    </row>
    <row r="645" spans="1:12">
      <c r="A645" s="22">
        <v>40311.061111111114</v>
      </c>
      <c r="E645" s="26">
        <v>15.268890000000001</v>
      </c>
      <c r="G645" s="27">
        <v>6.1111111111111116E-2</v>
      </c>
      <c r="J645" s="30">
        <f>IF(G645&lt;$H$10,$H$16,IF(G645&gt;$I$10,$H$16,$H$11))*E645/600</f>
        <v>5.0896300000000004E-3</v>
      </c>
      <c r="L645" s="32">
        <f>$J645*($G645-$G644)*60*24</f>
        <v>5.0896300000000325E-3</v>
      </c>
    </row>
    <row r="646" spans="1:12">
      <c r="A646" s="22">
        <v>40311.061805555553</v>
      </c>
      <c r="E646" s="26">
        <v>15.268890000000001</v>
      </c>
      <c r="G646" s="27">
        <v>6.1805555555555558E-2</v>
      </c>
      <c r="J646" s="30">
        <f>IF(G646&lt;$H$10,$H$16,IF(G646&gt;$I$10,$H$16,$H$11))*E646/600</f>
        <v>5.0896300000000004E-3</v>
      </c>
      <c r="L646" s="32">
        <f>$J646*($G646-$G645)*60*24</f>
        <v>5.0896299999999822E-3</v>
      </c>
    </row>
    <row r="647" spans="1:12">
      <c r="A647" s="22">
        <v>40311.0625</v>
      </c>
      <c r="E647" s="26">
        <v>15.184844999999999</v>
      </c>
      <c r="G647" s="27">
        <v>6.25E-2</v>
      </c>
      <c r="J647" s="30">
        <f>IF(G647&lt;$H$10,$H$16,IF(G647&gt;$I$10,$H$16,$H$11))*E647/600</f>
        <v>5.0616150000000002E-3</v>
      </c>
      <c r="L647" s="32">
        <f>$J647*($G647-$G646)*60*24</f>
        <v>5.061614999999982E-3</v>
      </c>
    </row>
    <row r="648" spans="1:12">
      <c r="A648" s="22">
        <v>40311.063194444447</v>
      </c>
      <c r="E648" s="26">
        <v>15.158585</v>
      </c>
      <c r="G648" s="27">
        <v>6.3194444444444442E-2</v>
      </c>
      <c r="J648" s="30">
        <f>IF(G648&lt;$H$10,$H$16,IF(G648&gt;$I$10,$H$16,$H$11))*E648/600</f>
        <v>5.0528616666666677E-3</v>
      </c>
      <c r="L648" s="32">
        <f>$J648*($G648-$G647)*60*24</f>
        <v>5.0528616666666495E-3</v>
      </c>
    </row>
    <row r="649" spans="1:12">
      <c r="A649" s="22">
        <v>40311.063888888886</v>
      </c>
      <c r="E649" s="26">
        <v>15.132325</v>
      </c>
      <c r="G649" s="27">
        <v>6.3888888888888884E-2</v>
      </c>
      <c r="J649" s="30">
        <f>IF(G649&lt;$H$10,$H$16,IF(G649&gt;$I$10,$H$16,$H$11))*E649/600</f>
        <v>5.0441083333333334E-3</v>
      </c>
      <c r="L649" s="32">
        <f>$J649*($G649-$G648)*60*24</f>
        <v>5.0441083333333161E-3</v>
      </c>
    </row>
    <row r="650" spans="1:12">
      <c r="A650" s="22">
        <v>40311.064583333333</v>
      </c>
      <c r="E650" s="26">
        <v>15.318467999999999</v>
      </c>
      <c r="G650" s="27">
        <v>6.458333333333334E-2</v>
      </c>
      <c r="J650" s="30">
        <f>IF(G650&lt;$H$10,$H$16,IF(G650&gt;$I$10,$H$16,$H$11))*E650/600</f>
        <v>5.1061560000000006E-3</v>
      </c>
      <c r="L650" s="32">
        <f>$J650*($G650-$G649)*60*24</f>
        <v>5.1061560000000838E-3</v>
      </c>
    </row>
    <row r="651" spans="1:12">
      <c r="A651" s="22">
        <v>40311.06527777778</v>
      </c>
      <c r="E651" s="26">
        <v>15.311802</v>
      </c>
      <c r="G651" s="27">
        <v>6.5277777777777782E-2</v>
      </c>
      <c r="J651" s="30">
        <f>IF(G651&lt;$H$10,$H$16,IF(G651&gt;$I$10,$H$16,$H$11))*E651/600</f>
        <v>5.1039340000000001E-3</v>
      </c>
      <c r="L651" s="32">
        <f>$J651*($G651-$G650)*60*24</f>
        <v>5.1039339999999819E-3</v>
      </c>
    </row>
    <row r="652" spans="1:12">
      <c r="A652" s="22">
        <v>40311.065972222219</v>
      </c>
      <c r="E652" s="26">
        <v>15.305135999999999</v>
      </c>
      <c r="G652" s="27">
        <v>6.5972222222222224E-2</v>
      </c>
      <c r="J652" s="30">
        <f>IF(G652&lt;$H$10,$H$16,IF(G652&gt;$I$10,$H$16,$H$11))*E652/600</f>
        <v>5.1017119999999996E-3</v>
      </c>
      <c r="L652" s="32">
        <f>$J652*($G652-$G651)*60*24</f>
        <v>5.1017119999999814E-3</v>
      </c>
    </row>
    <row r="653" spans="1:12">
      <c r="A653" s="22">
        <v>40311.066666666666</v>
      </c>
      <c r="E653" s="26">
        <v>15.311802</v>
      </c>
      <c r="G653" s="27">
        <v>6.6666666666666666E-2</v>
      </c>
      <c r="J653" s="30">
        <f>IF(G653&lt;$H$10,$H$16,IF(G653&gt;$I$10,$H$16,$H$11))*E653/600</f>
        <v>5.1039340000000001E-3</v>
      </c>
      <c r="L653" s="32">
        <f>$J653*($G653-$G652)*60*24</f>
        <v>5.1039339999999819E-3</v>
      </c>
    </row>
    <row r="654" spans="1:12">
      <c r="A654" s="22">
        <v>40311.067361111112</v>
      </c>
      <c r="E654" s="26">
        <v>15.066675</v>
      </c>
      <c r="G654" s="27">
        <v>6.7361111111111108E-2</v>
      </c>
      <c r="J654" s="30">
        <f>IF(G654&lt;$H$10,$H$16,IF(G654&gt;$I$10,$H$16,$H$11))*E654/600</f>
        <v>5.022225E-3</v>
      </c>
      <c r="L654" s="32">
        <f>$J654*($G654-$G653)*60*24</f>
        <v>5.0222249999999826E-3</v>
      </c>
    </row>
    <row r="655" spans="1:12">
      <c r="A655" s="22">
        <v>40311.068055555559</v>
      </c>
      <c r="E655" s="26">
        <v>15.07324</v>
      </c>
      <c r="G655" s="27">
        <v>6.805555555555555E-2</v>
      </c>
      <c r="J655" s="30">
        <f>IF(G655&lt;$H$10,$H$16,IF(G655&gt;$I$10,$H$16,$H$11))*E655/600</f>
        <v>5.0244133333333333E-3</v>
      </c>
      <c r="L655" s="32">
        <f>$J655*($G655-$G654)*60*24</f>
        <v>5.024413333333316E-3</v>
      </c>
    </row>
    <row r="656" spans="1:12">
      <c r="A656" s="22">
        <v>40311.068749999999</v>
      </c>
      <c r="E656" s="26">
        <v>15.331799999999999</v>
      </c>
      <c r="G656" s="27">
        <v>6.8749999999999992E-2</v>
      </c>
      <c r="J656" s="30">
        <f>IF(G656&lt;$H$10,$H$16,IF(G656&gt;$I$10,$H$16,$H$11))*E656/600</f>
        <v>5.1105999999999999E-3</v>
      </c>
      <c r="L656" s="32">
        <f>$J656*($G656-$G655)*60*24</f>
        <v>5.1105999999999817E-3</v>
      </c>
    </row>
    <row r="657" spans="1:12">
      <c r="A657" s="22">
        <v>40311.069444444445</v>
      </c>
      <c r="E657" s="26">
        <v>15.318467999999999</v>
      </c>
      <c r="G657" s="27">
        <v>6.9444444444444434E-2</v>
      </c>
      <c r="J657" s="30">
        <f>IF(G657&lt;$H$10,$H$16,IF(G657&gt;$I$10,$H$16,$H$11))*E657/600</f>
        <v>5.1061560000000006E-3</v>
      </c>
      <c r="L657" s="32">
        <f>$J657*($G657-$G656)*60*24</f>
        <v>5.1061559999999824E-3</v>
      </c>
    </row>
    <row r="658" spans="1:12">
      <c r="A658" s="22">
        <v>40311.070138888892</v>
      </c>
      <c r="E658" s="26">
        <v>15.365130000000001</v>
      </c>
      <c r="G658" s="27">
        <v>7.013888888888889E-2</v>
      </c>
      <c r="J658" s="30">
        <f>IF(G658&lt;$H$10,$H$16,IF(G658&gt;$I$10,$H$16,$H$11))*E658/600</f>
        <v>5.1217100000000007E-3</v>
      </c>
      <c r="L658" s="32">
        <f>$J658*($G658-$G657)*60*24</f>
        <v>5.1217100000000848E-3</v>
      </c>
    </row>
    <row r="659" spans="1:12">
      <c r="A659" s="22">
        <v>40311.070833333331</v>
      </c>
      <c r="E659" s="26">
        <v>15.405125999999999</v>
      </c>
      <c r="G659" s="27">
        <v>7.0833333333333331E-2</v>
      </c>
      <c r="J659" s="30">
        <f>IF(G659&lt;$H$10,$H$16,IF(G659&gt;$I$10,$H$16,$H$11))*E659/600</f>
        <v>5.1350420000000003E-3</v>
      </c>
      <c r="L659" s="32">
        <f>$J659*($G659-$G658)*60*24</f>
        <v>5.135041999999982E-3</v>
      </c>
    </row>
    <row r="660" spans="1:12">
      <c r="A660" s="22">
        <v>40311.071527777778</v>
      </c>
      <c r="E660" s="26">
        <v>15.411792</v>
      </c>
      <c r="G660" s="27">
        <v>7.1527777777777787E-2</v>
      </c>
      <c r="J660" s="30">
        <f>IF(G660&lt;$H$10,$H$16,IF(G660&gt;$I$10,$H$16,$H$11))*E660/600</f>
        <v>5.1372640000000008E-3</v>
      </c>
      <c r="L660" s="32">
        <f>$J660*($G660-$G659)*60*24</f>
        <v>5.1372640000000849E-3</v>
      </c>
    </row>
    <row r="661" spans="1:12">
      <c r="A661" s="22">
        <v>40311.072222222225</v>
      </c>
      <c r="E661" s="26">
        <v>15.171715000000001</v>
      </c>
      <c r="G661" s="27">
        <v>7.2222222222222229E-2</v>
      </c>
      <c r="J661" s="30">
        <f>IF(G661&lt;$H$10,$H$16,IF(G661&gt;$I$10,$H$16,$H$11))*E661/600</f>
        <v>5.0572383333333335E-3</v>
      </c>
      <c r="L661" s="32">
        <f>$J661*($G661-$G660)*60*24</f>
        <v>5.0572383333333162E-3</v>
      </c>
    </row>
    <row r="662" spans="1:12">
      <c r="A662" s="22">
        <v>40311.072916666664</v>
      </c>
      <c r="E662" s="26">
        <v>15.2196</v>
      </c>
      <c r="G662" s="27">
        <v>7.2916666666666671E-2</v>
      </c>
      <c r="J662" s="30">
        <f>IF(G662&lt;$H$10,$H$16,IF(G662&gt;$I$10,$H$16,$H$11))*E662/600</f>
        <v>5.0731999999999999E-3</v>
      </c>
      <c r="L662" s="32">
        <f>$J662*($G662-$G661)*60*24</f>
        <v>5.0731999999999817E-3</v>
      </c>
    </row>
    <row r="663" spans="1:12">
      <c r="A663" s="22">
        <v>40311.073611111111</v>
      </c>
      <c r="E663" s="26">
        <v>15.2394</v>
      </c>
      <c r="G663" s="27">
        <v>7.3611111111111113E-2</v>
      </c>
      <c r="J663" s="30">
        <f>IF(G663&lt;$H$10,$H$16,IF(G663&gt;$I$10,$H$16,$H$11))*E663/600</f>
        <v>5.0798000000000006E-3</v>
      </c>
      <c r="L663" s="32">
        <f>$J663*($G663-$G662)*60*24</f>
        <v>5.0797999999999824E-3</v>
      </c>
    </row>
    <row r="664" spans="1:12">
      <c r="A664" s="22">
        <v>40311.074305555558</v>
      </c>
      <c r="E664" s="26">
        <v>15.2658</v>
      </c>
      <c r="G664" s="27">
        <v>7.4305555555555555E-2</v>
      </c>
      <c r="J664" s="30">
        <f>IF(G664&lt;$H$10,$H$16,IF(G664&gt;$I$10,$H$16,$H$11))*E664/600</f>
        <v>5.0886000000000004E-3</v>
      </c>
      <c r="L664" s="32">
        <f>$J664*($G664-$G663)*60*24</f>
        <v>5.0885999999999822E-3</v>
      </c>
    </row>
    <row r="665" spans="1:12">
      <c r="A665" s="22">
        <v>40311.074999999997</v>
      </c>
      <c r="E665" s="26">
        <v>15.2592</v>
      </c>
      <c r="G665" s="27">
        <v>7.4999999999999997E-2</v>
      </c>
      <c r="J665" s="30">
        <f>IF(G665&lt;$H$10,$H$16,IF(G665&gt;$I$10,$H$16,$H$11))*E665/600</f>
        <v>5.0864000000000005E-3</v>
      </c>
      <c r="L665" s="32">
        <f>$J665*($G665-$G664)*60*24</f>
        <v>5.0863999999999823E-3</v>
      </c>
    </row>
    <row r="666" spans="1:12">
      <c r="A666" s="22">
        <v>40311.075694444444</v>
      </c>
      <c r="E666" s="26">
        <v>15.365130000000001</v>
      </c>
      <c r="G666" s="27">
        <v>7.5694444444444439E-2</v>
      </c>
      <c r="J666" s="30">
        <f>IF(G666&lt;$H$10,$H$16,IF(G666&gt;$I$10,$H$16,$H$11))*E666/600</f>
        <v>5.1217100000000007E-3</v>
      </c>
      <c r="L666" s="32">
        <f>$J666*($G666-$G665)*60*24</f>
        <v>5.1217099999999825E-3</v>
      </c>
    </row>
    <row r="667" spans="1:12">
      <c r="A667" s="22">
        <v>40311.076388888891</v>
      </c>
      <c r="E667" s="26">
        <v>15.279</v>
      </c>
      <c r="G667" s="27">
        <v>7.6388888888888895E-2</v>
      </c>
      <c r="J667" s="30">
        <f>IF(G667&lt;$H$10,$H$16,IF(G667&gt;$I$10,$H$16,$H$11))*E667/600</f>
        <v>5.0930000000000003E-3</v>
      </c>
      <c r="L667" s="32">
        <f>$J667*($G667-$G666)*60*24</f>
        <v>5.0930000000000844E-3</v>
      </c>
    </row>
    <row r="668" spans="1:12">
      <c r="A668" s="22">
        <v>40311.07708333333</v>
      </c>
      <c r="E668" s="26">
        <v>15.279</v>
      </c>
      <c r="G668" s="27">
        <v>7.7083333333333337E-2</v>
      </c>
      <c r="J668" s="30">
        <f>IF(G668&lt;$H$10,$H$16,IF(G668&gt;$I$10,$H$16,$H$11))*E668/600</f>
        <v>5.0930000000000003E-3</v>
      </c>
      <c r="L668" s="32">
        <f>$J668*($G668-$G667)*60*24</f>
        <v>5.0929999999999821E-3</v>
      </c>
    </row>
    <row r="669" spans="1:12">
      <c r="A669" s="22">
        <v>40311.077777777777</v>
      </c>
      <c r="E669" s="26">
        <v>15.411792</v>
      </c>
      <c r="G669" s="27">
        <v>7.7777777777777779E-2</v>
      </c>
      <c r="J669" s="30">
        <f>IF(G669&lt;$H$10,$H$16,IF(G669&gt;$I$10,$H$16,$H$11))*E669/600</f>
        <v>5.1372640000000008E-3</v>
      </c>
      <c r="L669" s="32">
        <f>$J669*($G669-$G668)*60*24</f>
        <v>5.1372639999999825E-3</v>
      </c>
    </row>
    <row r="670" spans="1:12">
      <c r="A670" s="22">
        <v>40311.078472222223</v>
      </c>
      <c r="E670" s="26">
        <v>15.418457999999999</v>
      </c>
      <c r="G670" s="27">
        <v>7.8472222222222221E-2</v>
      </c>
      <c r="J670" s="30">
        <f>IF(G670&lt;$H$10,$H$16,IF(G670&gt;$I$10,$H$16,$H$11))*E670/600</f>
        <v>5.1394859999999995E-3</v>
      </c>
      <c r="L670" s="32">
        <f>$J670*($G670-$G669)*60*24</f>
        <v>5.1394859999999813E-3</v>
      </c>
    </row>
    <row r="671" spans="1:12">
      <c r="A671" s="22">
        <v>40311.07916666667</v>
      </c>
      <c r="E671" s="26">
        <v>15.445122</v>
      </c>
      <c r="G671" s="27">
        <v>7.9166666666666663E-2</v>
      </c>
      <c r="J671" s="30">
        <f>IF(G671&lt;$H$10,$H$16,IF(G671&gt;$I$10,$H$16,$H$11))*E671/600</f>
        <v>5.1483739999999998E-3</v>
      </c>
      <c r="L671" s="32">
        <f>$J671*($G671-$G670)*60*24</f>
        <v>5.1483739999999816E-3</v>
      </c>
    </row>
    <row r="672" spans="1:12">
      <c r="A672" s="22">
        <v>40311.079861111109</v>
      </c>
      <c r="E672" s="26">
        <v>15.411792</v>
      </c>
      <c r="G672" s="27">
        <v>7.9861111111111105E-2</v>
      </c>
      <c r="J672" s="30">
        <f>IF(G672&lt;$H$10,$H$16,IF(G672&gt;$I$10,$H$16,$H$11))*E672/600</f>
        <v>5.1372640000000008E-3</v>
      </c>
      <c r="L672" s="32">
        <f>$J672*($G672-$G671)*60*24</f>
        <v>5.1372639999999825E-3</v>
      </c>
    </row>
    <row r="673" spans="1:12">
      <c r="A673" s="22">
        <v>40311.080555555556</v>
      </c>
      <c r="E673" s="26">
        <v>15.39846</v>
      </c>
      <c r="G673" s="27">
        <v>8.0555555555555561E-2</v>
      </c>
      <c r="J673" s="30">
        <f>IF(G673&lt;$H$10,$H$16,IF(G673&gt;$I$10,$H$16,$H$11))*E673/600</f>
        <v>5.1328199999999997E-3</v>
      </c>
      <c r="L673" s="32">
        <f>$J673*($G673-$G672)*60*24</f>
        <v>5.1328200000000839E-3</v>
      </c>
    </row>
    <row r="674" spans="1:12">
      <c r="A674" s="22">
        <v>40311.081250000003</v>
      </c>
      <c r="E674" s="26">
        <v>15.39846</v>
      </c>
      <c r="G674" s="27">
        <v>8.1250000000000003E-2</v>
      </c>
      <c r="J674" s="30">
        <f>IF(G674&lt;$H$10,$H$16,IF(G674&gt;$I$10,$H$16,$H$11))*E674/600</f>
        <v>5.1328199999999997E-3</v>
      </c>
      <c r="L674" s="32">
        <f>$J674*($G674-$G673)*60*24</f>
        <v>5.1328199999999815E-3</v>
      </c>
    </row>
    <row r="675" spans="1:12">
      <c r="A675" s="22">
        <v>40311.081944444442</v>
      </c>
      <c r="E675" s="26">
        <v>15.345132</v>
      </c>
      <c r="G675" s="27">
        <v>8.1944444444444445E-2</v>
      </c>
      <c r="J675" s="30">
        <f>IF(G675&lt;$H$10,$H$16,IF(G675&gt;$I$10,$H$16,$H$11))*E675/600</f>
        <v>5.115044E-3</v>
      </c>
      <c r="L675" s="32">
        <f>$J675*($G675-$G674)*60*24</f>
        <v>5.1150439999999818E-3</v>
      </c>
    </row>
    <row r="676" spans="1:12">
      <c r="A676" s="22">
        <v>40311.082638888889</v>
      </c>
      <c r="E676" s="26">
        <v>15.331799999999999</v>
      </c>
      <c r="G676" s="27">
        <v>8.2638888888888887E-2</v>
      </c>
      <c r="J676" s="30">
        <f>IF(G676&lt;$H$10,$H$16,IF(G676&gt;$I$10,$H$16,$H$11))*E676/600</f>
        <v>5.1105999999999999E-3</v>
      </c>
      <c r="L676" s="32">
        <f>$J676*($G676-$G675)*60*24</f>
        <v>5.1105999999999817E-3</v>
      </c>
    </row>
    <row r="677" spans="1:12">
      <c r="A677" s="22">
        <v>40311.083333333336</v>
      </c>
      <c r="E677" s="26">
        <v>15.1866</v>
      </c>
      <c r="G677" s="27">
        <v>8.3333333333333329E-2</v>
      </c>
      <c r="J677" s="30">
        <f>IF(G677&lt;$H$10,$H$16,IF(G677&gt;$I$10,$H$16,$H$11))*E677/600</f>
        <v>5.0622000000000002E-3</v>
      </c>
      <c r="L677" s="32">
        <f>$J677*($G677-$G676)*60*24</f>
        <v>5.062199999999982E-3</v>
      </c>
    </row>
    <row r="678" spans="1:12">
      <c r="A678" s="22">
        <v>40311.084027777775</v>
      </c>
      <c r="E678" s="26">
        <v>15.1866</v>
      </c>
      <c r="G678" s="27">
        <v>8.4027777777777771E-2</v>
      </c>
      <c r="J678" s="30">
        <f>IF(G678&lt;$H$10,$H$16,IF(G678&gt;$I$10,$H$16,$H$11))*E678/600</f>
        <v>5.0622000000000002E-3</v>
      </c>
      <c r="L678" s="32">
        <f>$J678*($G678-$G677)*60*24</f>
        <v>5.062199999999982E-3</v>
      </c>
    </row>
    <row r="679" spans="1:12">
      <c r="A679" s="22">
        <v>40311.084722222222</v>
      </c>
      <c r="E679" s="26">
        <v>15.4636</v>
      </c>
      <c r="G679" s="27">
        <v>8.4722222222222213E-2</v>
      </c>
      <c r="J679" s="30">
        <f>IF(G679&lt;$H$10,$H$16,IF(G679&gt;$I$10,$H$16,$H$11))*E679/600</f>
        <v>5.1545333333333334E-3</v>
      </c>
      <c r="L679" s="32">
        <f>$J679*($G679-$G678)*60*24</f>
        <v>5.1545333333333151E-3</v>
      </c>
    </row>
    <row r="680" spans="1:12">
      <c r="A680" s="22">
        <v>40311.085416666669</v>
      </c>
      <c r="E680" s="26">
        <v>15.311999999999999</v>
      </c>
      <c r="G680" s="27">
        <v>8.5416666666666655E-2</v>
      </c>
      <c r="J680" s="30">
        <f>IF(G680&lt;$H$10,$H$16,IF(G680&gt;$I$10,$H$16,$H$11))*E680/600</f>
        <v>5.104E-3</v>
      </c>
      <c r="L680" s="32">
        <f>$J680*($G680-$G679)*60*24</f>
        <v>5.1039999999999818E-3</v>
      </c>
    </row>
    <row r="681" spans="1:12">
      <c r="A681" s="22">
        <v>40311.086111111108</v>
      </c>
      <c r="E681" s="26">
        <v>15.3186</v>
      </c>
      <c r="G681" s="27">
        <v>8.6111111111111124E-2</v>
      </c>
      <c r="J681" s="30">
        <f>IF(G681&lt;$H$10,$H$16,IF(G681&gt;$I$10,$H$16,$H$11))*E681/600</f>
        <v>5.1062E-3</v>
      </c>
      <c r="L681" s="32">
        <f>$J681*($G681-$G680)*60*24</f>
        <v>5.1062000000001856E-3</v>
      </c>
    </row>
    <row r="682" spans="1:12">
      <c r="A682" s="22">
        <v>40311.086805555555</v>
      </c>
      <c r="E682" s="26">
        <v>15.232799999999999</v>
      </c>
      <c r="G682" s="27">
        <v>8.6805555555555566E-2</v>
      </c>
      <c r="J682" s="30">
        <f>IF(G682&lt;$H$10,$H$16,IF(G682&gt;$I$10,$H$16,$H$11))*E682/600</f>
        <v>5.0775999999999998E-3</v>
      </c>
      <c r="L682" s="32">
        <f>$J682*($G682-$G681)*60*24</f>
        <v>5.0775999999999816E-3</v>
      </c>
    </row>
    <row r="683" spans="1:12">
      <c r="A683" s="22">
        <v>40311.087500000001</v>
      </c>
      <c r="E683" s="26">
        <v>15.114000000000001</v>
      </c>
      <c r="G683" s="27">
        <v>8.7500000000000008E-2</v>
      </c>
      <c r="J683" s="30">
        <f>IF(G683&lt;$H$10,$H$16,IF(G683&gt;$I$10,$H$16,$H$11))*E683/600</f>
        <v>5.0379999999999999E-3</v>
      </c>
      <c r="L683" s="32">
        <f>$J683*($G683-$G682)*60*24</f>
        <v>5.0379999999999817E-3</v>
      </c>
    </row>
    <row r="684" spans="1:12">
      <c r="A684" s="22">
        <v>40311.088194444441</v>
      </c>
      <c r="E684" s="26">
        <v>15.1272</v>
      </c>
      <c r="G684" s="27">
        <v>8.819444444444445E-2</v>
      </c>
      <c r="J684" s="30">
        <f>IF(G684&lt;$H$10,$H$16,IF(G684&gt;$I$10,$H$16,$H$11))*E684/600</f>
        <v>5.0423999999999998E-3</v>
      </c>
      <c r="L684" s="32">
        <f>$J684*($G684-$G683)*60*24</f>
        <v>5.0423999999999816E-3</v>
      </c>
    </row>
    <row r="685" spans="1:12">
      <c r="A685" s="22">
        <v>40311.088888888888</v>
      </c>
      <c r="E685" s="26">
        <v>15.225144</v>
      </c>
      <c r="G685" s="27">
        <v>8.8888888888888892E-2</v>
      </c>
      <c r="J685" s="30">
        <f>IF(G685&lt;$H$10,$H$16,IF(G685&gt;$I$10,$H$16,$H$11))*E685/600</f>
        <v>5.0750480000000004E-3</v>
      </c>
      <c r="L685" s="32">
        <f>$J685*($G685-$G684)*60*24</f>
        <v>5.0750479999999822E-3</v>
      </c>
    </row>
    <row r="686" spans="1:12">
      <c r="A686" s="22">
        <v>40311.089583333334</v>
      </c>
      <c r="E686" s="26">
        <v>15.061199999999999</v>
      </c>
      <c r="G686" s="27">
        <v>8.9583333333333334E-2</v>
      </c>
      <c r="J686" s="30">
        <f>IF(G686&lt;$H$10,$H$16,IF(G686&gt;$I$10,$H$16,$H$11))*E686/600</f>
        <v>5.0204000000000004E-3</v>
      </c>
      <c r="L686" s="32">
        <f>$J686*($G686-$G685)*60*24</f>
        <v>5.0203999999999822E-3</v>
      </c>
    </row>
    <row r="687" spans="1:12">
      <c r="A687" s="22">
        <v>40311.090277777781</v>
      </c>
      <c r="E687" s="26">
        <v>15.061199999999999</v>
      </c>
      <c r="G687" s="27">
        <v>9.0277777777777776E-2</v>
      </c>
      <c r="J687" s="30">
        <f>IF(G687&lt;$H$10,$H$16,IF(G687&gt;$I$10,$H$16,$H$11))*E687/600</f>
        <v>5.0204000000000004E-3</v>
      </c>
      <c r="L687" s="32">
        <f>$J687*($G687-$G686)*60*24</f>
        <v>5.0203999999999822E-3</v>
      </c>
    </row>
    <row r="688" spans="1:12">
      <c r="A688" s="22">
        <v>40311.09097222222</v>
      </c>
      <c r="E688" s="26">
        <v>15.061199999999999</v>
      </c>
      <c r="G688" s="27">
        <v>9.0972222222222218E-2</v>
      </c>
      <c r="J688" s="30">
        <f>IF(G688&lt;$H$10,$H$16,IF(G688&gt;$I$10,$H$16,$H$11))*E688/600</f>
        <v>5.0204000000000004E-3</v>
      </c>
      <c r="L688" s="32">
        <f>$J688*($G688-$G687)*60*24</f>
        <v>5.0203999999999822E-3</v>
      </c>
    </row>
    <row r="689" spans="1:12">
      <c r="A689" s="22">
        <v>40311.091666666667</v>
      </c>
      <c r="E689" s="26">
        <v>15.19848</v>
      </c>
      <c r="G689" s="27">
        <v>9.1666666666666674E-2</v>
      </c>
      <c r="J689" s="30">
        <f>IF(G689&lt;$H$10,$H$16,IF(G689&gt;$I$10,$H$16,$H$11))*E689/600</f>
        <v>5.0661600000000001E-3</v>
      </c>
      <c r="L689" s="32">
        <f>$J689*($G689-$G688)*60*24</f>
        <v>5.0661600000000834E-3</v>
      </c>
    </row>
    <row r="690" spans="1:12">
      <c r="A690" s="22">
        <v>40311.092361111114</v>
      </c>
      <c r="E690" s="26">
        <v>15.0282</v>
      </c>
      <c r="G690" s="27">
        <v>9.2361111111111116E-2</v>
      </c>
      <c r="J690" s="30">
        <f>IF(G690&lt;$H$10,$H$16,IF(G690&gt;$I$10,$H$16,$H$11))*E690/600</f>
        <v>5.0093999999999998E-3</v>
      </c>
      <c r="L690" s="32">
        <f>$J690*($G690-$G689)*60*24</f>
        <v>5.0093999999999824E-3</v>
      </c>
    </row>
    <row r="691" spans="1:12">
      <c r="A691" s="22">
        <v>40311.093055555553</v>
      </c>
      <c r="E691" s="26">
        <v>15.041399999999999</v>
      </c>
      <c r="G691" s="27">
        <v>9.3055555555555558E-2</v>
      </c>
      <c r="J691" s="30">
        <f>IF(G691&lt;$H$10,$H$16,IF(G691&gt;$I$10,$H$16,$H$11))*E691/600</f>
        <v>5.0137999999999997E-3</v>
      </c>
      <c r="L691" s="32">
        <f>$J691*($G691-$G690)*60*24</f>
        <v>5.0137999999999815E-3</v>
      </c>
    </row>
    <row r="692" spans="1:12">
      <c r="A692" s="22">
        <v>40311.09375</v>
      </c>
      <c r="E692" s="26">
        <v>15.191814000000001</v>
      </c>
      <c r="G692" s="27">
        <v>9.375E-2</v>
      </c>
      <c r="J692" s="30">
        <f>IF(G692&lt;$H$10,$H$16,IF(G692&gt;$I$10,$H$16,$H$11))*E692/600</f>
        <v>5.0639380000000005E-3</v>
      </c>
      <c r="L692" s="32">
        <f>$J692*($G692-$G691)*60*24</f>
        <v>5.0639379999999831E-3</v>
      </c>
    </row>
    <row r="693" spans="1:12">
      <c r="A693" s="22">
        <v>40311.094444444447</v>
      </c>
      <c r="E693" s="26">
        <v>15.185148</v>
      </c>
      <c r="G693" s="27">
        <v>9.4444444444444442E-2</v>
      </c>
      <c r="J693" s="30">
        <f>IF(G693&lt;$H$10,$H$16,IF(G693&gt;$I$10,$H$16,$H$11))*E693/600</f>
        <v>5.0617160000000008E-3</v>
      </c>
      <c r="L693" s="32">
        <f>$J693*($G693-$G692)*60*24</f>
        <v>5.0617159999999835E-3</v>
      </c>
    </row>
    <row r="694" spans="1:12">
      <c r="A694" s="22">
        <v>40311.095138888886</v>
      </c>
      <c r="E694" s="26">
        <v>15.151818</v>
      </c>
      <c r="G694" s="27">
        <v>9.5138888888888884E-2</v>
      </c>
      <c r="J694" s="30">
        <f>IF(G694&lt;$H$10,$H$16,IF(G694&gt;$I$10,$H$16,$H$11))*E694/600</f>
        <v>5.050606E-3</v>
      </c>
      <c r="L694" s="32">
        <f>$J694*($G694-$G693)*60*24</f>
        <v>5.0506059999999818E-3</v>
      </c>
    </row>
    <row r="695" spans="1:12">
      <c r="A695" s="22">
        <v>40311.095833333333</v>
      </c>
      <c r="E695" s="26">
        <v>15.145152</v>
      </c>
      <c r="G695" s="27">
        <v>9.5833333333333326E-2</v>
      </c>
      <c r="J695" s="30">
        <f>IF(G695&lt;$H$10,$H$16,IF(G695&gt;$I$10,$H$16,$H$11))*E695/600</f>
        <v>5.0483839999999995E-3</v>
      </c>
      <c r="L695" s="32">
        <f>$J695*($G695-$G694)*60*24</f>
        <v>5.0483839999999813E-3</v>
      </c>
    </row>
    <row r="696" spans="1:12">
      <c r="A696" s="22">
        <v>40311.09652777778</v>
      </c>
      <c r="E696" s="26">
        <v>15.125154</v>
      </c>
      <c r="G696" s="27">
        <v>9.6527777777777768E-2</v>
      </c>
      <c r="J696" s="30">
        <f>IF(G696&lt;$H$10,$H$16,IF(G696&gt;$I$10,$H$16,$H$11))*E696/600</f>
        <v>5.0417180000000006E-3</v>
      </c>
      <c r="L696" s="32">
        <f>$J696*($G696-$G695)*60*24</f>
        <v>5.0417179999999824E-3</v>
      </c>
    </row>
    <row r="697" spans="1:12">
      <c r="A697" s="22">
        <v>40311.097222222219</v>
      </c>
      <c r="E697" s="26">
        <v>15.145152</v>
      </c>
      <c r="G697" s="27">
        <v>9.7222222222222224E-2</v>
      </c>
      <c r="J697" s="30">
        <f>IF(G697&lt;$H$10,$H$16,IF(G697&gt;$I$10,$H$16,$H$11))*E697/600</f>
        <v>5.0483839999999995E-3</v>
      </c>
      <c r="L697" s="32">
        <f>$J697*($G697-$G696)*60*24</f>
        <v>5.0483840000000828E-3</v>
      </c>
    </row>
    <row r="698" spans="1:12">
      <c r="A698" s="22">
        <v>40311.097916666666</v>
      </c>
      <c r="E698" s="26">
        <v>15.105155999999999</v>
      </c>
      <c r="G698" s="27">
        <v>9.7916666666666666E-2</v>
      </c>
      <c r="J698" s="30">
        <f>IF(G698&lt;$H$10,$H$16,IF(G698&gt;$I$10,$H$16,$H$11))*E698/600</f>
        <v>5.0350519999999999E-3</v>
      </c>
      <c r="L698" s="32">
        <f>$J698*($G698-$G697)*60*24</f>
        <v>5.0350519999999817E-3</v>
      </c>
    </row>
    <row r="699" spans="1:12">
      <c r="A699" s="22">
        <v>40311.098611111112</v>
      </c>
      <c r="E699" s="26">
        <v>15.125154</v>
      </c>
      <c r="G699" s="27">
        <v>9.8611111111111108E-2</v>
      </c>
      <c r="J699" s="30">
        <f>IF(G699&lt;$H$10,$H$16,IF(G699&gt;$I$10,$H$16,$H$11))*E699/600</f>
        <v>5.0417180000000006E-3</v>
      </c>
      <c r="L699" s="32">
        <f>$J699*($G699-$G698)*60*24</f>
        <v>5.0417179999999824E-3</v>
      </c>
    </row>
    <row r="700" spans="1:12">
      <c r="A700" s="22">
        <v>40311.099305555559</v>
      </c>
      <c r="E700" s="26">
        <v>15.085158</v>
      </c>
      <c r="G700" s="27">
        <v>9.930555555555555E-2</v>
      </c>
      <c r="J700" s="30">
        <f>IF(G700&lt;$H$10,$H$16,IF(G700&gt;$I$10,$H$16,$H$11))*E700/600</f>
        <v>5.0283860000000001E-3</v>
      </c>
      <c r="L700" s="32">
        <f>$J700*($G700-$G699)*60*24</f>
        <v>5.0283859999999819E-3</v>
      </c>
    </row>
    <row r="701" spans="1:12">
      <c r="A701" s="22">
        <v>40311.1</v>
      </c>
      <c r="E701" s="26">
        <v>15.051828</v>
      </c>
      <c r="G701" s="27">
        <v>9.9999999999999992E-2</v>
      </c>
      <c r="J701" s="30">
        <f>IF(G701&lt;$H$10,$H$16,IF(G701&gt;$I$10,$H$16,$H$11))*E701/600</f>
        <v>5.0172760000000002E-3</v>
      </c>
      <c r="L701" s="32">
        <f>$J701*($G701-$G700)*60*24</f>
        <v>5.017275999999982E-3</v>
      </c>
    </row>
    <row r="702" spans="1:12">
      <c r="A702" s="22">
        <v>40311.100694444445</v>
      </c>
      <c r="E702" s="26">
        <v>15.09849</v>
      </c>
      <c r="G702" s="27">
        <v>0.10069444444444443</v>
      </c>
      <c r="J702" s="30">
        <f>IF(G702&lt;$H$10,$H$16,IF(G702&gt;$I$10,$H$16,$H$11))*E702/600</f>
        <v>5.0328300000000003E-3</v>
      </c>
      <c r="L702" s="32">
        <f>$J702*($G702-$G701)*60*24</f>
        <v>5.0328299999999821E-3</v>
      </c>
    </row>
    <row r="703" spans="1:12">
      <c r="A703" s="22">
        <v>40311.101388888892</v>
      </c>
      <c r="E703" s="26">
        <v>15.145152</v>
      </c>
      <c r="G703" s="27">
        <v>0.1013888888888889</v>
      </c>
      <c r="J703" s="30">
        <f>IF(G703&lt;$H$10,$H$16,IF(G703&gt;$I$10,$H$16,$H$11))*E703/600</f>
        <v>5.0483839999999995E-3</v>
      </c>
      <c r="L703" s="32">
        <f>$J703*($G703-$G702)*60*24</f>
        <v>5.0483840000001834E-3</v>
      </c>
    </row>
    <row r="704" spans="1:12">
      <c r="A704" s="22">
        <v>40311.102083333331</v>
      </c>
      <c r="E704" s="26">
        <v>15.158484</v>
      </c>
      <c r="G704" s="27">
        <v>0.10208333333333335</v>
      </c>
      <c r="J704" s="30">
        <f>IF(G704&lt;$H$10,$H$16,IF(G704&gt;$I$10,$H$16,$H$11))*E704/600</f>
        <v>5.0528280000000005E-3</v>
      </c>
      <c r="L704" s="32">
        <f>$J704*($G704-$G703)*60*24</f>
        <v>5.0528279999999823E-3</v>
      </c>
    </row>
    <row r="705" spans="1:12">
      <c r="A705" s="22">
        <v>40311.102777777778</v>
      </c>
      <c r="E705" s="26">
        <v>15.041399999999999</v>
      </c>
      <c r="G705" s="27">
        <v>0.10277777777777779</v>
      </c>
      <c r="J705" s="30">
        <f>IF(G705&lt;$H$10,$H$16,IF(G705&gt;$I$10,$H$16,$H$11))*E705/600</f>
        <v>5.0137999999999997E-3</v>
      </c>
      <c r="L705" s="32">
        <f>$J705*($G705-$G704)*60*24</f>
        <v>5.0137999999999815E-3</v>
      </c>
    </row>
    <row r="706" spans="1:12">
      <c r="A706" s="22">
        <v>40311.103472222225</v>
      </c>
      <c r="E706" s="26">
        <v>15.0876</v>
      </c>
      <c r="G706" s="27">
        <v>0.10347222222222223</v>
      </c>
      <c r="J706" s="30">
        <f>IF(G706&lt;$H$10,$H$16,IF(G706&gt;$I$10,$H$16,$H$11))*E706/600</f>
        <v>5.0292000000000002E-3</v>
      </c>
      <c r="L706" s="32">
        <f>$J706*($G706-$G705)*60*24</f>
        <v>5.0291999999999819E-3</v>
      </c>
    </row>
    <row r="707" spans="1:12">
      <c r="A707" s="22">
        <v>40311.104166666664</v>
      </c>
      <c r="E707" s="26">
        <v>15.1008</v>
      </c>
      <c r="G707" s="27">
        <v>0.10416666666666667</v>
      </c>
      <c r="J707" s="30">
        <f>IF(G707&lt;$H$10,$H$16,IF(G707&gt;$I$10,$H$16,$H$11))*E707/600</f>
        <v>5.0336000000000001E-3</v>
      </c>
      <c r="L707" s="32">
        <f>$J707*($G707-$G706)*60*24</f>
        <v>5.0335999999999818E-3</v>
      </c>
    </row>
    <row r="708" spans="1:12">
      <c r="A708" s="22">
        <v>40311.104861111111</v>
      </c>
      <c r="E708" s="26">
        <v>15.1074</v>
      </c>
      <c r="G708" s="27">
        <v>0.10486111111111111</v>
      </c>
      <c r="J708" s="30">
        <f>IF(G708&lt;$H$10,$H$16,IF(G708&gt;$I$10,$H$16,$H$11))*E708/600</f>
        <v>5.0358000000000009E-3</v>
      </c>
      <c r="L708" s="32">
        <f>$J708*($G708-$G707)*60*24</f>
        <v>5.0357999999999827E-3</v>
      </c>
    </row>
    <row r="709" spans="1:12">
      <c r="A709" s="22">
        <v>40311.105555555558</v>
      </c>
      <c r="E709" s="26">
        <v>15.0876</v>
      </c>
      <c r="G709" s="27">
        <v>0.10555555555555556</v>
      </c>
      <c r="J709" s="30">
        <f>IF(G709&lt;$H$10,$H$16,IF(G709&gt;$I$10,$H$16,$H$11))*E709/600</f>
        <v>5.0292000000000002E-3</v>
      </c>
      <c r="L709" s="32">
        <f>$J709*($G709-$G708)*60*24</f>
        <v>5.0291999999999819E-3</v>
      </c>
    </row>
    <row r="710" spans="1:12">
      <c r="A710" s="22">
        <v>40311.106249999997</v>
      </c>
      <c r="E710" s="26">
        <v>15.094200000000001</v>
      </c>
      <c r="G710" s="27">
        <v>0.10625</v>
      </c>
      <c r="J710" s="30">
        <f>IF(G710&lt;$H$10,$H$16,IF(G710&gt;$I$10,$H$16,$H$11))*E710/600</f>
        <v>5.031400000000001E-3</v>
      </c>
      <c r="L710" s="32">
        <f>$J710*($G710-$G709)*60*24</f>
        <v>5.0313999999999836E-3</v>
      </c>
    </row>
    <row r="711" spans="1:12">
      <c r="A711" s="22">
        <v>40311.106944444444</v>
      </c>
      <c r="E711" s="26">
        <v>15.061199999999999</v>
      </c>
      <c r="G711" s="27">
        <v>0.10694444444444444</v>
      </c>
      <c r="J711" s="30">
        <f>IF(G711&lt;$H$10,$H$16,IF(G711&gt;$I$10,$H$16,$H$11))*E711/600</f>
        <v>5.0204000000000004E-3</v>
      </c>
      <c r="L711" s="32">
        <f>$J711*($G711-$G710)*60*24</f>
        <v>5.0203999999999822E-3</v>
      </c>
    </row>
    <row r="712" spans="1:12">
      <c r="A712" s="22">
        <v>40311.107638888891</v>
      </c>
      <c r="E712" s="26">
        <v>15.021599999999999</v>
      </c>
      <c r="G712" s="27">
        <v>0.1076388888888889</v>
      </c>
      <c r="J712" s="30">
        <f>IF(G712&lt;$H$10,$H$16,IF(G712&gt;$I$10,$H$16,$H$11))*E712/600</f>
        <v>5.0071999999999998E-3</v>
      </c>
      <c r="L712" s="32">
        <f>$J712*($G712-$G711)*60*24</f>
        <v>5.0072000000000814E-3</v>
      </c>
    </row>
    <row r="713" spans="1:12">
      <c r="A713" s="22">
        <v>40311.10833333333</v>
      </c>
      <c r="E713" s="26">
        <v>15.034800000000001</v>
      </c>
      <c r="G713" s="27">
        <v>0.10833333333333334</v>
      </c>
      <c r="J713" s="30">
        <f>IF(G713&lt;$H$10,$H$16,IF(G713&gt;$I$10,$H$16,$H$11))*E713/600</f>
        <v>5.0116000000000006E-3</v>
      </c>
      <c r="L713" s="32">
        <f>$J713*($G713-$G712)*60*24</f>
        <v>5.0115999999999824E-3</v>
      </c>
    </row>
    <row r="714" spans="1:12">
      <c r="A714" s="22">
        <v>40311.109027777777</v>
      </c>
      <c r="E714" s="26">
        <v>14.995200000000001</v>
      </c>
      <c r="G714" s="27">
        <v>0.10902777777777778</v>
      </c>
      <c r="J714" s="30">
        <f>IF(G714&lt;$H$10,$H$16,IF(G714&gt;$I$10,$H$16,$H$11))*E714/600</f>
        <v>4.9984000000000009E-3</v>
      </c>
      <c r="L714" s="32">
        <f>$J714*($G714-$G713)*60*24</f>
        <v>4.9983999999999827E-3</v>
      </c>
    </row>
    <row r="715" spans="1:12">
      <c r="A715" s="22">
        <v>40311.109722222223</v>
      </c>
      <c r="E715" s="26">
        <v>15.031829999999999</v>
      </c>
      <c r="G715" s="27">
        <v>0.10972222222222222</v>
      </c>
      <c r="J715" s="30">
        <f>IF(G715&lt;$H$10,$H$16,IF(G715&gt;$I$10,$H$16,$H$11))*E715/600</f>
        <v>5.0106099999999995E-3</v>
      </c>
      <c r="L715" s="32">
        <f>$J715*($G715-$G714)*60*24</f>
        <v>5.0106099999999813E-3</v>
      </c>
    </row>
    <row r="716" spans="1:12">
      <c r="A716" s="22">
        <v>40311.11041666667</v>
      </c>
      <c r="E716" s="26">
        <v>14.764685</v>
      </c>
      <c r="G716" s="27">
        <v>0.11041666666666666</v>
      </c>
      <c r="J716" s="30">
        <f>IF(G716&lt;$H$10,$H$16,IF(G716&gt;$I$10,$H$16,$H$11))*E716/600</f>
        <v>4.9215616666666677E-3</v>
      </c>
      <c r="L716" s="32">
        <f>$J716*($G716-$G715)*60*24</f>
        <v>4.9215616666666503E-3</v>
      </c>
    </row>
    <row r="717" spans="1:12">
      <c r="A717" s="22">
        <v>40311.111111111109</v>
      </c>
      <c r="E717" s="26">
        <v>14.87772</v>
      </c>
      <c r="G717" s="27">
        <v>0.1111111111111111</v>
      </c>
      <c r="J717" s="30">
        <f>IF(G717&lt;$H$10,$H$16,IF(G717&gt;$I$10,$H$16,$H$11))*E717/600</f>
        <v>4.9592400000000002E-3</v>
      </c>
      <c r="L717" s="32">
        <f>$J717*($G717-$G716)*60*24</f>
        <v>4.9592399999999828E-3</v>
      </c>
    </row>
    <row r="718" spans="1:12">
      <c r="A718" s="22">
        <v>40311.111805555556</v>
      </c>
      <c r="E718" s="26">
        <v>14.864459999999999</v>
      </c>
      <c r="G718" s="27">
        <v>0.11180555555555556</v>
      </c>
      <c r="J718" s="30">
        <f>IF(G718&lt;$H$10,$H$16,IF(G718&gt;$I$10,$H$16,$H$11))*E718/600</f>
        <v>4.9548199999999995E-3</v>
      </c>
      <c r="L718" s="32">
        <f>$J718*($G718-$G717)*60*24</f>
        <v>4.9548200000000811E-3</v>
      </c>
    </row>
    <row r="719" spans="1:12">
      <c r="A719" s="22">
        <v>40311.112500000003</v>
      </c>
      <c r="E719" s="26">
        <v>14.89761</v>
      </c>
      <c r="G719" s="27">
        <v>0.1125</v>
      </c>
      <c r="J719" s="30">
        <f>IF(G719&lt;$H$10,$H$16,IF(G719&gt;$I$10,$H$16,$H$11))*E719/600</f>
        <v>4.9658700000000007E-3</v>
      </c>
      <c r="L719" s="32">
        <f>$J719*($G719-$G718)*60*24</f>
        <v>4.9658699999999834E-3</v>
      </c>
    </row>
    <row r="720" spans="1:12">
      <c r="A720" s="22">
        <v>40311.113194444442</v>
      </c>
      <c r="E720" s="26">
        <v>14.92413</v>
      </c>
      <c r="G720" s="27">
        <v>0.11319444444444444</v>
      </c>
      <c r="J720" s="30">
        <f>IF(G720&lt;$H$10,$H$16,IF(G720&gt;$I$10,$H$16,$H$11))*E720/600</f>
        <v>4.9747100000000002E-3</v>
      </c>
      <c r="L720" s="32">
        <f>$J720*($G720-$G719)*60*24</f>
        <v>4.9747099999999829E-3</v>
      </c>
    </row>
    <row r="721" spans="1:12">
      <c r="A721" s="22">
        <v>40311.113888888889</v>
      </c>
      <c r="E721" s="26">
        <v>15.01695</v>
      </c>
      <c r="G721" s="27">
        <v>0.11388888888888889</v>
      </c>
      <c r="J721" s="30">
        <f>IF(G721&lt;$H$10,$H$16,IF(G721&gt;$I$10,$H$16,$H$11))*E721/600</f>
        <v>5.0056500000000004E-3</v>
      </c>
      <c r="L721" s="32">
        <f>$J721*($G721-$G720)*60*24</f>
        <v>5.0056499999999822E-3</v>
      </c>
    </row>
    <row r="722" spans="1:12">
      <c r="A722" s="22">
        <v>40311.114583333336</v>
      </c>
      <c r="E722" s="26">
        <v>15.171816</v>
      </c>
      <c r="G722" s="27">
        <v>0.11458333333333333</v>
      </c>
      <c r="J722" s="30">
        <f>IF(G722&lt;$H$10,$H$16,IF(G722&gt;$I$10,$H$16,$H$11))*E722/600</f>
        <v>5.0572719999999998E-3</v>
      </c>
      <c r="L722" s="32">
        <f>$J722*($G722-$G721)*60*24</f>
        <v>5.0572719999999816E-3</v>
      </c>
    </row>
    <row r="723" spans="1:12">
      <c r="A723" s="22">
        <v>40311.115277777775</v>
      </c>
      <c r="E723" s="26">
        <v>15.118487999999999</v>
      </c>
      <c r="G723" s="27">
        <v>0.11527777777777777</v>
      </c>
      <c r="J723" s="30">
        <f>IF(G723&lt;$H$10,$H$16,IF(G723&gt;$I$10,$H$16,$H$11))*E723/600</f>
        <v>5.0394960000000001E-3</v>
      </c>
      <c r="L723" s="32">
        <f>$J723*($G723-$G722)*60*24</f>
        <v>5.0394959999999827E-3</v>
      </c>
    </row>
    <row r="724" spans="1:12">
      <c r="A724" s="22">
        <v>40311.115972222222</v>
      </c>
      <c r="E724" s="26">
        <v>15.131819999999999</v>
      </c>
      <c r="G724" s="27">
        <v>0.11597222222222221</v>
      </c>
      <c r="J724" s="30">
        <f>IF(G724&lt;$H$10,$H$16,IF(G724&gt;$I$10,$H$16,$H$11))*E724/600</f>
        <v>5.0439400000000002E-3</v>
      </c>
      <c r="L724" s="32">
        <f>$J724*($G724-$G723)*60*24</f>
        <v>5.043939999999982E-3</v>
      </c>
    </row>
    <row r="725" spans="1:12">
      <c r="A725" s="22">
        <v>40311.116666666669</v>
      </c>
      <c r="E725" s="26">
        <v>15.151818</v>
      </c>
      <c r="G725" s="27">
        <v>0.11666666666666665</v>
      </c>
      <c r="J725" s="30">
        <f>IF(G725&lt;$H$10,$H$16,IF(G725&gt;$I$10,$H$16,$H$11))*E725/600</f>
        <v>5.050606E-3</v>
      </c>
      <c r="L725" s="32">
        <f>$J725*($G725-$G724)*60*24</f>
        <v>5.0506059999999818E-3</v>
      </c>
    </row>
    <row r="726" spans="1:12">
      <c r="A726" s="22">
        <v>40311.117361111108</v>
      </c>
      <c r="E726" s="26">
        <v>15.218477999999999</v>
      </c>
      <c r="G726" s="27">
        <v>0.1173611111111111</v>
      </c>
      <c r="J726" s="30">
        <f>IF(G726&lt;$H$10,$H$16,IF(G726&gt;$I$10,$H$16,$H$11))*E726/600</f>
        <v>5.0728259999999999E-3</v>
      </c>
      <c r="L726" s="32">
        <f>$J726*($G726-$G725)*60*24</f>
        <v>5.0728259999999817E-3</v>
      </c>
    </row>
    <row r="727" spans="1:12">
      <c r="A727" s="22">
        <v>40311.118055555555</v>
      </c>
      <c r="E727" s="26">
        <v>15.245142</v>
      </c>
      <c r="G727" s="27">
        <v>0.11805555555555557</v>
      </c>
      <c r="J727" s="30">
        <f>IF(G727&lt;$H$10,$H$16,IF(G727&gt;$I$10,$H$16,$H$11))*E727/600</f>
        <v>5.0817140000000002E-3</v>
      </c>
      <c r="L727" s="32">
        <f>$J727*($G727-$G726)*60*24</f>
        <v>5.0817140000001858E-3</v>
      </c>
    </row>
    <row r="728" spans="1:12">
      <c r="A728" s="22">
        <v>40311.118750000001</v>
      </c>
      <c r="E728" s="26">
        <v>15.231809999999999</v>
      </c>
      <c r="G728" s="27">
        <v>0.11875000000000001</v>
      </c>
      <c r="J728" s="30">
        <f>IF(G728&lt;$H$10,$H$16,IF(G728&gt;$I$10,$H$16,$H$11))*E728/600</f>
        <v>5.07727E-3</v>
      </c>
      <c r="L728" s="32">
        <f>$J728*($G728-$G727)*60*24</f>
        <v>5.0772699999999818E-3</v>
      </c>
    </row>
    <row r="729" spans="1:12">
      <c r="A729" s="22">
        <v>40311.119444444441</v>
      </c>
      <c r="E729" s="26">
        <v>15.225144</v>
      </c>
      <c r="G729" s="27">
        <v>0.11944444444444445</v>
      </c>
      <c r="J729" s="30">
        <f>IF(G729&lt;$H$10,$H$16,IF(G729&gt;$I$10,$H$16,$H$11))*E729/600</f>
        <v>5.0750480000000004E-3</v>
      </c>
      <c r="L729" s="32">
        <f>$J729*($G729-$G728)*60*24</f>
        <v>5.0750479999999822E-3</v>
      </c>
    </row>
    <row r="730" spans="1:12">
      <c r="A730" s="22">
        <v>40311.120138888888</v>
      </c>
      <c r="E730" s="26">
        <v>15.116400000000001</v>
      </c>
      <c r="G730" s="27">
        <v>0.12013888888888889</v>
      </c>
      <c r="J730" s="30">
        <f>IF(G730&lt;$H$10,$H$16,IF(G730&gt;$I$10,$H$16,$H$11))*E730/600</f>
        <v>5.0388000000000004E-3</v>
      </c>
      <c r="L730" s="32">
        <f>$J730*($G730-$G729)*60*24</f>
        <v>5.0387999999999822E-3</v>
      </c>
    </row>
    <row r="731" spans="1:12">
      <c r="A731" s="22">
        <v>40311.120833333334</v>
      </c>
      <c r="E731" s="26">
        <v>14.922245</v>
      </c>
      <c r="G731" s="27">
        <v>0.12083333333333333</v>
      </c>
      <c r="J731" s="30">
        <f>IF(G731&lt;$H$10,$H$16,IF(G731&gt;$I$10,$H$16,$H$11))*E731/600</f>
        <v>4.9740816666666672E-3</v>
      </c>
      <c r="L731" s="32">
        <f>$J731*($G731-$G730)*60*24</f>
        <v>4.9740816666666498E-3</v>
      </c>
    </row>
    <row r="732" spans="1:12">
      <c r="A732" s="22">
        <v>40311.121527777781</v>
      </c>
      <c r="E732" s="26">
        <v>15.171816</v>
      </c>
      <c r="G732" s="27">
        <v>0.12152777777777778</v>
      </c>
      <c r="J732" s="30">
        <f>IF(G732&lt;$H$10,$H$16,IF(G732&gt;$I$10,$H$16,$H$11))*E732/600</f>
        <v>5.0572719999999998E-3</v>
      </c>
      <c r="L732" s="32">
        <f>$J732*($G732-$G731)*60*24</f>
        <v>5.0572719999999816E-3</v>
      </c>
    </row>
    <row r="733" spans="1:12">
      <c r="A733" s="22">
        <v>40311.12222222222</v>
      </c>
      <c r="E733" s="26">
        <v>15.191814000000001</v>
      </c>
      <c r="G733" s="27">
        <v>0.12222222222222223</v>
      </c>
      <c r="J733" s="30">
        <f>IF(G733&lt;$H$10,$H$16,IF(G733&gt;$I$10,$H$16,$H$11))*E733/600</f>
        <v>5.0639380000000005E-3</v>
      </c>
      <c r="L733" s="32">
        <f>$J733*($G733-$G732)*60*24</f>
        <v>5.0639380000000837E-3</v>
      </c>
    </row>
    <row r="734" spans="1:12">
      <c r="A734" s="22">
        <v>40311.122916666667</v>
      </c>
      <c r="E734" s="26">
        <v>15.09651</v>
      </c>
      <c r="G734" s="27">
        <v>0.12291666666666667</v>
      </c>
      <c r="J734" s="30">
        <f>IF(G734&lt;$H$10,$H$16,IF(G734&gt;$I$10,$H$16,$H$11))*E734/600</f>
        <v>5.0321699999999999E-3</v>
      </c>
      <c r="L734" s="32">
        <f>$J734*($G734-$G733)*60*24</f>
        <v>5.0321699999999825E-3</v>
      </c>
    </row>
    <row r="735" spans="1:12">
      <c r="A735" s="22">
        <v>40311.123611111114</v>
      </c>
      <c r="E735" s="26">
        <v>15.211812</v>
      </c>
      <c r="G735" s="27">
        <v>0.12361111111111112</v>
      </c>
      <c r="J735" s="30">
        <f>IF(G735&lt;$H$10,$H$16,IF(G735&gt;$I$10,$H$16,$H$11))*E735/600</f>
        <v>5.0706040000000003E-3</v>
      </c>
      <c r="L735" s="32">
        <f>$J735*($G735-$G734)*60*24</f>
        <v>5.070603999999982E-3</v>
      </c>
    </row>
    <row r="736" spans="1:12">
      <c r="A736" s="22">
        <v>40311.124305555553</v>
      </c>
      <c r="E736" s="26">
        <v>15.251808</v>
      </c>
      <c r="G736" s="27">
        <v>0.12430555555555556</v>
      </c>
      <c r="J736" s="30">
        <f>IF(G736&lt;$H$10,$H$16,IF(G736&gt;$I$10,$H$16,$H$11))*E736/600</f>
        <v>5.0839360000000007E-3</v>
      </c>
      <c r="L736" s="32">
        <f>$J736*($G736-$G735)*60*24</f>
        <v>5.0839359999999825E-3</v>
      </c>
    </row>
    <row r="737" spans="1:12">
      <c r="A737" s="22">
        <v>40311.125</v>
      </c>
      <c r="E737" s="26">
        <v>15.265140000000001</v>
      </c>
      <c r="G737" s="27">
        <v>0.125</v>
      </c>
      <c r="J737" s="30">
        <f>IF(G737&lt;$H$10,$H$16,IF(G737&gt;$I$10,$H$16,$H$11))*E737/600</f>
        <v>5.0883800000000009E-3</v>
      </c>
      <c r="L737" s="32">
        <f>$J737*($G737-$G736)*60*24</f>
        <v>5.0883799999999826E-3</v>
      </c>
    </row>
    <row r="738" spans="1:12">
      <c r="A738" s="22">
        <v>40311.125694444447</v>
      </c>
      <c r="E738" s="26">
        <v>15.251808</v>
      </c>
      <c r="G738" s="27">
        <v>0.12569444444444444</v>
      </c>
      <c r="J738" s="30">
        <f>IF(G738&lt;$H$10,$H$16,IF(G738&gt;$I$10,$H$16,$H$11))*E738/600</f>
        <v>5.0839360000000007E-3</v>
      </c>
      <c r="L738" s="32">
        <f>$J738*($G738-$G737)*60*24</f>
        <v>5.0839359999999825E-3</v>
      </c>
    </row>
    <row r="739" spans="1:12">
      <c r="A739" s="22">
        <v>40311.126388888886</v>
      </c>
      <c r="E739" s="26">
        <v>15.211812</v>
      </c>
      <c r="G739" s="27">
        <v>0.12638888888888888</v>
      </c>
      <c r="J739" s="30">
        <f>IF(G739&lt;$H$10,$H$16,IF(G739&gt;$I$10,$H$16,$H$11))*E739/600</f>
        <v>5.0706040000000003E-3</v>
      </c>
      <c r="L739" s="32">
        <f>$J739*($G739-$G738)*60*24</f>
        <v>5.070603999999982E-3</v>
      </c>
    </row>
    <row r="740" spans="1:12">
      <c r="A740" s="22">
        <v>40311.127083333333</v>
      </c>
      <c r="E740" s="26">
        <v>15.178482000000001</v>
      </c>
      <c r="G740" s="27">
        <v>0.12708333333333333</v>
      </c>
      <c r="J740" s="30">
        <f>IF(G740&lt;$H$10,$H$16,IF(G740&gt;$I$10,$H$16,$H$11))*E740/600</f>
        <v>5.0594940000000003E-3</v>
      </c>
      <c r="L740" s="32">
        <f>$J740*($G740-$G739)*60*24</f>
        <v>5.0594939999999821E-3</v>
      </c>
    </row>
    <row r="741" spans="1:12">
      <c r="A741" s="22">
        <v>40311.12777777778</v>
      </c>
      <c r="E741" s="26">
        <v>15.1206</v>
      </c>
      <c r="G741" s="27">
        <v>0.1277777777777778</v>
      </c>
      <c r="J741" s="30">
        <f>IF(G741&lt;$H$10,$H$16,IF(G741&gt;$I$10,$H$16,$H$11))*E741/600</f>
        <v>5.0401999999999999E-3</v>
      </c>
      <c r="L741" s="32">
        <f>$J741*($G741-$G740)*60*24</f>
        <v>5.0402000000001838E-3</v>
      </c>
    </row>
    <row r="742" spans="1:12">
      <c r="A742" s="22">
        <v>40311.128472222219</v>
      </c>
      <c r="E742" s="26">
        <v>15.133800000000001</v>
      </c>
      <c r="G742" s="27">
        <v>0.12847222222222224</v>
      </c>
      <c r="J742" s="30">
        <f>IF(G742&lt;$H$10,$H$16,IF(G742&gt;$I$10,$H$16,$H$11))*E742/600</f>
        <v>5.0446000000000006E-3</v>
      </c>
      <c r="L742" s="32">
        <f>$J742*($G742-$G741)*60*24</f>
        <v>5.0445999999999833E-3</v>
      </c>
    </row>
    <row r="743" spans="1:12">
      <c r="A743" s="22">
        <v>40311.129166666666</v>
      </c>
      <c r="E743" s="26">
        <v>15.271806</v>
      </c>
      <c r="G743" s="27">
        <v>0.12916666666666668</v>
      </c>
      <c r="J743" s="30">
        <f>IF(G743&lt;$H$10,$H$16,IF(G743&gt;$I$10,$H$16,$H$11))*E743/600</f>
        <v>5.0906020000000005E-3</v>
      </c>
      <c r="L743" s="32">
        <f>$J743*($G743-$G742)*60*24</f>
        <v>5.0906019999999823E-3</v>
      </c>
    </row>
    <row r="744" spans="1:12">
      <c r="A744" s="22">
        <v>40311.129861111112</v>
      </c>
      <c r="E744" s="26">
        <v>15.291804000000001</v>
      </c>
      <c r="G744" s="27">
        <v>0.12986111111111112</v>
      </c>
      <c r="J744" s="30">
        <f>IF(G744&lt;$H$10,$H$16,IF(G744&gt;$I$10,$H$16,$H$11))*E744/600</f>
        <v>5.0972680000000012E-3</v>
      </c>
      <c r="L744" s="32">
        <f>$J744*($G744-$G743)*60*24</f>
        <v>5.0972679999999829E-3</v>
      </c>
    </row>
    <row r="745" spans="1:12">
      <c r="A745" s="22">
        <v>40311.130555555559</v>
      </c>
      <c r="E745" s="26">
        <v>15.285138</v>
      </c>
      <c r="G745" s="27">
        <v>0.13055555555555556</v>
      </c>
      <c r="J745" s="30">
        <f>IF(G745&lt;$H$10,$H$16,IF(G745&gt;$I$10,$H$16,$H$11))*E745/600</f>
        <v>5.0950459999999998E-3</v>
      </c>
      <c r="L745" s="32">
        <f>$J745*($G745-$G744)*60*24</f>
        <v>5.0950459999999816E-3</v>
      </c>
    </row>
    <row r="746" spans="1:12">
      <c r="A746" s="22">
        <v>40311.131249999999</v>
      </c>
      <c r="E746" s="26">
        <v>15.1602</v>
      </c>
      <c r="G746" s="27">
        <v>0.13125000000000001</v>
      </c>
      <c r="J746" s="30">
        <f>IF(G746&lt;$H$10,$H$16,IF(G746&gt;$I$10,$H$16,$H$11))*E746/600</f>
        <v>5.0534000000000004E-3</v>
      </c>
      <c r="L746" s="32">
        <f>$J746*($G746-$G745)*60*24</f>
        <v>5.0533999999999822E-3</v>
      </c>
    </row>
    <row r="747" spans="1:12">
      <c r="A747" s="22">
        <v>40311.131944444445</v>
      </c>
      <c r="E747" s="26">
        <v>15.305135999999999</v>
      </c>
      <c r="G747" s="27">
        <v>0.13194444444444445</v>
      </c>
      <c r="J747" s="30">
        <f>IF(G747&lt;$H$10,$H$16,IF(G747&gt;$I$10,$H$16,$H$11))*E747/600</f>
        <v>5.1017119999999996E-3</v>
      </c>
      <c r="L747" s="32">
        <f>$J747*($G747-$G746)*60*24</f>
        <v>5.1017119999999814E-3</v>
      </c>
    </row>
    <row r="748" spans="1:12">
      <c r="A748" s="22">
        <v>40311.132638888892</v>
      </c>
      <c r="E748" s="26">
        <v>15.147</v>
      </c>
      <c r="G748" s="27">
        <v>0.13263888888888889</v>
      </c>
      <c r="J748" s="30">
        <f>IF(G748&lt;$H$10,$H$16,IF(G748&gt;$I$10,$H$16,$H$11))*E748/600</f>
        <v>5.0490000000000005E-3</v>
      </c>
      <c r="L748" s="32">
        <f>$J748*($G748-$G747)*60*24</f>
        <v>5.0489999999999823E-3</v>
      </c>
    </row>
    <row r="749" spans="1:12">
      <c r="A749" s="22">
        <v>40311.133333333331</v>
      </c>
      <c r="E749" s="26">
        <v>15.1602</v>
      </c>
      <c r="G749" s="27">
        <v>0.13333333333333333</v>
      </c>
      <c r="J749" s="30">
        <f>IF(G749&lt;$H$10,$H$16,IF(G749&gt;$I$10,$H$16,$H$11))*E749/600</f>
        <v>5.0534000000000004E-3</v>
      </c>
      <c r="L749" s="32">
        <f>$J749*($G749-$G748)*60*24</f>
        <v>5.0533999999999822E-3</v>
      </c>
    </row>
    <row r="750" spans="1:12">
      <c r="A750" s="22">
        <v>40311.134027777778</v>
      </c>
      <c r="E750" s="26">
        <v>15.133800000000001</v>
      </c>
      <c r="G750" s="27">
        <v>0.13402777777777777</v>
      </c>
      <c r="J750" s="30">
        <f>IF(G750&lt;$H$10,$H$16,IF(G750&gt;$I$10,$H$16,$H$11))*E750/600</f>
        <v>5.0446000000000006E-3</v>
      </c>
      <c r="L750" s="32">
        <f>$J750*($G750-$G749)*60*24</f>
        <v>5.0445999999999833E-3</v>
      </c>
    </row>
    <row r="751" spans="1:12">
      <c r="A751" s="22">
        <v>40311.134722222225</v>
      </c>
      <c r="E751" s="26">
        <v>15.271806</v>
      </c>
      <c r="G751" s="27">
        <v>0.13472222222222222</v>
      </c>
      <c r="J751" s="30">
        <f>IF(G751&lt;$H$10,$H$16,IF(G751&gt;$I$10,$H$16,$H$11))*E751/600</f>
        <v>5.0906020000000005E-3</v>
      </c>
      <c r="L751" s="32">
        <f>$J751*($G751-$G750)*60*24</f>
        <v>5.0906019999999823E-3</v>
      </c>
    </row>
    <row r="752" spans="1:12">
      <c r="A752" s="22">
        <v>40311.135416666664</v>
      </c>
      <c r="E752" s="26">
        <v>15.258474</v>
      </c>
      <c r="G752" s="27">
        <v>0.13541666666666666</v>
      </c>
      <c r="J752" s="30">
        <f>IF(G752&lt;$H$10,$H$16,IF(G752&gt;$I$10,$H$16,$H$11))*E752/600</f>
        <v>5.0861579999999995E-3</v>
      </c>
      <c r="L752" s="32">
        <f>$J752*($G752-$G751)*60*24</f>
        <v>5.0861579999999813E-3</v>
      </c>
    </row>
    <row r="753" spans="1:12">
      <c r="A753" s="22">
        <v>40311.136111111111</v>
      </c>
      <c r="E753" s="26">
        <v>15.251808</v>
      </c>
      <c r="G753" s="27">
        <v>0.1361111111111111</v>
      </c>
      <c r="J753" s="30">
        <f>IF(G753&lt;$H$10,$H$16,IF(G753&gt;$I$10,$H$16,$H$11))*E753/600</f>
        <v>5.0839360000000007E-3</v>
      </c>
      <c r="L753" s="32">
        <f>$J753*($G753-$G752)*60*24</f>
        <v>5.0839359999999825E-3</v>
      </c>
    </row>
    <row r="754" spans="1:12">
      <c r="A754" s="22">
        <v>40311.136805555558</v>
      </c>
      <c r="E754" s="26">
        <v>15.231809999999999</v>
      </c>
      <c r="G754" s="27">
        <v>0.13680555555555554</v>
      </c>
      <c r="J754" s="30">
        <f>IF(G754&lt;$H$10,$H$16,IF(G754&gt;$I$10,$H$16,$H$11))*E754/600</f>
        <v>5.07727E-3</v>
      </c>
      <c r="L754" s="32">
        <f>$J754*($G754-$G753)*60*24</f>
        <v>5.0772699999999818E-3</v>
      </c>
    </row>
    <row r="755" spans="1:12">
      <c r="A755" s="22">
        <v>40311.137499999997</v>
      </c>
      <c r="E755" s="26">
        <v>15.191814000000001</v>
      </c>
      <c r="G755" s="27">
        <v>0.13749999999999998</v>
      </c>
      <c r="J755" s="30">
        <f>IF(G755&lt;$H$10,$H$16,IF(G755&gt;$I$10,$H$16,$H$11))*E755/600</f>
        <v>5.0639380000000005E-3</v>
      </c>
      <c r="L755" s="32">
        <f>$J755*($G755-$G754)*60*24</f>
        <v>5.0639379999999831E-3</v>
      </c>
    </row>
    <row r="756" spans="1:12">
      <c r="A756" s="22">
        <v>40311.138194444444</v>
      </c>
      <c r="E756" s="26">
        <v>15.165150000000001</v>
      </c>
      <c r="G756" s="27">
        <v>0.13819444444444443</v>
      </c>
      <c r="J756" s="30">
        <f>IF(G756&lt;$H$10,$H$16,IF(G756&gt;$I$10,$H$16,$H$11))*E756/600</f>
        <v>5.0550500000000002E-3</v>
      </c>
      <c r="L756" s="32">
        <f>$J756*($G756-$G755)*60*24</f>
        <v>5.0550499999999828E-3</v>
      </c>
    </row>
    <row r="757" spans="1:12">
      <c r="A757" s="22">
        <v>40311.138888888891</v>
      </c>
      <c r="E757" s="26">
        <v>15.03684</v>
      </c>
      <c r="G757" s="27">
        <v>0.1388888888888889</v>
      </c>
      <c r="J757" s="30">
        <f>IF(G757&lt;$H$10,$H$16,IF(G757&gt;$I$10,$H$16,$H$11))*E757/600</f>
        <v>5.01228E-3</v>
      </c>
      <c r="L757" s="32">
        <f>$J757*($G757-$G756)*60*24</f>
        <v>5.0122800000001822E-3</v>
      </c>
    </row>
    <row r="758" spans="1:12">
      <c r="A758" s="22">
        <v>40311.13958333333</v>
      </c>
      <c r="E758" s="26">
        <v>15.0501</v>
      </c>
      <c r="G758" s="27">
        <v>0.13958333333333334</v>
      </c>
      <c r="J758" s="30">
        <f>IF(G758&lt;$H$10,$H$16,IF(G758&gt;$I$10,$H$16,$H$11))*E758/600</f>
        <v>5.0167000000000007E-3</v>
      </c>
      <c r="L758" s="32">
        <f>$J758*($G758-$G757)*60*24</f>
        <v>5.0166999999999825E-3</v>
      </c>
    </row>
    <row r="759" spans="1:12">
      <c r="A759" s="22">
        <v>40311.140277777777</v>
      </c>
      <c r="E759" s="26">
        <v>15.131819999999999</v>
      </c>
      <c r="G759" s="27">
        <v>0.14027777777777778</v>
      </c>
      <c r="J759" s="30">
        <f>IF(G759&lt;$H$10,$H$16,IF(G759&gt;$I$10,$H$16,$H$11))*E759/600</f>
        <v>5.0439400000000002E-3</v>
      </c>
      <c r="L759" s="32">
        <f>$J759*($G759-$G758)*60*24</f>
        <v>5.043939999999982E-3</v>
      </c>
    </row>
    <row r="760" spans="1:12">
      <c r="A760" s="22">
        <v>40311.140972222223</v>
      </c>
      <c r="E760" s="26">
        <v>15.131819999999999</v>
      </c>
      <c r="G760" s="27">
        <v>0.14097222222222222</v>
      </c>
      <c r="J760" s="30">
        <f>IF(G760&lt;$H$10,$H$16,IF(G760&gt;$I$10,$H$16,$H$11))*E760/600</f>
        <v>5.0439400000000002E-3</v>
      </c>
      <c r="L760" s="32">
        <f>$J760*($G760-$G759)*60*24</f>
        <v>5.043939999999982E-3</v>
      </c>
    </row>
    <row r="761" spans="1:12">
      <c r="A761" s="22">
        <v>40311.14166666667</v>
      </c>
      <c r="E761" s="26">
        <v>14.997059999999999</v>
      </c>
      <c r="G761" s="27">
        <v>0.14166666666666666</v>
      </c>
      <c r="J761" s="30">
        <f>IF(G761&lt;$H$10,$H$16,IF(G761&gt;$I$10,$H$16,$H$11))*E761/600</f>
        <v>4.9990199999999999E-3</v>
      </c>
      <c r="L761" s="32">
        <f>$J761*($G761-$G760)*60*24</f>
        <v>4.9990199999999825E-3</v>
      </c>
    </row>
    <row r="762" spans="1:12">
      <c r="A762" s="22">
        <v>40311.142361111109</v>
      </c>
      <c r="E762" s="26">
        <v>15.221052</v>
      </c>
      <c r="G762" s="27">
        <v>0.1423611111111111</v>
      </c>
      <c r="J762" s="30">
        <f>IF(G762&lt;$H$10,$H$16,IF(G762&gt;$I$10,$H$16,$H$11))*E762/600</f>
        <v>5.0736840000000002E-3</v>
      </c>
      <c r="L762" s="32">
        <f>$J762*($G762-$G761)*60*24</f>
        <v>5.073683999999982E-3</v>
      </c>
    </row>
    <row r="763" spans="1:12">
      <c r="A763" s="22">
        <v>40311.143055555556</v>
      </c>
      <c r="E763" s="26">
        <v>15.105155999999999</v>
      </c>
      <c r="G763" s="27">
        <v>0.14305555555555557</v>
      </c>
      <c r="J763" s="30">
        <f>IF(G763&lt;$H$10,$H$16,IF(G763&gt;$I$10,$H$16,$H$11))*E763/600</f>
        <v>5.0350519999999999E-3</v>
      </c>
      <c r="L763" s="32">
        <f>$J763*($G763-$G762)*60*24</f>
        <v>5.0350520000001838E-3</v>
      </c>
    </row>
    <row r="764" spans="1:12">
      <c r="A764" s="22">
        <v>40311.143750000003</v>
      </c>
      <c r="E764" s="26">
        <v>15.125154</v>
      </c>
      <c r="G764" s="27">
        <v>0.14375000000000002</v>
      </c>
      <c r="J764" s="30">
        <f>IF(G764&lt;$H$10,$H$16,IF(G764&gt;$I$10,$H$16,$H$11))*E764/600</f>
        <v>5.0417180000000006E-3</v>
      </c>
      <c r="L764" s="32">
        <f>$J764*($G764-$G763)*60*24</f>
        <v>5.0417179999999824E-3</v>
      </c>
    </row>
    <row r="765" spans="1:12">
      <c r="A765" s="22">
        <v>40311.144444444442</v>
      </c>
      <c r="E765" s="26">
        <v>15.165150000000001</v>
      </c>
      <c r="G765" s="27">
        <v>0.14444444444444446</v>
      </c>
      <c r="J765" s="30">
        <f>IF(G765&lt;$H$10,$H$16,IF(G765&gt;$I$10,$H$16,$H$11))*E765/600</f>
        <v>5.0550500000000002E-3</v>
      </c>
      <c r="L765" s="32">
        <f>$J765*($G765-$G764)*60*24</f>
        <v>5.0550499999999828E-3</v>
      </c>
    </row>
    <row r="766" spans="1:12">
      <c r="A766" s="22">
        <v>40311.145138888889</v>
      </c>
      <c r="E766" s="26">
        <v>15.165150000000001</v>
      </c>
      <c r="G766" s="27">
        <v>0.1451388888888889</v>
      </c>
      <c r="J766" s="30">
        <f>IF(G766&lt;$H$10,$H$16,IF(G766&gt;$I$10,$H$16,$H$11))*E766/600</f>
        <v>5.0550500000000002E-3</v>
      </c>
      <c r="L766" s="32">
        <f>$J766*($G766-$G765)*60*24</f>
        <v>5.0550499999999828E-3</v>
      </c>
    </row>
    <row r="767" spans="1:12">
      <c r="A767" s="22">
        <v>40311.145833333336</v>
      </c>
      <c r="E767" s="26">
        <v>15.131819999999999</v>
      </c>
      <c r="G767" s="27">
        <v>0.14583333333333334</v>
      </c>
      <c r="J767" s="30">
        <f>IF(G767&lt;$H$10,$H$16,IF(G767&gt;$I$10,$H$16,$H$11))*E767/600</f>
        <v>5.0439400000000002E-3</v>
      </c>
      <c r="L767" s="32">
        <f>$J767*($G767-$G766)*60*24</f>
        <v>5.043939999999982E-3</v>
      </c>
    </row>
    <row r="768" spans="1:12">
      <c r="A768" s="22">
        <v>40311.146527777775</v>
      </c>
      <c r="E768" s="26">
        <v>15.165150000000001</v>
      </c>
      <c r="G768" s="27">
        <v>0.14652777777777778</v>
      </c>
      <c r="J768" s="30">
        <f>IF(G768&lt;$H$10,$H$16,IF(G768&gt;$I$10,$H$16,$H$11))*E768/600</f>
        <v>5.0550500000000002E-3</v>
      </c>
      <c r="L768" s="32">
        <f>$J768*($G768-$G767)*60*24</f>
        <v>5.0550499999999828E-3</v>
      </c>
    </row>
    <row r="769" spans="1:12">
      <c r="A769" s="22">
        <v>40311.147222222222</v>
      </c>
      <c r="E769" s="26">
        <v>15.158484</v>
      </c>
      <c r="G769" s="27">
        <v>0.14722222222222223</v>
      </c>
      <c r="J769" s="30">
        <f>IF(G769&lt;$H$10,$H$16,IF(G769&gt;$I$10,$H$16,$H$11))*E769/600</f>
        <v>5.0528280000000005E-3</v>
      </c>
      <c r="L769" s="32">
        <f>$J769*($G769-$G768)*60*24</f>
        <v>5.0528279999999823E-3</v>
      </c>
    </row>
    <row r="770" spans="1:12">
      <c r="A770" s="22">
        <v>40311.147916666669</v>
      </c>
      <c r="E770" s="26">
        <v>15.151818</v>
      </c>
      <c r="G770" s="27">
        <v>0.14791666666666667</v>
      </c>
      <c r="J770" s="30">
        <f>IF(G770&lt;$H$10,$H$16,IF(G770&gt;$I$10,$H$16,$H$11))*E770/600</f>
        <v>5.050606E-3</v>
      </c>
      <c r="L770" s="32">
        <f>$J770*($G770-$G769)*60*24</f>
        <v>5.0506059999999818E-3</v>
      </c>
    </row>
    <row r="771" spans="1:12">
      <c r="A771" s="22">
        <v>40311.148611111108</v>
      </c>
      <c r="E771" s="26">
        <v>15.178482000000001</v>
      </c>
      <c r="G771" s="27">
        <v>0.14861111111111111</v>
      </c>
      <c r="J771" s="30">
        <f>IF(G771&lt;$H$10,$H$16,IF(G771&gt;$I$10,$H$16,$H$11))*E771/600</f>
        <v>5.0594940000000003E-3</v>
      </c>
      <c r="L771" s="32">
        <f>$J771*($G771-$G770)*60*24</f>
        <v>5.0594939999999821E-3</v>
      </c>
    </row>
    <row r="772" spans="1:12">
      <c r="A772" s="22">
        <v>40311.149305555555</v>
      </c>
      <c r="E772" s="26">
        <v>15.185148</v>
      </c>
      <c r="G772" s="27">
        <v>0.14930555555555555</v>
      </c>
      <c r="J772" s="30">
        <f>IF(G772&lt;$H$10,$H$16,IF(G772&gt;$I$10,$H$16,$H$11))*E772/600</f>
        <v>5.0617160000000008E-3</v>
      </c>
      <c r="L772" s="32">
        <f>$J772*($G772-$G771)*60*24</f>
        <v>5.0617159999999835E-3</v>
      </c>
    </row>
    <row r="773" spans="1:12">
      <c r="A773" s="22">
        <v>40311.15</v>
      </c>
      <c r="E773" s="26">
        <v>15.081</v>
      </c>
      <c r="G773" s="27">
        <v>0.15</v>
      </c>
      <c r="J773" s="30">
        <f>IF(G773&lt;$H$10,$H$16,IF(G773&gt;$I$10,$H$16,$H$11))*E773/600</f>
        <v>5.0270000000000002E-3</v>
      </c>
      <c r="L773" s="32">
        <f>$J773*($G773-$G772)*60*24</f>
        <v>5.0269999999999829E-3</v>
      </c>
    </row>
    <row r="774" spans="1:12">
      <c r="A774" s="22">
        <v>40311.150694444441</v>
      </c>
      <c r="E774" s="26">
        <v>15.3832</v>
      </c>
      <c r="G774" s="27">
        <v>0.15069444444444444</v>
      </c>
      <c r="J774" s="30">
        <f>IF(G774&lt;$H$10,$H$16,IF(G774&gt;$I$10,$H$16,$H$11))*E774/600</f>
        <v>5.1277333333333338E-3</v>
      </c>
      <c r="L774" s="32">
        <f>$J774*($G774-$G773)*60*24</f>
        <v>5.1277333333333164E-3</v>
      </c>
    </row>
    <row r="775" spans="1:12">
      <c r="A775" s="22">
        <v>40311.151388888888</v>
      </c>
      <c r="E775" s="26">
        <v>15.3832</v>
      </c>
      <c r="G775" s="27">
        <v>0.15138888888888888</v>
      </c>
      <c r="J775" s="30">
        <f>IF(G775&lt;$H$10,$H$16,IF(G775&gt;$I$10,$H$16,$H$11))*E775/600</f>
        <v>5.1277333333333338E-3</v>
      </c>
      <c r="L775" s="32">
        <f>$J775*($G775-$G774)*60*24</f>
        <v>5.1277333333333164E-3</v>
      </c>
    </row>
    <row r="776" spans="1:12">
      <c r="A776" s="22">
        <v>40311.152083333334</v>
      </c>
      <c r="E776" s="26">
        <v>15.1206</v>
      </c>
      <c r="G776" s="27">
        <v>0.15208333333333332</v>
      </c>
      <c r="J776" s="30">
        <f>IF(G776&lt;$H$10,$H$16,IF(G776&gt;$I$10,$H$16,$H$11))*E776/600</f>
        <v>5.0401999999999999E-3</v>
      </c>
      <c r="L776" s="32">
        <f>$J776*($G776-$G775)*60*24</f>
        <v>5.0401999999999825E-3</v>
      </c>
    </row>
    <row r="777" spans="1:12">
      <c r="A777" s="22">
        <v>40311.152777777781</v>
      </c>
      <c r="E777" s="26">
        <v>15.329599999999999</v>
      </c>
      <c r="G777" s="27">
        <v>0.15277777777777776</v>
      </c>
      <c r="J777" s="30">
        <f>IF(G777&lt;$H$10,$H$16,IF(G777&gt;$I$10,$H$16,$H$11))*E777/600</f>
        <v>5.1098666666666674E-3</v>
      </c>
      <c r="L777" s="32">
        <f>$J777*($G777-$G776)*60*24</f>
        <v>5.1098666666666492E-3</v>
      </c>
    </row>
    <row r="778" spans="1:12">
      <c r="A778" s="22">
        <v>40311.15347222222</v>
      </c>
      <c r="E778" s="26">
        <v>15.329599999999999</v>
      </c>
      <c r="G778" s="27">
        <v>0.15347222222222223</v>
      </c>
      <c r="J778" s="30">
        <f>IF(G778&lt;$H$10,$H$16,IF(G778&gt;$I$10,$H$16,$H$11))*E778/600</f>
        <v>5.1098666666666674E-3</v>
      </c>
      <c r="L778" s="32">
        <f>$J778*($G778-$G777)*60*24</f>
        <v>5.109866666666853E-3</v>
      </c>
    </row>
    <row r="779" spans="1:12">
      <c r="A779" s="22">
        <v>40311.154166666667</v>
      </c>
      <c r="E779" s="26">
        <v>15.251808</v>
      </c>
      <c r="G779" s="27">
        <v>0.15416666666666667</v>
      </c>
      <c r="J779" s="30">
        <f>IF(G779&lt;$H$10,$H$16,IF(G779&gt;$I$10,$H$16,$H$11))*E779/600</f>
        <v>5.0839360000000007E-3</v>
      </c>
      <c r="L779" s="32">
        <f>$J779*($G779-$G778)*60*24</f>
        <v>5.0839359999999825E-3</v>
      </c>
    </row>
    <row r="780" spans="1:12">
      <c r="A780" s="22">
        <v>40311.154861111114</v>
      </c>
      <c r="E780" s="26">
        <v>15.245142</v>
      </c>
      <c r="G780" s="27">
        <v>0.15486111111111112</v>
      </c>
      <c r="J780" s="30">
        <f>IF(G780&lt;$H$10,$H$16,IF(G780&gt;$I$10,$H$16,$H$11))*E780/600</f>
        <v>5.0817140000000002E-3</v>
      </c>
      <c r="L780" s="32">
        <f>$J780*($G780-$G779)*60*24</f>
        <v>5.0817139999999828E-3</v>
      </c>
    </row>
    <row r="781" spans="1:12">
      <c r="A781" s="22">
        <v>40311.155555555553</v>
      </c>
      <c r="E781" s="26">
        <v>15.061199999999999</v>
      </c>
      <c r="G781" s="27">
        <v>0.15555555555555556</v>
      </c>
      <c r="J781" s="30">
        <f>IF(G781&lt;$H$10,$H$16,IF(G781&gt;$I$10,$H$16,$H$11))*E781/600</f>
        <v>5.0204000000000004E-3</v>
      </c>
      <c r="L781" s="32">
        <f>$J781*($G781-$G780)*60*24</f>
        <v>5.0203999999999822E-3</v>
      </c>
    </row>
    <row r="782" spans="1:12">
      <c r="A782" s="22">
        <v>40311.15625</v>
      </c>
      <c r="E782" s="26">
        <v>15.021599999999999</v>
      </c>
      <c r="G782" s="27">
        <v>0.15625</v>
      </c>
      <c r="J782" s="30">
        <f>IF(G782&lt;$H$10,$H$16,IF(G782&gt;$I$10,$H$16,$H$11))*E782/600</f>
        <v>5.0071999999999998E-3</v>
      </c>
      <c r="L782" s="32">
        <f>$J782*($G782-$G781)*60*24</f>
        <v>5.0071999999999816E-3</v>
      </c>
    </row>
    <row r="783" spans="1:12">
      <c r="A783" s="22">
        <v>40311.156944444447</v>
      </c>
      <c r="E783" s="26">
        <v>15.178482000000001</v>
      </c>
      <c r="G783" s="27">
        <v>0.15694444444444444</v>
      </c>
      <c r="J783" s="30">
        <f>IF(G783&lt;$H$10,$H$16,IF(G783&gt;$I$10,$H$16,$H$11))*E783/600</f>
        <v>5.0594940000000003E-3</v>
      </c>
      <c r="L783" s="32">
        <f>$J783*($G783-$G782)*60*24</f>
        <v>5.0594939999999821E-3</v>
      </c>
    </row>
    <row r="784" spans="1:12">
      <c r="A784" s="22">
        <v>40311.157638888886</v>
      </c>
      <c r="E784" s="26">
        <v>15.225144</v>
      </c>
      <c r="G784" s="27">
        <v>0.15763888888888888</v>
      </c>
      <c r="J784" s="30">
        <f>IF(G784&lt;$H$10,$H$16,IF(G784&gt;$I$10,$H$16,$H$11))*E784/600</f>
        <v>5.0750480000000004E-3</v>
      </c>
      <c r="L784" s="32">
        <f>$J784*($G784-$G783)*60*24</f>
        <v>5.0750479999999822E-3</v>
      </c>
    </row>
    <row r="785" spans="1:12">
      <c r="A785" s="22">
        <v>40311.158333333333</v>
      </c>
      <c r="E785" s="26">
        <v>15.19848</v>
      </c>
      <c r="G785" s="27">
        <v>0.15833333333333333</v>
      </c>
      <c r="J785" s="30">
        <f>IF(G785&lt;$H$10,$H$16,IF(G785&gt;$I$10,$H$16,$H$11))*E785/600</f>
        <v>5.0661600000000001E-3</v>
      </c>
      <c r="L785" s="32">
        <f>$J785*($G785-$G784)*60*24</f>
        <v>5.0661599999999819E-3</v>
      </c>
    </row>
    <row r="786" spans="1:12">
      <c r="A786" s="22">
        <v>40311.15902777778</v>
      </c>
      <c r="E786" s="26">
        <v>15.211812</v>
      </c>
      <c r="G786" s="27">
        <v>0.15902777777777777</v>
      </c>
      <c r="J786" s="30">
        <f>IF(G786&lt;$H$10,$H$16,IF(G786&gt;$I$10,$H$16,$H$11))*E786/600</f>
        <v>5.0706040000000003E-3</v>
      </c>
      <c r="L786" s="32">
        <f>$J786*($G786-$G785)*60*24</f>
        <v>5.070603999999982E-3</v>
      </c>
    </row>
    <row r="787" spans="1:12">
      <c r="A787" s="22">
        <v>40311.159722222219</v>
      </c>
      <c r="E787" s="26">
        <v>15.19848</v>
      </c>
      <c r="G787" s="27">
        <v>0.15972222222222224</v>
      </c>
      <c r="J787" s="30">
        <f>IF(G787&lt;$H$10,$H$16,IF(G787&gt;$I$10,$H$16,$H$11))*E787/600</f>
        <v>5.0661600000000001E-3</v>
      </c>
      <c r="L787" s="32">
        <f>$J787*($G787-$G786)*60*24</f>
        <v>5.066160000000184E-3</v>
      </c>
    </row>
    <row r="788" spans="1:12">
      <c r="A788" s="22">
        <v>40311.160416666666</v>
      </c>
      <c r="E788" s="26">
        <v>15.178482000000001</v>
      </c>
      <c r="G788" s="27">
        <v>0.16041666666666668</v>
      </c>
      <c r="J788" s="30">
        <f>IF(G788&lt;$H$10,$H$16,IF(G788&gt;$I$10,$H$16,$H$11))*E788/600</f>
        <v>5.0594940000000003E-3</v>
      </c>
      <c r="L788" s="32">
        <f>$J788*($G788-$G787)*60*24</f>
        <v>5.0594939999999821E-3</v>
      </c>
    </row>
    <row r="789" spans="1:12">
      <c r="A789" s="22">
        <v>40311.161111111112</v>
      </c>
      <c r="E789" s="26">
        <v>15.225144</v>
      </c>
      <c r="G789" s="27">
        <v>0.16111111111111112</v>
      </c>
      <c r="J789" s="30">
        <f>IF(G789&lt;$H$10,$H$16,IF(G789&gt;$I$10,$H$16,$H$11))*E789/600</f>
        <v>5.0750480000000004E-3</v>
      </c>
      <c r="L789" s="32">
        <f>$J789*($G789-$G788)*60*24</f>
        <v>5.0750479999999822E-3</v>
      </c>
    </row>
    <row r="790" spans="1:12">
      <c r="A790" s="22">
        <v>40311.161805555559</v>
      </c>
      <c r="E790" s="26">
        <v>15.258474</v>
      </c>
      <c r="G790" s="27">
        <v>0.16180555555555556</v>
      </c>
      <c r="J790" s="30">
        <f>IF(G790&lt;$H$10,$H$16,IF(G790&gt;$I$10,$H$16,$H$11))*E790/600</f>
        <v>5.0861579999999995E-3</v>
      </c>
      <c r="L790" s="32">
        <f>$J790*($G790-$G789)*60*24</f>
        <v>5.0861579999999813E-3</v>
      </c>
    </row>
    <row r="791" spans="1:12">
      <c r="A791" s="22">
        <v>40311.162499999999</v>
      </c>
      <c r="E791" s="26">
        <v>15.225144</v>
      </c>
      <c r="G791" s="27">
        <v>0.16250000000000001</v>
      </c>
      <c r="J791" s="30">
        <f>IF(G791&lt;$H$10,$H$16,IF(G791&gt;$I$10,$H$16,$H$11))*E791/600</f>
        <v>5.0750480000000004E-3</v>
      </c>
      <c r="L791" s="32">
        <f>$J791*($G791-$G790)*60*24</f>
        <v>5.0750479999999822E-3</v>
      </c>
    </row>
    <row r="792" spans="1:12">
      <c r="A792" s="22">
        <v>40311.163194444445</v>
      </c>
      <c r="E792" s="26">
        <v>15.205145999999999</v>
      </c>
      <c r="G792" s="27">
        <v>0.16319444444444445</v>
      </c>
      <c r="J792" s="30">
        <f>IF(G792&lt;$H$10,$H$16,IF(G792&gt;$I$10,$H$16,$H$11))*E792/600</f>
        <v>5.0683819999999997E-3</v>
      </c>
      <c r="L792" s="32">
        <f>$J792*($G792-$G791)*60*24</f>
        <v>5.0683819999999815E-3</v>
      </c>
    </row>
    <row r="793" spans="1:12">
      <c r="A793" s="22">
        <v>40311.163888888892</v>
      </c>
      <c r="E793" s="26">
        <v>15.205145999999999</v>
      </c>
      <c r="G793" s="27">
        <v>0.16388888888888889</v>
      </c>
      <c r="J793" s="30">
        <f>IF(G793&lt;$H$10,$H$16,IF(G793&gt;$I$10,$H$16,$H$11))*E793/600</f>
        <v>5.0683819999999997E-3</v>
      </c>
      <c r="L793" s="32">
        <f>$J793*($G793-$G792)*60*24</f>
        <v>5.0683819999999815E-3</v>
      </c>
    </row>
    <row r="794" spans="1:12">
      <c r="A794" s="22">
        <v>40311.164583333331</v>
      </c>
      <c r="E794" s="26">
        <v>15.19848</v>
      </c>
      <c r="G794" s="27">
        <v>0.16458333333333333</v>
      </c>
      <c r="J794" s="30">
        <f>IF(G794&lt;$H$10,$H$16,IF(G794&gt;$I$10,$H$16,$H$11))*E794/600</f>
        <v>5.0661600000000001E-3</v>
      </c>
      <c r="L794" s="32">
        <f>$J794*($G794-$G793)*60*24</f>
        <v>5.0661599999999819E-3</v>
      </c>
    </row>
    <row r="795" spans="1:12">
      <c r="A795" s="22">
        <v>40311.165277777778</v>
      </c>
      <c r="E795" s="26">
        <v>15.218477999999999</v>
      </c>
      <c r="G795" s="27">
        <v>0.16527777777777777</v>
      </c>
      <c r="J795" s="30">
        <f>IF(G795&lt;$H$10,$H$16,IF(G795&gt;$I$10,$H$16,$H$11))*E795/600</f>
        <v>5.0728259999999999E-3</v>
      </c>
      <c r="L795" s="32">
        <f>$J795*($G795-$G794)*60*24</f>
        <v>5.0728259999999817E-3</v>
      </c>
    </row>
    <row r="796" spans="1:12">
      <c r="A796" s="22">
        <v>40311.165972222225</v>
      </c>
      <c r="E796" s="26">
        <v>15.245142</v>
      </c>
      <c r="G796" s="27">
        <v>0.16597222222222222</v>
      </c>
      <c r="J796" s="30">
        <f>IF(G796&lt;$H$10,$H$16,IF(G796&gt;$I$10,$H$16,$H$11))*E796/600</f>
        <v>5.0817140000000002E-3</v>
      </c>
      <c r="L796" s="32">
        <f>$J796*($G796-$G795)*60*24</f>
        <v>5.0817139999999828E-3</v>
      </c>
    </row>
    <row r="797" spans="1:12">
      <c r="A797" s="22">
        <v>40311.166666666664</v>
      </c>
      <c r="E797" s="26">
        <v>15.218477999999999</v>
      </c>
      <c r="G797" s="27">
        <v>0.16666666666666666</v>
      </c>
      <c r="J797" s="30">
        <f>IF(G797&lt;$H$10,$H$16,IF(G797&gt;$I$10,$H$16,$H$11))*E797/600</f>
        <v>5.0728259999999999E-3</v>
      </c>
      <c r="L797" s="32">
        <f>$J797*($G797-$G796)*60*24</f>
        <v>5.0728259999999817E-3</v>
      </c>
    </row>
    <row r="798" spans="1:12">
      <c r="A798" s="22">
        <v>40311.167361111111</v>
      </c>
      <c r="E798" s="26">
        <v>15.191814000000001</v>
      </c>
      <c r="G798" s="27">
        <v>0.1673611111111111</v>
      </c>
      <c r="J798" s="30">
        <f>IF(G798&lt;$H$10,$H$16,IF(G798&gt;$I$10,$H$16,$H$11))*E798/600</f>
        <v>5.0639380000000005E-3</v>
      </c>
      <c r="L798" s="32">
        <f>$J798*($G798-$G797)*60*24</f>
        <v>5.0639379999999831E-3</v>
      </c>
    </row>
    <row r="799" spans="1:12">
      <c r="A799" s="22">
        <v>40311.168055555558</v>
      </c>
      <c r="E799" s="26">
        <v>15.158484</v>
      </c>
      <c r="G799" s="27">
        <v>0.16805555555555554</v>
      </c>
      <c r="J799" s="30">
        <f>IF(G799&lt;$H$10,$H$16,IF(G799&gt;$I$10,$H$16,$H$11))*E799/600</f>
        <v>5.0528280000000005E-3</v>
      </c>
      <c r="L799" s="32">
        <f>$J799*($G799-$G798)*60*24</f>
        <v>5.0528279999999823E-3</v>
      </c>
    </row>
    <row r="800" spans="1:12">
      <c r="A800" s="22">
        <v>40311.168749999997</v>
      </c>
      <c r="E800" s="26">
        <v>15.05673</v>
      </c>
      <c r="G800" s="27">
        <v>0.16874999999999998</v>
      </c>
      <c r="J800" s="30">
        <f>IF(G800&lt;$H$10,$H$16,IF(G800&gt;$I$10,$H$16,$H$11))*E800/600</f>
        <v>5.0189100000000006E-3</v>
      </c>
      <c r="L800" s="32">
        <f>$J800*($G800-$G799)*60*24</f>
        <v>5.0189099999999832E-3</v>
      </c>
    </row>
    <row r="801" spans="1:12">
      <c r="A801" s="22">
        <v>40311.169444444444</v>
      </c>
      <c r="E801" s="26">
        <v>15.023580000000001</v>
      </c>
      <c r="G801" s="27">
        <v>0.16944444444444443</v>
      </c>
      <c r="J801" s="30">
        <f>IF(G801&lt;$H$10,$H$16,IF(G801&gt;$I$10,$H$16,$H$11))*E801/600</f>
        <v>5.0078600000000003E-3</v>
      </c>
      <c r="L801" s="32">
        <f>$J801*($G801-$G800)*60*24</f>
        <v>5.0078599999999829E-3</v>
      </c>
    </row>
    <row r="802" spans="1:12">
      <c r="A802" s="22">
        <v>40311.170138888891</v>
      </c>
      <c r="E802" s="26">
        <v>15.03021</v>
      </c>
      <c r="G802" s="27">
        <v>0.17013888888888887</v>
      </c>
      <c r="J802" s="30">
        <f>IF(G802&lt;$H$10,$H$16,IF(G802&gt;$I$10,$H$16,$H$11))*E802/600</f>
        <v>5.0100700000000001E-3</v>
      </c>
      <c r="L802" s="32">
        <f>$J802*($G802-$G801)*60*24</f>
        <v>5.0100699999999819E-3</v>
      </c>
    </row>
    <row r="803" spans="1:12">
      <c r="A803" s="22">
        <v>40311.17083333333</v>
      </c>
      <c r="E803" s="26">
        <v>15.07662</v>
      </c>
      <c r="G803" s="27">
        <v>0.17083333333333331</v>
      </c>
      <c r="J803" s="30">
        <f>IF(G803&lt;$H$10,$H$16,IF(G803&gt;$I$10,$H$16,$H$11))*E803/600</f>
        <v>5.0255400000000002E-3</v>
      </c>
      <c r="L803" s="32">
        <f>$J803*($G803-$G802)*60*24</f>
        <v>5.025539999999982E-3</v>
      </c>
    </row>
    <row r="804" spans="1:12">
      <c r="A804" s="22">
        <v>40311.171527777777</v>
      </c>
      <c r="E804" s="26">
        <v>15.191814000000001</v>
      </c>
      <c r="G804" s="27">
        <v>0.17152777777777775</v>
      </c>
      <c r="J804" s="30">
        <f>IF(G804&lt;$H$10,$H$16,IF(G804&gt;$I$10,$H$16,$H$11))*E804/600</f>
        <v>5.0639380000000005E-3</v>
      </c>
      <c r="L804" s="32">
        <f>$J804*($G804-$G803)*60*24</f>
        <v>5.0639379999999831E-3</v>
      </c>
    </row>
    <row r="805" spans="1:12">
      <c r="A805" s="22">
        <v>40311.172222222223</v>
      </c>
      <c r="E805" s="26">
        <v>15.07662</v>
      </c>
      <c r="G805" s="27">
        <v>0.17222222222222225</v>
      </c>
      <c r="J805" s="30">
        <f>IF(G805&lt;$H$10,$H$16,IF(G805&gt;$I$10,$H$16,$H$11))*E805/600</f>
        <v>5.0255400000000002E-3</v>
      </c>
      <c r="L805" s="32">
        <f>$J805*($G805-$G804)*60*24</f>
        <v>5.0255400000003836E-3</v>
      </c>
    </row>
    <row r="806" spans="1:12">
      <c r="A806" s="22">
        <v>40311.17291666667</v>
      </c>
      <c r="E806" s="26">
        <v>15.08325</v>
      </c>
      <c r="G806" s="27">
        <v>0.17291666666666669</v>
      </c>
      <c r="J806" s="30">
        <f>IF(G806&lt;$H$10,$H$16,IF(G806&gt;$I$10,$H$16,$H$11))*E806/600</f>
        <v>5.0277500000000001E-3</v>
      </c>
      <c r="L806" s="32">
        <f>$J806*($G806-$G805)*60*24</f>
        <v>5.0277499999999828E-3</v>
      </c>
    </row>
    <row r="807" spans="1:12">
      <c r="A807" s="22">
        <v>40311.173611111109</v>
      </c>
      <c r="E807" s="26">
        <v>15.301836</v>
      </c>
      <c r="G807" s="27">
        <v>0.17361111111111113</v>
      </c>
      <c r="J807" s="30">
        <f>IF(G807&lt;$H$10,$H$16,IF(G807&gt;$I$10,$H$16,$H$11))*E807/600</f>
        <v>5.100612E-3</v>
      </c>
      <c r="L807" s="32">
        <f>$J807*($G807-$G806)*60*24</f>
        <v>5.1006119999999818E-3</v>
      </c>
    </row>
    <row r="808" spans="1:12">
      <c r="A808" s="22">
        <v>40311.174305555556</v>
      </c>
      <c r="E808" s="26">
        <v>15.218477999999999</v>
      </c>
      <c r="G808" s="27">
        <v>0.17430555555555557</v>
      </c>
      <c r="J808" s="30">
        <f>IF(G808&lt;$H$10,$H$16,IF(G808&gt;$I$10,$H$16,$H$11))*E808/600</f>
        <v>5.0728259999999999E-3</v>
      </c>
      <c r="L808" s="32">
        <f>$J808*($G808-$G807)*60*24</f>
        <v>5.0728259999999817E-3</v>
      </c>
    </row>
    <row r="809" spans="1:12">
      <c r="A809" s="22">
        <v>40311.175000000003</v>
      </c>
      <c r="E809" s="26">
        <v>15.218477999999999</v>
      </c>
      <c r="G809" s="27">
        <v>0.17500000000000002</v>
      </c>
      <c r="J809" s="30">
        <f>IF(G809&lt;$H$10,$H$16,IF(G809&gt;$I$10,$H$16,$H$11))*E809/600</f>
        <v>5.0728259999999999E-3</v>
      </c>
      <c r="L809" s="32">
        <f>$J809*($G809-$G808)*60*24</f>
        <v>5.0728259999999817E-3</v>
      </c>
    </row>
    <row r="810" spans="1:12">
      <c r="A810" s="22">
        <v>40311.175694444442</v>
      </c>
      <c r="E810" s="26">
        <v>15.238476</v>
      </c>
      <c r="G810" s="27">
        <v>0.17569444444444446</v>
      </c>
      <c r="J810" s="30">
        <f>IF(G810&lt;$H$10,$H$16,IF(G810&gt;$I$10,$H$16,$H$11))*E810/600</f>
        <v>5.0794920000000006E-3</v>
      </c>
      <c r="L810" s="32">
        <f>$J810*($G810-$G809)*60*24</f>
        <v>5.0794919999999823E-3</v>
      </c>
    </row>
    <row r="811" spans="1:12">
      <c r="A811" s="22">
        <v>40311.176388888889</v>
      </c>
      <c r="E811" s="26">
        <v>15.19848</v>
      </c>
      <c r="G811" s="27">
        <v>0.1763888888888889</v>
      </c>
      <c r="J811" s="30">
        <f>IF(G811&lt;$H$10,$H$16,IF(G811&gt;$I$10,$H$16,$H$11))*E811/600</f>
        <v>5.0661600000000001E-3</v>
      </c>
      <c r="L811" s="32">
        <f>$J811*($G811-$G810)*60*24</f>
        <v>5.0661599999999819E-3</v>
      </c>
    </row>
    <row r="812" spans="1:12">
      <c r="A812" s="22">
        <v>40311.177083333336</v>
      </c>
      <c r="E812" s="26">
        <v>15.231809999999999</v>
      </c>
      <c r="G812" s="27">
        <v>0.17708333333333334</v>
      </c>
      <c r="J812" s="30">
        <f>IF(G812&lt;$H$10,$H$16,IF(G812&gt;$I$10,$H$16,$H$11))*E812/600</f>
        <v>5.07727E-3</v>
      </c>
      <c r="L812" s="32">
        <f>$J812*($G812-$G811)*60*24</f>
        <v>5.0772699999999818E-3</v>
      </c>
    </row>
    <row r="813" spans="1:12">
      <c r="A813" s="22">
        <v>40311.177777777775</v>
      </c>
      <c r="E813" s="26">
        <v>15.114000000000001</v>
      </c>
      <c r="G813" s="27">
        <v>0.17777777777777778</v>
      </c>
      <c r="J813" s="30">
        <f>IF(G813&lt;$H$10,$H$16,IF(G813&gt;$I$10,$H$16,$H$11))*E813/600</f>
        <v>5.0379999999999999E-3</v>
      </c>
      <c r="L813" s="32">
        <f>$J813*($G813-$G812)*60*24</f>
        <v>5.0379999999999817E-3</v>
      </c>
    </row>
    <row r="814" spans="1:12">
      <c r="A814" s="22">
        <v>40311.178472222222</v>
      </c>
      <c r="E814" s="26">
        <v>15.1074</v>
      </c>
      <c r="G814" s="27">
        <v>0.17847222222222223</v>
      </c>
      <c r="J814" s="30">
        <f>IF(G814&lt;$H$10,$H$16,IF(G814&gt;$I$10,$H$16,$H$11))*E814/600</f>
        <v>5.0358000000000009E-3</v>
      </c>
      <c r="L814" s="32">
        <f>$J814*($G814-$G813)*60*24</f>
        <v>5.0357999999999827E-3</v>
      </c>
    </row>
    <row r="815" spans="1:12">
      <c r="A815" s="22">
        <v>40311.179166666669</v>
      </c>
      <c r="E815" s="26">
        <v>15.0876</v>
      </c>
      <c r="G815" s="27">
        <v>0.17916666666666667</v>
      </c>
      <c r="J815" s="30">
        <f>IF(G815&lt;$H$10,$H$16,IF(G815&gt;$I$10,$H$16,$H$11))*E815/600</f>
        <v>5.0292000000000002E-3</v>
      </c>
      <c r="L815" s="32">
        <f>$J815*($G815-$G814)*60*24</f>
        <v>5.0291999999999819E-3</v>
      </c>
    </row>
    <row r="816" spans="1:12">
      <c r="A816" s="22">
        <v>40311.179861111108</v>
      </c>
      <c r="E816" s="26">
        <v>15.081</v>
      </c>
      <c r="G816" s="27">
        <v>0.17986111111111111</v>
      </c>
      <c r="J816" s="30">
        <f>IF(G816&lt;$H$10,$H$16,IF(G816&gt;$I$10,$H$16,$H$11))*E816/600</f>
        <v>5.0270000000000002E-3</v>
      </c>
      <c r="L816" s="32">
        <f>$J816*($G816-$G815)*60*24</f>
        <v>5.0269999999999829E-3</v>
      </c>
    </row>
    <row r="817" spans="1:12">
      <c r="A817" s="22">
        <v>40311.180555555555</v>
      </c>
      <c r="E817" s="26">
        <v>15.094200000000001</v>
      </c>
      <c r="G817" s="27">
        <v>0.18055555555555555</v>
      </c>
      <c r="J817" s="30">
        <f>IF(G817&lt;$H$10,$H$16,IF(G817&gt;$I$10,$H$16,$H$11))*E817/600</f>
        <v>5.031400000000001E-3</v>
      </c>
      <c r="L817" s="32">
        <f>$J817*($G817-$G816)*60*24</f>
        <v>5.0313999999999836E-3</v>
      </c>
    </row>
    <row r="818" spans="1:12">
      <c r="A818" s="22">
        <v>40311.181250000001</v>
      </c>
      <c r="E818" s="26">
        <v>15.265140000000001</v>
      </c>
      <c r="G818" s="27">
        <v>0.18124999999999999</v>
      </c>
      <c r="J818" s="30">
        <f>IF(G818&lt;$H$10,$H$16,IF(G818&gt;$I$10,$H$16,$H$11))*E818/600</f>
        <v>5.0883800000000009E-3</v>
      </c>
      <c r="L818" s="32">
        <f>$J818*($G818-$G817)*60*24</f>
        <v>5.0883799999999826E-3</v>
      </c>
    </row>
    <row r="819" spans="1:12">
      <c r="A819" s="22">
        <v>40311.181944444441</v>
      </c>
      <c r="E819" s="26">
        <v>15.185148</v>
      </c>
      <c r="G819" s="27">
        <v>0.18194444444444444</v>
      </c>
      <c r="J819" s="30">
        <f>IF(G819&lt;$H$10,$H$16,IF(G819&gt;$I$10,$H$16,$H$11))*E819/600</f>
        <v>5.0617160000000008E-3</v>
      </c>
      <c r="L819" s="32">
        <f>$J819*($G819-$G818)*60*24</f>
        <v>5.0617159999999835E-3</v>
      </c>
    </row>
    <row r="820" spans="1:12">
      <c r="A820" s="22">
        <v>40311.182638888888</v>
      </c>
      <c r="E820" s="26">
        <v>15.138486</v>
      </c>
      <c r="G820" s="27">
        <v>0.18263888888888891</v>
      </c>
      <c r="J820" s="30">
        <f>IF(G820&lt;$H$10,$H$16,IF(G820&gt;$I$10,$H$16,$H$11))*E820/600</f>
        <v>5.0461620000000007E-3</v>
      </c>
      <c r="L820" s="32">
        <f>$J820*($G820-$G819)*60*24</f>
        <v>5.0461620000001846E-3</v>
      </c>
    </row>
    <row r="821" spans="1:12">
      <c r="A821" s="22">
        <v>40311.183333333334</v>
      </c>
      <c r="E821" s="26">
        <v>15.131819999999999</v>
      </c>
      <c r="G821" s="27">
        <v>0.18333333333333335</v>
      </c>
      <c r="J821" s="30">
        <f>IF(G821&lt;$H$10,$H$16,IF(G821&gt;$I$10,$H$16,$H$11))*E821/600</f>
        <v>5.0439400000000002E-3</v>
      </c>
      <c r="L821" s="32">
        <f>$J821*($G821-$G820)*60*24</f>
        <v>5.043939999999982E-3</v>
      </c>
    </row>
    <row r="822" spans="1:12">
      <c r="A822" s="22">
        <v>40311.184027777781</v>
      </c>
      <c r="E822" s="26">
        <v>14.997059999999999</v>
      </c>
      <c r="G822" s="27">
        <v>0.18402777777777779</v>
      </c>
      <c r="J822" s="30">
        <f>IF(G822&lt;$H$10,$H$16,IF(G822&gt;$I$10,$H$16,$H$11))*E822/600</f>
        <v>4.9990199999999999E-3</v>
      </c>
      <c r="L822" s="32">
        <f>$J822*($G822-$G821)*60*24</f>
        <v>4.9990199999999825E-3</v>
      </c>
    </row>
    <row r="823" spans="1:12">
      <c r="A823" s="22">
        <v>40311.18472222222</v>
      </c>
      <c r="E823" s="26">
        <v>15.071826</v>
      </c>
      <c r="G823" s="27">
        <v>0.18472222222222223</v>
      </c>
      <c r="J823" s="30">
        <f>IF(G823&lt;$H$10,$H$16,IF(G823&gt;$I$10,$H$16,$H$11))*E823/600</f>
        <v>5.0239420000000009E-3</v>
      </c>
      <c r="L823" s="32">
        <f>$J823*($G823-$G822)*60*24</f>
        <v>5.0239419999999826E-3</v>
      </c>
    </row>
    <row r="824" spans="1:12">
      <c r="A824" s="22">
        <v>40311.185416666667</v>
      </c>
      <c r="E824" s="26">
        <v>14.830335</v>
      </c>
      <c r="G824" s="27">
        <v>0.18541666666666667</v>
      </c>
      <c r="J824" s="30">
        <f>IF(G824&lt;$H$10,$H$16,IF(G824&gt;$I$10,$H$16,$H$11))*E824/600</f>
        <v>4.9434450000000003E-3</v>
      </c>
      <c r="L824" s="32">
        <f>$J824*($G824-$G823)*60*24</f>
        <v>4.943444999999983E-3</v>
      </c>
    </row>
    <row r="825" spans="1:12">
      <c r="A825" s="22">
        <v>40311.186111111114</v>
      </c>
      <c r="E825" s="26">
        <v>14.937390000000001</v>
      </c>
      <c r="G825" s="27">
        <v>0.18611111111111112</v>
      </c>
      <c r="J825" s="30">
        <f>IF(G825&lt;$H$10,$H$16,IF(G825&gt;$I$10,$H$16,$H$11))*E825/600</f>
        <v>4.9791300000000009E-3</v>
      </c>
      <c r="L825" s="32">
        <f>$J825*($G825-$G824)*60*24</f>
        <v>4.9791299999999827E-3</v>
      </c>
    </row>
    <row r="826" spans="1:12">
      <c r="A826" s="22">
        <v>40311.186805555553</v>
      </c>
      <c r="E826" s="26">
        <v>14.90424</v>
      </c>
      <c r="G826" s="27">
        <v>0.18680555555555556</v>
      </c>
      <c r="J826" s="30">
        <f>IF(G826&lt;$H$10,$H$16,IF(G826&gt;$I$10,$H$16,$H$11))*E826/600</f>
        <v>4.9680799999999997E-3</v>
      </c>
      <c r="L826" s="32">
        <f>$J826*($G826-$G825)*60*24</f>
        <v>4.9680799999999824E-3</v>
      </c>
    </row>
    <row r="827" spans="1:12">
      <c r="A827" s="22">
        <v>40311.1875</v>
      </c>
      <c r="E827" s="26">
        <v>14.88435</v>
      </c>
      <c r="G827" s="27">
        <v>0.1875</v>
      </c>
      <c r="J827" s="30">
        <f>IF(G827&lt;$H$10,$H$16,IF(G827&gt;$I$10,$H$16,$H$11))*E827/600</f>
        <v>4.9614500000000001E-3</v>
      </c>
      <c r="L827" s="32">
        <f>$J827*($G827-$G826)*60*24</f>
        <v>4.9614499999999818E-3</v>
      </c>
    </row>
    <row r="828" spans="1:12">
      <c r="A828" s="22">
        <v>40311.188194444447</v>
      </c>
      <c r="E828" s="26">
        <v>14.89761</v>
      </c>
      <c r="G828" s="27">
        <v>0.18819444444444444</v>
      </c>
      <c r="J828" s="30">
        <f>IF(G828&lt;$H$10,$H$16,IF(G828&gt;$I$10,$H$16,$H$11))*E828/600</f>
        <v>4.9658700000000007E-3</v>
      </c>
      <c r="L828" s="32">
        <f>$J828*($G828-$G827)*60*24</f>
        <v>4.9658699999999834E-3</v>
      </c>
    </row>
    <row r="829" spans="1:12">
      <c r="A829" s="22">
        <v>40311.188888888886</v>
      </c>
      <c r="E829" s="26">
        <v>14.87772</v>
      </c>
      <c r="G829" s="27">
        <v>0.18888888888888888</v>
      </c>
      <c r="J829" s="30">
        <f>IF(G829&lt;$H$10,$H$16,IF(G829&gt;$I$10,$H$16,$H$11))*E829/600</f>
        <v>4.9592400000000002E-3</v>
      </c>
      <c r="L829" s="32">
        <f>$J829*($G829-$G828)*60*24</f>
        <v>4.9592399999999828E-3</v>
      </c>
    </row>
    <row r="830" spans="1:12">
      <c r="A830" s="22">
        <v>40311.189583333333</v>
      </c>
      <c r="E830" s="26">
        <v>15.016885</v>
      </c>
      <c r="G830" s="27">
        <v>0.18958333333333333</v>
      </c>
      <c r="J830" s="30">
        <f>IF(G830&lt;$H$10,$H$16,IF(G830&gt;$I$10,$H$16,$H$11))*E830/600</f>
        <v>5.0056283333333338E-3</v>
      </c>
      <c r="L830" s="32">
        <f>$J830*($G830-$G829)*60*24</f>
        <v>5.0056283333333165E-3</v>
      </c>
    </row>
    <row r="831" spans="1:12">
      <c r="A831" s="22">
        <v>40311.19027777778</v>
      </c>
      <c r="E831" s="26">
        <v>14.871090000000001</v>
      </c>
      <c r="G831" s="27">
        <v>0.19027777777777777</v>
      </c>
      <c r="J831" s="30">
        <f>IF(G831&lt;$H$10,$H$16,IF(G831&gt;$I$10,$H$16,$H$11))*E831/600</f>
        <v>4.9570300000000012E-3</v>
      </c>
      <c r="L831" s="32">
        <f>$J831*($G831-$G830)*60*24</f>
        <v>4.9570299999999838E-3</v>
      </c>
    </row>
    <row r="832" spans="1:12">
      <c r="A832" s="22">
        <v>40311.190972222219</v>
      </c>
      <c r="E832" s="26">
        <v>14.88435</v>
      </c>
      <c r="G832" s="27">
        <v>0.19097222222222221</v>
      </c>
      <c r="J832" s="30">
        <f>IF(G832&lt;$H$10,$H$16,IF(G832&gt;$I$10,$H$16,$H$11))*E832/600</f>
        <v>4.9614500000000001E-3</v>
      </c>
      <c r="L832" s="32">
        <f>$J832*($G832-$G831)*60*24</f>
        <v>4.9614499999999818E-3</v>
      </c>
    </row>
    <row r="833" spans="1:12">
      <c r="A833" s="22">
        <v>40311.191666666666</v>
      </c>
      <c r="E833" s="26">
        <v>14.90424</v>
      </c>
      <c r="G833" s="27">
        <v>0.19166666666666665</v>
      </c>
      <c r="J833" s="30">
        <f>IF(G833&lt;$H$10,$H$16,IF(G833&gt;$I$10,$H$16,$H$11))*E833/600</f>
        <v>4.9680799999999997E-3</v>
      </c>
      <c r="L833" s="32">
        <f>$J833*($G833-$G832)*60*24</f>
        <v>4.9680799999999824E-3</v>
      </c>
    </row>
    <row r="834" spans="1:12">
      <c r="A834" s="22">
        <v>40311.192361111112</v>
      </c>
      <c r="E834" s="26">
        <v>14.930759999999999</v>
      </c>
      <c r="G834" s="27">
        <v>0.19236111111111112</v>
      </c>
      <c r="J834" s="30">
        <f>IF(G834&lt;$H$10,$H$16,IF(G834&gt;$I$10,$H$16,$H$11))*E834/600</f>
        <v>4.9769200000000001E-3</v>
      </c>
      <c r="L834" s="32">
        <f>$J834*($G834-$G833)*60*24</f>
        <v>4.9769200000001814E-3</v>
      </c>
    </row>
    <row r="835" spans="1:12">
      <c r="A835" s="22">
        <v>40311.193055555559</v>
      </c>
      <c r="E835" s="26">
        <v>15.003690000000001</v>
      </c>
      <c r="G835" s="27">
        <v>0.19305555555555554</v>
      </c>
      <c r="J835" s="30">
        <f>IF(G835&lt;$H$10,$H$16,IF(G835&gt;$I$10,$H$16,$H$11))*E835/600</f>
        <v>5.0012300000000006E-3</v>
      </c>
      <c r="L835" s="32">
        <f>$J835*($G835-$G834)*60*24</f>
        <v>5.0012299999997829E-3</v>
      </c>
    </row>
    <row r="836" spans="1:12">
      <c r="A836" s="22">
        <v>40311.193749999999</v>
      </c>
      <c r="E836" s="26">
        <v>15.271806</v>
      </c>
      <c r="G836" s="27">
        <v>0.19375000000000001</v>
      </c>
      <c r="J836" s="30">
        <f>IF(G836&lt;$H$10,$H$16,IF(G836&gt;$I$10,$H$16,$H$11))*E836/600</f>
        <v>5.0906020000000005E-3</v>
      </c>
      <c r="L836" s="32">
        <f>$J836*($G836-$G835)*60*24</f>
        <v>5.0906020000001861E-3</v>
      </c>
    </row>
    <row r="837" spans="1:12">
      <c r="A837" s="22">
        <v>40311.194444444445</v>
      </c>
      <c r="E837" s="26">
        <v>15.1404</v>
      </c>
      <c r="G837" s="27">
        <v>0.19444444444444445</v>
      </c>
      <c r="J837" s="30">
        <f>IF(G837&lt;$H$10,$H$16,IF(G837&gt;$I$10,$H$16,$H$11))*E837/600</f>
        <v>5.0468000000000006E-3</v>
      </c>
      <c r="L837" s="32">
        <f>$J837*($G837-$G836)*60*24</f>
        <v>5.0467999999999824E-3</v>
      </c>
    </row>
    <row r="838" spans="1:12">
      <c r="A838" s="22">
        <v>40311.195138888892</v>
      </c>
      <c r="E838" s="26">
        <v>15.1272</v>
      </c>
      <c r="G838" s="27">
        <v>0.19513888888888889</v>
      </c>
      <c r="J838" s="30">
        <f>IF(G838&lt;$H$10,$H$16,IF(G838&gt;$I$10,$H$16,$H$11))*E838/600</f>
        <v>5.0423999999999998E-3</v>
      </c>
      <c r="L838" s="32">
        <f>$J838*($G838-$G837)*60*24</f>
        <v>5.0423999999999816E-3</v>
      </c>
    </row>
    <row r="839" spans="1:12">
      <c r="A839" s="22">
        <v>40311.195833333331</v>
      </c>
      <c r="E839" s="26">
        <v>15.1668</v>
      </c>
      <c r="G839" s="27">
        <v>0.19583333333333333</v>
      </c>
      <c r="J839" s="30">
        <f>IF(G839&lt;$H$10,$H$16,IF(G839&gt;$I$10,$H$16,$H$11))*E839/600</f>
        <v>5.0556000000000004E-3</v>
      </c>
      <c r="L839" s="32">
        <f>$J839*($G839-$G838)*60*24</f>
        <v>5.0555999999999822E-3</v>
      </c>
    </row>
    <row r="840" spans="1:12">
      <c r="A840" s="22">
        <v>40311.196527777778</v>
      </c>
      <c r="E840" s="26">
        <v>15.318467999999999</v>
      </c>
      <c r="G840" s="27">
        <v>0.19652777777777777</v>
      </c>
      <c r="J840" s="30">
        <f>IF(G840&lt;$H$10,$H$16,IF(G840&gt;$I$10,$H$16,$H$11))*E840/600</f>
        <v>5.1061560000000006E-3</v>
      </c>
      <c r="L840" s="32">
        <f>$J840*($G840-$G839)*60*24</f>
        <v>5.1061559999999824E-3</v>
      </c>
    </row>
    <row r="841" spans="1:12">
      <c r="A841" s="22">
        <v>40311.197222222225</v>
      </c>
      <c r="E841" s="26">
        <v>15.331799999999999</v>
      </c>
      <c r="G841" s="27">
        <v>0.19722222222222222</v>
      </c>
      <c r="J841" s="30">
        <f>IF(G841&lt;$H$10,$H$16,IF(G841&gt;$I$10,$H$16,$H$11))*E841/600</f>
        <v>5.1105999999999999E-3</v>
      </c>
      <c r="L841" s="32">
        <f>$J841*($G841-$G840)*60*24</f>
        <v>5.1105999999999817E-3</v>
      </c>
    </row>
    <row r="842" spans="1:12">
      <c r="A842" s="22">
        <v>40311.197916666664</v>
      </c>
      <c r="E842" s="26">
        <v>15.311802</v>
      </c>
      <c r="G842" s="27">
        <v>0.19791666666666666</v>
      </c>
      <c r="J842" s="30">
        <f>IF(G842&lt;$H$10,$H$16,IF(G842&gt;$I$10,$H$16,$H$11))*E842/600</f>
        <v>5.1039340000000001E-3</v>
      </c>
      <c r="L842" s="32">
        <f>$J842*($G842-$G841)*60*24</f>
        <v>5.1039339999999819E-3</v>
      </c>
    </row>
    <row r="843" spans="1:12">
      <c r="A843" s="22">
        <v>40311.198611111111</v>
      </c>
      <c r="E843" s="26">
        <v>15.291804000000001</v>
      </c>
      <c r="G843" s="27">
        <v>0.1986111111111111</v>
      </c>
      <c r="J843" s="30">
        <f>IF(G843&lt;$H$10,$H$16,IF(G843&gt;$I$10,$H$16,$H$11))*E843/600</f>
        <v>5.0972680000000012E-3</v>
      </c>
      <c r="L843" s="32">
        <f>$J843*($G843-$G842)*60*24</f>
        <v>5.0972679999999829E-3</v>
      </c>
    </row>
    <row r="844" spans="1:12">
      <c r="A844" s="22">
        <v>40311.199305555558</v>
      </c>
      <c r="E844" s="26">
        <v>15.07324</v>
      </c>
      <c r="G844" s="27">
        <v>0.19930555555555554</v>
      </c>
      <c r="J844" s="30">
        <f>IF(G844&lt;$H$10,$H$16,IF(G844&gt;$I$10,$H$16,$H$11))*E844/600</f>
        <v>5.0244133333333333E-3</v>
      </c>
      <c r="L844" s="32">
        <f>$J844*($G844-$G843)*60*24</f>
        <v>5.024413333333316E-3</v>
      </c>
    </row>
    <row r="845" spans="1:12">
      <c r="A845" s="22">
        <v>40311.199999999997</v>
      </c>
      <c r="E845" s="26">
        <v>15.086370000000001</v>
      </c>
      <c r="G845" s="27">
        <v>0.19999999999999998</v>
      </c>
      <c r="J845" s="30">
        <f>IF(G845&lt;$H$10,$H$16,IF(G845&gt;$I$10,$H$16,$H$11))*E845/600</f>
        <v>5.0287900000000009E-3</v>
      </c>
      <c r="L845" s="32">
        <f>$J845*($G845-$G844)*60*24</f>
        <v>5.0287899999999826E-3</v>
      </c>
    </row>
    <row r="846" spans="1:12">
      <c r="A846" s="22">
        <v>40311.200694444444</v>
      </c>
      <c r="E846" s="26">
        <v>15.291804000000001</v>
      </c>
      <c r="G846" s="27">
        <v>0.20069444444444443</v>
      </c>
      <c r="J846" s="30">
        <f>IF(G846&lt;$H$10,$H$16,IF(G846&gt;$I$10,$H$16,$H$11))*E846/600</f>
        <v>5.0972680000000012E-3</v>
      </c>
      <c r="L846" s="32">
        <f>$J846*($G846-$G845)*60*24</f>
        <v>5.0972679999999829E-3</v>
      </c>
    </row>
    <row r="847" spans="1:12">
      <c r="A847" s="22">
        <v>40311.201388888891</v>
      </c>
      <c r="E847" s="26">
        <v>15.29847</v>
      </c>
      <c r="G847" s="27">
        <v>0.20138888888888887</v>
      </c>
      <c r="J847" s="30">
        <f>IF(G847&lt;$H$10,$H$16,IF(G847&gt;$I$10,$H$16,$H$11))*E847/600</f>
        <v>5.0994900000000008E-3</v>
      </c>
      <c r="L847" s="32">
        <f>$J847*($G847-$G846)*60*24</f>
        <v>5.0994899999999826E-3</v>
      </c>
    </row>
    <row r="848" spans="1:12">
      <c r="A848" s="22">
        <v>40311.20208333333</v>
      </c>
      <c r="E848" s="26">
        <v>15.291804000000001</v>
      </c>
      <c r="G848" s="27">
        <v>0.20208333333333331</v>
      </c>
      <c r="J848" s="30">
        <f>IF(G848&lt;$H$10,$H$16,IF(G848&gt;$I$10,$H$16,$H$11))*E848/600</f>
        <v>5.0972680000000012E-3</v>
      </c>
      <c r="L848" s="32">
        <f>$J848*($G848-$G847)*60*24</f>
        <v>5.0972679999999829E-3</v>
      </c>
    </row>
    <row r="849" spans="1:12">
      <c r="A849" s="22">
        <v>40311.202777777777</v>
      </c>
      <c r="E849" s="26">
        <v>15.238476</v>
      </c>
      <c r="G849" s="27">
        <v>0.20277777777777781</v>
      </c>
      <c r="J849" s="30">
        <f>IF(G849&lt;$H$10,$H$16,IF(G849&gt;$I$10,$H$16,$H$11))*E849/600</f>
        <v>5.0794920000000006E-3</v>
      </c>
      <c r="L849" s="32">
        <f>$J849*($G849-$G848)*60*24</f>
        <v>5.0794920000003883E-3</v>
      </c>
    </row>
    <row r="850" spans="1:12">
      <c r="A850" s="22">
        <v>40311.203472222223</v>
      </c>
      <c r="E850" s="26">
        <v>15.231809999999999</v>
      </c>
      <c r="G850" s="27">
        <v>0.20347222222222219</v>
      </c>
      <c r="J850" s="30">
        <f>IF(G850&lt;$H$10,$H$16,IF(G850&gt;$I$10,$H$16,$H$11))*E850/600</f>
        <v>5.07727E-3</v>
      </c>
      <c r="L850" s="32">
        <f>$J850*($G850-$G849)*60*24</f>
        <v>5.0772699999995759E-3</v>
      </c>
    </row>
    <row r="851" spans="1:12">
      <c r="A851" s="22">
        <v>40311.20416666667</v>
      </c>
      <c r="E851" s="26">
        <v>15.218477999999999</v>
      </c>
      <c r="G851" s="27">
        <v>0.20416666666666669</v>
      </c>
      <c r="J851" s="30">
        <f>IF(G851&lt;$H$10,$H$16,IF(G851&gt;$I$10,$H$16,$H$11))*E851/600</f>
        <v>5.0728259999999999E-3</v>
      </c>
      <c r="L851" s="32">
        <f>$J851*($G851-$G850)*60*24</f>
        <v>5.0728260000003867E-3</v>
      </c>
    </row>
    <row r="852" spans="1:12">
      <c r="A852" s="22">
        <v>40311.204861111109</v>
      </c>
      <c r="E852" s="26">
        <v>15.218477999999999</v>
      </c>
      <c r="G852" s="27">
        <v>0.20486111111111113</v>
      </c>
      <c r="J852" s="30">
        <f>IF(G852&lt;$H$10,$H$16,IF(G852&gt;$I$10,$H$16,$H$11))*E852/600</f>
        <v>5.0728259999999999E-3</v>
      </c>
      <c r="L852" s="32">
        <f>$J852*($G852-$G851)*60*24</f>
        <v>5.0728259999999817E-3</v>
      </c>
    </row>
    <row r="853" spans="1:12">
      <c r="A853" s="22">
        <v>40311.205555555556</v>
      </c>
      <c r="E853" s="26">
        <v>15.053545</v>
      </c>
      <c r="G853" s="27">
        <v>0.20555555555555557</v>
      </c>
      <c r="J853" s="30">
        <f>IF(G853&lt;$H$10,$H$16,IF(G853&gt;$I$10,$H$16,$H$11))*E853/600</f>
        <v>5.0178483333333341E-3</v>
      </c>
      <c r="L853" s="32">
        <f>$J853*($G853-$G852)*60*24</f>
        <v>5.0178483333333168E-3</v>
      </c>
    </row>
    <row r="854" spans="1:12">
      <c r="A854" s="22">
        <v>40311.206250000003</v>
      </c>
      <c r="E854" s="26">
        <v>15.305135999999999</v>
      </c>
      <c r="G854" s="27">
        <v>0.20625000000000002</v>
      </c>
      <c r="J854" s="30">
        <f>IF(G854&lt;$H$10,$H$16,IF(G854&gt;$I$10,$H$16,$H$11))*E854/600</f>
        <v>5.1017119999999996E-3</v>
      </c>
      <c r="L854" s="32">
        <f>$J854*($G854-$G853)*60*24</f>
        <v>5.1017119999999814E-3</v>
      </c>
    </row>
    <row r="855" spans="1:12">
      <c r="A855" s="22">
        <v>40311.206944444442</v>
      </c>
      <c r="E855" s="26">
        <v>15.305135999999999</v>
      </c>
      <c r="G855" s="27">
        <v>0.20694444444444446</v>
      </c>
      <c r="J855" s="30">
        <f>IF(G855&lt;$H$10,$H$16,IF(G855&gt;$I$10,$H$16,$H$11))*E855/600</f>
        <v>5.1017119999999996E-3</v>
      </c>
      <c r="L855" s="32">
        <f>$J855*($G855-$G854)*60*24</f>
        <v>5.1017119999999814E-3</v>
      </c>
    </row>
    <row r="856" spans="1:12">
      <c r="A856" s="22">
        <v>40311.207638888889</v>
      </c>
      <c r="E856" s="26">
        <v>15.29847</v>
      </c>
      <c r="G856" s="27">
        <v>0.2076388888888889</v>
      </c>
      <c r="J856" s="30">
        <f>IF(G856&lt;$H$10,$H$16,IF(G856&gt;$I$10,$H$16,$H$11))*E856/600</f>
        <v>5.0994900000000008E-3</v>
      </c>
      <c r="L856" s="32">
        <f>$J856*($G856-$G855)*60*24</f>
        <v>5.0994899999999826E-3</v>
      </c>
    </row>
    <row r="857" spans="1:12">
      <c r="A857" s="22">
        <v>40311.208333333336</v>
      </c>
      <c r="E857" s="26">
        <v>15.285138</v>
      </c>
      <c r="G857" s="27">
        <v>0.20833333333333334</v>
      </c>
      <c r="J857" s="30">
        <f>IF(G857&lt;$H$10,$H$16,IF(G857&gt;$I$10,$H$16,$H$11))*E857/600</f>
        <v>5.0950459999999998E-3</v>
      </c>
      <c r="L857" s="32">
        <f>$J857*($G857-$G856)*60*24</f>
        <v>5.0950459999999816E-3</v>
      </c>
    </row>
    <row r="858" spans="1:12">
      <c r="A858" s="22">
        <v>40311.209027777775</v>
      </c>
      <c r="E858" s="26">
        <v>15.29847</v>
      </c>
      <c r="G858" s="27">
        <v>0.20902777777777778</v>
      </c>
      <c r="J858" s="30">
        <f>IF(G858&lt;$H$10,$H$16,IF(G858&gt;$I$10,$H$16,$H$11))*E858/600</f>
        <v>5.0994900000000008E-3</v>
      </c>
      <c r="L858" s="32">
        <f>$J858*($G858-$G857)*60*24</f>
        <v>5.0994899999999826E-3</v>
      </c>
    </row>
    <row r="859" spans="1:12">
      <c r="A859" s="22">
        <v>40311.209722222222</v>
      </c>
      <c r="E859" s="26">
        <v>15.338466</v>
      </c>
      <c r="G859" s="27">
        <v>0.20972222222222223</v>
      </c>
      <c r="J859" s="30">
        <f>IF(G859&lt;$H$10,$H$16,IF(G859&gt;$I$10,$H$16,$H$11))*E859/600</f>
        <v>5.1128220000000004E-3</v>
      </c>
      <c r="L859" s="32">
        <f>$J859*($G859-$G858)*60*24</f>
        <v>5.1128219999999822E-3</v>
      </c>
    </row>
    <row r="860" spans="1:12">
      <c r="A860" s="22">
        <v>40311.210416666669</v>
      </c>
      <c r="E860" s="26">
        <v>15.39846</v>
      </c>
      <c r="G860" s="27">
        <v>0.21041666666666667</v>
      </c>
      <c r="J860" s="30">
        <f>IF(G860&lt;$H$10,$H$16,IF(G860&gt;$I$10,$H$16,$H$11))*E860/600</f>
        <v>5.1328199999999997E-3</v>
      </c>
      <c r="L860" s="32">
        <f>$J860*($G860-$G859)*60*24</f>
        <v>5.1328199999999815E-3</v>
      </c>
    </row>
    <row r="861" spans="1:12">
      <c r="A861" s="22">
        <v>40311.211111111108</v>
      </c>
      <c r="E861" s="26">
        <v>15.418457999999999</v>
      </c>
      <c r="G861" s="27">
        <v>0.21111111111111111</v>
      </c>
      <c r="J861" s="30">
        <f>IF(G861&lt;$H$10,$H$16,IF(G861&gt;$I$10,$H$16,$H$11))*E861/600</f>
        <v>5.1394859999999995E-3</v>
      </c>
      <c r="L861" s="32">
        <f>$J861*($G861-$G860)*60*24</f>
        <v>5.1394859999999813E-3</v>
      </c>
    </row>
    <row r="862" spans="1:12">
      <c r="A862" s="22">
        <v>40311.211805555555</v>
      </c>
      <c r="E862" s="26">
        <v>15.405125999999999</v>
      </c>
      <c r="G862" s="27">
        <v>0.21180555555555555</v>
      </c>
      <c r="J862" s="30">
        <f>IF(G862&lt;$H$10,$H$16,IF(G862&gt;$I$10,$H$16,$H$11))*E862/600</f>
        <v>5.1350420000000003E-3</v>
      </c>
      <c r="L862" s="32">
        <f>$J862*($G862-$G861)*60*24</f>
        <v>5.135041999999982E-3</v>
      </c>
    </row>
    <row r="863" spans="1:12">
      <c r="A863" s="22">
        <v>40311.212500000001</v>
      </c>
      <c r="E863" s="26">
        <v>15.378462000000001</v>
      </c>
      <c r="G863" s="27">
        <v>0.21249999999999999</v>
      </c>
      <c r="J863" s="30">
        <f>IF(G863&lt;$H$10,$H$16,IF(G863&gt;$I$10,$H$16,$H$11))*E863/600</f>
        <v>5.1261540000000008E-3</v>
      </c>
      <c r="L863" s="32">
        <f>$J863*($G863-$G862)*60*24</f>
        <v>5.1261539999999826E-3</v>
      </c>
    </row>
    <row r="864" spans="1:12">
      <c r="A864" s="22">
        <v>40311.213194444441</v>
      </c>
      <c r="E864" s="26">
        <v>15.371796</v>
      </c>
      <c r="G864" s="27">
        <v>0.21319444444444444</v>
      </c>
      <c r="J864" s="30">
        <f>IF(G864&lt;$H$10,$H$16,IF(G864&gt;$I$10,$H$16,$H$11))*E864/600</f>
        <v>5.1239320000000003E-3</v>
      </c>
      <c r="L864" s="32">
        <f>$J864*($G864-$G863)*60*24</f>
        <v>5.1239319999999821E-3</v>
      </c>
    </row>
    <row r="865" spans="1:12">
      <c r="A865" s="22">
        <v>40311.213888888888</v>
      </c>
      <c r="E865" s="26">
        <v>15.272399999999999</v>
      </c>
      <c r="G865" s="27">
        <v>0.21388888888888891</v>
      </c>
      <c r="J865" s="30">
        <f>IF(G865&lt;$H$10,$H$16,IF(G865&gt;$I$10,$H$16,$H$11))*E865/600</f>
        <v>5.0907999999999995E-3</v>
      </c>
      <c r="L865" s="32">
        <f>$J865*($G865-$G864)*60*24</f>
        <v>5.0908000000001851E-3</v>
      </c>
    </row>
    <row r="866" spans="1:12">
      <c r="A866" s="22">
        <v>40311.214583333334</v>
      </c>
      <c r="E866" s="26">
        <v>15.311999999999999</v>
      </c>
      <c r="G866" s="27">
        <v>0.21458333333333335</v>
      </c>
      <c r="J866" s="30">
        <f>IF(G866&lt;$H$10,$H$16,IF(G866&gt;$I$10,$H$16,$H$11))*E866/600</f>
        <v>5.104E-3</v>
      </c>
      <c r="L866" s="32">
        <f>$J866*($G866-$G865)*60*24</f>
        <v>5.1039999999999818E-3</v>
      </c>
    </row>
    <row r="867" spans="1:12">
      <c r="A867" s="22">
        <v>40311.215277777781</v>
      </c>
      <c r="E867" s="26">
        <v>15.2308</v>
      </c>
      <c r="G867" s="27">
        <v>0.21527777777777779</v>
      </c>
      <c r="J867" s="30">
        <f>IF(G867&lt;$H$10,$H$16,IF(G867&gt;$I$10,$H$16,$H$11))*E867/600</f>
        <v>5.0769333333333336E-3</v>
      </c>
      <c r="L867" s="32">
        <f>$J867*($G867-$G866)*60*24</f>
        <v>5.0769333333333163E-3</v>
      </c>
    </row>
    <row r="868" spans="1:12">
      <c r="A868" s="22">
        <v>40311.21597222222</v>
      </c>
      <c r="E868" s="26">
        <v>15.331799999999999</v>
      </c>
      <c r="G868" s="27">
        <v>0.21597222222222223</v>
      </c>
      <c r="J868" s="30">
        <f>IF(G868&lt;$H$10,$H$16,IF(G868&gt;$I$10,$H$16,$H$11))*E868/600</f>
        <v>5.1105999999999999E-3</v>
      </c>
      <c r="L868" s="32">
        <f>$J868*($G868-$G867)*60*24</f>
        <v>5.1105999999999817E-3</v>
      </c>
    </row>
    <row r="869" spans="1:12">
      <c r="A869" s="22">
        <v>40311.216666666667</v>
      </c>
      <c r="E869" s="26">
        <v>15.329275000000001</v>
      </c>
      <c r="G869" s="27">
        <v>0.21666666666666667</v>
      </c>
      <c r="J869" s="30">
        <f>IF(G869&lt;$H$10,$H$16,IF(G869&gt;$I$10,$H$16,$H$11))*E869/600</f>
        <v>5.1097583333333339E-3</v>
      </c>
      <c r="L869" s="32">
        <f>$J869*($G869-$G868)*60*24</f>
        <v>5.1097583333333165E-3</v>
      </c>
    </row>
    <row r="870" spans="1:12">
      <c r="A870" s="22">
        <v>40311.217361111114</v>
      </c>
      <c r="E870" s="26">
        <v>15.322710000000001</v>
      </c>
      <c r="G870" s="27">
        <v>0.21736111111111112</v>
      </c>
      <c r="J870" s="30">
        <f>IF(G870&lt;$H$10,$H$16,IF(G870&gt;$I$10,$H$16,$H$11))*E870/600</f>
        <v>5.1075700000000005E-3</v>
      </c>
      <c r="L870" s="32">
        <f>$J870*($G870-$G869)*60*24</f>
        <v>5.1075699999999832E-3</v>
      </c>
    </row>
    <row r="871" spans="1:12">
      <c r="A871" s="22">
        <v>40311.218055555553</v>
      </c>
      <c r="E871" s="26">
        <v>15.303015</v>
      </c>
      <c r="G871" s="27">
        <v>0.21805555555555556</v>
      </c>
      <c r="J871" s="30">
        <f>IF(G871&lt;$H$10,$H$16,IF(G871&gt;$I$10,$H$16,$H$11))*E871/600</f>
        <v>5.1010050000000005E-3</v>
      </c>
      <c r="L871" s="32">
        <f>$J871*($G871-$G870)*60*24</f>
        <v>5.1010049999999831E-3</v>
      </c>
    </row>
    <row r="872" spans="1:12">
      <c r="A872" s="22">
        <v>40311.21875</v>
      </c>
      <c r="E872" s="26">
        <v>15.28332</v>
      </c>
      <c r="G872" s="27">
        <v>0.21875</v>
      </c>
      <c r="J872" s="30">
        <f>IF(G872&lt;$H$10,$H$16,IF(G872&gt;$I$10,$H$16,$H$11))*E872/600</f>
        <v>5.0944400000000004E-3</v>
      </c>
      <c r="L872" s="32">
        <f>$J872*($G872-$G871)*60*24</f>
        <v>5.0944399999999822E-3</v>
      </c>
    </row>
    <row r="873" spans="1:12">
      <c r="A873" s="22">
        <v>40311.219444444447</v>
      </c>
      <c r="E873" s="26">
        <v>15.263624999999999</v>
      </c>
      <c r="G873" s="27">
        <v>0.21944444444444444</v>
      </c>
      <c r="J873" s="30">
        <f>IF(G873&lt;$H$10,$H$16,IF(G873&gt;$I$10,$H$16,$H$11))*E873/600</f>
        <v>5.0878750000000004E-3</v>
      </c>
      <c r="L873" s="32">
        <f>$J873*($G873-$G872)*60*24</f>
        <v>5.0878749999999822E-3</v>
      </c>
    </row>
    <row r="874" spans="1:12">
      <c r="A874" s="22">
        <v>40311.220138888886</v>
      </c>
      <c r="E874" s="26">
        <v>15.257059999999999</v>
      </c>
      <c r="G874" s="27">
        <v>0.22013888888888888</v>
      </c>
      <c r="J874" s="30">
        <f>IF(G874&lt;$H$10,$H$16,IF(G874&gt;$I$10,$H$16,$H$11))*E874/600</f>
        <v>5.085686666666667E-3</v>
      </c>
      <c r="L874" s="32">
        <f>$J874*($G874-$G873)*60*24</f>
        <v>5.0856866666666497E-3</v>
      </c>
    </row>
    <row r="875" spans="1:12">
      <c r="A875" s="22">
        <v>40311.220833333333</v>
      </c>
      <c r="E875" s="26">
        <v>15.224235</v>
      </c>
      <c r="G875" s="27">
        <v>0.22083333333333333</v>
      </c>
      <c r="J875" s="30">
        <f>IF(G875&lt;$H$10,$H$16,IF(G875&gt;$I$10,$H$16,$H$11))*E875/600</f>
        <v>5.0747450000000003E-3</v>
      </c>
      <c r="L875" s="32">
        <f>$J875*($G875-$G874)*60*24</f>
        <v>5.074744999999983E-3</v>
      </c>
    </row>
    <row r="876" spans="1:12">
      <c r="A876" s="22">
        <v>40311.22152777778</v>
      </c>
      <c r="E876" s="26">
        <v>15.270189999999999</v>
      </c>
      <c r="G876" s="27">
        <v>0.22152777777777777</v>
      </c>
      <c r="J876" s="30">
        <f>IF(G876&lt;$H$10,$H$16,IF(G876&gt;$I$10,$H$16,$H$11))*E876/600</f>
        <v>5.0900633333333337E-3</v>
      </c>
      <c r="L876" s="32">
        <f>$J876*($G876-$G875)*60*24</f>
        <v>5.0900633333333164E-3</v>
      </c>
    </row>
    <row r="877" spans="1:12">
      <c r="A877" s="22">
        <v>40311.222222222219</v>
      </c>
      <c r="E877" s="26">
        <v>15.2308</v>
      </c>
      <c r="G877" s="27">
        <v>0.22222222222222221</v>
      </c>
      <c r="J877" s="30">
        <f>IF(G877&lt;$H$10,$H$16,IF(G877&gt;$I$10,$H$16,$H$11))*E877/600</f>
        <v>5.0769333333333336E-3</v>
      </c>
      <c r="L877" s="32">
        <f>$J877*($G877-$G876)*60*24</f>
        <v>5.0769333333333163E-3</v>
      </c>
    </row>
    <row r="878" spans="1:12">
      <c r="A878" s="22">
        <v>40311.222916666666</v>
      </c>
      <c r="E878" s="26">
        <v>15.276755</v>
      </c>
      <c r="G878" s="27">
        <v>0.22291666666666665</v>
      </c>
      <c r="J878" s="30">
        <f>IF(G878&lt;$H$10,$H$16,IF(G878&gt;$I$10,$H$16,$H$11))*E878/600</f>
        <v>5.0922516666666662E-3</v>
      </c>
      <c r="L878" s="32">
        <f>$J878*($G878-$G877)*60*24</f>
        <v>5.092251666666648E-3</v>
      </c>
    </row>
    <row r="879" spans="1:12">
      <c r="A879" s="22">
        <v>40311.223611111112</v>
      </c>
      <c r="E879" s="26">
        <v>15.257059999999999</v>
      </c>
      <c r="G879" s="27">
        <v>0.22361111111111109</v>
      </c>
      <c r="J879" s="30">
        <f>IF(G879&lt;$H$10,$H$16,IF(G879&gt;$I$10,$H$16,$H$11))*E879/600</f>
        <v>5.085686666666667E-3</v>
      </c>
      <c r="L879" s="32">
        <f>$J879*($G879-$G878)*60*24</f>
        <v>5.0856866666666497E-3</v>
      </c>
    </row>
    <row r="880" spans="1:12">
      <c r="A880" s="22">
        <v>40311.224305555559</v>
      </c>
      <c r="E880" s="26">
        <v>15.250495000000001</v>
      </c>
      <c r="G880" s="27">
        <v>0.22430555555555556</v>
      </c>
      <c r="J880" s="30">
        <f>IF(G880&lt;$H$10,$H$16,IF(G880&gt;$I$10,$H$16,$H$11))*E880/600</f>
        <v>5.0834983333333337E-3</v>
      </c>
      <c r="L880" s="32">
        <f>$J880*($G880-$G879)*60*24</f>
        <v>5.0834983333335193E-3</v>
      </c>
    </row>
    <row r="881" spans="1:12">
      <c r="A881" s="22">
        <v>40311.224999999999</v>
      </c>
      <c r="E881" s="26">
        <v>15.243930000000001</v>
      </c>
      <c r="G881" s="27">
        <v>0.22500000000000001</v>
      </c>
      <c r="J881" s="30">
        <f>IF(G881&lt;$H$10,$H$16,IF(G881&gt;$I$10,$H$16,$H$11))*E881/600</f>
        <v>5.0813100000000003E-3</v>
      </c>
      <c r="L881" s="32">
        <f>$J881*($G881-$G880)*60*24</f>
        <v>5.081309999999983E-3</v>
      </c>
    </row>
    <row r="882" spans="1:12">
      <c r="A882" s="22">
        <v>40311.225694444445</v>
      </c>
      <c r="E882" s="26">
        <v>15.39486</v>
      </c>
      <c r="G882" s="27">
        <v>0.22569444444444445</v>
      </c>
      <c r="J882" s="30">
        <f>IF(G882&lt;$H$10,$H$16,IF(G882&gt;$I$10,$H$16,$H$11))*E882/600</f>
        <v>5.1316200000000008E-3</v>
      </c>
      <c r="L882" s="32">
        <f>$J882*($G882-$G881)*60*24</f>
        <v>5.1316199999999826E-3</v>
      </c>
    </row>
    <row r="883" spans="1:12">
      <c r="A883" s="22">
        <v>40311.226388888892</v>
      </c>
      <c r="E883" s="26">
        <v>15.243930000000001</v>
      </c>
      <c r="G883" s="27">
        <v>0.22638888888888889</v>
      </c>
      <c r="J883" s="30">
        <f>IF(G883&lt;$H$10,$H$16,IF(G883&gt;$I$10,$H$16,$H$11))*E883/600</f>
        <v>5.0813100000000003E-3</v>
      </c>
      <c r="L883" s="32">
        <f>$J883*($G883-$G882)*60*24</f>
        <v>5.081309999999983E-3</v>
      </c>
    </row>
    <row r="884" spans="1:12">
      <c r="A884" s="22">
        <v>40311.227083333331</v>
      </c>
      <c r="E884" s="26">
        <v>15.224235</v>
      </c>
      <c r="G884" s="27">
        <v>0.22708333333333333</v>
      </c>
      <c r="J884" s="30">
        <f>IF(G884&lt;$H$10,$H$16,IF(G884&gt;$I$10,$H$16,$H$11))*E884/600</f>
        <v>5.0747450000000003E-3</v>
      </c>
      <c r="L884" s="32">
        <f>$J884*($G884-$G883)*60*24</f>
        <v>5.074744999999983E-3</v>
      </c>
    </row>
    <row r="885" spans="1:12">
      <c r="A885" s="22">
        <v>40311.227777777778</v>
      </c>
      <c r="E885" s="26">
        <v>15.224235</v>
      </c>
      <c r="G885" s="27">
        <v>0.22777777777777777</v>
      </c>
      <c r="J885" s="30">
        <f>IF(G885&lt;$H$10,$H$16,IF(G885&gt;$I$10,$H$16,$H$11))*E885/600</f>
        <v>5.0747450000000003E-3</v>
      </c>
      <c r="L885" s="32">
        <f>$J885*($G885-$G884)*60*24</f>
        <v>5.074744999999983E-3</v>
      </c>
    </row>
    <row r="886" spans="1:12">
      <c r="A886" s="22">
        <v>40311.228472222225</v>
      </c>
      <c r="E886" s="26">
        <v>15.30958</v>
      </c>
      <c r="G886" s="27">
        <v>0.22847222222222222</v>
      </c>
      <c r="J886" s="30">
        <f>IF(G886&lt;$H$10,$H$16,IF(G886&gt;$I$10,$H$16,$H$11))*E886/600</f>
        <v>5.1031933333333338E-3</v>
      </c>
      <c r="L886" s="32">
        <f>$J886*($G886-$G885)*60*24</f>
        <v>5.1031933333333156E-3</v>
      </c>
    </row>
    <row r="887" spans="1:12">
      <c r="A887" s="22">
        <v>40311.229166666664</v>
      </c>
      <c r="E887" s="26">
        <v>15.237365</v>
      </c>
      <c r="G887" s="27">
        <v>0.22916666666666666</v>
      </c>
      <c r="J887" s="30">
        <f>IF(G887&lt;$H$10,$H$16,IF(G887&gt;$I$10,$H$16,$H$11))*E887/600</f>
        <v>5.079121666666667E-3</v>
      </c>
      <c r="L887" s="32">
        <f>$J887*($G887-$G886)*60*24</f>
        <v>5.0791216666666488E-3</v>
      </c>
    </row>
    <row r="888" spans="1:12">
      <c r="A888" s="22">
        <v>40311.229861111111</v>
      </c>
      <c r="E888" s="26">
        <v>15.2308</v>
      </c>
      <c r="G888" s="27">
        <v>0.2298611111111111</v>
      </c>
      <c r="J888" s="30">
        <f>IF(G888&lt;$H$10,$H$16,IF(G888&gt;$I$10,$H$16,$H$11))*E888/600</f>
        <v>5.0769333333333336E-3</v>
      </c>
      <c r="L888" s="32">
        <f>$J888*($G888-$G887)*60*24</f>
        <v>5.0769333333333163E-3</v>
      </c>
    </row>
    <row r="889" spans="1:12">
      <c r="A889" s="22">
        <v>40311.230555555558</v>
      </c>
      <c r="E889" s="26">
        <v>15.237365</v>
      </c>
      <c r="G889" s="27">
        <v>0.23055555555555554</v>
      </c>
      <c r="J889" s="30">
        <f>IF(G889&lt;$H$10,$H$16,IF(G889&gt;$I$10,$H$16,$H$11))*E889/600</f>
        <v>5.079121666666667E-3</v>
      </c>
      <c r="L889" s="32">
        <f>$J889*($G889-$G888)*60*24</f>
        <v>5.0791216666666488E-3</v>
      </c>
    </row>
    <row r="890" spans="1:12">
      <c r="A890" s="22">
        <v>40311.231249999997</v>
      </c>
      <c r="E890" s="26">
        <v>15.184844999999999</v>
      </c>
      <c r="G890" s="27">
        <v>0.23124999999999998</v>
      </c>
      <c r="J890" s="30">
        <f>IF(G890&lt;$H$10,$H$16,IF(G890&gt;$I$10,$H$16,$H$11))*E890/600</f>
        <v>5.0616150000000002E-3</v>
      </c>
      <c r="L890" s="32">
        <f>$J890*($G890-$G889)*60*24</f>
        <v>5.061614999999982E-3</v>
      </c>
    </row>
    <row r="891" spans="1:12">
      <c r="A891" s="22">
        <v>40311.231944444444</v>
      </c>
      <c r="E891" s="26">
        <v>15.30204</v>
      </c>
      <c r="G891" s="27">
        <v>0.23194444444444443</v>
      </c>
      <c r="J891" s="30">
        <f>IF(G891&lt;$H$10,$H$16,IF(G891&gt;$I$10,$H$16,$H$11))*E891/600</f>
        <v>5.1006800000000007E-3</v>
      </c>
      <c r="L891" s="32">
        <f>$J891*($G891-$G890)*60*24</f>
        <v>5.1006799999999825E-3</v>
      </c>
    </row>
    <row r="892" spans="1:12">
      <c r="A892" s="22">
        <v>40311.232638888891</v>
      </c>
      <c r="E892" s="26">
        <v>15.268890000000001</v>
      </c>
      <c r="G892" s="27">
        <v>0.23263888888888887</v>
      </c>
      <c r="J892" s="30">
        <f>IF(G892&lt;$H$10,$H$16,IF(G892&gt;$I$10,$H$16,$H$11))*E892/600</f>
        <v>5.0896300000000004E-3</v>
      </c>
      <c r="L892" s="32">
        <f>$J892*($G892-$G891)*60*24</f>
        <v>5.0896299999999822E-3</v>
      </c>
    </row>
    <row r="893" spans="1:12">
      <c r="A893" s="22">
        <v>40311.23333333333</v>
      </c>
      <c r="E893" s="26">
        <v>14.962175999999999</v>
      </c>
      <c r="G893" s="27">
        <v>0.23333333333333331</v>
      </c>
      <c r="J893" s="30">
        <f>IF(G893&lt;$H$10,$H$16,IF(G893&gt;$I$10,$H$16,$H$11))*E893/600</f>
        <v>4.9873920000000002E-3</v>
      </c>
      <c r="L893" s="32">
        <f>$J893*($G893-$G892)*60*24</f>
        <v>4.9873919999999829E-3</v>
      </c>
    </row>
    <row r="894" spans="1:12">
      <c r="A894" s="22">
        <v>40311.234027777777</v>
      </c>
      <c r="E894" s="26">
        <v>14.942591999999999</v>
      </c>
      <c r="G894" s="27">
        <v>0.23402777777777781</v>
      </c>
      <c r="J894" s="30">
        <f>IF(G894&lt;$H$10,$H$16,IF(G894&gt;$I$10,$H$16,$H$11))*E894/600</f>
        <v>4.9808640000000006E-3</v>
      </c>
      <c r="L894" s="32">
        <f>$J894*($G894-$G893)*60*24</f>
        <v>4.9808640000003814E-3</v>
      </c>
    </row>
    <row r="895" spans="1:12">
      <c r="A895" s="22">
        <v>40311.234722222223</v>
      </c>
      <c r="E895" s="26">
        <v>14.936064</v>
      </c>
      <c r="G895" s="27">
        <v>0.23472222222222219</v>
      </c>
      <c r="J895" s="30">
        <f>IF(G895&lt;$H$10,$H$16,IF(G895&gt;$I$10,$H$16,$H$11))*E895/600</f>
        <v>4.9786880000000002E-3</v>
      </c>
      <c r="L895" s="32">
        <f>$J895*($G895-$G894)*60*24</f>
        <v>4.9786879999995847E-3</v>
      </c>
    </row>
    <row r="896" spans="1:12">
      <c r="A896" s="22">
        <v>40311.23541666667</v>
      </c>
      <c r="E896" s="26">
        <v>15.108864000000001</v>
      </c>
      <c r="G896" s="27">
        <v>0.23541666666666669</v>
      </c>
      <c r="J896" s="30">
        <f>IF(G896&lt;$H$10,$H$16,IF(G896&gt;$I$10,$H$16,$H$11))*E896/600</f>
        <v>5.0362880000000007E-3</v>
      </c>
      <c r="L896" s="32">
        <f>$J896*($G896-$G895)*60*24</f>
        <v>5.0362880000003859E-3</v>
      </c>
    </row>
    <row r="897" spans="1:12">
      <c r="A897" s="22">
        <v>40311.236111111109</v>
      </c>
      <c r="E897" s="26">
        <v>15.102271999999999</v>
      </c>
      <c r="G897" s="27">
        <v>0.23611111111111113</v>
      </c>
      <c r="J897" s="30">
        <f>IF(G897&lt;$H$10,$H$16,IF(G897&gt;$I$10,$H$16,$H$11))*E897/600</f>
        <v>5.0340906666666669E-3</v>
      </c>
      <c r="L897" s="32">
        <f>$J897*($G897-$G896)*60*24</f>
        <v>5.0340906666666487E-3</v>
      </c>
    </row>
    <row r="898" spans="1:12">
      <c r="A898" s="22">
        <v>40311.236805555556</v>
      </c>
      <c r="E898" s="26">
        <v>15.042944</v>
      </c>
      <c r="G898" s="27">
        <v>0.23680555555555557</v>
      </c>
      <c r="J898" s="30">
        <f>IF(G898&lt;$H$10,$H$16,IF(G898&gt;$I$10,$H$16,$H$11))*E898/600</f>
        <v>5.0143146666666669E-3</v>
      </c>
      <c r="L898" s="32">
        <f>$J898*($G898-$G897)*60*24</f>
        <v>5.0143146666666487E-3</v>
      </c>
    </row>
    <row r="899" spans="1:12">
      <c r="A899" s="22">
        <v>40311.237500000003</v>
      </c>
      <c r="E899" s="26">
        <v>15.089088</v>
      </c>
      <c r="G899" s="27">
        <v>0.23750000000000002</v>
      </c>
      <c r="J899" s="30">
        <f>IF(G899&lt;$H$10,$H$16,IF(G899&gt;$I$10,$H$16,$H$11))*E899/600</f>
        <v>5.0296960000000002E-3</v>
      </c>
      <c r="L899" s="32">
        <f>$J899*($G899-$G898)*60*24</f>
        <v>5.029695999999982E-3</v>
      </c>
    </row>
    <row r="900" spans="1:12">
      <c r="A900" s="22">
        <v>40311.238194444442</v>
      </c>
      <c r="E900" s="26">
        <v>15.128640000000001</v>
      </c>
      <c r="G900" s="27">
        <v>0.23819444444444446</v>
      </c>
      <c r="J900" s="30">
        <f>IF(G900&lt;$H$10,$H$16,IF(G900&gt;$I$10,$H$16,$H$11))*E900/600</f>
        <v>5.0428800000000005E-3</v>
      </c>
      <c r="L900" s="32">
        <f>$J900*($G900-$G899)*60*24</f>
        <v>5.0428799999999822E-3</v>
      </c>
    </row>
    <row r="901" spans="1:12">
      <c r="A901" s="22">
        <v>40311.238888888889</v>
      </c>
      <c r="E901" s="26">
        <v>15.135232</v>
      </c>
      <c r="G901" s="27">
        <v>0.2388888888888889</v>
      </c>
      <c r="J901" s="30">
        <f>IF(G901&lt;$H$10,$H$16,IF(G901&gt;$I$10,$H$16,$H$11))*E901/600</f>
        <v>5.0450773333333334E-3</v>
      </c>
      <c r="L901" s="32">
        <f>$J901*($G901-$G900)*60*24</f>
        <v>5.0450773333333161E-3</v>
      </c>
    </row>
    <row r="902" spans="1:12">
      <c r="A902" s="22">
        <v>40311.239583333336</v>
      </c>
      <c r="E902" s="26">
        <v>15.135232</v>
      </c>
      <c r="G902" s="27">
        <v>0.23958333333333334</v>
      </c>
      <c r="J902" s="30">
        <f>IF(G902&lt;$H$10,$H$16,IF(G902&gt;$I$10,$H$16,$H$11))*E902/600</f>
        <v>5.0450773333333334E-3</v>
      </c>
      <c r="L902" s="32">
        <f>$J902*($G902-$G901)*60*24</f>
        <v>5.0450773333333161E-3</v>
      </c>
    </row>
    <row r="903" spans="1:12">
      <c r="A903" s="22">
        <v>40311.240277777775</v>
      </c>
      <c r="E903" s="26">
        <v>15.253888</v>
      </c>
      <c r="G903" s="27">
        <v>0.24027777777777778</v>
      </c>
      <c r="J903" s="30">
        <f>IF(G903&lt;$H$10,$H$16,IF(G903&gt;$I$10,$H$16,$H$11))*E903/600</f>
        <v>5.0846293333333334E-3</v>
      </c>
      <c r="L903" s="32">
        <f>$J903*($G903-$G902)*60*24</f>
        <v>5.0846293333333152E-3</v>
      </c>
    </row>
    <row r="904" spans="1:12">
      <c r="A904" s="22">
        <v>40311.240972222222</v>
      </c>
      <c r="E904" s="26">
        <v>15.105791999999999</v>
      </c>
      <c r="G904" s="27">
        <v>0.24097222222222223</v>
      </c>
      <c r="J904" s="30">
        <f>IF(G904&lt;$H$10,$H$16,IF(G904&gt;$I$10,$H$16,$H$11))*E904/600</f>
        <v>5.0352640000000002E-3</v>
      </c>
      <c r="L904" s="32">
        <f>$J904*($G904-$G903)*60*24</f>
        <v>5.0352639999999829E-3</v>
      </c>
    </row>
    <row r="905" spans="1:12">
      <c r="A905" s="22">
        <v>40311.241666666669</v>
      </c>
      <c r="E905" s="26">
        <v>15.092736</v>
      </c>
      <c r="G905" s="27">
        <v>0.24166666666666667</v>
      </c>
      <c r="J905" s="30">
        <f>IF(G905&lt;$H$10,$H$16,IF(G905&gt;$I$10,$H$16,$H$11))*E905/600</f>
        <v>5.0309120000000011E-3</v>
      </c>
      <c r="L905" s="32">
        <f>$J905*($G905-$G904)*60*24</f>
        <v>5.0309119999999838E-3</v>
      </c>
    </row>
    <row r="906" spans="1:12">
      <c r="A906" s="22">
        <v>40311.242361111108</v>
      </c>
      <c r="E906" s="26">
        <v>15.07968</v>
      </c>
      <c r="G906" s="27">
        <v>0.24236111111111111</v>
      </c>
      <c r="J906" s="30">
        <f>IF(G906&lt;$H$10,$H$16,IF(G906&gt;$I$10,$H$16,$H$11))*E906/600</f>
        <v>5.0265600000000002E-3</v>
      </c>
      <c r="L906" s="32">
        <f>$J906*($G906-$G905)*60*24</f>
        <v>5.026559999999982E-3</v>
      </c>
    </row>
    <row r="907" spans="1:12">
      <c r="A907" s="22">
        <v>40311.243055555555</v>
      </c>
      <c r="E907" s="26">
        <v>15.384600000000001</v>
      </c>
      <c r="G907" s="27">
        <v>0.24305555555555555</v>
      </c>
      <c r="J907" s="30">
        <f>IF(G907&lt;$H$10,$H$16,IF(G907&gt;$I$10,$H$16,$H$11))*E907/600</f>
        <v>5.1282000000000003E-3</v>
      </c>
      <c r="L907" s="32">
        <f>$J907*($G907-$G906)*60*24</f>
        <v>5.1281999999999821E-3</v>
      </c>
    </row>
    <row r="908" spans="1:12">
      <c r="A908" s="22">
        <v>40311.243750000001</v>
      </c>
      <c r="E908" s="26">
        <v>15.345000000000001</v>
      </c>
      <c r="G908" s="27">
        <v>0.24374999999999999</v>
      </c>
      <c r="J908" s="30">
        <f>IF(G908&lt;$H$10,$H$16,IF(G908&gt;$I$10,$H$16,$H$11))*E908/600</f>
        <v>5.1150000000000006E-3</v>
      </c>
      <c r="L908" s="32">
        <f>$J908*($G908-$G907)*60*24</f>
        <v>5.1149999999999824E-3</v>
      </c>
    </row>
    <row r="909" spans="1:12">
      <c r="A909" s="22">
        <v>40311.244444444441</v>
      </c>
      <c r="E909" s="26">
        <v>15.237287999999999</v>
      </c>
      <c r="G909" s="27">
        <v>0.24444444444444446</v>
      </c>
      <c r="J909" s="30">
        <f>IF(G909&lt;$H$10,$H$16,IF(G909&gt;$I$10,$H$16,$H$11))*E909/600</f>
        <v>5.079096E-3</v>
      </c>
      <c r="L909" s="32">
        <f>$J909*($G909-$G908)*60*24</f>
        <v>5.0790960000001856E-3</v>
      </c>
    </row>
    <row r="910" spans="1:12">
      <c r="A910" s="22">
        <v>40311.245138888888</v>
      </c>
      <c r="E910" s="26">
        <v>15.3582</v>
      </c>
      <c r="G910" s="27">
        <v>0.24513888888888888</v>
      </c>
      <c r="J910" s="30">
        <f>IF(G910&lt;$H$10,$H$16,IF(G910&gt;$I$10,$H$16,$H$11))*E910/600</f>
        <v>5.1194000000000005E-3</v>
      </c>
      <c r="L910" s="32">
        <f>$J910*($G910-$G909)*60*24</f>
        <v>5.1193999999997776E-3</v>
      </c>
    </row>
    <row r="911" spans="1:12">
      <c r="A911" s="22">
        <v>40311.245833333334</v>
      </c>
      <c r="E911" s="26">
        <v>15.252599999999999</v>
      </c>
      <c r="G911" s="27">
        <v>0.24583333333333335</v>
      </c>
      <c r="J911" s="30">
        <f>IF(G911&lt;$H$10,$H$16,IF(G911&gt;$I$10,$H$16,$H$11))*E911/600</f>
        <v>5.0842000000000005E-3</v>
      </c>
      <c r="L911" s="32">
        <f>$J911*($G911-$G910)*60*24</f>
        <v>5.0842000000001861E-3</v>
      </c>
    </row>
    <row r="912" spans="1:12">
      <c r="A912" s="22">
        <v>40311.246527777781</v>
      </c>
      <c r="E912" s="26">
        <v>15.2592</v>
      </c>
      <c r="G912" s="27">
        <v>0.24652777777777779</v>
      </c>
      <c r="J912" s="30">
        <f>IF(G912&lt;$H$10,$H$16,IF(G912&gt;$I$10,$H$16,$H$11))*E912/600</f>
        <v>5.0864000000000005E-3</v>
      </c>
      <c r="L912" s="32">
        <f>$J912*($G912-$G911)*60*24</f>
        <v>5.0863999999999823E-3</v>
      </c>
    </row>
    <row r="913" spans="1:12">
      <c r="A913" s="22">
        <v>40311.24722222222</v>
      </c>
      <c r="E913" s="26">
        <v>14.9955</v>
      </c>
      <c r="G913" s="27">
        <v>0.24722222222222223</v>
      </c>
      <c r="J913" s="30">
        <f>IF(G913&lt;$H$10,$H$16,IF(G913&gt;$I$10,$H$16,$H$11))*E913/600</f>
        <v>4.9985000000000003E-3</v>
      </c>
      <c r="L913" s="32">
        <f>$J913*($G913-$G912)*60*24</f>
        <v>4.9984999999999821E-3</v>
      </c>
    </row>
    <row r="914" spans="1:12">
      <c r="A914" s="22">
        <v>40311.247916666667</v>
      </c>
      <c r="E914" s="26">
        <v>14.911</v>
      </c>
      <c r="G914" s="27">
        <v>0.24791666666666667</v>
      </c>
      <c r="J914" s="30">
        <f>IF(G914&lt;$H$10,$H$16,IF(G914&gt;$I$10,$H$16,$H$11))*E914/600</f>
        <v>4.9703333333333335E-3</v>
      </c>
      <c r="L914" s="32">
        <f>$J914*($G914-$G913)*60*24</f>
        <v>4.9703333333333153E-3</v>
      </c>
    </row>
    <row r="915" spans="1:12">
      <c r="A915" s="22">
        <v>40311.248611111114</v>
      </c>
      <c r="E915" s="26">
        <v>14.9305</v>
      </c>
      <c r="G915" s="27">
        <v>0.24861111111111112</v>
      </c>
      <c r="J915" s="30">
        <f>IF(G915&lt;$H$10,$H$16,IF(G915&gt;$I$10,$H$16,$H$11))*E915/600</f>
        <v>4.976833333333334E-3</v>
      </c>
      <c r="L915" s="32">
        <f>$J915*($G915-$G914)*60*24</f>
        <v>4.9768333333333158E-3</v>
      </c>
    </row>
    <row r="916" spans="1:12">
      <c r="A916" s="22">
        <v>40311.249305555553</v>
      </c>
      <c r="E916" s="26">
        <v>15.04698</v>
      </c>
      <c r="G916" s="27">
        <v>0.24930555555555556</v>
      </c>
      <c r="J916" s="30">
        <f>IF(G916&lt;$H$10,$H$16,IF(G916&gt;$I$10,$H$16,$H$11))*E916/600</f>
        <v>5.0156599999999999E-3</v>
      </c>
      <c r="L916" s="32">
        <f>$J916*($G916-$G915)*60*24</f>
        <v>5.0156599999999826E-3</v>
      </c>
    </row>
    <row r="917" spans="1:12">
      <c r="A917" s="22">
        <v>40311.25</v>
      </c>
      <c r="E917" s="26">
        <v>15.04698</v>
      </c>
      <c r="G917" s="27">
        <v>0.25</v>
      </c>
      <c r="J917" s="30">
        <f>IF(G917&lt;$H$10,$H$16,IF(G917&gt;$I$10,$H$16,$H$11))*E917/600</f>
        <v>5.0156599999999999E-3</v>
      </c>
      <c r="L917" s="32">
        <f>$J917*($G917-$G916)*60*24</f>
        <v>5.0156599999999826E-3</v>
      </c>
    </row>
    <row r="918" spans="1:12">
      <c r="A918" s="22">
        <v>40311.250694444447</v>
      </c>
      <c r="E918" s="26">
        <v>15.053545</v>
      </c>
      <c r="G918" s="27">
        <v>0.25069444444444444</v>
      </c>
      <c r="J918" s="30">
        <f>IF(G918&lt;$H$10,$H$16,IF(G918&gt;$I$10,$H$16,$H$11))*E918/600</f>
        <v>5.0178483333333341E-3</v>
      </c>
      <c r="L918" s="32">
        <f>$J918*($G918-$G917)*60*24</f>
        <v>5.0178483333333168E-3</v>
      </c>
    </row>
    <row r="919" spans="1:12">
      <c r="A919" s="22">
        <v>40311.251388888886</v>
      </c>
      <c r="E919" s="26">
        <v>15.06011</v>
      </c>
      <c r="G919" s="27">
        <v>0.25138888888888888</v>
      </c>
      <c r="J919" s="30">
        <f>IF(G919&lt;$H$10,$H$16,IF(G919&gt;$I$10,$H$16,$H$11))*E919/600</f>
        <v>5.0200366666666666E-3</v>
      </c>
      <c r="L919" s="32">
        <f>$J919*($G919-$G918)*60*24</f>
        <v>5.0200366666666493E-3</v>
      </c>
    </row>
    <row r="920" spans="1:12">
      <c r="A920" s="22">
        <v>40311.252083333333</v>
      </c>
      <c r="E920" s="26">
        <v>15.079805</v>
      </c>
      <c r="G920" s="27">
        <v>0.25208333333333333</v>
      </c>
      <c r="J920" s="30">
        <f>IF(G920&lt;$H$10,$H$16,IF(G920&gt;$I$10,$H$16,$H$11))*E920/600</f>
        <v>5.0266016666666675E-3</v>
      </c>
      <c r="L920" s="32">
        <f>$J920*($G920-$G919)*60*24</f>
        <v>5.0266016666666502E-3</v>
      </c>
    </row>
    <row r="921" spans="1:12">
      <c r="A921" s="22">
        <v>40311.25277777778</v>
      </c>
      <c r="E921" s="26">
        <v>15.15202</v>
      </c>
      <c r="G921" s="27">
        <v>0.25277777777777777</v>
      </c>
      <c r="J921" s="30">
        <f>IF(G921&lt;$H$10,$H$16,IF(G921&gt;$I$10,$H$16,$H$11))*E921/600</f>
        <v>5.0506733333333335E-3</v>
      </c>
      <c r="L921" s="32">
        <f>$J921*($G921-$G920)*60*24</f>
        <v>5.0506733333333161E-3</v>
      </c>
    </row>
    <row r="922" spans="1:12">
      <c r="A922" s="22">
        <v>40311.253472222219</v>
      </c>
      <c r="E922" s="26">
        <v>15.0345</v>
      </c>
      <c r="G922" s="27">
        <v>0.25347222222222221</v>
      </c>
      <c r="J922" s="30">
        <f>IF(G922&lt;$H$10,$H$16,IF(G922&gt;$I$10,$H$16,$H$11))*E922/600</f>
        <v>5.0114999999999995E-3</v>
      </c>
      <c r="L922" s="32">
        <f>$J922*($G922-$G921)*60*24</f>
        <v>5.0114999999999821E-3</v>
      </c>
    </row>
    <row r="923" spans="1:12">
      <c r="A923" s="22">
        <v>40311.254166666666</v>
      </c>
      <c r="E923" s="26">
        <v>15.0345</v>
      </c>
      <c r="G923" s="27">
        <v>0.25416666666666665</v>
      </c>
      <c r="J923" s="30">
        <f>IF(G923&lt;$H$10,$H$16,IF(G923&gt;$I$10,$H$16,$H$11))*E923/600</f>
        <v>5.0114999999999995E-3</v>
      </c>
      <c r="L923" s="32">
        <f>$J923*($G923-$G922)*60*24</f>
        <v>5.0114999999999821E-3</v>
      </c>
    </row>
    <row r="924" spans="1:12">
      <c r="A924" s="22">
        <v>40311.254861111112</v>
      </c>
      <c r="E924" s="26">
        <v>15.041</v>
      </c>
      <c r="G924" s="27">
        <v>0.25486111111111109</v>
      </c>
      <c r="J924" s="30">
        <f>IF(G924&lt;$H$10,$H$16,IF(G924&gt;$I$10,$H$16,$H$11))*E924/600</f>
        <v>5.0136666666666671E-3</v>
      </c>
      <c r="L924" s="32">
        <f>$J924*($G924-$G923)*60*24</f>
        <v>5.0136666666666498E-3</v>
      </c>
    </row>
    <row r="925" spans="1:12">
      <c r="A925" s="22">
        <v>40311.255555555559</v>
      </c>
      <c r="E925" s="26">
        <v>15.0215</v>
      </c>
      <c r="G925" s="27">
        <v>0.25555555555555559</v>
      </c>
      <c r="J925" s="30">
        <f>IF(G925&lt;$H$10,$H$16,IF(G925&gt;$I$10,$H$16,$H$11))*E925/600</f>
        <v>5.0071666666666667E-3</v>
      </c>
      <c r="L925" s="32">
        <f>$J925*($G925-$G924)*60*24</f>
        <v>5.0071666666670492E-3</v>
      </c>
    </row>
    <row r="926" spans="1:12">
      <c r="A926" s="22">
        <v>40311.256249999999</v>
      </c>
      <c r="E926" s="26">
        <v>15.0345</v>
      </c>
      <c r="G926" s="27">
        <v>0.25625000000000003</v>
      </c>
      <c r="J926" s="30">
        <f>IF(G926&lt;$H$10,$H$16,IF(G926&gt;$I$10,$H$16,$H$11))*E926/600</f>
        <v>5.0114999999999995E-3</v>
      </c>
      <c r="L926" s="32">
        <f>$J926*($G926-$G925)*60*24</f>
        <v>5.0114999999999821E-3</v>
      </c>
    </row>
    <row r="927" spans="1:12">
      <c r="A927" s="22">
        <v>40311.256944444445</v>
      </c>
      <c r="E927" s="26">
        <v>14.9955</v>
      </c>
      <c r="G927" s="27">
        <v>0.25694444444444448</v>
      </c>
      <c r="J927" s="30">
        <f>IF(G927&lt;$H$10,$H$16,IF(G927&gt;$I$10,$H$16,$H$11))*E927/600</f>
        <v>4.9985000000000003E-3</v>
      </c>
      <c r="L927" s="32">
        <f>$J927*($G927-$G926)*60*24</f>
        <v>4.9984999999999821E-3</v>
      </c>
    </row>
    <row r="928" spans="1:12">
      <c r="A928" s="22">
        <v>40311.257638888892</v>
      </c>
      <c r="E928" s="26">
        <v>14.9565</v>
      </c>
      <c r="G928" s="27">
        <v>0.25763888888888892</v>
      </c>
      <c r="J928" s="30">
        <f>IF(G928&lt;$H$10,$H$16,IF(G928&gt;$I$10,$H$16,$H$11))*E928/600</f>
        <v>4.9855000000000003E-3</v>
      </c>
      <c r="L928" s="32">
        <f>$J928*($G928-$G927)*60*24</f>
        <v>4.985499999999983E-3</v>
      </c>
    </row>
    <row r="929" spans="1:12">
      <c r="A929" s="22">
        <v>40311.258333333331</v>
      </c>
      <c r="E929" s="26">
        <v>14.904500000000001</v>
      </c>
      <c r="G929" s="27">
        <v>0.25833333333333336</v>
      </c>
      <c r="J929" s="30">
        <f>IF(G929&lt;$H$10,$H$16,IF(G929&gt;$I$10,$H$16,$H$11))*E929/600</f>
        <v>4.9681666666666667E-3</v>
      </c>
      <c r="L929" s="32">
        <f>$J929*($G929-$G928)*60*24</f>
        <v>4.9681666666666485E-3</v>
      </c>
    </row>
    <row r="930" spans="1:12">
      <c r="A930" s="22">
        <v>40311.259027777778</v>
      </c>
      <c r="E930" s="26">
        <v>14.936999999999999</v>
      </c>
      <c r="G930" s="27">
        <v>0.2590277777777778</v>
      </c>
      <c r="J930" s="30">
        <f>IF(G930&lt;$H$10,$H$16,IF(G930&gt;$I$10,$H$16,$H$11))*E930/600</f>
        <v>4.9789999999999999E-3</v>
      </c>
      <c r="L930" s="32">
        <f>$J930*($G930-$G929)*60*24</f>
        <v>4.9789999999999826E-3</v>
      </c>
    </row>
    <row r="931" spans="1:12">
      <c r="A931" s="22">
        <v>40311.259722222225</v>
      </c>
      <c r="E931" s="26">
        <v>15.020720000000001</v>
      </c>
      <c r="G931" s="27">
        <v>0.25972222222222224</v>
      </c>
      <c r="J931" s="30">
        <f>IF(G931&lt;$H$10,$H$16,IF(G931&gt;$I$10,$H$16,$H$11))*E931/600</f>
        <v>5.0069066666666665E-3</v>
      </c>
      <c r="L931" s="32">
        <f>$J931*($G931-$G930)*60*24</f>
        <v>5.0069066666666492E-3</v>
      </c>
    </row>
    <row r="932" spans="1:12">
      <c r="A932" s="22">
        <v>40311.260416666664</v>
      </c>
      <c r="E932" s="26">
        <v>14.744384</v>
      </c>
      <c r="G932" s="27">
        <v>0.26041666666666669</v>
      </c>
      <c r="J932" s="30">
        <f>IF(G932&lt;$H$10,$H$16,IF(G932&gt;$I$10,$H$16,$H$11))*E932/600</f>
        <v>4.9147946666666673E-3</v>
      </c>
      <c r="L932" s="32">
        <f>$J932*($G932-$G931)*60*24</f>
        <v>4.9147946666666499E-3</v>
      </c>
    </row>
    <row r="933" spans="1:12">
      <c r="A933" s="22">
        <v>40311.261111111111</v>
      </c>
      <c r="E933" s="26">
        <v>14.831616</v>
      </c>
      <c r="G933" s="27">
        <v>0.26111111111111113</v>
      </c>
      <c r="J933" s="30">
        <f>IF(G933&lt;$H$10,$H$16,IF(G933&gt;$I$10,$H$16,$H$11))*E933/600</f>
        <v>4.9438720000000002E-3</v>
      </c>
      <c r="L933" s="32">
        <f>$J933*($G933-$G932)*60*24</f>
        <v>4.9438719999999828E-3</v>
      </c>
    </row>
    <row r="934" spans="1:12">
      <c r="A934" s="22">
        <v>40311.261805555558</v>
      </c>
      <c r="E934" s="26">
        <v>14.783168</v>
      </c>
      <c r="G934" s="27">
        <v>0.26180555555555557</v>
      </c>
      <c r="J934" s="30">
        <f>IF(G934&lt;$H$10,$H$16,IF(G934&gt;$I$10,$H$16,$H$11))*E934/600</f>
        <v>4.927722666666667E-3</v>
      </c>
      <c r="L934" s="32">
        <f>$J934*($G934-$G933)*60*24</f>
        <v>4.9277226666666497E-3</v>
      </c>
    </row>
    <row r="935" spans="1:12">
      <c r="A935" s="22">
        <v>40311.262499999997</v>
      </c>
      <c r="E935" s="26">
        <v>15.0144</v>
      </c>
      <c r="G935" s="27">
        <v>0.26250000000000001</v>
      </c>
      <c r="J935" s="30">
        <f>IF(G935&lt;$H$10,$H$16,IF(G935&gt;$I$10,$H$16,$H$11))*E935/600</f>
        <v>5.0048000000000002E-3</v>
      </c>
      <c r="L935" s="32">
        <f>$J935*($G935-$G934)*60*24</f>
        <v>5.0047999999999829E-3</v>
      </c>
    </row>
    <row r="936" spans="1:12">
      <c r="A936" s="22">
        <v>40311.263194444444</v>
      </c>
      <c r="E936" s="26">
        <v>15.007872000000001</v>
      </c>
      <c r="G936" s="27">
        <v>0.26319444444444445</v>
      </c>
      <c r="J936" s="30">
        <f>IF(G936&lt;$H$10,$H$16,IF(G936&gt;$I$10,$H$16,$H$11))*E936/600</f>
        <v>5.0026240000000007E-3</v>
      </c>
      <c r="L936" s="32">
        <f>$J936*($G936-$G935)*60*24</f>
        <v>5.0026239999999833E-3</v>
      </c>
    </row>
    <row r="937" spans="1:12">
      <c r="A937" s="22">
        <v>40311.263888888891</v>
      </c>
      <c r="E937" s="26">
        <v>14.785920000000001</v>
      </c>
      <c r="G937" s="27">
        <v>0.2638888888888889</v>
      </c>
      <c r="J937" s="30">
        <f>IF(G937&lt;$H$10,$H$16,IF(G937&gt;$I$10,$H$16,$H$11))*E937/600</f>
        <v>4.9286400000000006E-3</v>
      </c>
      <c r="L937" s="32">
        <f>$J937*($G937-$G936)*60*24</f>
        <v>4.9286399999999833E-3</v>
      </c>
    </row>
    <row r="938" spans="1:12">
      <c r="A938" s="22">
        <v>40311.26458333333</v>
      </c>
      <c r="E938" s="26">
        <v>14.759808</v>
      </c>
      <c r="G938" s="27">
        <v>0.26458333333333334</v>
      </c>
      <c r="J938" s="30">
        <f>IF(G938&lt;$H$10,$H$16,IF(G938&gt;$I$10,$H$16,$H$11))*E938/600</f>
        <v>4.9199360000000006E-3</v>
      </c>
      <c r="L938" s="32">
        <f>$J938*($G938-$G937)*60*24</f>
        <v>4.9199359999999833E-3</v>
      </c>
    </row>
    <row r="939" spans="1:12">
      <c r="A939" s="22">
        <v>40311.265277777777</v>
      </c>
      <c r="E939" s="26">
        <v>14.681471999999999</v>
      </c>
      <c r="G939" s="27">
        <v>0.26527777777777778</v>
      </c>
      <c r="J939" s="30">
        <f>IF(G939&lt;$H$10,$H$16,IF(G939&gt;$I$10,$H$16,$H$11))*E939/600</f>
        <v>4.8938239999999997E-3</v>
      </c>
      <c r="L939" s="32">
        <f>$J939*($G939-$G938)*60*24</f>
        <v>4.8938239999999824E-3</v>
      </c>
    </row>
    <row r="940" spans="1:12">
      <c r="A940" s="22">
        <v>40311.265972222223</v>
      </c>
      <c r="E940" s="26">
        <v>14.759808</v>
      </c>
      <c r="G940" s="27">
        <v>0.26597222222222222</v>
      </c>
      <c r="J940" s="30">
        <f>IF(G940&lt;$H$10,$H$16,IF(G940&gt;$I$10,$H$16,$H$11))*E940/600</f>
        <v>4.9199360000000006E-3</v>
      </c>
      <c r="L940" s="32">
        <f>$J940*($G940-$G939)*60*24</f>
        <v>4.9199359999999833E-3</v>
      </c>
    </row>
    <row r="941" spans="1:12">
      <c r="A941" s="22">
        <v>40311.26666666667</v>
      </c>
      <c r="E941" s="26">
        <v>14.731456</v>
      </c>
      <c r="G941" s="27">
        <v>0.26666666666666666</v>
      </c>
      <c r="J941" s="30">
        <f>IF(G941&lt;$H$10,$H$16,IF(G941&gt;$I$10,$H$16,$H$11))*E941/600</f>
        <v>4.9104853333333332E-3</v>
      </c>
      <c r="L941" s="32">
        <f>$J941*($G941-$G940)*60*24</f>
        <v>4.9104853333333158E-3</v>
      </c>
    </row>
    <row r="942" spans="1:12">
      <c r="A942" s="22">
        <v>40311.267361111109</v>
      </c>
      <c r="E942" s="26">
        <v>14.99446</v>
      </c>
      <c r="G942" s="27">
        <v>0.2673611111111111</v>
      </c>
      <c r="J942" s="30">
        <f>IF(G942&lt;$H$10,$H$16,IF(G942&gt;$I$10,$H$16,$H$11))*E942/600</f>
        <v>4.9981533333333331E-3</v>
      </c>
      <c r="L942" s="32">
        <f>$J942*($G942-$G941)*60*24</f>
        <v>4.9981533333333158E-3</v>
      </c>
    </row>
    <row r="943" spans="1:12">
      <c r="A943" s="22">
        <v>40311.268055555556</v>
      </c>
      <c r="E943" s="26">
        <v>15.001025</v>
      </c>
      <c r="G943" s="27">
        <v>0.26805555555555555</v>
      </c>
      <c r="J943" s="30">
        <f>IF(G943&lt;$H$10,$H$16,IF(G943&gt;$I$10,$H$16,$H$11))*E943/600</f>
        <v>5.0003416666666673E-3</v>
      </c>
      <c r="L943" s="32">
        <f>$J943*($G943-$G942)*60*24</f>
        <v>5.00034166666665E-3</v>
      </c>
    </row>
    <row r="944" spans="1:12">
      <c r="A944" s="22">
        <v>40311.268750000003</v>
      </c>
      <c r="E944" s="26">
        <v>15.020720000000001</v>
      </c>
      <c r="G944" s="27">
        <v>0.26874999999999999</v>
      </c>
      <c r="J944" s="30">
        <f>IF(G944&lt;$H$10,$H$16,IF(G944&gt;$I$10,$H$16,$H$11))*E944/600</f>
        <v>5.0069066666666665E-3</v>
      </c>
      <c r="L944" s="32">
        <f>$J944*($G944-$G943)*60*24</f>
        <v>5.0069066666666492E-3</v>
      </c>
    </row>
    <row r="945" spans="1:12">
      <c r="A945" s="22">
        <v>40311.269444444442</v>
      </c>
      <c r="E945" s="26">
        <v>14.730029999999999</v>
      </c>
      <c r="G945" s="27">
        <v>0.26944444444444443</v>
      </c>
      <c r="J945" s="30">
        <f>IF(G945&lt;$H$10,$H$16,IF(G945&gt;$I$10,$H$16,$H$11))*E945/600</f>
        <v>4.9100100000000002E-3</v>
      </c>
      <c r="L945" s="32">
        <f>$J945*($G945-$G944)*60*24</f>
        <v>4.910009999999982E-3</v>
      </c>
    </row>
    <row r="946" spans="1:12">
      <c r="A946" s="22">
        <v>40311.270138888889</v>
      </c>
      <c r="E946" s="26">
        <v>14.553136</v>
      </c>
      <c r="G946" s="27">
        <v>0.27013888888888887</v>
      </c>
      <c r="J946" s="30">
        <f>IF(G946&lt;$H$10,$H$16,IF(G946&gt;$I$10,$H$16,$H$11))*E946/600</f>
        <v>4.851045333333334E-3</v>
      </c>
      <c r="L946" s="32">
        <f>$J946*($G946-$G945)*60*24</f>
        <v>4.8510453333333167E-3</v>
      </c>
    </row>
    <row r="947" spans="1:12">
      <c r="A947" s="22">
        <v>40311.270833333336</v>
      </c>
      <c r="E947" s="26">
        <v>14.740996000000001</v>
      </c>
      <c r="G947" s="27">
        <v>0.27083333333333331</v>
      </c>
      <c r="J947" s="30">
        <f>IF(G947&lt;$H$10,$H$16,IF(G947&gt;$I$10,$H$16,$H$11))*E947/600</f>
        <v>4.9136653333333342E-3</v>
      </c>
      <c r="L947" s="32">
        <f>$J947*($G947-$G946)*60*24</f>
        <v>4.9136653333333169E-3</v>
      </c>
    </row>
    <row r="948" spans="1:12">
      <c r="A948" s="22">
        <v>40311.271527777775</v>
      </c>
      <c r="E948" s="26">
        <v>14.751659999999999</v>
      </c>
      <c r="G948" s="27">
        <v>0.27152777777777776</v>
      </c>
      <c r="J948" s="30">
        <f>IF(G948&lt;$H$10,$H$16,IF(G948&gt;$I$10,$H$16,$H$11))*E948/600</f>
        <v>4.9172199999999999E-3</v>
      </c>
      <c r="L948" s="32">
        <f>$J948*($G948-$G947)*60*24</f>
        <v>4.9172199999999826E-3</v>
      </c>
    </row>
    <row r="949" spans="1:12">
      <c r="A949" s="22">
        <v>40311.272222222222</v>
      </c>
      <c r="E949" s="26">
        <v>15.260479999999999</v>
      </c>
      <c r="G949" s="27">
        <v>0.2722222222222222</v>
      </c>
      <c r="J949" s="30">
        <f>IF(G949&lt;$H$10,$H$16,IF(G949&gt;$I$10,$H$16,$H$11))*E949/600</f>
        <v>5.0868266666666672E-3</v>
      </c>
      <c r="L949" s="32">
        <f>$J949*($G949-$G948)*60*24</f>
        <v>5.086826666666649E-3</v>
      </c>
    </row>
    <row r="950" spans="1:12">
      <c r="A950" s="22">
        <v>40311.272916666669</v>
      </c>
      <c r="E950" s="26">
        <v>15.517568000000001</v>
      </c>
      <c r="G950" s="27">
        <v>0.27291666666666664</v>
      </c>
      <c r="J950" s="30">
        <f>IF(G950&lt;$H$10,$H$16,IF(G950&gt;$I$10,$H$16,$H$11))*E950/600</f>
        <v>5.1725226666666669E-3</v>
      </c>
      <c r="L950" s="32">
        <f>$J950*($G950-$G949)*60*24</f>
        <v>5.1725226666666478E-3</v>
      </c>
    </row>
    <row r="951" spans="1:12">
      <c r="A951" s="22">
        <v>40311.273611111108</v>
      </c>
      <c r="E951" s="26">
        <v>15.418688</v>
      </c>
      <c r="G951" s="27">
        <v>0.27361111111111108</v>
      </c>
      <c r="J951" s="30">
        <f>IF(G951&lt;$H$10,$H$16,IF(G951&gt;$I$10,$H$16,$H$11))*E951/600</f>
        <v>5.1395626666666666E-3</v>
      </c>
      <c r="L951" s="32">
        <f>$J951*($G951-$G950)*60*24</f>
        <v>5.1395626666666484E-3</v>
      </c>
    </row>
    <row r="952" spans="1:12">
      <c r="A952" s="22">
        <v>40311.274305555555</v>
      </c>
      <c r="E952" s="26">
        <v>15.52083</v>
      </c>
      <c r="G952" s="27">
        <v>0.27430555555555552</v>
      </c>
      <c r="J952" s="30">
        <f>IF(G952&lt;$H$10,$H$16,IF(G952&gt;$I$10,$H$16,$H$11))*E952/600</f>
        <v>5.1736100000000004E-3</v>
      </c>
      <c r="L952" s="32">
        <f>$J952*($G952-$G951)*60*24</f>
        <v>5.1736099999999821E-3</v>
      </c>
    </row>
    <row r="953" spans="1:12">
      <c r="A953" s="22">
        <v>40311.275000000001</v>
      </c>
      <c r="E953" s="26">
        <v>15.56724</v>
      </c>
      <c r="G953" s="27">
        <v>0.27499999999999997</v>
      </c>
      <c r="J953" s="30">
        <f>IF(G953&lt;$H$10,$H$16,IF(G953&gt;$I$10,$H$16,$H$11))*E953/600</f>
        <v>5.1890799999999996E-3</v>
      </c>
      <c r="L953" s="32">
        <f>$J953*($G953-$G952)*60*24</f>
        <v>5.1890799999999813E-3</v>
      </c>
    </row>
    <row r="954" spans="1:12">
      <c r="A954" s="22">
        <v>40311.275694444441</v>
      </c>
      <c r="E954" s="26">
        <v>15.510975999999999</v>
      </c>
      <c r="G954" s="27">
        <v>0.27569444444444446</v>
      </c>
      <c r="J954" s="30">
        <f>IF(G954&lt;$H$10,$H$16,IF(G954&gt;$I$10,$H$16,$H$11))*E954/600</f>
        <v>5.1703253333333339E-3</v>
      </c>
      <c r="L954" s="32">
        <f>$J954*($G954-$G953)*60*24</f>
        <v>5.1703253333337295E-3</v>
      </c>
    </row>
    <row r="955" spans="1:12">
      <c r="A955" s="22">
        <v>40311.276388888888</v>
      </c>
      <c r="E955" s="26">
        <v>15.61365</v>
      </c>
      <c r="G955" s="27">
        <v>0.27638888888888885</v>
      </c>
      <c r="J955" s="30">
        <f>IF(G955&lt;$H$10,$H$16,IF(G955&gt;$I$10,$H$16,$H$11))*E955/600</f>
        <v>5.2045500000000005E-3</v>
      </c>
      <c r="L955" s="32">
        <f>$J955*($G955-$G954)*60*24</f>
        <v>5.2045499999995659E-3</v>
      </c>
    </row>
    <row r="956" spans="1:12">
      <c r="A956" s="22">
        <v>40311.277083333334</v>
      </c>
      <c r="E956" s="26">
        <v>15.640169999999999</v>
      </c>
      <c r="G956" s="27">
        <v>0.27708333333333335</v>
      </c>
      <c r="J956" s="30">
        <f>IF(G956&lt;$H$10,$H$16,IF(G956&gt;$I$10,$H$16,$H$11))*E956/600</f>
        <v>5.21339E-3</v>
      </c>
      <c r="L956" s="32">
        <f>$J956*($G956-$G955)*60*24</f>
        <v>5.2133900000003973E-3</v>
      </c>
    </row>
    <row r="957" spans="1:12">
      <c r="A957" s="22">
        <v>40311.277777777781</v>
      </c>
      <c r="E957" s="26">
        <v>15.557119999999999</v>
      </c>
      <c r="G957" s="27">
        <v>0.27777777777777779</v>
      </c>
      <c r="J957" s="30">
        <f>IF(G957&lt;$H$10,$H$16,IF(G957&gt;$I$10,$H$16,$H$11))*E957/600</f>
        <v>5.1857066666666663E-3</v>
      </c>
      <c r="L957" s="32">
        <f>$J957*($G957-$G956)*60*24</f>
        <v>5.1857066666666481E-3</v>
      </c>
    </row>
    <row r="958" spans="1:12">
      <c r="A958" s="22">
        <v>40311.27847222222</v>
      </c>
      <c r="E958" s="26">
        <v>15.431872</v>
      </c>
      <c r="G958" s="27">
        <v>0.27847222222222223</v>
      </c>
      <c r="J958" s="30">
        <f>IF(G958&lt;$H$10,$H$16,IF(G958&gt;$I$10,$H$16,$H$11))*E958/600</f>
        <v>5.1439573333333342E-3</v>
      </c>
      <c r="L958" s="32">
        <f>$J958*($G958-$G957)*60*24</f>
        <v>5.143957333333316E-3</v>
      </c>
    </row>
    <row r="959" spans="1:12">
      <c r="A959" s="22">
        <v>40311.279166666667</v>
      </c>
      <c r="E959" s="26">
        <v>15.203711999999999</v>
      </c>
      <c r="G959" s="27">
        <v>0.27916666666666667</v>
      </c>
      <c r="J959" s="30">
        <f>IF(G959&lt;$H$10,$H$16,IF(G959&gt;$I$10,$H$16,$H$11))*E959/600</f>
        <v>5.0679039999999998E-3</v>
      </c>
      <c r="L959" s="32">
        <f>$J959*($G959-$G958)*60*24</f>
        <v>5.0679039999999816E-3</v>
      </c>
    </row>
    <row r="960" spans="1:12">
      <c r="A960" s="22">
        <v>40311.279861111114</v>
      </c>
      <c r="E960" s="26">
        <v>15.197184</v>
      </c>
      <c r="G960" s="27">
        <v>0.27986111111111112</v>
      </c>
      <c r="J960" s="30">
        <f>IF(G960&lt;$H$10,$H$16,IF(G960&gt;$I$10,$H$16,$H$11))*E960/600</f>
        <v>5.0657280000000002E-3</v>
      </c>
      <c r="L960" s="32">
        <f>$J960*($G960-$G959)*60*24</f>
        <v>5.0657279999999829E-3</v>
      </c>
    </row>
    <row r="961" spans="1:12">
      <c r="A961" s="22">
        <v>40311.280555555553</v>
      </c>
      <c r="E961" s="26">
        <v>15.216768</v>
      </c>
      <c r="G961" s="27">
        <v>0.28055555555555556</v>
      </c>
      <c r="J961" s="30">
        <f>IF(G961&lt;$H$10,$H$16,IF(G961&gt;$I$10,$H$16,$H$11))*E961/600</f>
        <v>5.0722559999999998E-3</v>
      </c>
      <c r="L961" s="32">
        <f>$J961*($G961-$G960)*60*24</f>
        <v>5.0722559999999816E-3</v>
      </c>
    </row>
    <row r="962" spans="1:12">
      <c r="A962" s="22">
        <v>40311.28125</v>
      </c>
      <c r="E962" s="26">
        <v>15.197184</v>
      </c>
      <c r="G962" s="27">
        <v>0.28125</v>
      </c>
      <c r="J962" s="30">
        <f>IF(G962&lt;$H$10,$H$16,IF(G962&gt;$I$10,$H$16,$H$11))*E962/600</f>
        <v>5.0657280000000002E-3</v>
      </c>
      <c r="L962" s="32">
        <f>$J962*($G962-$G961)*60*24</f>
        <v>5.0657279999999829E-3</v>
      </c>
    </row>
    <row r="963" spans="1:12">
      <c r="A963" s="22">
        <v>40311.281944444447</v>
      </c>
      <c r="E963" s="26">
        <v>15.487679999999999</v>
      </c>
      <c r="G963" s="27">
        <v>0.28194444444444444</v>
      </c>
      <c r="J963" s="30">
        <f>IF(G963&lt;$H$10,$H$16,IF(G963&gt;$I$10,$H$16,$H$11))*E963/600</f>
        <v>5.1625600000000001E-3</v>
      </c>
      <c r="L963" s="32">
        <f>$J963*($G963-$G962)*60*24</f>
        <v>5.1625599999999819E-3</v>
      </c>
    </row>
    <row r="964" spans="1:12">
      <c r="A964" s="22">
        <v>40311.282638888886</v>
      </c>
      <c r="E964" s="26">
        <v>15.52083</v>
      </c>
      <c r="G964" s="27">
        <v>0.28263888888888888</v>
      </c>
      <c r="J964" s="30">
        <f>IF(G964&lt;$H$10,$H$16,IF(G964&gt;$I$10,$H$16,$H$11))*E964/600</f>
        <v>5.1736100000000004E-3</v>
      </c>
      <c r="L964" s="32">
        <f>$J964*($G964-$G963)*60*24</f>
        <v>5.1736099999999821E-3</v>
      </c>
    </row>
    <row r="965" spans="1:12">
      <c r="A965" s="22">
        <v>40311.283333333333</v>
      </c>
      <c r="E965" s="26">
        <v>15.56724</v>
      </c>
      <c r="G965" s="27">
        <v>0.28333333333333333</v>
      </c>
      <c r="J965" s="30">
        <f>IF(G965&lt;$H$10,$H$16,IF(G965&gt;$I$10,$H$16,$H$11))*E965/600</f>
        <v>5.1890799999999996E-3</v>
      </c>
      <c r="L965" s="32">
        <f>$J965*($G965-$G964)*60*24</f>
        <v>5.1890799999999813E-3</v>
      </c>
    </row>
    <row r="966" spans="1:12">
      <c r="A966" s="22">
        <v>40311.28402777778</v>
      </c>
      <c r="E966" s="26">
        <v>15.301632</v>
      </c>
      <c r="G966" s="27">
        <v>0.28402777777777777</v>
      </c>
      <c r="J966" s="30">
        <f>IF(G966&lt;$H$10,$H$16,IF(G966&gt;$I$10,$H$16,$H$11))*E966/600</f>
        <v>5.1005440000000003E-3</v>
      </c>
      <c r="L966" s="32">
        <f>$J966*($G966-$G965)*60*24</f>
        <v>5.100543999999982E-3</v>
      </c>
    </row>
    <row r="967" spans="1:12">
      <c r="A967" s="22">
        <v>40311.284722222219</v>
      </c>
      <c r="E967" s="26">
        <v>15.398911999999999</v>
      </c>
      <c r="G967" s="27">
        <v>0.28472222222222221</v>
      </c>
      <c r="J967" s="30">
        <f>IF(G967&lt;$H$10,$H$16,IF(G967&gt;$I$10,$H$16,$H$11))*E967/600</f>
        <v>5.1329706666666669E-3</v>
      </c>
      <c r="L967" s="32">
        <f>$J967*($G967-$G966)*60*24</f>
        <v>5.1329706666666487E-3</v>
      </c>
    </row>
    <row r="968" spans="1:12">
      <c r="A968" s="22">
        <v>40311.285416666666</v>
      </c>
      <c r="E968" s="26">
        <v>15.352767999999999</v>
      </c>
      <c r="G968" s="27">
        <v>0.28541666666666665</v>
      </c>
      <c r="J968" s="30">
        <f>IF(G968&lt;$H$10,$H$16,IF(G968&gt;$I$10,$H$16,$H$11))*E968/600</f>
        <v>5.1175893333333337E-3</v>
      </c>
      <c r="L968" s="32">
        <f>$J968*($G968-$G967)*60*24</f>
        <v>5.1175893333333163E-3</v>
      </c>
    </row>
    <row r="969" spans="1:12">
      <c r="A969" s="22">
        <v>40311.286111111112</v>
      </c>
      <c r="E969" s="26">
        <v>15.346176</v>
      </c>
      <c r="G969" s="27">
        <v>0.28611111111111115</v>
      </c>
      <c r="J969" s="30">
        <f>IF(G969&lt;$H$10,$H$16,IF(G969&gt;$I$10,$H$16,$H$11))*E969/600</f>
        <v>5.1153919999999999E-3</v>
      </c>
      <c r="L969" s="32">
        <f>$J969*($G969-$G968)*60*24</f>
        <v>5.1153920000003902E-3</v>
      </c>
    </row>
    <row r="970" spans="1:12">
      <c r="A970" s="22">
        <v>40311.286805555559</v>
      </c>
      <c r="E970" s="26">
        <v>15.359360000000001</v>
      </c>
      <c r="G970" s="27">
        <v>0.28680555555555554</v>
      </c>
      <c r="J970" s="30">
        <f>IF(G970&lt;$H$10,$H$16,IF(G970&gt;$I$10,$H$16,$H$11))*E970/600</f>
        <v>5.1197866666666675E-3</v>
      </c>
      <c r="L970" s="32">
        <f>$J970*($G970-$G969)*60*24</f>
        <v>5.1197866666662407E-3</v>
      </c>
    </row>
    <row r="971" spans="1:12">
      <c r="A971" s="22">
        <v>40311.287499999999</v>
      </c>
      <c r="E971" s="26">
        <v>15.431872</v>
      </c>
      <c r="G971" s="27">
        <v>0.28750000000000003</v>
      </c>
      <c r="J971" s="30">
        <f>IF(G971&lt;$H$10,$H$16,IF(G971&gt;$I$10,$H$16,$H$11))*E971/600</f>
        <v>5.1439573333333342E-3</v>
      </c>
      <c r="L971" s="32">
        <f>$J971*($G971-$G970)*60*24</f>
        <v>5.1439573333337272E-3</v>
      </c>
    </row>
    <row r="972" spans="1:12">
      <c r="A972" s="22">
        <v>40311.288194444445</v>
      </c>
      <c r="E972" s="26">
        <v>15.517568000000001</v>
      </c>
      <c r="G972" s="27">
        <v>0.28819444444444448</v>
      </c>
      <c r="J972" s="30">
        <f>IF(G972&lt;$H$10,$H$16,IF(G972&gt;$I$10,$H$16,$H$11))*E972/600</f>
        <v>5.1725226666666669E-3</v>
      </c>
      <c r="L972" s="32">
        <f>$J972*($G972-$G971)*60*24</f>
        <v>5.1725226666666478E-3</v>
      </c>
    </row>
    <row r="973" spans="1:12">
      <c r="A973" s="22">
        <v>40311.288888888892</v>
      </c>
      <c r="E973" s="26">
        <v>15.609856000000001</v>
      </c>
      <c r="G973" s="27">
        <v>0.28888888888888892</v>
      </c>
      <c r="J973" s="30">
        <f>IF(G973&lt;$H$10,$H$16,IF(G973&gt;$I$10,$H$16,$H$11))*E973/600</f>
        <v>5.2032853333333342E-3</v>
      </c>
      <c r="L973" s="32">
        <f>$J973*($G973-$G972)*60*24</f>
        <v>5.203285333333316E-3</v>
      </c>
    </row>
    <row r="974" spans="1:12">
      <c r="A974" s="22">
        <v>40311.289583333331</v>
      </c>
      <c r="E974" s="26">
        <v>15.603263999999999</v>
      </c>
      <c r="G974" s="27">
        <v>0.28958333333333336</v>
      </c>
      <c r="J974" s="30">
        <f>IF(G974&lt;$H$10,$H$16,IF(G974&gt;$I$10,$H$16,$H$11))*E974/600</f>
        <v>5.2010880000000004E-3</v>
      </c>
      <c r="L974" s="32">
        <f>$J974*($G974-$G973)*60*24</f>
        <v>5.2010879999999822E-3</v>
      </c>
    </row>
    <row r="975" spans="1:12">
      <c r="A975" s="22">
        <v>40311.290277777778</v>
      </c>
      <c r="E975" s="26">
        <v>15.67488</v>
      </c>
      <c r="G975" s="27">
        <v>0.2902777777777778</v>
      </c>
      <c r="J975" s="30">
        <f>IF(G975&lt;$H$10,$H$16,IF(G975&gt;$I$10,$H$16,$H$11))*E975/600</f>
        <v>5.2249599999999998E-3</v>
      </c>
      <c r="L975" s="32">
        <f>$J975*($G975-$G974)*60*24</f>
        <v>5.2249599999999816E-3</v>
      </c>
    </row>
    <row r="976" spans="1:12">
      <c r="A976" s="22">
        <v>40311.290972222225</v>
      </c>
      <c r="E976" s="26">
        <v>15.491199999999999</v>
      </c>
      <c r="G976" s="27">
        <v>0.29097222222222224</v>
      </c>
      <c r="J976" s="30">
        <f>IF(G976&lt;$H$10,$H$16,IF(G976&gt;$I$10,$H$16,$H$11))*E976/600</f>
        <v>5.1637333333333334E-3</v>
      </c>
      <c r="L976" s="32">
        <f>$J976*($G976-$G975)*60*24</f>
        <v>5.1637333333333152E-3</v>
      </c>
    </row>
    <row r="977" spans="1:12">
      <c r="A977" s="22">
        <v>40311.291666666664</v>
      </c>
      <c r="E977" s="26">
        <v>15.379968</v>
      </c>
      <c r="G977" s="27">
        <v>0.29166666666666669</v>
      </c>
      <c r="J977" s="30">
        <f>IF(G977&lt;$H$10,$H$16,IF(G977&gt;$I$10,$H$16,$H$11))*E977/600</f>
        <v>5.1266560000000003E-3</v>
      </c>
      <c r="L977" s="32">
        <f>$J977*($G977-$G976)*60*24</f>
        <v>5.1266559999999821E-3</v>
      </c>
    </row>
    <row r="978" spans="1:12">
      <c r="A978" s="22">
        <v>40311.292361111111</v>
      </c>
      <c r="E978" s="26">
        <v>15.27552</v>
      </c>
      <c r="G978" s="27">
        <v>0.29236111111111113</v>
      </c>
      <c r="J978" s="30">
        <f>IF(G978&lt;$H$10,$H$16,IF(G978&gt;$I$10,$H$16,$H$11))*E978/600</f>
        <v>5.0918400000000003E-3</v>
      </c>
      <c r="L978" s="32">
        <f>$J978*($G978-$G977)*60*24</f>
        <v>5.091839999999982E-3</v>
      </c>
    </row>
    <row r="979" spans="1:12">
      <c r="A979" s="22">
        <v>40311.293055555558</v>
      </c>
      <c r="E979" s="26">
        <v>15.425280000000001</v>
      </c>
      <c r="G979" s="27">
        <v>0.29305555555555557</v>
      </c>
      <c r="J979" s="30">
        <f>IF(G979&lt;$H$10,$H$16,IF(G979&gt;$I$10,$H$16,$H$11))*E979/600</f>
        <v>5.1417600000000004E-3</v>
      </c>
      <c r="L979" s="32">
        <f>$J979*($G979-$G978)*60*24</f>
        <v>5.1417599999999822E-3</v>
      </c>
    </row>
    <row r="980" spans="1:12">
      <c r="A980" s="22">
        <v>40311.293749999997</v>
      </c>
      <c r="E980" s="26">
        <v>15.69984</v>
      </c>
      <c r="G980" s="27">
        <v>0.29375000000000001</v>
      </c>
      <c r="J980" s="30">
        <f>IF(G980&lt;$H$10,$H$16,IF(G980&gt;$I$10,$H$16,$H$11))*E980/600</f>
        <v>5.2332799999999999E-3</v>
      </c>
      <c r="L980" s="32">
        <f>$J980*($G980-$G979)*60*24</f>
        <v>5.2332799999999808E-3</v>
      </c>
    </row>
    <row r="981" spans="1:12">
      <c r="A981" s="22">
        <v>40311.294444444444</v>
      </c>
      <c r="E981" s="26">
        <v>15.092736</v>
      </c>
      <c r="G981" s="27">
        <v>0.29444444444444445</v>
      </c>
      <c r="J981" s="30">
        <f>IF(G981&lt;$H$10,$H$16,IF(G981&gt;$I$10,$H$16,$H$11))*E981/600</f>
        <v>5.0309120000000011E-3</v>
      </c>
      <c r="L981" s="32">
        <f>$J981*($G981-$G980)*60*24</f>
        <v>5.0309119999999838E-3</v>
      </c>
    </row>
    <row r="982" spans="1:12">
      <c r="A982" s="22">
        <v>40311.295138888891</v>
      </c>
      <c r="E982" s="26">
        <v>15.171072000000001</v>
      </c>
      <c r="G982" s="27">
        <v>0.2951388888888889</v>
      </c>
      <c r="J982" s="30">
        <f>IF(G982&lt;$H$10,$H$16,IF(G982&gt;$I$10,$H$16,$H$11))*E982/600</f>
        <v>5.0570240000000002E-3</v>
      </c>
      <c r="L982" s="32">
        <f>$J982*($G982-$G981)*60*24</f>
        <v>5.0570239999999829E-3</v>
      </c>
    </row>
    <row r="983" spans="1:12">
      <c r="A983" s="22">
        <v>40311.29583333333</v>
      </c>
      <c r="E983" s="26">
        <v>15.379968</v>
      </c>
      <c r="G983" s="27">
        <v>0.29583333333333334</v>
      </c>
      <c r="J983" s="30">
        <f>IF(G983&lt;$H$10,$H$16,IF(G983&gt;$I$10,$H$16,$H$11))*E983/600</f>
        <v>5.1266560000000003E-3</v>
      </c>
      <c r="L983" s="32">
        <f>$J983*($G983-$G982)*60*24</f>
        <v>5.1266559999999821E-3</v>
      </c>
    </row>
    <row r="984" spans="1:12">
      <c r="A984" s="22">
        <v>40311.296527777777</v>
      </c>
      <c r="E984" s="26">
        <v>15.282048</v>
      </c>
      <c r="G984" s="27">
        <v>0.29652777777777778</v>
      </c>
      <c r="J984" s="30">
        <f>IF(G984&lt;$H$10,$H$16,IF(G984&gt;$I$10,$H$16,$H$11))*E984/600</f>
        <v>5.0940160000000007E-3</v>
      </c>
      <c r="L984" s="32">
        <f>$J984*($G984-$G983)*60*24</f>
        <v>5.0940159999999825E-3</v>
      </c>
    </row>
    <row r="985" spans="1:12">
      <c r="A985" s="22">
        <v>40311.297222222223</v>
      </c>
      <c r="E985" s="26">
        <v>15.60702</v>
      </c>
      <c r="G985" s="27">
        <v>0.29722222222222222</v>
      </c>
      <c r="J985" s="30">
        <f>IF(G985&lt;$H$10,$H$16,IF(G985&gt;$I$10,$H$16,$H$11))*E985/600</f>
        <v>5.2023399999999997E-3</v>
      </c>
      <c r="L985" s="32">
        <f>$J985*($G985-$G984)*60*24</f>
        <v>5.2023399999999815E-3</v>
      </c>
    </row>
    <row r="986" spans="1:12">
      <c r="A986" s="22">
        <v>40311.29791666667</v>
      </c>
      <c r="E986" s="26">
        <v>15.52083</v>
      </c>
      <c r="G986" s="27">
        <v>0.29791666666666666</v>
      </c>
      <c r="J986" s="30">
        <f>IF(G986&lt;$H$10,$H$16,IF(G986&gt;$I$10,$H$16,$H$11))*E986/600</f>
        <v>5.1736100000000004E-3</v>
      </c>
      <c r="L986" s="32">
        <f>$J986*($G986-$G985)*60*24</f>
        <v>5.1736099999999821E-3</v>
      </c>
    </row>
    <row r="987" spans="1:12">
      <c r="A987" s="22">
        <v>40311.298611111109</v>
      </c>
      <c r="E987" s="26">
        <v>15.359360000000001</v>
      </c>
      <c r="G987" s="27">
        <v>0.2986111111111111</v>
      </c>
      <c r="J987" s="30">
        <f>IF(G987&lt;$H$10,$H$16,IF(G987&gt;$I$10,$H$16,$H$11))*E987/600</f>
        <v>5.1197866666666675E-3</v>
      </c>
      <c r="L987" s="32">
        <f>$J987*($G987-$G986)*60*24</f>
        <v>5.1197866666666501E-3</v>
      </c>
    </row>
    <row r="988" spans="1:12">
      <c r="A988" s="22">
        <v>40311.299305555556</v>
      </c>
      <c r="E988" s="26">
        <v>15.313216000000001</v>
      </c>
      <c r="G988" s="27">
        <v>0.29930555555555555</v>
      </c>
      <c r="J988" s="30">
        <f>IF(G988&lt;$H$10,$H$16,IF(G988&gt;$I$10,$H$16,$H$11))*E988/600</f>
        <v>5.1044053333333334E-3</v>
      </c>
      <c r="L988" s="32">
        <f>$J988*($G988-$G987)*60*24</f>
        <v>5.1044053333333152E-3</v>
      </c>
    </row>
    <row r="989" spans="1:12">
      <c r="A989" s="22">
        <v>40311.300000000003</v>
      </c>
      <c r="E989" s="26">
        <v>15.056495999999999</v>
      </c>
      <c r="G989" s="27">
        <v>0.3</v>
      </c>
      <c r="J989" s="30">
        <f>IF(G989&lt;$H$10,$H$16,IF(G989&gt;$I$10,$H$16,$H$11))*E989/600</f>
        <v>5.018832E-3</v>
      </c>
      <c r="L989" s="32">
        <f>$J989*($G989-$G988)*60*24</f>
        <v>5.0188319999999826E-3</v>
      </c>
    </row>
    <row r="990" spans="1:12">
      <c r="A990" s="22">
        <v>40311.300694444442</v>
      </c>
      <c r="E990" s="26">
        <v>14.7126</v>
      </c>
      <c r="G990" s="27">
        <v>0.30069444444444443</v>
      </c>
      <c r="J990" s="30">
        <f>IF(G990&lt;$H$10,$H$16,IF(G990&gt;$I$10,$H$16,$H$11))*E990/600</f>
        <v>4.9042000000000001E-3</v>
      </c>
      <c r="L990" s="32">
        <f>$J990*($G990-$G989)*60*24</f>
        <v>4.9041999999999827E-3</v>
      </c>
    </row>
    <row r="991" spans="1:12">
      <c r="A991" s="22">
        <v>40311.301388888889</v>
      </c>
      <c r="E991" s="26">
        <v>14.647500000000001</v>
      </c>
      <c r="G991" s="27">
        <v>0.30138888888888887</v>
      </c>
      <c r="J991" s="30">
        <f>IF(G991&lt;$H$10,$H$16,IF(G991&gt;$I$10,$H$16,$H$11))*E991/600</f>
        <v>4.8825000000000006E-3</v>
      </c>
      <c r="L991" s="32">
        <f>$J991*($G991-$G990)*60*24</f>
        <v>4.8824999999999832E-3</v>
      </c>
    </row>
    <row r="992" spans="1:12">
      <c r="A992" s="22">
        <v>40311.302083333336</v>
      </c>
      <c r="E992" s="26">
        <v>14.87304</v>
      </c>
      <c r="G992" s="27">
        <v>0.30208333333333331</v>
      </c>
      <c r="J992" s="30">
        <f>IF(G992&lt;$H$10,$H$16,IF(G992&gt;$I$10,$H$16,$H$11))*E992/600</f>
        <v>4.9576799999999999E-3</v>
      </c>
      <c r="L992" s="32">
        <f>$J992*($G992-$G991)*60*24</f>
        <v>4.9576799999999826E-3</v>
      </c>
    </row>
    <row r="993" spans="1:12">
      <c r="A993" s="22">
        <v>40311.302777777775</v>
      </c>
      <c r="E993" s="26">
        <v>14.58891</v>
      </c>
      <c r="G993" s="27">
        <v>0.30277777777777776</v>
      </c>
      <c r="J993" s="30">
        <f>IF(G993&lt;$H$10,$H$16,IF(G993&gt;$I$10,$H$16,$H$11))*E993/600</f>
        <v>4.8629700000000003E-3</v>
      </c>
      <c r="L993" s="32">
        <f>$J993*($G993-$G992)*60*24</f>
        <v>4.8629699999999838E-3</v>
      </c>
    </row>
    <row r="994" spans="1:12">
      <c r="A994" s="22">
        <v>40311.303472222222</v>
      </c>
      <c r="E994" s="26">
        <v>14.701563999999999</v>
      </c>
      <c r="G994" s="27">
        <v>0.3034722222222222</v>
      </c>
      <c r="J994" s="30">
        <f>IF(G994&lt;$H$10,$H$16,IF(G994&gt;$I$10,$H$16,$H$11))*E994/600</f>
        <v>4.9005213333333337E-3</v>
      </c>
      <c r="L994" s="32">
        <f>$J994*($G994-$G993)*60*24</f>
        <v>4.9005213333333155E-3</v>
      </c>
    </row>
    <row r="995" spans="1:12">
      <c r="A995" s="22">
        <v>40311.304166666669</v>
      </c>
      <c r="E995" s="26">
        <v>14.938560000000001</v>
      </c>
      <c r="G995" s="27">
        <v>0.30416666666666664</v>
      </c>
      <c r="J995" s="30">
        <f>IF(G995&lt;$H$10,$H$16,IF(G995&gt;$I$10,$H$16,$H$11))*E995/600</f>
        <v>4.9795200000000003E-3</v>
      </c>
      <c r="L995" s="32">
        <f>$J995*($G995-$G994)*60*24</f>
        <v>4.979519999999983E-3</v>
      </c>
    </row>
    <row r="996" spans="1:12">
      <c r="A996" s="22">
        <v>40311.304861111108</v>
      </c>
      <c r="E996" s="26">
        <v>15.118848</v>
      </c>
      <c r="G996" s="27">
        <v>0.30486111111111108</v>
      </c>
      <c r="J996" s="30">
        <f>IF(G996&lt;$H$10,$H$16,IF(G996&gt;$I$10,$H$16,$H$11))*E996/600</f>
        <v>5.0396160000000002E-3</v>
      </c>
      <c r="L996" s="32">
        <f>$J996*($G996-$G995)*60*24</f>
        <v>5.0396159999999829E-3</v>
      </c>
    </row>
    <row r="997" spans="1:12">
      <c r="A997" s="22">
        <v>40311.305555555555</v>
      </c>
      <c r="E997" s="26">
        <v>15.118848</v>
      </c>
      <c r="G997" s="27">
        <v>0.30555555555555552</v>
      </c>
      <c r="J997" s="30">
        <f>IF(G997&lt;$H$10,$H$16,IF(G997&gt;$I$10,$H$16,$H$11))*E997/600</f>
        <v>5.0396160000000002E-3</v>
      </c>
      <c r="L997" s="32">
        <f>$J997*($G997-$G996)*60*24</f>
        <v>5.0396159999999829E-3</v>
      </c>
    </row>
    <row r="998" spans="1:12">
      <c r="A998" s="22">
        <v>40311.306250000001</v>
      </c>
      <c r="E998" s="26">
        <v>15.174784000000001</v>
      </c>
      <c r="G998" s="27">
        <v>0.30624999999999997</v>
      </c>
      <c r="J998" s="30">
        <f>IF(G998&lt;$H$10,$H$16,IF(G998&gt;$I$10,$H$16,$H$11))*E998/600</f>
        <v>5.0582613333333337E-3</v>
      </c>
      <c r="L998" s="32">
        <f>$J998*($G998-$G997)*60*24</f>
        <v>5.0582613333333155E-3</v>
      </c>
    </row>
    <row r="999" spans="1:12">
      <c r="A999" s="22">
        <v>40311.306944444441</v>
      </c>
      <c r="E999" s="26">
        <v>35.401344000000002</v>
      </c>
      <c r="G999" s="27">
        <v>0.30694444444444441</v>
      </c>
      <c r="J999" s="30">
        <f>IF(G999&lt;$H$10,$H$16,IF(G999&gt;$I$10,$H$16,$H$11))*E999/600</f>
        <v>1.1800448000000002E-2</v>
      </c>
      <c r="L999" s="32">
        <f>$J999*($G999-$G998)*60*24</f>
        <v>1.1800447999999958E-2</v>
      </c>
    </row>
    <row r="1000" spans="1:12">
      <c r="A1000" s="22">
        <v>40311.307638888888</v>
      </c>
      <c r="E1000" s="26">
        <v>175.04416800000001</v>
      </c>
      <c r="G1000" s="27">
        <v>0.30763888888888891</v>
      </c>
      <c r="J1000" s="30">
        <f>IF(G1000&lt;$H$10,$H$16,IF(G1000&gt;$I$10,$H$16,$H$11))*E1000/600</f>
        <v>5.8348056000000002E-2</v>
      </c>
      <c r="L1000" s="32">
        <f>$J1000*($G1000-$G999)*60*24</f>
        <v>5.8348056000004464E-2</v>
      </c>
    </row>
    <row r="1001" spans="1:12">
      <c r="A1001" s="22">
        <v>40311.308333333334</v>
      </c>
      <c r="E1001" s="26">
        <v>160.5676</v>
      </c>
      <c r="G1001" s="27">
        <v>0.30833333333333335</v>
      </c>
      <c r="J1001" s="30">
        <f>IF(G1001&lt;$H$10,$H$16,IF(G1001&gt;$I$10,$H$16,$H$11))*E1001/600</f>
        <v>5.3522533333333337E-2</v>
      </c>
      <c r="L1001" s="32">
        <f>$J1001*($G1001-$G1000)*60*24</f>
        <v>5.352253333333315E-2</v>
      </c>
    </row>
    <row r="1002" spans="1:12">
      <c r="A1002" s="22">
        <v>40311.309027777781</v>
      </c>
      <c r="E1002" s="26">
        <v>162.74229600000001</v>
      </c>
      <c r="G1002" s="27">
        <v>0.30902777777777779</v>
      </c>
      <c r="J1002" s="30">
        <f>IF(G1002&lt;$H$10,$H$16,IF(G1002&gt;$I$10,$H$16,$H$11))*E1002/600</f>
        <v>5.4247432000000005E-2</v>
      </c>
      <c r="L1002" s="32">
        <f>$J1002*($G1002-$G1001)*60*24</f>
        <v>5.4247431999999811E-2</v>
      </c>
    </row>
    <row r="1003" spans="1:12">
      <c r="A1003" s="22">
        <v>40311.30972222222</v>
      </c>
      <c r="E1003" s="26">
        <v>161.38824</v>
      </c>
      <c r="G1003" s="27">
        <v>0.30972222222222223</v>
      </c>
      <c r="J1003" s="30">
        <f>IF(G1003&lt;$H$10,$H$16,IF(G1003&gt;$I$10,$H$16,$H$11))*E1003/600</f>
        <v>5.3796079999999996E-2</v>
      </c>
      <c r="L1003" s="32">
        <f>$J1003*($G1003-$G1002)*60*24</f>
        <v>5.3796079999999802E-2</v>
      </c>
    </row>
    <row r="1004" spans="1:12">
      <c r="A1004" s="22">
        <v>40311.310416666667</v>
      </c>
      <c r="E1004" s="26">
        <v>164.465732</v>
      </c>
      <c r="G1004" s="27">
        <v>0.31041666666666667</v>
      </c>
      <c r="J1004" s="30">
        <f>IF(G1004&lt;$H$10,$H$16,IF(G1004&gt;$I$10,$H$16,$H$11))*E1004/600</f>
        <v>5.4821910666666668E-2</v>
      </c>
      <c r="L1004" s="32">
        <f>$J1004*($G1004-$G1003)*60*24</f>
        <v>5.4821910666666473E-2</v>
      </c>
    </row>
    <row r="1005" spans="1:12">
      <c r="A1005" s="22">
        <v>40311.311111111114</v>
      </c>
      <c r="E1005" s="26">
        <v>164.97900000000001</v>
      </c>
      <c r="G1005" s="27">
        <v>0.31111111111111112</v>
      </c>
      <c r="J1005" s="30">
        <f>IF(G1005&lt;$H$10,$H$16,IF(G1005&gt;$I$10,$H$16,$H$11))*E1005/600</f>
        <v>5.4993000000000007E-2</v>
      </c>
      <c r="L1005" s="32">
        <f>$J1005*($G1005-$G1004)*60*24</f>
        <v>5.4992999999999813E-2</v>
      </c>
    </row>
    <row r="1006" spans="1:12">
      <c r="A1006" s="22">
        <v>40311.311805555553</v>
      </c>
      <c r="E1006" s="26">
        <v>153.561408</v>
      </c>
      <c r="G1006" s="27">
        <v>0.31180555555555556</v>
      </c>
      <c r="J1006" s="30">
        <f>IF(G1006&lt;$H$10,$H$16,IF(G1006&gt;$I$10,$H$16,$H$11))*E1006/600</f>
        <v>5.1187136000000001E-2</v>
      </c>
      <c r="L1006" s="32">
        <f>$J1006*($G1006-$G1005)*60*24</f>
        <v>5.1187135999999821E-2</v>
      </c>
    </row>
    <row r="1007" spans="1:12">
      <c r="A1007" s="22">
        <v>40311.3125</v>
      </c>
      <c r="E1007" s="26">
        <v>153.493886</v>
      </c>
      <c r="G1007" s="27">
        <v>0.3125</v>
      </c>
      <c r="J1007" s="30">
        <f>IF(G1007&lt;$H$10,$H$16,IF(G1007&gt;$I$10,$H$16,$H$11))*E1007/600</f>
        <v>5.116462866666667E-2</v>
      </c>
      <c r="L1007" s="32">
        <f>$J1007*($G1007-$G1006)*60*24</f>
        <v>5.1164628666666483E-2</v>
      </c>
    </row>
    <row r="1008" spans="1:12">
      <c r="A1008" s="22">
        <v>40311.313194444447</v>
      </c>
      <c r="E1008" s="26">
        <v>153.62801999999999</v>
      </c>
      <c r="G1008" s="27">
        <v>0.31319444444444444</v>
      </c>
      <c r="J1008" s="30">
        <f>IF(G1008&lt;$H$10,$H$16,IF(G1008&gt;$I$10,$H$16,$H$11))*E1008/600</f>
        <v>5.1209339999999999E-2</v>
      </c>
      <c r="L1008" s="32">
        <f>$J1008*($G1008-$G1007)*60*24</f>
        <v>5.1209339999999812E-2</v>
      </c>
    </row>
    <row r="1009" spans="1:12">
      <c r="A1009" s="22">
        <v>40311.313888888886</v>
      </c>
      <c r="E1009" s="26">
        <v>153.730031</v>
      </c>
      <c r="G1009" s="27">
        <v>0.31388888888888888</v>
      </c>
      <c r="J1009" s="30">
        <f>IF(G1009&lt;$H$10,$H$16,IF(G1009&gt;$I$10,$H$16,$H$11))*E1009/600</f>
        <v>5.124334366666667E-2</v>
      </c>
      <c r="L1009" s="32">
        <f>$J1009*($G1009-$G1008)*60*24</f>
        <v>5.1243343666666483E-2</v>
      </c>
    </row>
    <row r="1010" spans="1:12">
      <c r="A1010" s="22">
        <v>40311.314583333333</v>
      </c>
      <c r="E1010" s="26">
        <v>153.37504000000001</v>
      </c>
      <c r="G1010" s="27">
        <v>0.31458333333333333</v>
      </c>
      <c r="J1010" s="30">
        <f>IF(G1010&lt;$H$10,$H$16,IF(G1010&gt;$I$10,$H$16,$H$11))*E1010/600</f>
        <v>5.1125013333333344E-2</v>
      </c>
      <c r="L1010" s="32">
        <f>$J1010*($G1010-$G1009)*60*24</f>
        <v>5.1125013333333157E-2</v>
      </c>
    </row>
    <row r="1011" spans="1:12">
      <c r="A1011" s="22">
        <v>40311.31527777778</v>
      </c>
      <c r="E1011" s="26">
        <v>154.484148</v>
      </c>
      <c r="G1011" s="27">
        <v>0.31527777777777777</v>
      </c>
      <c r="J1011" s="30">
        <f>IF(G1011&lt;$H$10,$H$16,IF(G1011&gt;$I$10,$H$16,$H$11))*E1011/600</f>
        <v>5.1494716000000003E-2</v>
      </c>
      <c r="L1011" s="32">
        <f>$J1011*($G1011-$G1010)*60*24</f>
        <v>5.1494715999999829E-2</v>
      </c>
    </row>
    <row r="1012" spans="1:12">
      <c r="A1012" s="22">
        <v>40311.315972222219</v>
      </c>
      <c r="E1012" s="26">
        <v>153.51973000000001</v>
      </c>
      <c r="G1012" s="27">
        <v>0.31597222222222221</v>
      </c>
      <c r="J1012" s="30">
        <f>IF(G1012&lt;$H$10,$H$16,IF(G1012&gt;$I$10,$H$16,$H$11))*E1012/600</f>
        <v>5.1173243333333333E-2</v>
      </c>
      <c r="L1012" s="32">
        <f>$J1012*($G1012-$G1011)*60*24</f>
        <v>5.117324333333316E-2</v>
      </c>
    </row>
    <row r="1013" spans="1:12">
      <c r="A1013" s="22">
        <v>40311.316666666666</v>
      </c>
      <c r="E1013" s="26">
        <v>154.321167</v>
      </c>
      <c r="G1013" s="27">
        <v>0.31666666666666665</v>
      </c>
      <c r="J1013" s="30">
        <f>IF(G1013&lt;$H$10,$H$16,IF(G1013&gt;$I$10,$H$16,$H$11))*E1013/600</f>
        <v>5.1440389000000003E-2</v>
      </c>
      <c r="L1013" s="32">
        <f>$J1013*($G1013-$G1012)*60*24</f>
        <v>5.144038899999983E-2</v>
      </c>
    </row>
    <row r="1014" spans="1:12">
      <c r="A1014" s="22">
        <v>40311.317361111112</v>
      </c>
      <c r="E1014" s="26">
        <v>152.44329099999999</v>
      </c>
      <c r="G1014" s="27">
        <v>0.31736111111111115</v>
      </c>
      <c r="J1014" s="30">
        <f>IF(G1014&lt;$H$10,$H$16,IF(G1014&gt;$I$10,$H$16,$H$11))*E1014/600</f>
        <v>5.0814430333333334E-2</v>
      </c>
      <c r="L1014" s="32">
        <f>$J1014*($G1014-$G1013)*60*24</f>
        <v>5.0814430333337213E-2</v>
      </c>
    </row>
    <row r="1015" spans="1:12">
      <c r="A1015" s="22">
        <v>40311.318055555559</v>
      </c>
      <c r="E1015" s="26">
        <v>152.13352699999999</v>
      </c>
      <c r="G1015" s="27">
        <v>0.31805555555555554</v>
      </c>
      <c r="J1015" s="30">
        <f>IF(G1015&lt;$H$10,$H$16,IF(G1015&gt;$I$10,$H$16,$H$11))*E1015/600</f>
        <v>5.0711175666666664E-2</v>
      </c>
      <c r="L1015" s="32">
        <f>$J1015*($G1015-$G1014)*60*24</f>
        <v>5.0711175666662431E-2</v>
      </c>
    </row>
    <row r="1016" spans="1:12">
      <c r="A1016" s="22">
        <v>40311.318749999999</v>
      </c>
      <c r="E1016" s="26">
        <v>152.08993799999999</v>
      </c>
      <c r="G1016" s="27">
        <v>0.31875000000000003</v>
      </c>
      <c r="J1016" s="30">
        <f>IF(G1016&lt;$H$10,$H$16,IF(G1016&gt;$I$10,$H$16,$H$11))*E1016/600</f>
        <v>5.0696645999999998E-2</v>
      </c>
      <c r="L1016" s="32">
        <f>$J1016*($G1016-$G1015)*60*24</f>
        <v>5.069664600000387E-2</v>
      </c>
    </row>
    <row r="1017" spans="1:12">
      <c r="A1017" s="22">
        <v>40311.319444444445</v>
      </c>
      <c r="E1017" s="26">
        <v>158.224176</v>
      </c>
      <c r="G1017" s="27">
        <v>0.31944444444444448</v>
      </c>
      <c r="J1017" s="30">
        <f>IF(G1017&lt;$H$10,$H$16,IF(G1017&gt;$I$10,$H$16,$H$11))*E1017/600</f>
        <v>5.2741392000000005E-2</v>
      </c>
      <c r="L1017" s="32">
        <f>$J1017*($G1017-$G1016)*60*24</f>
        <v>5.2741391999999825E-2</v>
      </c>
    </row>
    <row r="1018" spans="1:12">
      <c r="A1018" s="22">
        <v>40311.320138888892</v>
      </c>
      <c r="E1018" s="26">
        <v>171.94993199999999</v>
      </c>
      <c r="G1018" s="27">
        <v>0.32013888888888892</v>
      </c>
      <c r="J1018" s="30">
        <f>IF(G1018&lt;$H$10,$H$16,IF(G1018&gt;$I$10,$H$16,$H$11))*E1018/600</f>
        <v>5.7316644E-2</v>
      </c>
      <c r="L1018" s="32">
        <f>$J1018*($G1018-$G1017)*60*24</f>
        <v>5.7316643999999792E-2</v>
      </c>
    </row>
    <row r="1019" spans="1:12">
      <c r="A1019" s="22">
        <v>40311.320833333331</v>
      </c>
      <c r="E1019" s="26">
        <v>173.71488600000001</v>
      </c>
      <c r="G1019" s="27">
        <v>0.32083333333333336</v>
      </c>
      <c r="J1019" s="30">
        <f>IF(G1019&lt;$H$10,$H$16,IF(G1019&gt;$I$10,$H$16,$H$11))*E1019/600</f>
        <v>5.7904962000000011E-2</v>
      </c>
      <c r="L1019" s="32">
        <f>$J1019*($G1019-$G1018)*60*24</f>
        <v>5.7904961999999796E-2</v>
      </c>
    </row>
    <row r="1020" spans="1:12">
      <c r="A1020" s="22">
        <v>40311.321527777778</v>
      </c>
      <c r="E1020" s="26">
        <v>159.253748</v>
      </c>
      <c r="G1020" s="27">
        <v>0.3215277777777778</v>
      </c>
      <c r="J1020" s="30">
        <f>IF(G1020&lt;$H$10,$H$16,IF(G1020&gt;$I$10,$H$16,$H$11))*E1020/600</f>
        <v>5.3084582666666665E-2</v>
      </c>
      <c r="L1020" s="32">
        <f>$J1020*($G1020-$G1019)*60*24</f>
        <v>5.3084582666666477E-2</v>
      </c>
    </row>
    <row r="1021" spans="1:12">
      <c r="A1021" s="22">
        <v>40311.322222222225</v>
      </c>
      <c r="E1021" s="26">
        <v>159.20923199999999</v>
      </c>
      <c r="G1021" s="27">
        <v>0.32222222222222224</v>
      </c>
      <c r="J1021" s="30">
        <f>IF(G1021&lt;$H$10,$H$16,IF(G1021&gt;$I$10,$H$16,$H$11))*E1021/600</f>
        <v>5.3069743999999995E-2</v>
      </c>
      <c r="L1021" s="32">
        <f>$J1021*($G1021-$G1020)*60*24</f>
        <v>5.3069743999999808E-2</v>
      </c>
    </row>
    <row r="1022" spans="1:12">
      <c r="A1022" s="22">
        <v>40311.322916666664</v>
      </c>
      <c r="E1022" s="26">
        <v>153.523188</v>
      </c>
      <c r="G1022" s="27">
        <v>0.32291666666666669</v>
      </c>
      <c r="J1022" s="30">
        <f>IF(G1022&lt;$H$10,$H$16,IF(G1022&gt;$I$10,$H$16,$H$11))*E1022/600</f>
        <v>5.1174396000000004E-2</v>
      </c>
      <c r="L1022" s="32">
        <f>$J1022*($G1022-$G1021)*60*24</f>
        <v>5.1174395999999817E-2</v>
      </c>
    </row>
    <row r="1023" spans="1:12">
      <c r="A1023" s="22">
        <v>40311.323611111111</v>
      </c>
      <c r="E1023" s="26">
        <v>152.464676</v>
      </c>
      <c r="G1023" s="27">
        <v>0.32361111111111113</v>
      </c>
      <c r="J1023" s="30">
        <f>IF(G1023&lt;$H$10,$H$16,IF(G1023&gt;$I$10,$H$16,$H$11))*E1023/600</f>
        <v>5.0821558666666669E-2</v>
      </c>
      <c r="L1023" s="32">
        <f>$J1023*($G1023-$G1022)*60*24</f>
        <v>5.0821558666666489E-2</v>
      </c>
    </row>
    <row r="1024" spans="1:12">
      <c r="A1024" s="22">
        <v>40311.324305555558</v>
      </c>
      <c r="E1024" s="26">
        <v>152.19686300000001</v>
      </c>
      <c r="G1024" s="27">
        <v>0.32430555555555557</v>
      </c>
      <c r="J1024" s="30">
        <f>IF(G1024&lt;$H$10,$H$16,IF(G1024&gt;$I$10,$H$16,$H$11))*E1024/600</f>
        <v>5.0732287666666667E-2</v>
      </c>
      <c r="L1024" s="32">
        <f>$J1024*($G1024-$G1023)*60*24</f>
        <v>5.0732287666666487E-2</v>
      </c>
    </row>
    <row r="1025" spans="1:12">
      <c r="A1025" s="22">
        <v>40311.324999999997</v>
      </c>
      <c r="E1025" s="26">
        <v>152.67525000000001</v>
      </c>
      <c r="G1025" s="27">
        <v>0.32500000000000001</v>
      </c>
      <c r="J1025" s="30">
        <f>IF(G1025&lt;$H$10,$H$16,IF(G1025&gt;$I$10,$H$16,$H$11))*E1025/600</f>
        <v>5.0891750000000006E-2</v>
      </c>
      <c r="L1025" s="32">
        <f>$J1025*($G1025-$G1024)*60*24</f>
        <v>5.0891749999999833E-2</v>
      </c>
    </row>
    <row r="1026" spans="1:12">
      <c r="A1026" s="22">
        <v>40311.325694444444</v>
      </c>
      <c r="E1026" s="26">
        <v>151.76934499999999</v>
      </c>
      <c r="G1026" s="27">
        <v>0.32569444444444445</v>
      </c>
      <c r="J1026" s="30">
        <f>IF(G1026&lt;$H$10,$H$16,IF(G1026&gt;$I$10,$H$16,$H$11))*E1026/600</f>
        <v>5.0589781666666667E-2</v>
      </c>
      <c r="L1026" s="32">
        <f>$J1026*($G1026-$G1025)*60*24</f>
        <v>5.0589781666666486E-2</v>
      </c>
    </row>
    <row r="1027" spans="1:12">
      <c r="A1027" s="22">
        <v>40311.326388888891</v>
      </c>
      <c r="E1027" s="26">
        <v>151.92777599999999</v>
      </c>
      <c r="G1027" s="27">
        <v>0.3263888888888889</v>
      </c>
      <c r="J1027" s="30">
        <f>IF(G1027&lt;$H$10,$H$16,IF(G1027&gt;$I$10,$H$16,$H$11))*E1027/600</f>
        <v>5.0642592E-2</v>
      </c>
      <c r="L1027" s="32">
        <f>$J1027*($G1027-$G1026)*60*24</f>
        <v>5.064259199999982E-2</v>
      </c>
    </row>
    <row r="1028" spans="1:12">
      <c r="A1028" s="22">
        <v>40311.32708333333</v>
      </c>
      <c r="E1028" s="26">
        <v>152.65522999999999</v>
      </c>
      <c r="G1028" s="27">
        <v>0.32708333333333334</v>
      </c>
      <c r="J1028" s="30">
        <f>IF(G1028&lt;$H$10,$H$16,IF(G1028&gt;$I$10,$H$16,$H$11))*E1028/600</f>
        <v>5.0885076666666668E-2</v>
      </c>
      <c r="L1028" s="32">
        <f>$J1028*($G1028-$G1027)*60*24</f>
        <v>5.0885076666666487E-2</v>
      </c>
    </row>
    <row r="1029" spans="1:12">
      <c r="A1029" s="22">
        <v>40311.327777777777</v>
      </c>
      <c r="E1029" s="26">
        <v>153.02505400000001</v>
      </c>
      <c r="G1029" s="27">
        <v>0.32777777777777778</v>
      </c>
      <c r="J1029" s="30">
        <f>IF(G1029&lt;$H$10,$H$16,IF(G1029&gt;$I$10,$H$16,$H$11))*E1029/600</f>
        <v>5.100835133333334E-2</v>
      </c>
      <c r="L1029" s="32">
        <f>$J1029*($G1029-$G1028)*60*24</f>
        <v>5.100835133333316E-2</v>
      </c>
    </row>
    <row r="1030" spans="1:12">
      <c r="A1030" s="22">
        <v>40311.328472222223</v>
      </c>
      <c r="E1030" s="26">
        <v>152.89911000000001</v>
      </c>
      <c r="G1030" s="27">
        <v>0.32847222222222222</v>
      </c>
      <c r="J1030" s="30">
        <f>IF(G1030&lt;$H$10,$H$16,IF(G1030&gt;$I$10,$H$16,$H$11))*E1030/600</f>
        <v>5.0966370000000004E-2</v>
      </c>
      <c r="L1030" s="32">
        <f>$J1030*($G1030-$G1029)*60*24</f>
        <v>5.0966369999999823E-2</v>
      </c>
    </row>
    <row r="1031" spans="1:12">
      <c r="A1031" s="22">
        <v>40311.32916666667</v>
      </c>
      <c r="E1031" s="26">
        <v>153.60254</v>
      </c>
      <c r="G1031" s="27">
        <v>0.32916666666666666</v>
      </c>
      <c r="J1031" s="30">
        <f>IF(G1031&lt;$H$10,$H$16,IF(G1031&gt;$I$10,$H$16,$H$11))*E1031/600</f>
        <v>5.1200846666666668E-2</v>
      </c>
      <c r="L1031" s="32">
        <f>$J1031*($G1031-$G1030)*60*24</f>
        <v>5.1200846666666487E-2</v>
      </c>
    </row>
    <row r="1032" spans="1:12">
      <c r="A1032" s="22">
        <v>40311.329861111109</v>
      </c>
      <c r="E1032" s="26">
        <v>154.71456000000001</v>
      </c>
      <c r="G1032" s="27">
        <v>0.3298611111111111</v>
      </c>
      <c r="J1032" s="30">
        <f>IF(G1032&lt;$H$10,$H$16,IF(G1032&gt;$I$10,$H$16,$H$11))*E1032/600</f>
        <v>5.1571520000000003E-2</v>
      </c>
      <c r="L1032" s="32">
        <f>$J1032*($G1032-$G1031)*60*24</f>
        <v>5.1571519999999815E-2</v>
      </c>
    </row>
    <row r="1033" spans="1:12">
      <c r="A1033" s="22">
        <v>40311.330555555556</v>
      </c>
      <c r="E1033" s="26">
        <v>154.41699</v>
      </c>
      <c r="G1033" s="27">
        <v>0.33055555555555555</v>
      </c>
      <c r="J1033" s="30">
        <f>IF(G1033&lt;$H$10,$H$16,IF(G1033&gt;$I$10,$H$16,$H$11))*E1033/600</f>
        <v>5.1472329999999997E-2</v>
      </c>
      <c r="L1033" s="32">
        <f>$J1033*($G1033-$G1032)*60*24</f>
        <v>5.1472329999999816E-2</v>
      </c>
    </row>
    <row r="1034" spans="1:12">
      <c r="A1034" s="22">
        <v>40311.331250000003</v>
      </c>
      <c r="E1034" s="26">
        <v>155.25055</v>
      </c>
      <c r="G1034" s="27">
        <v>0.33124999999999999</v>
      </c>
      <c r="J1034" s="30">
        <f>IF(G1034&lt;$H$10,$H$16,IF(G1034&gt;$I$10,$H$16,$H$11))*E1034/600</f>
        <v>5.1750183333333338E-2</v>
      </c>
      <c r="L1034" s="32">
        <f>$J1034*($G1034-$G1033)*60*24</f>
        <v>5.1750183333333158E-2</v>
      </c>
    </row>
    <row r="1035" spans="1:12">
      <c r="A1035" s="22">
        <v>40311.331944444442</v>
      </c>
      <c r="E1035" s="26">
        <v>156.65103999999999</v>
      </c>
      <c r="G1035" s="27">
        <v>0.33194444444444443</v>
      </c>
      <c r="J1035" s="30">
        <f>IF(G1035&lt;$H$10,$H$16,IF(G1035&gt;$I$10,$H$16,$H$11))*E1035/600</f>
        <v>5.2217013333333333E-2</v>
      </c>
      <c r="L1035" s="32">
        <f>$J1035*($G1035-$G1034)*60*24</f>
        <v>5.2217013333333145E-2</v>
      </c>
    </row>
    <row r="1036" spans="1:12">
      <c r="A1036" s="22">
        <v>40311.332638888889</v>
      </c>
      <c r="E1036" s="26">
        <v>158.271568</v>
      </c>
      <c r="G1036" s="27">
        <v>0.33263888888888887</v>
      </c>
      <c r="J1036" s="30">
        <f>IF(G1036&lt;$H$10,$H$16,IF(G1036&gt;$I$10,$H$16,$H$11))*E1036/600</f>
        <v>5.2757189333333336E-2</v>
      </c>
      <c r="L1036" s="32">
        <f>$J1036*($G1036-$G1035)*60*24</f>
        <v>5.2757189333333156E-2</v>
      </c>
    </row>
    <row r="1037" spans="1:12">
      <c r="A1037" s="22">
        <v>40311.333333333336</v>
      </c>
      <c r="E1037" s="26">
        <v>155.87208000000001</v>
      </c>
      <c r="G1037" s="27">
        <v>0.33333333333333331</v>
      </c>
      <c r="J1037" s="30">
        <f>IF(G1037&lt;$H$10,$H$16,IF(G1037&gt;$I$10,$H$16,$H$11))*E1037/600</f>
        <v>5.1957360000000008E-2</v>
      </c>
      <c r="L1037" s="32">
        <f>$J1037*($G1037-$G1036)*60*24</f>
        <v>5.1957359999999828E-2</v>
      </c>
    </row>
    <row r="1038" spans="1:12">
      <c r="A1038" s="22">
        <v>40311.334027777775</v>
      </c>
      <c r="E1038" s="26">
        <v>154.23817500000001</v>
      </c>
      <c r="G1038" s="27">
        <v>0.33402777777777781</v>
      </c>
      <c r="J1038" s="30">
        <f>IF(G1038&lt;$H$10,$H$16,IF(G1038&gt;$I$10,$H$16,$H$11))*E1038/600</f>
        <v>5.1412725000000006E-2</v>
      </c>
      <c r="L1038" s="32">
        <f>$J1038*($G1038-$G1037)*60*24</f>
        <v>5.1412725000003934E-2</v>
      </c>
    </row>
    <row r="1039" spans="1:12">
      <c r="A1039" s="22">
        <v>40311.334722222222</v>
      </c>
      <c r="E1039" s="26">
        <v>152.624199</v>
      </c>
      <c r="G1039" s="27">
        <v>0.3347222222222222</v>
      </c>
      <c r="J1039" s="30">
        <f>IF(G1039&lt;$H$10,$H$16,IF(G1039&gt;$I$10,$H$16,$H$11))*E1039/600</f>
        <v>5.0874733000000005E-2</v>
      </c>
      <c r="L1039" s="32">
        <f>$J1039*($G1039-$G1038)*60*24</f>
        <v>5.0874732999995759E-2</v>
      </c>
    </row>
    <row r="1040" spans="1:12">
      <c r="A1040" s="22">
        <v>40311.335416666669</v>
      </c>
      <c r="E1040" s="26">
        <v>152.5797</v>
      </c>
      <c r="G1040" s="27">
        <v>0.3354166666666667</v>
      </c>
      <c r="J1040" s="30">
        <f>IF(G1040&lt;$H$10,$H$16,IF(G1040&gt;$I$10,$H$16,$H$11))*E1040/600</f>
        <v>5.08599E-2</v>
      </c>
      <c r="L1040" s="32">
        <f>$J1040*($G1040-$G1039)*60*24</f>
        <v>5.0859900000003885E-2</v>
      </c>
    </row>
    <row r="1041" spans="1:12">
      <c r="A1041" s="22">
        <v>40311.336111111108</v>
      </c>
      <c r="E1041" s="26">
        <v>153.19786300000001</v>
      </c>
      <c r="G1041" s="27">
        <v>0.33611111111111108</v>
      </c>
      <c r="J1041" s="30">
        <f>IF(G1041&lt;$H$10,$H$16,IF(G1041&gt;$I$10,$H$16,$H$11))*E1041/600</f>
        <v>5.1065954333333344E-2</v>
      </c>
      <c r="L1041" s="32">
        <f>$J1041*($G1041-$G1040)*60*24</f>
        <v>5.1065954333329083E-2</v>
      </c>
    </row>
    <row r="1042" spans="1:12">
      <c r="A1042" s="22">
        <v>40311.336805555555</v>
      </c>
      <c r="E1042" s="26">
        <v>152.966632</v>
      </c>
      <c r="G1042" s="27">
        <v>0.33680555555555558</v>
      </c>
      <c r="J1042" s="30">
        <f>IF(G1042&lt;$H$10,$H$16,IF(G1042&gt;$I$10,$H$16,$H$11))*E1042/600</f>
        <v>5.0988877333333335E-2</v>
      </c>
      <c r="L1042" s="32">
        <f>$J1042*($G1042-$G1041)*60*24</f>
        <v>5.0988877333337221E-2</v>
      </c>
    </row>
    <row r="1043" spans="1:12">
      <c r="A1043" s="22">
        <v>40311.337500000001</v>
      </c>
      <c r="E1043" s="26">
        <v>152.45685</v>
      </c>
      <c r="G1043" s="27">
        <v>0.33749999999999997</v>
      </c>
      <c r="J1043" s="30">
        <f>IF(G1043&lt;$H$10,$H$16,IF(G1043&gt;$I$10,$H$16,$H$11))*E1043/600</f>
        <v>5.0818950000000009E-2</v>
      </c>
      <c r="L1043" s="32">
        <f>$J1043*($G1043-$G1042)*60*24</f>
        <v>5.0818949999995769E-2</v>
      </c>
    </row>
    <row r="1044" spans="1:12">
      <c r="A1044" s="22">
        <v>40311.338194444441</v>
      </c>
      <c r="E1044" s="26">
        <v>152.5342</v>
      </c>
      <c r="G1044" s="27">
        <v>0.33819444444444446</v>
      </c>
      <c r="J1044" s="30">
        <f>IF(G1044&lt;$H$10,$H$16,IF(G1044&gt;$I$10,$H$16,$H$11))*E1044/600</f>
        <v>5.0844733333333336E-2</v>
      </c>
      <c r="L1044" s="32">
        <f>$J1044*($G1044-$G1043)*60*24</f>
        <v>5.0844733333337222E-2</v>
      </c>
    </row>
    <row r="1045" spans="1:12">
      <c r="A1045" s="22">
        <v>40311.338888888888</v>
      </c>
      <c r="E1045" s="26">
        <v>152.67852600000001</v>
      </c>
      <c r="G1045" s="27">
        <v>0.33888888888888885</v>
      </c>
      <c r="J1045" s="30">
        <f>IF(G1045&lt;$H$10,$H$16,IF(G1045&gt;$I$10,$H$16,$H$11))*E1045/600</f>
        <v>5.0892842000000001E-2</v>
      </c>
      <c r="L1045" s="32">
        <f>$J1045*($G1045-$G1044)*60*24</f>
        <v>5.0892841999995761E-2</v>
      </c>
    </row>
    <row r="1046" spans="1:12">
      <c r="A1046" s="22">
        <v>40311.339583333334</v>
      </c>
      <c r="E1046" s="26">
        <v>152.67679699999999</v>
      </c>
      <c r="G1046" s="27">
        <v>0.33958333333333335</v>
      </c>
      <c r="J1046" s="30">
        <f>IF(G1046&lt;$H$10,$H$16,IF(G1046&gt;$I$10,$H$16,$H$11))*E1046/600</f>
        <v>5.0892265666666665E-2</v>
      </c>
      <c r="L1046" s="32">
        <f>$J1046*($G1046-$G1045)*60*24</f>
        <v>5.0892265666670544E-2</v>
      </c>
    </row>
    <row r="1047" spans="1:12">
      <c r="A1047" s="22">
        <v>40311.340277777781</v>
      </c>
      <c r="E1047" s="26">
        <v>157.27639199999999</v>
      </c>
      <c r="G1047" s="27">
        <v>0.34027777777777773</v>
      </c>
      <c r="J1047" s="30">
        <f>IF(G1047&lt;$H$10,$H$16,IF(G1047&gt;$I$10,$H$16,$H$11))*E1047/600</f>
        <v>5.2425463999999998E-2</v>
      </c>
      <c r="L1047" s="32">
        <f>$J1047*($G1047-$G1046)*60*24</f>
        <v>5.2425463999995627E-2</v>
      </c>
    </row>
    <row r="1048" spans="1:12">
      <c r="A1048" s="22">
        <v>40311.34097222222</v>
      </c>
      <c r="E1048" s="26">
        <v>152.66159999999999</v>
      </c>
      <c r="G1048" s="27">
        <v>0.34097222222222223</v>
      </c>
      <c r="J1048" s="30">
        <f>IF(G1048&lt;$H$10,$H$16,IF(G1048&gt;$I$10,$H$16,$H$11))*E1048/600</f>
        <v>5.08872E-2</v>
      </c>
      <c r="L1048" s="32">
        <f>$J1048*($G1048-$G1047)*60*24</f>
        <v>5.0887200000003879E-2</v>
      </c>
    </row>
    <row r="1049" spans="1:12">
      <c r="A1049" s="22">
        <v>40311.341666666667</v>
      </c>
      <c r="E1049" s="26">
        <v>153.30014700000001</v>
      </c>
      <c r="G1049" s="27">
        <v>0.34166666666666662</v>
      </c>
      <c r="J1049" s="30">
        <f>IF(G1049&lt;$H$10,$H$16,IF(G1049&gt;$I$10,$H$16,$H$11))*E1049/600</f>
        <v>5.1100049000000002E-2</v>
      </c>
      <c r="L1049" s="32">
        <f>$J1049*($G1049-$G1048)*60*24</f>
        <v>5.1100048999995741E-2</v>
      </c>
    </row>
    <row r="1050" spans="1:12">
      <c r="A1050" s="22">
        <v>40311.342361111114</v>
      </c>
      <c r="E1050" s="26">
        <v>152.77953600000001</v>
      </c>
      <c r="G1050" s="27">
        <v>0.34236111111111112</v>
      </c>
      <c r="J1050" s="30">
        <f>IF(G1050&lt;$H$10,$H$16,IF(G1050&gt;$I$10,$H$16,$H$11))*E1050/600</f>
        <v>5.0926512000000007E-2</v>
      </c>
      <c r="L1050" s="32">
        <f>$J1050*($G1050-$G1049)*60*24</f>
        <v>5.09265120000039E-2</v>
      </c>
    </row>
    <row r="1051" spans="1:12">
      <c r="A1051" s="22">
        <v>40311.343055555553</v>
      </c>
      <c r="E1051" s="26">
        <v>153.62183200000001</v>
      </c>
      <c r="G1051" s="27">
        <v>0.3430555555555555</v>
      </c>
      <c r="J1051" s="30">
        <f>IF(G1051&lt;$H$10,$H$16,IF(G1051&gt;$I$10,$H$16,$H$11))*E1051/600</f>
        <v>5.1207277333333343E-2</v>
      </c>
      <c r="L1051" s="32">
        <f>$J1051*($G1051-$G1050)*60*24</f>
        <v>5.1207277333329068E-2</v>
      </c>
    </row>
    <row r="1052" spans="1:12">
      <c r="A1052" s="22">
        <v>40311.34375</v>
      </c>
      <c r="E1052" s="26">
        <v>152.92904899999999</v>
      </c>
      <c r="G1052" s="27">
        <v>0.34375</v>
      </c>
      <c r="J1052" s="30">
        <f>IF(G1052&lt;$H$10,$H$16,IF(G1052&gt;$I$10,$H$16,$H$11))*E1052/600</f>
        <v>5.0976349666666664E-2</v>
      </c>
      <c r="L1052" s="32">
        <f>$J1052*($G1052-$G1051)*60*24</f>
        <v>5.0976349666670556E-2</v>
      </c>
    </row>
    <row r="1053" spans="1:12">
      <c r="A1053" s="22">
        <v>40311.344444444447</v>
      </c>
      <c r="E1053" s="26">
        <v>153.66077999999999</v>
      </c>
      <c r="G1053" s="27">
        <v>0.3444444444444445</v>
      </c>
      <c r="J1053" s="30">
        <f>IF(G1053&lt;$H$10,$H$16,IF(G1053&gt;$I$10,$H$16,$H$11))*E1053/600</f>
        <v>5.1220259999999997E-2</v>
      </c>
      <c r="L1053" s="32">
        <f>$J1053*($G1053-$G1052)*60*24</f>
        <v>5.1220260000003903E-2</v>
      </c>
    </row>
    <row r="1054" spans="1:12">
      <c r="A1054" s="22">
        <v>40311.345138888886</v>
      </c>
      <c r="E1054" s="26">
        <v>153.13798499999999</v>
      </c>
      <c r="G1054" s="27">
        <v>0.34513888888888888</v>
      </c>
      <c r="J1054" s="30">
        <f>IF(G1054&lt;$H$10,$H$16,IF(G1054&gt;$I$10,$H$16,$H$11))*E1054/600</f>
        <v>5.1045994999999997E-2</v>
      </c>
      <c r="L1054" s="32">
        <f>$J1054*($G1054-$G1053)*60*24</f>
        <v>5.1045994999995736E-2</v>
      </c>
    </row>
    <row r="1055" spans="1:12">
      <c r="A1055" s="22">
        <v>40311.345833333333</v>
      </c>
      <c r="E1055" s="26">
        <v>154.72457</v>
      </c>
      <c r="G1055" s="27">
        <v>0.34583333333333338</v>
      </c>
      <c r="J1055" s="30">
        <f>IF(G1055&lt;$H$10,$H$16,IF(G1055&gt;$I$10,$H$16,$H$11))*E1055/600</f>
        <v>5.1574856666666669E-2</v>
      </c>
      <c r="L1055" s="32">
        <f>$J1055*($G1055-$G1054)*60*24</f>
        <v>5.157485666667061E-2</v>
      </c>
    </row>
    <row r="1056" spans="1:12">
      <c r="A1056" s="22">
        <v>40311.34652777778</v>
      </c>
      <c r="E1056" s="26">
        <v>152.95316399999999</v>
      </c>
      <c r="G1056" s="27">
        <v>0.34652777777777777</v>
      </c>
      <c r="J1056" s="30">
        <f>IF(G1056&lt;$H$10,$H$16,IF(G1056&gt;$I$10,$H$16,$H$11))*E1056/600</f>
        <v>5.0984387999999999E-2</v>
      </c>
      <c r="L1056" s="32">
        <f>$J1056*($G1056-$G1055)*60*24</f>
        <v>5.0984387999995752E-2</v>
      </c>
    </row>
    <row r="1057" spans="1:12">
      <c r="A1057" s="22">
        <v>40311.347222222219</v>
      </c>
      <c r="E1057" s="26">
        <v>155.122422</v>
      </c>
      <c r="G1057" s="27">
        <v>0.34722222222222227</v>
      </c>
      <c r="J1057" s="30">
        <f>IF(G1057&lt;$H$10,$H$16,IF(G1057&gt;$I$10,$H$16,$H$11))*E1057/600</f>
        <v>5.1707474000000003E-2</v>
      </c>
      <c r="L1057" s="32">
        <f>$J1057*($G1057-$G1056)*60*24</f>
        <v>5.1707474000003958E-2</v>
      </c>
    </row>
    <row r="1058" spans="1:12">
      <c r="A1058" s="22">
        <v>40311.347916666666</v>
      </c>
      <c r="E1058" s="26">
        <v>151.55631399999999</v>
      </c>
      <c r="G1058" s="27">
        <v>0.34791666666666665</v>
      </c>
      <c r="J1058" s="30">
        <f>IF(G1058&lt;$H$10,$H$16,IF(G1058&gt;$I$10,$H$16,$H$11))*E1058/600</f>
        <v>5.051877133333333E-2</v>
      </c>
      <c r="L1058" s="32">
        <f>$J1058*($G1058-$G1057)*60*24</f>
        <v>5.0518771333329104E-2</v>
      </c>
    </row>
    <row r="1059" spans="1:12">
      <c r="A1059" s="22">
        <v>40311.348611111112</v>
      </c>
      <c r="E1059" s="26">
        <v>149.265207</v>
      </c>
      <c r="G1059" s="27">
        <v>0.34861111111111115</v>
      </c>
      <c r="J1059" s="30">
        <f>IF(G1059&lt;$H$10,$H$16,IF(G1059&gt;$I$10,$H$16,$H$11))*E1059/600</f>
        <v>4.9755069000000006E-2</v>
      </c>
      <c r="L1059" s="32">
        <f>$J1059*($G1059-$G1058)*60*24</f>
        <v>4.9755069000003815E-2</v>
      </c>
    </row>
    <row r="1060" spans="1:12">
      <c r="A1060" s="22">
        <v>40311.349305555559</v>
      </c>
      <c r="E1060" s="26">
        <v>153.90238500000001</v>
      </c>
      <c r="G1060" s="27">
        <v>0.34930555555555554</v>
      </c>
      <c r="J1060" s="30">
        <f>IF(G1060&lt;$H$10,$H$16,IF(G1060&gt;$I$10,$H$16,$H$11))*E1060/600</f>
        <v>5.130079500000001E-2</v>
      </c>
      <c r="L1060" s="32">
        <f>$J1060*($G1060-$G1059)*60*24</f>
        <v>5.1300794999995722E-2</v>
      </c>
    </row>
    <row r="1061" spans="1:12">
      <c r="A1061" s="22">
        <v>40311.35</v>
      </c>
      <c r="E1061" s="26">
        <v>59.257199999999997</v>
      </c>
      <c r="G1061" s="27">
        <v>0.35000000000000003</v>
      </c>
      <c r="J1061" s="30">
        <f>IF(G1061&lt;$H$10,$H$16,IF(G1061&gt;$I$10,$H$16,$H$11))*E1061/600</f>
        <v>1.97524E-2</v>
      </c>
      <c r="L1061" s="32">
        <f>$J1061*($G1061-$G1060)*60*24</f>
        <v>1.9752400000001509E-2</v>
      </c>
    </row>
    <row r="1062" spans="1:12">
      <c r="A1062" s="22">
        <v>40311.350694444445</v>
      </c>
      <c r="E1062" s="26">
        <v>19.940999999999999</v>
      </c>
      <c r="G1062" s="27">
        <v>0.35069444444444442</v>
      </c>
      <c r="J1062" s="30">
        <f>IF(G1062&lt;$H$10,$H$16,IF(G1062&gt;$I$10,$H$16,$H$11))*E1062/600</f>
        <v>6.6470000000000001E-3</v>
      </c>
      <c r="L1062" s="32">
        <f>$J1062*($G1062-$G1061)*60*24</f>
        <v>6.646999999999445E-3</v>
      </c>
    </row>
    <row r="1063" spans="1:12">
      <c r="A1063" s="22">
        <v>40311.351388888892</v>
      </c>
      <c r="E1063" s="26">
        <v>19.300609999999999</v>
      </c>
      <c r="G1063" s="27">
        <v>0.35138888888888892</v>
      </c>
      <c r="J1063" s="30">
        <f>IF(G1063&lt;$H$10,$H$16,IF(G1063&gt;$I$10,$H$16,$H$11))*E1063/600</f>
        <v>6.4335366666666664E-3</v>
      </c>
      <c r="L1063" s="32">
        <f>$J1063*($G1063-$G1062)*60*24</f>
        <v>6.4335366666671574E-3</v>
      </c>
    </row>
    <row r="1064" spans="1:12">
      <c r="A1064" s="22">
        <v>40311.352083333331</v>
      </c>
      <c r="E1064" s="26">
        <v>15.441269999999999</v>
      </c>
      <c r="G1064" s="27">
        <v>0.3520833333333333</v>
      </c>
      <c r="J1064" s="30">
        <f>IF(G1064&lt;$H$10,$H$16,IF(G1064&gt;$I$10,$H$16,$H$11))*E1064/600</f>
        <v>5.14709E-3</v>
      </c>
      <c r="L1064" s="32">
        <f>$J1064*($G1064-$G1063)*60*24</f>
        <v>5.1470899999995707E-3</v>
      </c>
    </row>
    <row r="1065" spans="1:12">
      <c r="A1065" s="22">
        <v>40311.352777777778</v>
      </c>
      <c r="E1065" s="26">
        <v>15.131904</v>
      </c>
      <c r="G1065" s="27">
        <v>0.3527777777777778</v>
      </c>
      <c r="J1065" s="30">
        <f>IF(G1065&lt;$H$10,$H$16,IF(G1065&gt;$I$10,$H$16,$H$11))*E1065/600</f>
        <v>5.0439680000000002E-3</v>
      </c>
      <c r="L1065" s="32">
        <f>$J1065*($G1065-$G1064)*60*24</f>
        <v>5.0439680000003853E-3</v>
      </c>
    </row>
    <row r="1066" spans="1:12">
      <c r="A1066" s="22">
        <v>40311.353472222225</v>
      </c>
      <c r="E1066" s="26">
        <v>15.253888</v>
      </c>
      <c r="G1066" s="27">
        <v>0.35347222222222219</v>
      </c>
      <c r="J1066" s="30">
        <f>IF(G1066&lt;$H$10,$H$16,IF(G1066&gt;$I$10,$H$16,$H$11))*E1066/600</f>
        <v>5.0846293333333334E-3</v>
      </c>
      <c r="L1066" s="32">
        <f>$J1066*($G1066-$G1065)*60*24</f>
        <v>5.0846293333329092E-3</v>
      </c>
    </row>
    <row r="1067" spans="1:12">
      <c r="A1067" s="22">
        <v>40311.354166666664</v>
      </c>
      <c r="E1067" s="26">
        <v>15.415296</v>
      </c>
      <c r="G1067" s="27">
        <v>0.35416666666666669</v>
      </c>
      <c r="J1067" s="30">
        <f>IF(G1067&lt;$H$10,$H$16,IF(G1067&gt;$I$10,$H$16,$H$11))*E1067/600</f>
        <v>5.6522752000000001E-3</v>
      </c>
      <c r="L1067" s="32">
        <f>$J1067*($G1067-$G1066)*60*24</f>
        <v>5.6522752000004312E-3</v>
      </c>
    </row>
    <row r="1068" spans="1:12">
      <c r="A1068" s="22">
        <v>40311.354861111111</v>
      </c>
      <c r="E1068" s="26">
        <v>15.102359999999999</v>
      </c>
      <c r="G1068" s="27">
        <v>0.35486111111111113</v>
      </c>
      <c r="J1068" s="30">
        <f>IF(G1068&lt;$H$10,$H$16,IF(G1068&gt;$I$10,$H$16,$H$11))*E1068/600</f>
        <v>5.5375319999999995E-3</v>
      </c>
      <c r="L1068" s="32">
        <f>$J1068*($G1068-$G1067)*60*24</f>
        <v>5.5375319999999804E-3</v>
      </c>
    </row>
    <row r="1069" spans="1:12">
      <c r="A1069" s="22">
        <v>40311.355555555558</v>
      </c>
      <c r="E1069" s="26">
        <v>15.148415999999999</v>
      </c>
      <c r="G1069" s="27">
        <v>0.35555555555555557</v>
      </c>
      <c r="J1069" s="30">
        <f>IF(G1069&lt;$H$10,$H$16,IF(G1069&gt;$I$10,$H$16,$H$11))*E1069/600</f>
        <v>5.5544191999999997E-3</v>
      </c>
      <c r="L1069" s="32">
        <f>$J1069*($G1069-$G1068)*60*24</f>
        <v>5.5544191999999798E-3</v>
      </c>
    </row>
    <row r="1070" spans="1:12">
      <c r="A1070" s="22">
        <v>40311.356249999997</v>
      </c>
      <c r="E1070" s="26">
        <v>15.34182</v>
      </c>
      <c r="G1070" s="27">
        <v>0.35625000000000001</v>
      </c>
      <c r="J1070" s="30">
        <f>IF(G1070&lt;$H$10,$H$16,IF(G1070&gt;$I$10,$H$16,$H$11))*E1070/600</f>
        <v>5.6253340000000001E-3</v>
      </c>
      <c r="L1070" s="32">
        <f>$J1070*($G1070-$G1069)*60*24</f>
        <v>5.625333999999981E-3</v>
      </c>
    </row>
    <row r="1071" spans="1:12">
      <c r="A1071" s="22">
        <v>40311.356944444444</v>
      </c>
      <c r="E1071" s="26">
        <v>15.40812</v>
      </c>
      <c r="G1071" s="27">
        <v>0.35694444444444445</v>
      </c>
      <c r="J1071" s="30">
        <f>IF(G1071&lt;$H$10,$H$16,IF(G1071&gt;$I$10,$H$16,$H$11))*E1071/600</f>
        <v>5.6496440000000005E-3</v>
      </c>
      <c r="L1071" s="32">
        <f>$J1071*($G1071-$G1070)*60*24</f>
        <v>5.6496439999999806E-3</v>
      </c>
    </row>
    <row r="1072" spans="1:12">
      <c r="A1072" s="22">
        <v>40311.357638888891</v>
      </c>
      <c r="E1072" s="26">
        <v>15.099500000000001</v>
      </c>
      <c r="G1072" s="27">
        <v>0.3576388888888889</v>
      </c>
      <c r="J1072" s="30">
        <f>IF(G1072&lt;$H$10,$H$16,IF(G1072&gt;$I$10,$H$16,$H$11))*E1072/600</f>
        <v>5.5364833333333341E-3</v>
      </c>
      <c r="L1072" s="32">
        <f>$J1072*($G1072-$G1071)*60*24</f>
        <v>5.5364833333333141E-3</v>
      </c>
    </row>
    <row r="1073" spans="1:12">
      <c r="A1073" s="22">
        <v>40311.35833333333</v>
      </c>
      <c r="E1073" s="26">
        <v>14.896896</v>
      </c>
      <c r="G1073" s="27">
        <v>0.35833333333333334</v>
      </c>
      <c r="J1073" s="30">
        <f>IF(G1073&lt;$H$10,$H$16,IF(G1073&gt;$I$10,$H$16,$H$11))*E1073/600</f>
        <v>5.4621952000000005E-3</v>
      </c>
      <c r="L1073" s="32">
        <f>$J1073*($G1073-$G1072)*60*24</f>
        <v>5.4621951999999814E-3</v>
      </c>
    </row>
    <row r="1074" spans="1:12">
      <c r="A1074" s="22">
        <v>40311.359027777777</v>
      </c>
      <c r="E1074" s="26">
        <v>15.401490000000001</v>
      </c>
      <c r="G1074" s="27">
        <v>0.35902777777777778</v>
      </c>
      <c r="J1074" s="30">
        <f>IF(G1074&lt;$H$10,$H$16,IF(G1074&gt;$I$10,$H$16,$H$11))*E1074/600</f>
        <v>5.6472130000000008E-3</v>
      </c>
      <c r="L1074" s="32">
        <f>$J1074*($G1074-$G1073)*60*24</f>
        <v>5.6472129999999799E-3</v>
      </c>
    </row>
    <row r="1075" spans="1:12">
      <c r="A1075" s="22">
        <v>40311.359722222223</v>
      </c>
      <c r="E1075" s="26">
        <v>15.346176</v>
      </c>
      <c r="G1075" s="27">
        <v>0.35972222222222222</v>
      </c>
      <c r="J1075" s="30">
        <f>IF(G1075&lt;$H$10,$H$16,IF(G1075&gt;$I$10,$H$16,$H$11))*E1075/600</f>
        <v>5.6269312E-3</v>
      </c>
      <c r="L1075" s="32">
        <f>$J1075*($G1075-$G1074)*60*24</f>
        <v>5.6269311999999801E-3</v>
      </c>
    </row>
    <row r="1076" spans="1:12">
      <c r="A1076" s="22">
        <v>40311.36041666667</v>
      </c>
      <c r="E1076" s="26">
        <v>15.29344</v>
      </c>
      <c r="G1076" s="27">
        <v>0.36041666666666666</v>
      </c>
      <c r="J1076" s="30">
        <f>IF(G1076&lt;$H$10,$H$16,IF(G1076&gt;$I$10,$H$16,$H$11))*E1076/600</f>
        <v>5.6075946666666668E-3</v>
      </c>
      <c r="L1076" s="32">
        <f>$J1076*($G1076-$G1075)*60*24</f>
        <v>5.6075946666666477E-3</v>
      </c>
    </row>
    <row r="1077" spans="1:12">
      <c r="A1077" s="22">
        <v>40311.361111111109</v>
      </c>
      <c r="E1077" s="26">
        <v>15.247296</v>
      </c>
      <c r="G1077" s="27">
        <v>0.3611111111111111</v>
      </c>
      <c r="J1077" s="30">
        <f>IF(G1077&lt;$H$10,$H$16,IF(G1077&gt;$I$10,$H$16,$H$11))*E1077/600</f>
        <v>5.5906751999999999E-3</v>
      </c>
      <c r="L1077" s="32">
        <f>$J1077*($G1077-$G1076)*60*24</f>
        <v>5.5906751999999799E-3</v>
      </c>
    </row>
    <row r="1078" spans="1:12">
      <c r="A1078" s="22">
        <v>40311.361805555556</v>
      </c>
      <c r="E1078" s="26">
        <v>15.07968</v>
      </c>
      <c r="G1078" s="27">
        <v>0.36180555555555555</v>
      </c>
      <c r="J1078" s="30">
        <f>IF(G1078&lt;$H$10,$H$16,IF(G1078&gt;$I$10,$H$16,$H$11))*E1078/600</f>
        <v>5.529216E-3</v>
      </c>
      <c r="L1078" s="32">
        <f>$J1078*($G1078-$G1077)*60*24</f>
        <v>5.52921599999998E-3</v>
      </c>
    </row>
    <row r="1079" spans="1:12">
      <c r="A1079" s="22">
        <v>40311.362500000003</v>
      </c>
      <c r="E1079" s="26">
        <v>15.260479999999999</v>
      </c>
      <c r="G1079" s="27">
        <v>0.36249999999999999</v>
      </c>
      <c r="J1079" s="30">
        <f>IF(G1079&lt;$H$10,$H$16,IF(G1079&gt;$I$10,$H$16,$H$11))*E1079/600</f>
        <v>5.5955093333333325E-3</v>
      </c>
      <c r="L1079" s="32">
        <f>$J1079*($G1079-$G1078)*60*24</f>
        <v>5.5955093333333126E-3</v>
      </c>
    </row>
    <row r="1080" spans="1:12">
      <c r="A1080" s="22">
        <v>40311.363194444442</v>
      </c>
      <c r="E1080" s="26">
        <v>15.180984</v>
      </c>
      <c r="G1080" s="27">
        <v>0.36319444444444443</v>
      </c>
      <c r="J1080" s="30">
        <f>IF(G1080&lt;$H$10,$H$16,IF(G1080&gt;$I$10,$H$16,$H$11))*E1080/600</f>
        <v>5.5663608000000005E-3</v>
      </c>
      <c r="L1080" s="32">
        <f>$J1080*($G1080-$G1079)*60*24</f>
        <v>5.5663607999999806E-3</v>
      </c>
    </row>
    <row r="1081" spans="1:12">
      <c r="A1081" s="22">
        <v>40311.363888888889</v>
      </c>
      <c r="E1081" s="26">
        <v>15.352767999999999</v>
      </c>
      <c r="G1081" s="27">
        <v>0.36388888888888887</v>
      </c>
      <c r="J1081" s="30">
        <f>IF(G1081&lt;$H$10,$H$16,IF(G1081&gt;$I$10,$H$16,$H$11))*E1081/600</f>
        <v>5.6293482666666663E-3</v>
      </c>
      <c r="L1081" s="32">
        <f>$J1081*($G1081-$G1080)*60*24</f>
        <v>5.6293482666666464E-3</v>
      </c>
    </row>
    <row r="1082" spans="1:12">
      <c r="A1082" s="22">
        <v>40311.364583333336</v>
      </c>
      <c r="E1082" s="26">
        <v>15.273664</v>
      </c>
      <c r="G1082" s="27">
        <v>0.36458333333333331</v>
      </c>
      <c r="J1082" s="30">
        <f>IF(G1082&lt;$H$10,$H$16,IF(G1082&gt;$I$10,$H$16,$H$11))*E1082/600</f>
        <v>5.6003434666666669E-3</v>
      </c>
      <c r="L1082" s="32">
        <f>$J1082*($G1082-$G1081)*60*24</f>
        <v>5.600343466666647E-3</v>
      </c>
    </row>
    <row r="1083" spans="1:12">
      <c r="A1083" s="22">
        <v>40311.365277777775</v>
      </c>
      <c r="E1083" s="26">
        <v>15.099264</v>
      </c>
      <c r="G1083" s="27">
        <v>0.36527777777777781</v>
      </c>
      <c r="J1083" s="30">
        <f>IF(G1083&lt;$H$10,$H$16,IF(G1083&gt;$I$10,$H$16,$H$11))*E1083/600</f>
        <v>5.5363968000000001E-3</v>
      </c>
      <c r="L1083" s="32">
        <f>$J1083*($G1083-$G1082)*60*24</f>
        <v>5.5363968000004225E-3</v>
      </c>
    </row>
    <row r="1084" spans="1:12">
      <c r="A1084" s="22">
        <v>40311.365972222222</v>
      </c>
      <c r="E1084" s="26">
        <v>15.063048</v>
      </c>
      <c r="G1084" s="27">
        <v>0.3659722222222222</v>
      </c>
      <c r="J1084" s="30">
        <f>IF(G1084&lt;$H$10,$H$16,IF(G1084&gt;$I$10,$H$16,$H$11))*E1084/600</f>
        <v>5.5231176000000003E-3</v>
      </c>
      <c r="L1084" s="32">
        <f>$J1084*($G1084-$G1083)*60*24</f>
        <v>5.5231175999995389E-3</v>
      </c>
    </row>
    <row r="1085" spans="1:12">
      <c r="A1085" s="22">
        <v>40311.366666666669</v>
      </c>
      <c r="E1085" s="26">
        <v>14.833728000000001</v>
      </c>
      <c r="G1085" s="27">
        <v>0.3666666666666667</v>
      </c>
      <c r="J1085" s="30">
        <f>IF(G1085&lt;$H$10,$H$16,IF(G1085&gt;$I$10,$H$16,$H$11))*E1085/600</f>
        <v>5.4390336000000004E-3</v>
      </c>
      <c r="L1085" s="32">
        <f>$J1085*($G1085-$G1084)*60*24</f>
        <v>5.4390336000004159E-3</v>
      </c>
    </row>
    <row r="1086" spans="1:12">
      <c r="A1086" s="22">
        <v>40311.367361111108</v>
      </c>
      <c r="E1086" s="26">
        <v>15.00282</v>
      </c>
      <c r="G1086" s="27">
        <v>0.36736111111111108</v>
      </c>
      <c r="J1086" s="30">
        <f>IF(G1086&lt;$H$10,$H$16,IF(G1086&gt;$I$10,$H$16,$H$11))*E1086/600</f>
        <v>5.5010340000000001E-3</v>
      </c>
      <c r="L1086" s="32">
        <f>$J1086*($G1086-$G1085)*60*24</f>
        <v>5.5010339999995404E-3</v>
      </c>
    </row>
    <row r="1087" spans="1:12">
      <c r="A1087" s="22">
        <v>40311.368055555555</v>
      </c>
      <c r="E1087" s="26">
        <v>14.823270000000001</v>
      </c>
      <c r="G1087" s="27">
        <v>0.36805555555555558</v>
      </c>
      <c r="J1087" s="30">
        <f>IF(G1087&lt;$H$10,$H$16,IF(G1087&gt;$I$10,$H$16,$H$11))*E1087/600</f>
        <v>5.4351989999999999E-3</v>
      </c>
      <c r="L1087" s="32">
        <f>$J1087*($G1087-$G1086)*60*24</f>
        <v>5.4351990000004154E-3</v>
      </c>
    </row>
    <row r="1088" spans="1:12">
      <c r="A1088" s="22">
        <v>40311.368750000001</v>
      </c>
      <c r="E1088" s="26">
        <v>14.933134000000001</v>
      </c>
      <c r="G1088" s="27">
        <v>0.36874999999999997</v>
      </c>
      <c r="J1088" s="30">
        <f>IF(G1088&lt;$H$10,$H$16,IF(G1088&gt;$I$10,$H$16,$H$11))*E1088/600</f>
        <v>5.4754824666666674E-3</v>
      </c>
      <c r="L1088" s="32">
        <f>$J1088*($G1088-$G1087)*60*24</f>
        <v>5.4754824666662103E-3</v>
      </c>
    </row>
    <row r="1089" spans="1:12">
      <c r="A1089" s="22">
        <v>40311.369444444441</v>
      </c>
      <c r="E1089" s="26">
        <v>14.823270000000001</v>
      </c>
      <c r="G1089" s="27">
        <v>0.36944444444444446</v>
      </c>
      <c r="J1089" s="30">
        <f>IF(G1089&lt;$H$10,$H$16,IF(G1089&gt;$I$10,$H$16,$H$11))*E1089/600</f>
        <v>5.4351989999999999E-3</v>
      </c>
      <c r="L1089" s="32">
        <f>$J1089*($G1089-$G1088)*60*24</f>
        <v>5.4351990000004154E-3</v>
      </c>
    </row>
    <row r="1090" spans="1:12">
      <c r="A1090" s="22">
        <v>40311.370138888888</v>
      </c>
      <c r="E1090" s="26">
        <v>15.148224000000001</v>
      </c>
      <c r="G1090" s="27">
        <v>0.37013888888888885</v>
      </c>
      <c r="J1090" s="30">
        <f>IF(G1090&lt;$H$10,$H$16,IF(G1090&gt;$I$10,$H$16,$H$11))*E1090/600</f>
        <v>5.5543488E-3</v>
      </c>
      <c r="L1090" s="32">
        <f>$J1090*($G1090-$G1089)*60*24</f>
        <v>5.554348799999536E-3</v>
      </c>
    </row>
    <row r="1091" spans="1:12">
      <c r="A1091" s="22">
        <v>40311.370833333334</v>
      </c>
      <c r="E1091" s="26">
        <v>14.97132</v>
      </c>
      <c r="G1091" s="27">
        <v>0.37083333333333335</v>
      </c>
      <c r="J1091" s="30">
        <f>IF(G1091&lt;$H$10,$H$16,IF(G1091&gt;$I$10,$H$16,$H$11))*E1091/600</f>
        <v>5.4894840000000002E-3</v>
      </c>
      <c r="L1091" s="32">
        <f>$J1091*($G1091-$G1090)*60*24</f>
        <v>5.4894840000004191E-3</v>
      </c>
    </row>
    <row r="1092" spans="1:12">
      <c r="A1092" s="22">
        <v>40311.371527777781</v>
      </c>
      <c r="E1092" s="26">
        <v>14.901389999999999</v>
      </c>
      <c r="G1092" s="27">
        <v>0.37152777777777773</v>
      </c>
      <c r="J1092" s="30">
        <f>IF(G1092&lt;$H$10,$H$16,IF(G1092&gt;$I$10,$H$16,$H$11))*E1092/600</f>
        <v>5.4638430000000003E-3</v>
      </c>
      <c r="L1092" s="32">
        <f>$J1092*($G1092-$G1091)*60*24</f>
        <v>5.4638429999995441E-3</v>
      </c>
    </row>
    <row r="1093" spans="1:12">
      <c r="A1093" s="22">
        <v>40311.37222222222</v>
      </c>
      <c r="E1093" s="26">
        <v>15.214499999999999</v>
      </c>
      <c r="G1093" s="27">
        <v>0.37222222222222223</v>
      </c>
      <c r="J1093" s="30">
        <f>IF(G1093&lt;$H$10,$H$16,IF(G1093&gt;$I$10,$H$16,$H$11))*E1093/600</f>
        <v>5.5786500000000001E-3</v>
      </c>
      <c r="L1093" s="32">
        <f>$J1093*($G1093-$G1092)*60*24</f>
        <v>5.5786500000004268E-3</v>
      </c>
    </row>
    <row r="1094" spans="1:12">
      <c r="A1094" s="22">
        <v>40311.372916666667</v>
      </c>
      <c r="E1094" s="26">
        <v>14.8428</v>
      </c>
      <c r="G1094" s="27">
        <v>0.37291666666666662</v>
      </c>
      <c r="J1094" s="30">
        <f>IF(G1094&lt;$H$10,$H$16,IF(G1094&gt;$I$10,$H$16,$H$11))*E1094/600</f>
        <v>5.4423600000000003E-3</v>
      </c>
      <c r="L1094" s="32">
        <f>$J1094*($G1094-$G1093)*60*24</f>
        <v>5.4423599999995458E-3</v>
      </c>
    </row>
    <row r="1095" spans="1:12">
      <c r="A1095" s="22">
        <v>40311.373611111114</v>
      </c>
      <c r="E1095" s="26">
        <v>14.997304</v>
      </c>
      <c r="G1095" s="27">
        <v>0.37361111111111112</v>
      </c>
      <c r="J1095" s="30">
        <f>IF(G1095&lt;$H$10,$H$16,IF(G1095&gt;$I$10,$H$16,$H$11))*E1095/600</f>
        <v>5.4990114666666661E-3</v>
      </c>
      <c r="L1095" s="32">
        <f>$J1095*($G1095-$G1094)*60*24</f>
        <v>5.4990114666670859E-3</v>
      </c>
    </row>
    <row r="1096" spans="1:12">
      <c r="A1096" s="22">
        <v>40311.374305555553</v>
      </c>
      <c r="E1096" s="26">
        <v>15.168195000000001</v>
      </c>
      <c r="G1096" s="27">
        <v>0.3743055555555555</v>
      </c>
      <c r="J1096" s="30">
        <f>IF(G1096&lt;$H$10,$H$16,IF(G1096&gt;$I$10,$H$16,$H$11))*E1096/600</f>
        <v>5.5616715000000004E-3</v>
      </c>
      <c r="L1096" s="32">
        <f>$J1096*($G1096-$G1095)*60*24</f>
        <v>5.5616714999995364E-3</v>
      </c>
    </row>
    <row r="1097" spans="1:12">
      <c r="A1097" s="22">
        <v>40311.375</v>
      </c>
      <c r="E1097" s="26">
        <v>15.254189999999999</v>
      </c>
      <c r="G1097" s="27">
        <v>0.375</v>
      </c>
      <c r="J1097" s="30">
        <f>IF(G1097&lt;$H$10,$H$16,IF(G1097&gt;$I$10,$H$16,$H$11))*E1097/600</f>
        <v>5.5932029999999997E-3</v>
      </c>
      <c r="L1097" s="32">
        <f>$J1097*($G1097-$G1096)*60*24</f>
        <v>5.5932030000004282E-3</v>
      </c>
    </row>
    <row r="1098" spans="1:12">
      <c r="A1098" s="22">
        <v>40311.375694444447</v>
      </c>
      <c r="E1098" s="26">
        <v>15.063048</v>
      </c>
      <c r="G1098" s="27">
        <v>0.3756944444444445</v>
      </c>
      <c r="J1098" s="30">
        <f>IF(G1098&lt;$H$10,$H$16,IF(G1098&gt;$I$10,$H$16,$H$11))*E1098/600</f>
        <v>5.5231176000000003E-3</v>
      </c>
      <c r="L1098" s="32">
        <f>$J1098*($G1098-$G1097)*60*24</f>
        <v>5.5231176000004219E-3</v>
      </c>
    </row>
    <row r="1099" spans="1:12">
      <c r="A1099" s="22">
        <v>40311.376388888886</v>
      </c>
      <c r="E1099" s="26">
        <v>14.91844</v>
      </c>
      <c r="G1099" s="27">
        <v>0.37638888888888888</v>
      </c>
      <c r="J1099" s="30">
        <f>IF(G1099&lt;$H$10,$H$16,IF(G1099&gt;$I$10,$H$16,$H$11))*E1099/600</f>
        <v>5.4700946666666663E-3</v>
      </c>
      <c r="L1099" s="32">
        <f>$J1099*($G1099-$G1098)*60*24</f>
        <v>5.4700946666662101E-3</v>
      </c>
    </row>
    <row r="1100" spans="1:12">
      <c r="A1100" s="22">
        <v>40311.377083333333</v>
      </c>
      <c r="E1100" s="26">
        <v>14.86233</v>
      </c>
      <c r="G1100" s="27">
        <v>0.37708333333333338</v>
      </c>
      <c r="J1100" s="30">
        <f>IF(G1100&lt;$H$10,$H$16,IF(G1100&gt;$I$10,$H$16,$H$11))*E1100/600</f>
        <v>5.4495209999999997E-3</v>
      </c>
      <c r="L1100" s="32">
        <f>$J1100*($G1100-$G1099)*60*24</f>
        <v>5.449521000000416E-3</v>
      </c>
    </row>
    <row r="1101" spans="1:12">
      <c r="A1101" s="22">
        <v>40311.37777777778</v>
      </c>
      <c r="E1101" s="26">
        <v>15.135120000000001</v>
      </c>
      <c r="G1101" s="27">
        <v>0.37777777777777777</v>
      </c>
      <c r="J1101" s="30">
        <f>IF(G1101&lt;$H$10,$H$16,IF(G1101&gt;$I$10,$H$16,$H$11))*E1101/600</f>
        <v>5.549544E-3</v>
      </c>
      <c r="L1101" s="32">
        <f>$J1101*($G1101-$G1100)*60*24</f>
        <v>5.5495439999995368E-3</v>
      </c>
    </row>
    <row r="1102" spans="1:12">
      <c r="A1102" s="22">
        <v>40311.378472222219</v>
      </c>
      <c r="E1102" s="26">
        <v>15.259608</v>
      </c>
      <c r="G1102" s="27">
        <v>0.37847222222222227</v>
      </c>
      <c r="J1102" s="30">
        <f>IF(G1102&lt;$H$10,$H$16,IF(G1102&gt;$I$10,$H$16,$H$11))*E1102/600</f>
        <v>5.5951895999999997E-3</v>
      </c>
      <c r="L1102" s="32">
        <f>$J1102*($G1102-$G1101)*60*24</f>
        <v>5.5951896000004265E-3</v>
      </c>
    </row>
    <row r="1103" spans="1:12">
      <c r="A1103" s="22">
        <v>40311.379166666666</v>
      </c>
      <c r="E1103" s="26">
        <v>15.095808</v>
      </c>
      <c r="G1103" s="27">
        <v>0.37916666666666665</v>
      </c>
      <c r="J1103" s="30">
        <f>IF(G1103&lt;$H$10,$H$16,IF(G1103&gt;$I$10,$H$16,$H$11))*E1103/600</f>
        <v>5.5351295999999999E-3</v>
      </c>
      <c r="L1103" s="32">
        <f>$J1103*($G1103-$G1102)*60*24</f>
        <v>5.5351295999995376E-3</v>
      </c>
    </row>
    <row r="1104" spans="1:12">
      <c r="A1104" s="22">
        <v>40311.379861111112</v>
      </c>
      <c r="E1104" s="26">
        <v>15.010631999999999</v>
      </c>
      <c r="G1104" s="27">
        <v>0.37986111111111115</v>
      </c>
      <c r="J1104" s="30">
        <f>IF(G1104&lt;$H$10,$H$16,IF(G1104&gt;$I$10,$H$16,$H$11))*E1104/600</f>
        <v>5.5038983999999994E-3</v>
      </c>
      <c r="L1104" s="32">
        <f>$J1104*($G1104-$G1103)*60*24</f>
        <v>5.5038984000004201E-3</v>
      </c>
    </row>
    <row r="1105" spans="1:12">
      <c r="A1105" s="22">
        <v>40311.380555555559</v>
      </c>
      <c r="E1105" s="26">
        <v>14.945112</v>
      </c>
      <c r="G1105" s="27">
        <v>0.38055555555555554</v>
      </c>
      <c r="J1105" s="30">
        <f>IF(G1105&lt;$H$10,$H$16,IF(G1105&gt;$I$10,$H$16,$H$11))*E1105/600</f>
        <v>5.4798744000000002E-3</v>
      </c>
      <c r="L1105" s="32">
        <f>$J1105*($G1105-$G1104)*60*24</f>
        <v>5.4798743999995431E-3</v>
      </c>
    </row>
    <row r="1106" spans="1:12">
      <c r="A1106" s="22">
        <v>40311.381249999999</v>
      </c>
      <c r="E1106" s="26">
        <v>14.918903999999999</v>
      </c>
      <c r="G1106" s="27">
        <v>0.38125000000000003</v>
      </c>
      <c r="J1106" s="30">
        <f>IF(G1106&lt;$H$10,$H$16,IF(G1106&gt;$I$10,$H$16,$H$11))*E1106/600</f>
        <v>5.4702648000000001E-3</v>
      </c>
      <c r="L1106" s="32">
        <f>$J1106*($G1106-$G1105)*60*24</f>
        <v>5.4702648000004173E-3</v>
      </c>
    </row>
    <row r="1107" spans="1:12">
      <c r="A1107" s="22">
        <v>40311.381944444445</v>
      </c>
      <c r="E1107" s="26">
        <v>14.68005</v>
      </c>
      <c r="G1107" s="27">
        <v>0.38194444444444442</v>
      </c>
      <c r="J1107" s="30">
        <f>IF(G1107&lt;$H$10,$H$16,IF(G1107&gt;$I$10,$H$16,$H$11))*E1107/600</f>
        <v>5.3826849999999999E-3</v>
      </c>
      <c r="L1107" s="32">
        <f>$J1107*($G1107-$G1106)*60*24</f>
        <v>5.3826849999995506E-3</v>
      </c>
    </row>
    <row r="1108" spans="1:12">
      <c r="A1108" s="22">
        <v>40311.382638888892</v>
      </c>
      <c r="E1108" s="26">
        <v>15.02928</v>
      </c>
      <c r="G1108" s="27">
        <v>0.38263888888888892</v>
      </c>
      <c r="J1108" s="30">
        <f>IF(G1108&lt;$H$10,$H$16,IF(G1108&gt;$I$10,$H$16,$H$11))*E1108/600</f>
        <v>5.5107359999999996E-3</v>
      </c>
      <c r="L1108" s="32">
        <f>$J1108*($G1108-$G1107)*60*24</f>
        <v>5.5107360000004203E-3</v>
      </c>
    </row>
    <row r="1109" spans="1:12">
      <c r="A1109" s="22">
        <v>40311.383333333331</v>
      </c>
      <c r="E1109" s="26">
        <v>14.82978</v>
      </c>
      <c r="G1109" s="27">
        <v>0.3833333333333333</v>
      </c>
      <c r="J1109" s="30">
        <f>IF(G1109&lt;$H$10,$H$16,IF(G1109&gt;$I$10,$H$16,$H$11))*E1109/600</f>
        <v>5.4375860000000003E-3</v>
      </c>
      <c r="L1109" s="32">
        <f>$J1109*($G1109-$G1108)*60*24</f>
        <v>5.4375859999995458E-3</v>
      </c>
    </row>
    <row r="1110" spans="1:12">
      <c r="A1110" s="22">
        <v>40311.384027777778</v>
      </c>
      <c r="E1110" s="26">
        <v>15.088815</v>
      </c>
      <c r="G1110" s="27">
        <v>0.3840277777777778</v>
      </c>
      <c r="J1110" s="30">
        <f>IF(G1110&lt;$H$10,$H$16,IF(G1110&gt;$I$10,$H$16,$H$11))*E1110/600</f>
        <v>5.5325655000000003E-3</v>
      </c>
      <c r="L1110" s="32">
        <f>$J1110*($G1110-$G1109)*60*24</f>
        <v>5.5325655000004227E-3</v>
      </c>
    </row>
    <row r="1111" spans="1:12">
      <c r="A1111" s="22">
        <v>40311.384722222225</v>
      </c>
      <c r="E1111" s="26">
        <v>14.886144</v>
      </c>
      <c r="G1111" s="27">
        <v>0.38472222222222219</v>
      </c>
      <c r="J1111" s="30">
        <f>IF(G1111&lt;$H$10,$H$16,IF(G1111&gt;$I$10,$H$16,$H$11))*E1111/600</f>
        <v>5.4582527999999996E-3</v>
      </c>
      <c r="L1111" s="32">
        <f>$J1111*($G1111-$G1110)*60*24</f>
        <v>5.4582527999995434E-3</v>
      </c>
    </row>
    <row r="1112" spans="1:12">
      <c r="A1112" s="22">
        <v>40311.385416666664</v>
      </c>
      <c r="E1112" s="26">
        <v>14.75817</v>
      </c>
      <c r="G1112" s="27">
        <v>0.38541666666666669</v>
      </c>
      <c r="J1112" s="30">
        <f>IF(G1112&lt;$H$10,$H$16,IF(G1112&gt;$I$10,$H$16,$H$11))*E1112/600</f>
        <v>5.4113290000000003E-3</v>
      </c>
      <c r="L1112" s="32">
        <f>$J1112*($G1112-$G1111)*60*24</f>
        <v>5.411329000000414E-3</v>
      </c>
    </row>
    <row r="1113" spans="1:12">
      <c r="A1113" s="22">
        <v>40311.386111111111</v>
      </c>
      <c r="E1113" s="26">
        <v>14.72748</v>
      </c>
      <c r="G1113" s="27">
        <v>0.38611111111111113</v>
      </c>
      <c r="J1113" s="30">
        <f>IF(G1113&lt;$H$10,$H$16,IF(G1113&gt;$I$10,$H$16,$H$11))*E1113/600</f>
        <v>5.4000760000000002E-3</v>
      </c>
      <c r="L1113" s="32">
        <f>$J1113*($G1113-$G1112)*60*24</f>
        <v>5.4000759999999811E-3</v>
      </c>
    </row>
    <row r="1114" spans="1:12">
      <c r="A1114" s="22">
        <v>40311.386805555558</v>
      </c>
      <c r="E1114" s="26">
        <v>14.800454</v>
      </c>
      <c r="G1114" s="27">
        <v>0.38680555555555557</v>
      </c>
      <c r="J1114" s="30">
        <f>IF(G1114&lt;$H$10,$H$16,IF(G1114&gt;$I$10,$H$16,$H$11))*E1114/600</f>
        <v>5.4268331333333338E-3</v>
      </c>
      <c r="L1114" s="32">
        <f>$J1114*($G1114-$G1113)*60*24</f>
        <v>5.4268331333333147E-3</v>
      </c>
    </row>
    <row r="1115" spans="1:12">
      <c r="A1115" s="22">
        <v>40311.387499999997</v>
      </c>
      <c r="E1115" s="26">
        <v>14.800454</v>
      </c>
      <c r="G1115" s="27">
        <v>0.38750000000000001</v>
      </c>
      <c r="J1115" s="30">
        <f>IF(G1115&lt;$H$10,$H$16,IF(G1115&gt;$I$10,$H$16,$H$11))*E1115/600</f>
        <v>5.4268331333333338E-3</v>
      </c>
      <c r="L1115" s="32">
        <f>$J1115*($G1115-$G1114)*60*24</f>
        <v>5.4268331333333147E-3</v>
      </c>
    </row>
    <row r="1116" spans="1:12">
      <c r="A1116" s="22">
        <v>40311.388194444444</v>
      </c>
      <c r="E1116" s="26">
        <v>14.648987999999999</v>
      </c>
      <c r="G1116" s="27">
        <v>0.38819444444444445</v>
      </c>
      <c r="J1116" s="30">
        <f>IF(G1116&lt;$H$10,$H$16,IF(G1116&gt;$I$10,$H$16,$H$11))*E1116/600</f>
        <v>5.3712956000000001E-3</v>
      </c>
      <c r="L1116" s="32">
        <f>$J1116*($G1116-$G1115)*60*24</f>
        <v>5.371295599999981E-3</v>
      </c>
    </row>
    <row r="1117" spans="1:12">
      <c r="A1117" s="22">
        <v>40311.388888888891</v>
      </c>
      <c r="E1117" s="26">
        <v>14.510975999999999</v>
      </c>
      <c r="G1117" s="27">
        <v>0.3888888888888889</v>
      </c>
      <c r="J1117" s="30">
        <f>IF(G1117&lt;$H$10,$H$16,IF(G1117&gt;$I$10,$H$16,$H$11))*E1117/600</f>
        <v>5.3206911999999999E-3</v>
      </c>
      <c r="L1117" s="32">
        <f>$J1117*($G1117-$G1116)*60*24</f>
        <v>5.3206911999999808E-3</v>
      </c>
    </row>
    <row r="1118" spans="1:12">
      <c r="A1118" s="22">
        <v>40311.38958333333</v>
      </c>
      <c r="E1118" s="26">
        <v>14.52412</v>
      </c>
      <c r="G1118" s="27">
        <v>0.38958333333333334</v>
      </c>
      <c r="J1118" s="30">
        <f>IF(G1118&lt;$H$10,$H$16,IF(G1118&gt;$I$10,$H$16,$H$11))*E1118/600</f>
        <v>5.3255106666666666E-3</v>
      </c>
      <c r="L1118" s="32">
        <f>$J1118*($G1118-$G1117)*60*24</f>
        <v>5.3255106666666475E-3</v>
      </c>
    </row>
    <row r="1119" spans="1:12">
      <c r="A1119" s="22">
        <v>40311.390277777777</v>
      </c>
      <c r="E1119" s="26">
        <v>14.58891</v>
      </c>
      <c r="G1119" s="27">
        <v>0.39027777777777778</v>
      </c>
      <c r="J1119" s="30">
        <f>IF(G1119&lt;$H$10,$H$16,IF(G1119&gt;$I$10,$H$16,$H$11))*E1119/600</f>
        <v>5.3492669999999996E-3</v>
      </c>
      <c r="L1119" s="32">
        <f>$J1119*($G1119-$G1118)*60*24</f>
        <v>5.3492669999999805E-3</v>
      </c>
    </row>
    <row r="1120" spans="1:12">
      <c r="A1120" s="22">
        <v>40311.390972222223</v>
      </c>
      <c r="E1120" s="26">
        <v>14.725619999999999</v>
      </c>
      <c r="G1120" s="27">
        <v>0.39097222222222222</v>
      </c>
      <c r="J1120" s="30">
        <f>IF(G1120&lt;$H$10,$H$16,IF(G1120&gt;$I$10,$H$16,$H$11))*E1120/600</f>
        <v>5.3993939999999992E-3</v>
      </c>
      <c r="L1120" s="32">
        <f>$J1120*($G1120-$G1119)*60*24</f>
        <v>5.3993939999999801E-3</v>
      </c>
    </row>
    <row r="1121" spans="1:12">
      <c r="A1121" s="22">
        <v>40311.39166666667</v>
      </c>
      <c r="E1121" s="26">
        <v>14.9513</v>
      </c>
      <c r="G1121" s="27">
        <v>0.39166666666666666</v>
      </c>
      <c r="J1121" s="30">
        <f>IF(G1121&lt;$H$10,$H$16,IF(G1121&gt;$I$10,$H$16,$H$11))*E1121/600</f>
        <v>5.4821433333333332E-3</v>
      </c>
      <c r="L1121" s="32">
        <f>$J1121*($G1121-$G1120)*60*24</f>
        <v>5.4821433333333142E-3</v>
      </c>
    </row>
    <row r="1122" spans="1:12">
      <c r="A1122" s="22">
        <v>40311.392361111109</v>
      </c>
      <c r="E1122" s="26">
        <v>14.800144</v>
      </c>
      <c r="G1122" s="27">
        <v>0.3923611111111111</v>
      </c>
      <c r="J1122" s="30">
        <f>IF(G1122&lt;$H$10,$H$16,IF(G1122&gt;$I$10,$H$16,$H$11))*E1122/600</f>
        <v>5.4267194666666662E-3</v>
      </c>
      <c r="L1122" s="32">
        <f>$J1122*($G1122-$G1121)*60*24</f>
        <v>5.4267194666666463E-3</v>
      </c>
    </row>
    <row r="1123" spans="1:12">
      <c r="A1123" s="22">
        <v>40311.393055555556</v>
      </c>
      <c r="E1123" s="26">
        <v>14.619626</v>
      </c>
      <c r="G1123" s="27">
        <v>0.39305555555555555</v>
      </c>
      <c r="J1123" s="30">
        <f>IF(G1123&lt;$H$10,$H$16,IF(G1123&gt;$I$10,$H$16,$H$11))*E1123/600</f>
        <v>5.3605295333333334E-3</v>
      </c>
      <c r="L1123" s="32">
        <f>$J1123*($G1123-$G1122)*60*24</f>
        <v>5.3605295333333143E-3</v>
      </c>
    </row>
    <row r="1124" spans="1:12">
      <c r="A1124" s="22">
        <v>40311.393750000003</v>
      </c>
      <c r="E1124" s="26">
        <v>14.807088</v>
      </c>
      <c r="G1124" s="27">
        <v>0.39374999999999999</v>
      </c>
      <c r="J1124" s="30">
        <f>IF(G1124&lt;$H$10,$H$16,IF(G1124&gt;$I$10,$H$16,$H$11))*E1124/600</f>
        <v>5.4292656000000002E-3</v>
      </c>
      <c r="L1124" s="32">
        <f>$J1124*($G1124-$G1123)*60*24</f>
        <v>5.4292655999999811E-3</v>
      </c>
    </row>
    <row r="1125" spans="1:12">
      <c r="A1125" s="22">
        <v>40311.394444444442</v>
      </c>
      <c r="E1125" s="26">
        <v>14.640060999999999</v>
      </c>
      <c r="G1125" s="27">
        <v>0.39444444444444443</v>
      </c>
      <c r="J1125" s="30">
        <f>IF(G1125&lt;$H$10,$H$16,IF(G1125&gt;$I$10,$H$16,$H$11))*E1125/600</f>
        <v>5.3680223666666667E-3</v>
      </c>
      <c r="L1125" s="32">
        <f>$J1125*($G1125-$G1124)*60*24</f>
        <v>5.3680223666666476E-3</v>
      </c>
    </row>
    <row r="1126" spans="1:12">
      <c r="A1126" s="22">
        <v>40311.395138888889</v>
      </c>
      <c r="E1126" s="26">
        <v>14.773918</v>
      </c>
      <c r="G1126" s="27">
        <v>0.39513888888888887</v>
      </c>
      <c r="J1126" s="30">
        <f>IF(G1126&lt;$H$10,$H$16,IF(G1126&gt;$I$10,$H$16,$H$11))*E1126/600</f>
        <v>5.4171032666666665E-3</v>
      </c>
      <c r="L1126" s="32">
        <f>$J1126*($G1126-$G1125)*60*24</f>
        <v>5.4171032666666475E-3</v>
      </c>
    </row>
    <row r="1127" spans="1:12">
      <c r="A1127" s="22">
        <v>40311.395833333336</v>
      </c>
      <c r="E1127" s="26">
        <v>14.502993999999999</v>
      </c>
      <c r="G1127" s="27">
        <v>0.39583333333333331</v>
      </c>
      <c r="J1127" s="30">
        <f>IF(G1127&lt;$H$10,$H$16,IF(G1127&gt;$I$10,$H$16,$H$11))*E1127/600</f>
        <v>5.3177644666666662E-3</v>
      </c>
      <c r="L1127" s="32">
        <f>$J1127*($G1127-$G1126)*60*24</f>
        <v>5.3177644666666472E-3</v>
      </c>
    </row>
    <row r="1128" spans="1:12">
      <c r="A1128" s="22">
        <v>40311.396527777775</v>
      </c>
      <c r="E1128" s="26">
        <v>14.780552</v>
      </c>
      <c r="G1128" s="27">
        <v>0.39652777777777781</v>
      </c>
      <c r="J1128" s="30">
        <f>IF(G1128&lt;$H$10,$H$16,IF(G1128&gt;$I$10,$H$16,$H$11))*E1128/600</f>
        <v>5.4195357333333329E-3</v>
      </c>
      <c r="L1128" s="32">
        <f>$J1128*($G1128-$G1127)*60*24</f>
        <v>5.4195357333337467E-3</v>
      </c>
    </row>
    <row r="1129" spans="1:12">
      <c r="A1129" s="22">
        <v>40311.397222222222</v>
      </c>
      <c r="E1129" s="26">
        <v>14.747567999999999</v>
      </c>
      <c r="G1129" s="27">
        <v>0.3972222222222222</v>
      </c>
      <c r="J1129" s="30">
        <f>IF(G1129&lt;$H$10,$H$16,IF(G1129&gt;$I$10,$H$16,$H$11))*E1129/600</f>
        <v>5.4074415999999991E-3</v>
      </c>
      <c r="L1129" s="32">
        <f>$J1129*($G1129-$G1128)*60*24</f>
        <v>5.4074415999995473E-3</v>
      </c>
    </row>
    <row r="1130" spans="1:12">
      <c r="A1130" s="22">
        <v>40311.397916666669</v>
      </c>
      <c r="E1130" s="26">
        <v>14.516170000000001</v>
      </c>
      <c r="G1130" s="27">
        <v>0.3979166666666667</v>
      </c>
      <c r="J1130" s="30">
        <f>IF(G1130&lt;$H$10,$H$16,IF(G1130&gt;$I$10,$H$16,$H$11))*E1130/600</f>
        <v>5.3225956666666666E-3</v>
      </c>
      <c r="L1130" s="32">
        <f>$J1130*($G1130-$G1129)*60*24</f>
        <v>5.3225956666670725E-3</v>
      </c>
    </row>
    <row r="1131" spans="1:12">
      <c r="A1131" s="22">
        <v>40311.398611111108</v>
      </c>
      <c r="E1131" s="26">
        <v>14.375016</v>
      </c>
      <c r="G1131" s="27">
        <v>0.39861111111111108</v>
      </c>
      <c r="J1131" s="30">
        <f>IF(G1131&lt;$H$10,$H$16,IF(G1131&gt;$I$10,$H$16,$H$11))*E1131/600</f>
        <v>5.2708392000000003E-3</v>
      </c>
      <c r="L1131" s="32">
        <f>$J1131*($G1131-$G1130)*60*24</f>
        <v>5.2708391999995606E-3</v>
      </c>
    </row>
    <row r="1132" spans="1:12">
      <c r="A1132" s="22">
        <v>40311.399305555555</v>
      </c>
      <c r="E1132" s="26">
        <v>14.574897999999999</v>
      </c>
      <c r="G1132" s="27">
        <v>0.39930555555555558</v>
      </c>
      <c r="J1132" s="30">
        <f>IF(G1132&lt;$H$10,$H$16,IF(G1132&gt;$I$10,$H$16,$H$11))*E1132/600</f>
        <v>5.3441292666666666E-3</v>
      </c>
      <c r="L1132" s="32">
        <f>$J1132*($G1132-$G1131)*60*24</f>
        <v>5.3441292666670751E-3</v>
      </c>
    </row>
    <row r="1133" spans="1:12">
      <c r="A1133" s="22">
        <v>40311.4</v>
      </c>
      <c r="E1133" s="26">
        <v>14.462120000000001</v>
      </c>
      <c r="G1133" s="27">
        <v>0.39999999999999997</v>
      </c>
      <c r="J1133" s="30">
        <f>IF(G1133&lt;$H$10,$H$16,IF(G1133&gt;$I$10,$H$16,$H$11))*E1133/600</f>
        <v>5.3027773333333339E-3</v>
      </c>
      <c r="L1133" s="32">
        <f>$J1133*($G1133-$G1132)*60*24</f>
        <v>5.3027773333328906E-3</v>
      </c>
    </row>
    <row r="1134" spans="1:12">
      <c r="A1134" s="22">
        <v>40311.400694444441</v>
      </c>
      <c r="E1134" s="26">
        <v>14.601433999999999</v>
      </c>
      <c r="G1134" s="27">
        <v>0.40069444444444446</v>
      </c>
      <c r="J1134" s="30">
        <f>IF(G1134&lt;$H$10,$H$16,IF(G1134&gt;$I$10,$H$16,$H$11))*E1134/600</f>
        <v>5.353859133333333E-3</v>
      </c>
      <c r="L1134" s="32">
        <f>$J1134*($G1134-$G1133)*60*24</f>
        <v>5.3538591333337415E-3</v>
      </c>
    </row>
    <row r="1135" spans="1:12">
      <c r="A1135" s="22">
        <v>40311.401388888888</v>
      </c>
      <c r="E1135" s="26">
        <v>14.548361999999999</v>
      </c>
      <c r="G1135" s="27">
        <v>0.40138888888888885</v>
      </c>
      <c r="J1135" s="30">
        <f>IF(G1135&lt;$H$10,$H$16,IF(G1135&gt;$I$10,$H$16,$H$11))*E1135/600</f>
        <v>5.3343994000000002E-3</v>
      </c>
      <c r="L1135" s="32">
        <f>$J1135*($G1135-$G1134)*60*24</f>
        <v>5.3343993999995544E-3</v>
      </c>
    </row>
    <row r="1136" spans="1:12">
      <c r="A1136" s="22">
        <v>40311.402083333334</v>
      </c>
      <c r="E1136" s="26">
        <v>14.528460000000001</v>
      </c>
      <c r="G1136" s="27">
        <v>0.40208333333333335</v>
      </c>
      <c r="J1136" s="30">
        <f>IF(G1136&lt;$H$10,$H$16,IF(G1136&gt;$I$10,$H$16,$H$11))*E1136/600</f>
        <v>5.3271020000000002E-3</v>
      </c>
      <c r="L1136" s="32">
        <f>$J1136*($G1136-$G1135)*60*24</f>
        <v>5.327102000000407E-3</v>
      </c>
    </row>
    <row r="1137" spans="1:12">
      <c r="A1137" s="22">
        <v>40311.402777777781</v>
      </c>
      <c r="E1137" s="26">
        <v>14.554995999999999</v>
      </c>
      <c r="G1137" s="27">
        <v>0.40277777777777773</v>
      </c>
      <c r="J1137" s="30">
        <f>IF(G1137&lt;$H$10,$H$16,IF(G1137&gt;$I$10,$H$16,$H$11))*E1137/600</f>
        <v>5.3368318666666666E-3</v>
      </c>
      <c r="L1137" s="32">
        <f>$J1137*($G1137-$G1136)*60*24</f>
        <v>5.3368318666662208E-3</v>
      </c>
    </row>
    <row r="1138" spans="1:12">
      <c r="A1138" s="22">
        <v>40311.40347222222</v>
      </c>
      <c r="E1138" s="26">
        <v>14.289372</v>
      </c>
      <c r="G1138" s="27">
        <v>0.40347222222222223</v>
      </c>
      <c r="J1138" s="30">
        <f>IF(G1138&lt;$H$10,$H$16,IF(G1138&gt;$I$10,$H$16,$H$11))*E1138/600</f>
        <v>5.2394364000000002E-3</v>
      </c>
      <c r="L1138" s="32">
        <f>$J1138*($G1138-$G1137)*60*24</f>
        <v>5.239436400000401E-3</v>
      </c>
    </row>
    <row r="1139" spans="1:12">
      <c r="A1139" s="22">
        <v>40311.404166666667</v>
      </c>
      <c r="E1139" s="26">
        <v>14.328900000000001</v>
      </c>
      <c r="G1139" s="27">
        <v>0.40416666666666662</v>
      </c>
      <c r="J1139" s="30">
        <f>IF(G1139&lt;$H$10,$H$16,IF(G1139&gt;$I$10,$H$16,$H$11))*E1139/600</f>
        <v>5.2539300000000004E-3</v>
      </c>
      <c r="L1139" s="32">
        <f>$J1139*($G1139-$G1138)*60*24</f>
        <v>5.2539299999995615E-3</v>
      </c>
    </row>
    <row r="1140" spans="1:12">
      <c r="A1140" s="22">
        <v>40311.404861111114</v>
      </c>
      <c r="E1140" s="26">
        <v>14.754016</v>
      </c>
      <c r="G1140" s="27">
        <v>0.40486111111111112</v>
      </c>
      <c r="J1140" s="30">
        <f>IF(G1140&lt;$H$10,$H$16,IF(G1140&gt;$I$10,$H$16,$H$11))*E1140/600</f>
        <v>5.4098058666666666E-3</v>
      </c>
      <c r="L1140" s="32">
        <f>$J1140*($G1140-$G1139)*60*24</f>
        <v>5.4098058666670803E-3</v>
      </c>
    </row>
    <row r="1141" spans="1:12">
      <c r="A1141" s="22">
        <v>40311.405555555553</v>
      </c>
      <c r="E1141" s="26">
        <v>14.81986</v>
      </c>
      <c r="G1141" s="27">
        <v>0.4055555555555555</v>
      </c>
      <c r="J1141" s="30">
        <f>IF(G1141&lt;$H$10,$H$16,IF(G1141&gt;$I$10,$H$16,$H$11))*E1141/600</f>
        <v>5.4339486666666664E-3</v>
      </c>
      <c r="L1141" s="32">
        <f>$J1141*($G1141-$G1140)*60*24</f>
        <v>5.4339486666662128E-3</v>
      </c>
    </row>
    <row r="1142" spans="1:12">
      <c r="A1142" s="22">
        <v>40311.40625</v>
      </c>
      <c r="E1142" s="26">
        <v>14.868840000000001</v>
      </c>
      <c r="G1142" s="27">
        <v>0.40625</v>
      </c>
      <c r="J1142" s="30">
        <f>IF(G1142&lt;$H$10,$H$16,IF(G1142&gt;$I$10,$H$16,$H$11))*E1142/600</f>
        <v>5.4519080000000001E-3</v>
      </c>
      <c r="L1142" s="32">
        <f>$J1142*($G1142-$G1141)*60*24</f>
        <v>5.4519080000004164E-3</v>
      </c>
    </row>
    <row r="1143" spans="1:12">
      <c r="A1143" s="22">
        <v>40311.406944444447</v>
      </c>
      <c r="E1143" s="26">
        <v>14.823270000000001</v>
      </c>
      <c r="G1143" s="27">
        <v>0.4069444444444445</v>
      </c>
      <c r="J1143" s="30">
        <f>IF(G1143&lt;$H$10,$H$16,IF(G1143&gt;$I$10,$H$16,$H$11))*E1143/600</f>
        <v>5.4351989999999999E-3</v>
      </c>
      <c r="L1143" s="32">
        <f>$J1143*($G1143-$G1142)*60*24</f>
        <v>5.4351990000004154E-3</v>
      </c>
    </row>
    <row r="1144" spans="1:12">
      <c r="A1144" s="22">
        <v>40311.407638888886</v>
      </c>
      <c r="E1144" s="26">
        <v>14.88837</v>
      </c>
      <c r="G1144" s="27">
        <v>0.40763888888888888</v>
      </c>
      <c r="J1144" s="30">
        <f>IF(G1144&lt;$H$10,$H$16,IF(G1144&gt;$I$10,$H$16,$H$11))*E1144/600</f>
        <v>5.4590690000000004E-3</v>
      </c>
      <c r="L1144" s="32">
        <f>$J1144*($G1144-$G1143)*60*24</f>
        <v>5.4590689999995442E-3</v>
      </c>
    </row>
    <row r="1145" spans="1:12">
      <c r="A1145" s="22">
        <v>40311.408333333333</v>
      </c>
      <c r="E1145" s="26">
        <v>14.745150000000001</v>
      </c>
      <c r="G1145" s="27">
        <v>0.40833333333333338</v>
      </c>
      <c r="J1145" s="30">
        <f>IF(G1145&lt;$H$10,$H$16,IF(G1145&gt;$I$10,$H$16,$H$11))*E1145/600</f>
        <v>5.4065550000000004E-3</v>
      </c>
      <c r="L1145" s="32">
        <f>$J1145*($G1145-$G1144)*60*24</f>
        <v>5.4065550000004133E-3</v>
      </c>
    </row>
    <row r="1146" spans="1:12">
      <c r="A1146" s="22">
        <v>40311.40902777778</v>
      </c>
      <c r="E1146" s="26">
        <v>14.918903999999999</v>
      </c>
      <c r="G1146" s="27">
        <v>0.40902777777777777</v>
      </c>
      <c r="J1146" s="30">
        <f>IF(G1146&lt;$H$10,$H$16,IF(G1146&gt;$I$10,$H$16,$H$11))*E1146/600</f>
        <v>5.4702648000000001E-3</v>
      </c>
      <c r="L1146" s="32">
        <f>$J1146*($G1146-$G1145)*60*24</f>
        <v>5.470264799999543E-3</v>
      </c>
    </row>
    <row r="1147" spans="1:12">
      <c r="A1147" s="22">
        <v>40311.409722222219</v>
      </c>
      <c r="E1147" s="26">
        <v>14.627969999999999</v>
      </c>
      <c r="G1147" s="27">
        <v>0.40972222222222227</v>
      </c>
      <c r="J1147" s="30">
        <f>IF(G1147&lt;$H$10,$H$16,IF(G1147&gt;$I$10,$H$16,$H$11))*E1147/600</f>
        <v>5.3635889999999993E-3</v>
      </c>
      <c r="L1147" s="32">
        <f>$J1147*($G1147-$G1146)*60*24</f>
        <v>5.3635890000004087E-3</v>
      </c>
    </row>
    <row r="1148" spans="1:12">
      <c r="A1148" s="22">
        <v>40311.410416666666</v>
      </c>
      <c r="E1148" s="26">
        <v>14.681848</v>
      </c>
      <c r="G1148" s="27">
        <v>0.41041666666666665</v>
      </c>
      <c r="J1148" s="30">
        <f>IF(G1148&lt;$H$10,$H$16,IF(G1148&gt;$I$10,$H$16,$H$11))*E1148/600</f>
        <v>5.383344266666667E-3</v>
      </c>
      <c r="L1148" s="32">
        <f>$J1148*($G1148-$G1147)*60*24</f>
        <v>5.3833442666662177E-3</v>
      </c>
    </row>
    <row r="1149" spans="1:12">
      <c r="A1149" s="22">
        <v>40311.411111111112</v>
      </c>
      <c r="E1149" s="26">
        <v>14.701563999999999</v>
      </c>
      <c r="G1149" s="27">
        <v>0.41111111111111115</v>
      </c>
      <c r="J1149" s="30">
        <f>IF(G1149&lt;$H$10,$H$16,IF(G1149&gt;$I$10,$H$16,$H$11))*E1149/600</f>
        <v>5.3905734666666672E-3</v>
      </c>
      <c r="L1149" s="32">
        <f>$J1149*($G1149-$G1148)*60*24</f>
        <v>5.3905734666670792E-3</v>
      </c>
    </row>
    <row r="1150" spans="1:12">
      <c r="A1150" s="22">
        <v>40311.411805555559</v>
      </c>
      <c r="E1150" s="26">
        <v>14.806716</v>
      </c>
      <c r="G1150" s="27">
        <v>0.41180555555555554</v>
      </c>
      <c r="J1150" s="30">
        <f>IF(G1150&lt;$H$10,$H$16,IF(G1150&gt;$I$10,$H$16,$H$11))*E1150/600</f>
        <v>5.4291292000000005E-3</v>
      </c>
      <c r="L1150" s="32">
        <f>$J1150*($G1150-$G1149)*60*24</f>
        <v>5.4291291999995477E-3</v>
      </c>
    </row>
    <row r="1151" spans="1:12">
      <c r="A1151" s="22">
        <v>40311.412499999999</v>
      </c>
      <c r="E1151" s="26">
        <v>14.773856</v>
      </c>
      <c r="G1151" s="27">
        <v>0.41250000000000003</v>
      </c>
      <c r="J1151" s="30">
        <f>IF(G1151&lt;$H$10,$H$16,IF(G1151&gt;$I$10,$H$16,$H$11))*E1151/600</f>
        <v>5.4170805333333336E-3</v>
      </c>
      <c r="L1151" s="32">
        <f>$J1151*($G1151-$G1150)*60*24</f>
        <v>5.4170805333337473E-3</v>
      </c>
    </row>
    <row r="1152" spans="1:12">
      <c r="A1152" s="22">
        <v>40311.413194444445</v>
      </c>
      <c r="E1152" s="26">
        <v>14.535568</v>
      </c>
      <c r="G1152" s="27">
        <v>0.41319444444444442</v>
      </c>
      <c r="J1152" s="30">
        <f>IF(G1152&lt;$H$10,$H$16,IF(G1152&gt;$I$10,$H$16,$H$11))*E1152/600</f>
        <v>5.329708266666666E-3</v>
      </c>
      <c r="L1152" s="32">
        <f>$J1152*($G1152-$G1151)*60*24</f>
        <v>5.3297082666662211E-3</v>
      </c>
    </row>
    <row r="1153" spans="1:12">
      <c r="A1153" s="22">
        <v>40311.413888888892</v>
      </c>
      <c r="E1153" s="26">
        <v>14.866488</v>
      </c>
      <c r="G1153" s="27">
        <v>0.41388888888888892</v>
      </c>
      <c r="J1153" s="30">
        <f>IF(G1153&lt;$H$10,$H$16,IF(G1153&gt;$I$10,$H$16,$H$11))*E1153/600</f>
        <v>5.4510456000000001E-3</v>
      </c>
      <c r="L1153" s="32">
        <f>$J1153*($G1153-$G1152)*60*24</f>
        <v>5.4510456000004164E-3</v>
      </c>
    </row>
    <row r="1154" spans="1:12">
      <c r="A1154" s="22">
        <v>40311.414583333331</v>
      </c>
      <c r="E1154" s="26">
        <v>14.938560000000001</v>
      </c>
      <c r="G1154" s="27">
        <v>0.4145833333333333</v>
      </c>
      <c r="J1154" s="30">
        <f>IF(G1154&lt;$H$10,$H$16,IF(G1154&gt;$I$10,$H$16,$H$11))*E1154/600</f>
        <v>5.4774720000000006E-3</v>
      </c>
      <c r="L1154" s="32">
        <f>$J1154*($G1154-$G1153)*60*24</f>
        <v>5.4774719999995435E-3</v>
      </c>
    </row>
    <row r="1155" spans="1:12">
      <c r="A1155" s="22">
        <v>40311.415277777778</v>
      </c>
      <c r="E1155" s="26">
        <v>14.958216</v>
      </c>
      <c r="G1155" s="27">
        <v>0.4152777777777778</v>
      </c>
      <c r="J1155" s="30">
        <f>IF(G1155&lt;$H$10,$H$16,IF(G1155&gt;$I$10,$H$16,$H$11))*E1155/600</f>
        <v>5.4846792000000002E-3</v>
      </c>
      <c r="L1155" s="32">
        <f>$J1155*($G1155-$G1154)*60*24</f>
        <v>5.48467920000042E-3</v>
      </c>
    </row>
    <row r="1156" spans="1:12">
      <c r="A1156" s="22">
        <v>40311.415972222225</v>
      </c>
      <c r="E1156" s="26">
        <v>14.68656</v>
      </c>
      <c r="G1156" s="27">
        <v>0.41597222222222219</v>
      </c>
      <c r="J1156" s="30">
        <f>IF(G1156&lt;$H$10,$H$16,IF(G1156&gt;$I$10,$H$16,$H$11))*E1156/600</f>
        <v>5.3850720000000003E-3</v>
      </c>
      <c r="L1156" s="32">
        <f>$J1156*($G1156-$G1155)*60*24</f>
        <v>5.385071999999551E-3</v>
      </c>
    </row>
    <row r="1157" spans="1:12">
      <c r="A1157" s="22">
        <v>40311.416666666664</v>
      </c>
      <c r="E1157" s="26">
        <v>14.575889999999999</v>
      </c>
      <c r="G1157" s="27">
        <v>0.41666666666666669</v>
      </c>
      <c r="J1157" s="30">
        <f>IF(G1157&lt;$H$10,$H$16,IF(G1157&gt;$I$10,$H$16,$H$11))*E1157/600</f>
        <v>5.3444929999999996E-3</v>
      </c>
      <c r="L1157" s="32">
        <f>$J1157*($G1157-$G1156)*60*24</f>
        <v>5.3444930000004082E-3</v>
      </c>
    </row>
    <row r="1158" spans="1:12">
      <c r="A1158" s="22">
        <v>40311.417361111111</v>
      </c>
      <c r="E1158" s="26">
        <v>14.543836000000001</v>
      </c>
      <c r="G1158" s="27">
        <v>0.41736111111111113</v>
      </c>
      <c r="J1158" s="30">
        <f>IF(G1158&lt;$H$10,$H$16,IF(G1158&gt;$I$10,$H$16,$H$11))*E1158/600</f>
        <v>5.3327398666666668E-3</v>
      </c>
      <c r="L1158" s="32">
        <f>$J1158*($G1158-$G1157)*60*24</f>
        <v>5.3327398666666477E-3</v>
      </c>
    </row>
    <row r="1159" spans="1:12">
      <c r="A1159" s="22">
        <v>40311.418055555558</v>
      </c>
      <c r="E1159" s="26">
        <v>14.576696</v>
      </c>
      <c r="G1159" s="27">
        <v>0.41805555555555557</v>
      </c>
      <c r="J1159" s="30">
        <f>IF(G1159&lt;$H$10,$H$16,IF(G1159&gt;$I$10,$H$16,$H$11))*E1159/600</f>
        <v>5.3447885333333337E-3</v>
      </c>
      <c r="L1159" s="32">
        <f>$J1159*($G1159-$G1158)*60*24</f>
        <v>5.3447885333333146E-3</v>
      </c>
    </row>
    <row r="1160" spans="1:12">
      <c r="A1160" s="22">
        <v>40311.418749999997</v>
      </c>
      <c r="E1160" s="26">
        <v>14.444251</v>
      </c>
      <c r="G1160" s="27">
        <v>0.41875000000000001</v>
      </c>
      <c r="J1160" s="30">
        <f>IF(G1160&lt;$H$10,$H$16,IF(G1160&gt;$I$10,$H$16,$H$11))*E1160/600</f>
        <v>5.2962253666666665E-3</v>
      </c>
      <c r="L1160" s="32">
        <f>$J1160*($G1160-$G1159)*60*24</f>
        <v>5.2962253666666475E-3</v>
      </c>
    </row>
    <row r="1161" spans="1:12">
      <c r="A1161" s="22">
        <v>40311.419444444444</v>
      </c>
      <c r="E1161" s="26">
        <v>14.550407999999999</v>
      </c>
      <c r="G1161" s="27">
        <v>0.41944444444444445</v>
      </c>
      <c r="J1161" s="30">
        <f>IF(G1161&lt;$H$10,$H$16,IF(G1161&gt;$I$10,$H$16,$H$11))*E1161/600</f>
        <v>5.3351496000000002E-3</v>
      </c>
      <c r="L1161" s="32">
        <f>$J1161*($G1161-$G1160)*60*24</f>
        <v>5.3351495999999811E-3</v>
      </c>
    </row>
    <row r="1162" spans="1:12">
      <c r="A1162" s="22">
        <v>40311.420138888891</v>
      </c>
      <c r="E1162" s="26">
        <v>14.504403999999999</v>
      </c>
      <c r="G1162" s="27">
        <v>0.4201388888888889</v>
      </c>
      <c r="J1162" s="30">
        <f>IF(G1162&lt;$H$10,$H$16,IF(G1162&gt;$I$10,$H$16,$H$11))*E1162/600</f>
        <v>5.3182814666666665E-3</v>
      </c>
      <c r="L1162" s="32">
        <f>$J1162*($G1162-$G1161)*60*24</f>
        <v>5.3182814666666474E-3</v>
      </c>
    </row>
    <row r="1163" spans="1:12">
      <c r="A1163" s="22">
        <v>40311.42083333333</v>
      </c>
      <c r="E1163" s="26">
        <v>14.583268</v>
      </c>
      <c r="G1163" s="27">
        <v>0.42083333333333334</v>
      </c>
      <c r="J1163" s="30">
        <f>IF(G1163&lt;$H$10,$H$16,IF(G1163&gt;$I$10,$H$16,$H$11))*E1163/600</f>
        <v>5.3471982666666671E-3</v>
      </c>
      <c r="L1163" s="32">
        <f>$J1163*($G1163-$G1162)*60*24</f>
        <v>5.347198266666648E-3</v>
      </c>
    </row>
    <row r="1164" spans="1:12">
      <c r="A1164" s="22">
        <v>40311.421527777777</v>
      </c>
      <c r="E1164" s="26">
        <v>14.602983999999999</v>
      </c>
      <c r="G1164" s="27">
        <v>0.42152777777777778</v>
      </c>
      <c r="J1164" s="30">
        <f>IF(G1164&lt;$H$10,$H$16,IF(G1164&gt;$I$10,$H$16,$H$11))*E1164/600</f>
        <v>5.3544274666666664E-3</v>
      </c>
      <c r="L1164" s="32">
        <f>$J1164*($G1164-$G1163)*60*24</f>
        <v>5.3544274666666473E-3</v>
      </c>
    </row>
    <row r="1165" spans="1:12">
      <c r="A1165" s="22">
        <v>40311.422222222223</v>
      </c>
      <c r="E1165" s="26">
        <v>14.602983999999999</v>
      </c>
      <c r="G1165" s="27">
        <v>0.42222222222222222</v>
      </c>
      <c r="J1165" s="30">
        <f>IF(G1165&lt;$H$10,$H$16,IF(G1165&gt;$I$10,$H$16,$H$11))*E1165/600</f>
        <v>5.3544274666666664E-3</v>
      </c>
      <c r="L1165" s="32">
        <f>$J1165*($G1165-$G1164)*60*24</f>
        <v>5.3544274666666473E-3</v>
      </c>
    </row>
    <row r="1166" spans="1:12">
      <c r="A1166" s="22">
        <v>40311.42291666667</v>
      </c>
      <c r="E1166" s="26">
        <v>14.574897999999999</v>
      </c>
      <c r="G1166" s="27">
        <v>0.42291666666666666</v>
      </c>
      <c r="J1166" s="30">
        <f>IF(G1166&lt;$H$10,$H$16,IF(G1166&gt;$I$10,$H$16,$H$11))*E1166/600</f>
        <v>5.3441292666666666E-3</v>
      </c>
      <c r="L1166" s="32">
        <f>$J1166*($G1166-$G1165)*60*24</f>
        <v>5.3441292666666484E-3</v>
      </c>
    </row>
    <row r="1167" spans="1:12">
      <c r="A1167" s="22">
        <v>40311.423611111109</v>
      </c>
      <c r="E1167" s="26">
        <v>14.487012</v>
      </c>
      <c r="G1167" s="27">
        <v>0.4236111111111111</v>
      </c>
      <c r="J1167" s="30">
        <f>IF(G1167&lt;$H$10,$H$16,IF(G1167&gt;$I$10,$H$16,$H$11))*E1167/600</f>
        <v>5.3119043999999994E-3</v>
      </c>
      <c r="L1167" s="32">
        <f>$J1167*($G1167-$G1166)*60*24</f>
        <v>5.3119043999999803E-3</v>
      </c>
    </row>
    <row r="1168" spans="1:12">
      <c r="A1168" s="22">
        <v>40311.424305555556</v>
      </c>
      <c r="E1168" s="26">
        <v>14.552892</v>
      </c>
      <c r="G1168" s="27">
        <v>0.42430555555555555</v>
      </c>
      <c r="J1168" s="30">
        <f>IF(G1168&lt;$H$10,$H$16,IF(G1168&gt;$I$10,$H$16,$H$11))*E1168/600</f>
        <v>5.3360604000000002E-3</v>
      </c>
      <c r="L1168" s="32">
        <f>$J1168*($G1168-$G1167)*60*24</f>
        <v>5.3360603999999812E-3</v>
      </c>
    </row>
    <row r="1169" spans="1:12">
      <c r="A1169" s="22">
        <v>40311.425000000003</v>
      </c>
      <c r="E1169" s="26">
        <v>14.572656</v>
      </c>
      <c r="G1169" s="27">
        <v>0.42499999999999999</v>
      </c>
      <c r="J1169" s="30">
        <f>IF(G1169&lt;$H$10,$H$16,IF(G1169&gt;$I$10,$H$16,$H$11))*E1169/600</f>
        <v>5.3433072000000003E-3</v>
      </c>
      <c r="L1169" s="32">
        <f>$J1169*($G1169-$G1168)*60*24</f>
        <v>5.3433071999999813E-3</v>
      </c>
    </row>
    <row r="1170" spans="1:12">
      <c r="A1170" s="22">
        <v>40311.425694444442</v>
      </c>
      <c r="E1170" s="26">
        <v>14.519952</v>
      </c>
      <c r="G1170" s="27">
        <v>0.42569444444444443</v>
      </c>
      <c r="J1170" s="30">
        <f>IF(G1170&lt;$H$10,$H$16,IF(G1170&gt;$I$10,$H$16,$H$11))*E1170/600</f>
        <v>5.3239823999999998E-3</v>
      </c>
      <c r="L1170" s="32">
        <f>$J1170*($G1170-$G1169)*60*24</f>
        <v>5.3239823999999807E-3</v>
      </c>
    </row>
    <row r="1171" spans="1:12">
      <c r="A1171" s="22">
        <v>40311.426388888889</v>
      </c>
      <c r="E1171" s="26">
        <v>14.496467000000001</v>
      </c>
      <c r="G1171" s="27">
        <v>0.42638888888888887</v>
      </c>
      <c r="J1171" s="30">
        <f>IF(G1171&lt;$H$10,$H$16,IF(G1171&gt;$I$10,$H$16,$H$11))*E1171/600</f>
        <v>5.3153712333333337E-3</v>
      </c>
      <c r="L1171" s="32">
        <f>$J1171*($G1171-$G1170)*60*24</f>
        <v>5.3153712333333146E-3</v>
      </c>
    </row>
    <row r="1172" spans="1:12">
      <c r="A1172" s="22">
        <v>40311.427083333336</v>
      </c>
      <c r="E1172" s="26">
        <v>14.489940000000001</v>
      </c>
      <c r="G1172" s="27">
        <v>0.42708333333333331</v>
      </c>
      <c r="J1172" s="30">
        <f>IF(G1172&lt;$H$10,$H$16,IF(G1172&gt;$I$10,$H$16,$H$11))*E1172/600</f>
        <v>5.3129780000000003E-3</v>
      </c>
      <c r="L1172" s="32">
        <f>$J1172*($G1172-$G1171)*60*24</f>
        <v>5.3129779999999821E-3</v>
      </c>
    </row>
    <row r="1173" spans="1:12">
      <c r="A1173" s="22">
        <v>40311.427777777775</v>
      </c>
      <c r="E1173" s="26">
        <v>14.502993999999999</v>
      </c>
      <c r="G1173" s="27">
        <v>0.42777777777777781</v>
      </c>
      <c r="J1173" s="30">
        <f>IF(G1173&lt;$H$10,$H$16,IF(G1173&gt;$I$10,$H$16,$H$11))*E1173/600</f>
        <v>5.3177644666666662E-3</v>
      </c>
      <c r="L1173" s="32">
        <f>$J1173*($G1173-$G1172)*60*24</f>
        <v>5.3177644666670722E-3</v>
      </c>
    </row>
    <row r="1174" spans="1:12">
      <c r="A1174" s="22">
        <v>40311.428472222222</v>
      </c>
      <c r="E1174" s="26">
        <v>14.405089</v>
      </c>
      <c r="G1174" s="27">
        <v>0.4284722222222222</v>
      </c>
      <c r="J1174" s="30">
        <f>IF(G1174&lt;$H$10,$H$16,IF(G1174&gt;$I$10,$H$16,$H$11))*E1174/600</f>
        <v>5.281865966666667E-3</v>
      </c>
      <c r="L1174" s="32">
        <f>$J1174*($G1174-$G1173)*60*24</f>
        <v>5.2818659666662264E-3</v>
      </c>
    </row>
    <row r="1175" spans="1:12">
      <c r="A1175" s="22">
        <v>40311.429166666669</v>
      </c>
      <c r="E1175" s="26">
        <v>14.69431</v>
      </c>
      <c r="G1175" s="27">
        <v>0.4291666666666667</v>
      </c>
      <c r="J1175" s="30">
        <f>IF(G1175&lt;$H$10,$H$16,IF(G1175&gt;$I$10,$H$16,$H$11))*E1175/600</f>
        <v>5.3879136666666666E-3</v>
      </c>
      <c r="L1175" s="32">
        <f>$J1175*($G1175-$G1174)*60*24</f>
        <v>5.3879136666670786E-3</v>
      </c>
    </row>
    <row r="1176" spans="1:12">
      <c r="A1176" s="22">
        <v>40311.429861111108</v>
      </c>
      <c r="E1176" s="26">
        <v>14.563552</v>
      </c>
      <c r="G1176" s="27">
        <v>0.42986111111111108</v>
      </c>
      <c r="J1176" s="30">
        <f>IF(G1176&lt;$H$10,$H$16,IF(G1176&gt;$I$10,$H$16,$H$11))*E1176/600</f>
        <v>5.3399690666666661E-3</v>
      </c>
      <c r="L1176" s="32">
        <f>$J1176*($G1176-$G1175)*60*24</f>
        <v>5.3399690666662194E-3</v>
      </c>
    </row>
    <row r="1177" spans="1:12">
      <c r="A1177" s="22">
        <v>40311.430555555555</v>
      </c>
      <c r="E1177" s="26">
        <v>14.52412</v>
      </c>
      <c r="G1177" s="27">
        <v>0.43055555555555558</v>
      </c>
      <c r="J1177" s="30">
        <f>IF(G1177&lt;$H$10,$H$16,IF(G1177&gt;$I$10,$H$16,$H$11))*E1177/600</f>
        <v>5.3255106666666666E-3</v>
      </c>
      <c r="L1177" s="32">
        <f>$J1177*($G1177-$G1176)*60*24</f>
        <v>5.3255106666670734E-3</v>
      </c>
    </row>
    <row r="1178" spans="1:12">
      <c r="A1178" s="22">
        <v>40311.431250000001</v>
      </c>
      <c r="E1178" s="26">
        <v>14.543340000000001</v>
      </c>
      <c r="G1178" s="27">
        <v>0.43124999999999997</v>
      </c>
      <c r="J1178" s="30">
        <f>IF(G1178&lt;$H$10,$H$16,IF(G1178&gt;$I$10,$H$16,$H$11))*E1178/600</f>
        <v>5.3325580000000003E-3</v>
      </c>
      <c r="L1178" s="32">
        <f>$J1178*($G1178-$G1177)*60*24</f>
        <v>5.3325579999995553E-3</v>
      </c>
    </row>
    <row r="1179" spans="1:12">
      <c r="A1179" s="22">
        <v>40311.431944444441</v>
      </c>
      <c r="E1179" s="26">
        <v>14.601929999999999</v>
      </c>
      <c r="G1179" s="27">
        <v>0.43194444444444446</v>
      </c>
      <c r="J1179" s="30">
        <f>IF(G1179&lt;$H$10,$H$16,IF(G1179&gt;$I$10,$H$16,$H$11))*E1179/600</f>
        <v>5.3540409999999995E-3</v>
      </c>
      <c r="L1179" s="32">
        <f>$J1179*($G1179-$G1178)*60*24</f>
        <v>5.354041000000408E-3</v>
      </c>
    </row>
    <row r="1180" spans="1:12">
      <c r="A1180" s="22">
        <v>40311.432638888888</v>
      </c>
      <c r="E1180" s="26">
        <v>14.7126</v>
      </c>
      <c r="G1180" s="27">
        <v>0.43263888888888885</v>
      </c>
      <c r="J1180" s="30">
        <f>IF(G1180&lt;$H$10,$H$16,IF(G1180&gt;$I$10,$H$16,$H$11))*E1180/600</f>
        <v>5.3946200000000001E-3</v>
      </c>
      <c r="L1180" s="32">
        <f>$J1180*($G1180-$G1179)*60*24</f>
        <v>5.39461999999955E-3</v>
      </c>
    </row>
    <row r="1181" spans="1:12">
      <c r="A1181" s="22">
        <v>40311.433333333334</v>
      </c>
      <c r="E1181" s="26">
        <v>14.859292</v>
      </c>
      <c r="G1181" s="27">
        <v>0.43333333333333335</v>
      </c>
      <c r="J1181" s="30">
        <f>IF(G1181&lt;$H$10,$H$16,IF(G1181&gt;$I$10,$H$16,$H$11))*E1181/600</f>
        <v>5.4484070666666667E-3</v>
      </c>
      <c r="L1181" s="32">
        <f>$J1181*($G1181-$G1180)*60*24</f>
        <v>5.448407066667083E-3</v>
      </c>
    </row>
    <row r="1182" spans="1:12">
      <c r="A1182" s="22">
        <v>40311.434027777781</v>
      </c>
      <c r="E1182" s="26">
        <v>14.554966</v>
      </c>
      <c r="G1182" s="27">
        <v>0.43402777777777773</v>
      </c>
      <c r="J1182" s="30">
        <f>IF(G1182&lt;$H$10,$H$16,IF(G1182&gt;$I$10,$H$16,$H$11))*E1182/600</f>
        <v>5.3368208666666663E-3</v>
      </c>
      <c r="L1182" s="32">
        <f>$J1182*($G1182-$G1181)*60*24</f>
        <v>5.3368208666662205E-3</v>
      </c>
    </row>
    <row r="1183" spans="1:12">
      <c r="A1183" s="22">
        <v>40311.43472222222</v>
      </c>
      <c r="E1183" s="26">
        <v>14.693070000000001</v>
      </c>
      <c r="G1183" s="27">
        <v>0.43472222222222223</v>
      </c>
      <c r="J1183" s="30">
        <f>IF(G1183&lt;$H$10,$H$16,IF(G1183&gt;$I$10,$H$16,$H$11))*E1183/600</f>
        <v>5.3874590000000007E-3</v>
      </c>
      <c r="L1183" s="32">
        <f>$J1183*($G1183-$G1182)*60*24</f>
        <v>5.3874590000004118E-3</v>
      </c>
    </row>
    <row r="1184" spans="1:12">
      <c r="A1184" s="22">
        <v>40311.435416666667</v>
      </c>
      <c r="E1184" s="26">
        <v>14.542033999999999</v>
      </c>
      <c r="G1184" s="27">
        <v>0.43541666666666662</v>
      </c>
      <c r="J1184" s="30">
        <f>IF(G1184&lt;$H$10,$H$16,IF(G1184&gt;$I$10,$H$16,$H$11))*E1184/600</f>
        <v>5.3320791333333331E-3</v>
      </c>
      <c r="L1184" s="32">
        <f>$J1184*($G1184-$G1183)*60*24</f>
        <v>5.3320791333328881E-3</v>
      </c>
    </row>
    <row r="1185" spans="1:12">
      <c r="A1185" s="22">
        <v>40311.436111111114</v>
      </c>
      <c r="E1185" s="26">
        <v>14.73213</v>
      </c>
      <c r="G1185" s="27">
        <v>0.43611111111111112</v>
      </c>
      <c r="J1185" s="30">
        <f>IF(G1185&lt;$H$10,$H$16,IF(G1185&gt;$I$10,$H$16,$H$11))*E1185/600</f>
        <v>5.4017809999999996E-3</v>
      </c>
      <c r="L1185" s="32">
        <f>$J1185*($G1185-$G1184)*60*24</f>
        <v>5.4017810000004125E-3</v>
      </c>
    </row>
    <row r="1186" spans="1:12">
      <c r="A1186" s="22">
        <v>40311.436805555553</v>
      </c>
      <c r="E1186" s="26">
        <v>14.630512</v>
      </c>
      <c r="G1186" s="27">
        <v>0.4368055555555555</v>
      </c>
      <c r="J1186" s="30">
        <f>IF(G1186&lt;$H$10,$H$16,IF(G1186&gt;$I$10,$H$16,$H$11))*E1186/600</f>
        <v>5.3645210666666667E-3</v>
      </c>
      <c r="L1186" s="32">
        <f>$J1186*($G1186-$G1185)*60*24</f>
        <v>5.3645210666662191E-3</v>
      </c>
    </row>
    <row r="1187" spans="1:12">
      <c r="A1187" s="22">
        <v>40311.4375</v>
      </c>
      <c r="E1187" s="26">
        <v>14.958216</v>
      </c>
      <c r="G1187" s="27">
        <v>0.4375</v>
      </c>
      <c r="J1187" s="30">
        <f>IF(G1187&lt;$H$10,$H$16,IF(G1187&gt;$I$10,$H$16,$H$11))*E1187/600</f>
        <v>5.4846792000000002E-3</v>
      </c>
      <c r="L1187" s="32">
        <f>$J1187*($G1187-$G1186)*60*24</f>
        <v>5.48467920000042E-3</v>
      </c>
    </row>
    <row r="1188" spans="1:12">
      <c r="A1188" s="22">
        <v>40311.438194444447</v>
      </c>
      <c r="E1188" s="26">
        <v>14.75817</v>
      </c>
      <c r="G1188" s="27">
        <v>0.4381944444444445</v>
      </c>
      <c r="J1188" s="30">
        <f>IF(G1188&lt;$H$10,$H$16,IF(G1188&gt;$I$10,$H$16,$H$11))*E1188/600</f>
        <v>5.4113290000000003E-3</v>
      </c>
      <c r="L1188" s="32">
        <f>$J1188*($G1188-$G1187)*60*24</f>
        <v>5.411329000000414E-3</v>
      </c>
    </row>
    <row r="1189" spans="1:12">
      <c r="A1189" s="22">
        <v>40311.438888888886</v>
      </c>
      <c r="E1189" s="26">
        <v>14.79072</v>
      </c>
      <c r="G1189" s="27">
        <v>0.43888888888888888</v>
      </c>
      <c r="J1189" s="30">
        <f>IF(G1189&lt;$H$10,$H$16,IF(G1189&gt;$I$10,$H$16,$H$11))*E1189/600</f>
        <v>5.4232640000000006E-3</v>
      </c>
      <c r="L1189" s="32">
        <f>$J1189*($G1189-$G1188)*60*24</f>
        <v>5.4232639999995478E-3</v>
      </c>
    </row>
    <row r="1190" spans="1:12">
      <c r="A1190" s="22">
        <v>40311.439583333333</v>
      </c>
      <c r="E1190" s="26">
        <v>14.82978</v>
      </c>
      <c r="G1190" s="27">
        <v>0.43958333333333338</v>
      </c>
      <c r="J1190" s="30">
        <f>IF(G1190&lt;$H$10,$H$16,IF(G1190&gt;$I$10,$H$16,$H$11))*E1190/600</f>
        <v>5.4375860000000003E-3</v>
      </c>
      <c r="L1190" s="32">
        <f>$J1190*($G1190-$G1189)*60*24</f>
        <v>5.4375860000004158E-3</v>
      </c>
    </row>
    <row r="1191" spans="1:12">
      <c r="A1191" s="22">
        <v>40311.44027777778</v>
      </c>
      <c r="E1191" s="26">
        <v>14.823270000000001</v>
      </c>
      <c r="G1191" s="27">
        <v>0.44027777777777777</v>
      </c>
      <c r="J1191" s="30">
        <f>IF(G1191&lt;$H$10,$H$16,IF(G1191&gt;$I$10,$H$16,$H$11))*E1191/600</f>
        <v>5.4351989999999999E-3</v>
      </c>
      <c r="L1191" s="32">
        <f>$J1191*($G1191-$G1190)*60*24</f>
        <v>5.4351989999995463E-3</v>
      </c>
    </row>
    <row r="1192" spans="1:12">
      <c r="A1192" s="22">
        <v>40311.440972222219</v>
      </c>
      <c r="E1192" s="26">
        <v>14.716616</v>
      </c>
      <c r="G1192" s="27">
        <v>0.44097222222222227</v>
      </c>
      <c r="J1192" s="30">
        <f>IF(G1192&lt;$H$10,$H$16,IF(G1192&gt;$I$10,$H$16,$H$11))*E1192/600</f>
        <v>5.3960925333333331E-3</v>
      </c>
      <c r="L1192" s="32">
        <f>$J1192*($G1192-$G1191)*60*24</f>
        <v>5.3960925333337451E-3</v>
      </c>
    </row>
    <row r="1193" spans="1:12">
      <c r="A1193" s="22">
        <v>40311.441666666666</v>
      </c>
      <c r="E1193" s="26">
        <v>14.639023999999999</v>
      </c>
      <c r="G1193" s="27">
        <v>0.44166666666666665</v>
      </c>
      <c r="J1193" s="30">
        <f>IF(G1193&lt;$H$10,$H$16,IF(G1193&gt;$I$10,$H$16,$H$11))*E1193/600</f>
        <v>5.3676421333333328E-3</v>
      </c>
      <c r="L1193" s="32">
        <f>$J1193*($G1193-$G1192)*60*24</f>
        <v>5.3676421333328844E-3</v>
      </c>
    </row>
    <row r="1194" spans="1:12">
      <c r="A1194" s="22">
        <v>40311.442361111112</v>
      </c>
      <c r="E1194" s="26">
        <v>14.911868</v>
      </c>
      <c r="G1194" s="27">
        <v>0.44236111111111115</v>
      </c>
      <c r="J1194" s="30">
        <f>IF(G1194&lt;$H$10,$H$16,IF(G1194&gt;$I$10,$H$16,$H$11))*E1194/600</f>
        <v>5.4676849333333338E-3</v>
      </c>
      <c r="L1194" s="32">
        <f>$J1194*($G1194-$G1193)*60*24</f>
        <v>5.4676849333337519E-3</v>
      </c>
    </row>
    <row r="1195" spans="1:12">
      <c r="A1195" s="22">
        <v>40311.443055555559</v>
      </c>
      <c r="E1195" s="26">
        <v>14.777699999999999</v>
      </c>
      <c r="G1195" s="27">
        <v>0.44305555555555554</v>
      </c>
      <c r="J1195" s="30">
        <f>IF(G1195&lt;$H$10,$H$16,IF(G1195&gt;$I$10,$H$16,$H$11))*E1195/600</f>
        <v>5.4184899999999998E-3</v>
      </c>
      <c r="L1195" s="32">
        <f>$J1195*($G1195-$G1194)*60*24</f>
        <v>5.418489999999547E-3</v>
      </c>
    </row>
    <row r="1196" spans="1:12">
      <c r="A1196" s="22">
        <v>40311.443749999999</v>
      </c>
      <c r="E1196" s="26">
        <v>14.522636</v>
      </c>
      <c r="G1196" s="27">
        <v>0.44375000000000003</v>
      </c>
      <c r="J1196" s="30">
        <f>IF(G1196&lt;$H$10,$H$16,IF(G1196&gt;$I$10,$H$16,$H$11))*E1196/600</f>
        <v>5.3249665333333336E-3</v>
      </c>
      <c r="L1196" s="32">
        <f>$J1196*($G1196-$G1195)*60*24</f>
        <v>5.3249665333337404E-3</v>
      </c>
    </row>
    <row r="1197" spans="1:12">
      <c r="A1197" s="22">
        <v>40311.444444444445</v>
      </c>
      <c r="E1197" s="26">
        <v>14.719110000000001</v>
      </c>
      <c r="G1197" s="27">
        <v>0.44444444444444442</v>
      </c>
      <c r="J1197" s="30">
        <f>IF(G1197&lt;$H$10,$H$16,IF(G1197&gt;$I$10,$H$16,$H$11))*E1197/600</f>
        <v>5.3970070000000005E-3</v>
      </c>
      <c r="L1197" s="32">
        <f>$J1197*($G1197-$G1196)*60*24</f>
        <v>5.3970069999995504E-3</v>
      </c>
    </row>
    <row r="1198" spans="1:12">
      <c r="A1198" s="22">
        <v>40311.445138888892</v>
      </c>
      <c r="E1198" s="26">
        <v>14.699579999999999</v>
      </c>
      <c r="G1198" s="27">
        <v>0.44513888888888892</v>
      </c>
      <c r="J1198" s="30">
        <f>IF(G1198&lt;$H$10,$H$16,IF(G1198&gt;$I$10,$H$16,$H$11))*E1198/600</f>
        <v>5.3898459999999994E-3</v>
      </c>
      <c r="L1198" s="32">
        <f>$J1198*($G1198-$G1197)*60*24</f>
        <v>5.3898460000004113E-3</v>
      </c>
    </row>
    <row r="1199" spans="1:12">
      <c r="A1199" s="22">
        <v>40311.445833333331</v>
      </c>
      <c r="E1199" s="26">
        <v>14.619626</v>
      </c>
      <c r="G1199" s="27">
        <v>0.4458333333333333</v>
      </c>
      <c r="J1199" s="30">
        <f>IF(G1199&lt;$H$10,$H$16,IF(G1199&gt;$I$10,$H$16,$H$11))*E1199/600</f>
        <v>5.3605295333333334E-3</v>
      </c>
      <c r="L1199" s="32">
        <f>$J1199*($G1199-$G1198)*60*24</f>
        <v>5.3605295333328858E-3</v>
      </c>
    </row>
    <row r="1200" spans="1:12">
      <c r="A1200" s="22">
        <v>40311.446527777778</v>
      </c>
      <c r="E1200" s="26">
        <v>14.83629</v>
      </c>
      <c r="G1200" s="27">
        <v>0.4465277777777778</v>
      </c>
      <c r="J1200" s="30">
        <f>IF(G1200&lt;$H$10,$H$16,IF(G1200&gt;$I$10,$H$16,$H$11))*E1200/600</f>
        <v>5.4399729999999999E-3</v>
      </c>
      <c r="L1200" s="32">
        <f>$J1200*($G1200-$G1199)*60*24</f>
        <v>5.4399730000004153E-3</v>
      </c>
    </row>
    <row r="1201" spans="1:12">
      <c r="A1201" s="22">
        <v>40311.447222222225</v>
      </c>
      <c r="E1201" s="26">
        <v>14.79072</v>
      </c>
      <c r="G1201" s="27">
        <v>0.44722222222222219</v>
      </c>
      <c r="J1201" s="30">
        <f>IF(G1201&lt;$H$10,$H$16,IF(G1201&gt;$I$10,$H$16,$H$11))*E1201/600</f>
        <v>5.4232640000000006E-3</v>
      </c>
      <c r="L1201" s="32">
        <f>$J1201*($G1201-$G1200)*60*24</f>
        <v>5.4232639999995478E-3</v>
      </c>
    </row>
    <row r="1202" spans="1:12">
      <c r="A1202" s="22">
        <v>40311.447916666664</v>
      </c>
      <c r="E1202" s="26">
        <v>14.88837</v>
      </c>
      <c r="G1202" s="27">
        <v>0.44791666666666669</v>
      </c>
      <c r="J1202" s="30">
        <f>IF(G1202&lt;$H$10,$H$16,IF(G1202&gt;$I$10,$H$16,$H$11))*E1202/600</f>
        <v>5.4590690000000004E-3</v>
      </c>
      <c r="L1202" s="32">
        <f>$J1202*($G1202-$G1201)*60*24</f>
        <v>5.4590690000004168E-3</v>
      </c>
    </row>
    <row r="1203" spans="1:12">
      <c r="A1203" s="22">
        <v>40311.448611111111</v>
      </c>
      <c r="E1203" s="26">
        <v>14.649856</v>
      </c>
      <c r="G1203" s="27">
        <v>0.44861111111111113</v>
      </c>
      <c r="J1203" s="30">
        <f>IF(G1203&lt;$H$10,$H$16,IF(G1203&gt;$I$10,$H$16,$H$11))*E1203/600</f>
        <v>5.3716138666666672E-3</v>
      </c>
      <c r="L1203" s="32">
        <f>$J1203*($G1203-$G1202)*60*24</f>
        <v>5.3716138666666472E-3</v>
      </c>
    </row>
    <row r="1204" spans="1:12">
      <c r="A1204" s="22">
        <v>40311.449305555558</v>
      </c>
      <c r="E1204" s="26">
        <v>15.063048</v>
      </c>
      <c r="G1204" s="27">
        <v>0.44930555555555557</v>
      </c>
      <c r="J1204" s="30">
        <f>IF(G1204&lt;$H$10,$H$16,IF(G1204&gt;$I$10,$H$16,$H$11))*E1204/600</f>
        <v>5.5231176000000003E-3</v>
      </c>
      <c r="L1204" s="32">
        <f>$J1204*($G1204-$G1203)*60*24</f>
        <v>5.5231175999999813E-3</v>
      </c>
    </row>
    <row r="1205" spans="1:12">
      <c r="A1205" s="22">
        <v>40311.449999999997</v>
      </c>
      <c r="E1205" s="26">
        <v>14.751659999999999</v>
      </c>
      <c r="G1205" s="27">
        <v>0.45</v>
      </c>
      <c r="J1205" s="30">
        <f>IF(G1205&lt;$H$10,$H$16,IF(G1205&gt;$I$10,$H$16,$H$11))*E1205/600</f>
        <v>5.4089419999999999E-3</v>
      </c>
      <c r="L1205" s="32">
        <f>$J1205*($G1205-$G1204)*60*24</f>
        <v>5.4089419999999808E-3</v>
      </c>
    </row>
    <row r="1206" spans="1:12">
      <c r="A1206" s="22">
        <v>40311.450694444444</v>
      </c>
      <c r="E1206" s="26">
        <v>14.572480000000001</v>
      </c>
      <c r="G1206" s="27">
        <v>0.45069444444444445</v>
      </c>
      <c r="J1206" s="30">
        <f>IF(G1206&lt;$H$10,$H$16,IF(G1206&gt;$I$10,$H$16,$H$11))*E1206/600</f>
        <v>5.343242666666667E-3</v>
      </c>
      <c r="L1206" s="32">
        <f>$J1206*($G1206-$G1205)*60*24</f>
        <v>5.3432426666666479E-3</v>
      </c>
    </row>
    <row r="1207" spans="1:12">
      <c r="A1207" s="22">
        <v>40311.451388888891</v>
      </c>
      <c r="E1207" s="26">
        <v>14.63696</v>
      </c>
      <c r="G1207" s="27">
        <v>0.4513888888888889</v>
      </c>
      <c r="J1207" s="30">
        <f>IF(G1207&lt;$H$10,$H$16,IF(G1207&gt;$I$10,$H$16,$H$11))*E1207/600</f>
        <v>5.3668853333333332E-3</v>
      </c>
      <c r="L1207" s="32">
        <f>$J1207*($G1207-$G1206)*60*24</f>
        <v>5.3668853333333141E-3</v>
      </c>
    </row>
    <row r="1208" spans="1:12">
      <c r="A1208" s="22">
        <v>40311.45208333333</v>
      </c>
      <c r="E1208" s="26">
        <v>14.823270000000001</v>
      </c>
      <c r="G1208" s="27">
        <v>0.45208333333333334</v>
      </c>
      <c r="J1208" s="30">
        <f>IF(G1208&lt;$H$10,$H$16,IF(G1208&gt;$I$10,$H$16,$H$11))*E1208/600</f>
        <v>5.4351989999999999E-3</v>
      </c>
      <c r="L1208" s="32">
        <f>$J1208*($G1208-$G1207)*60*24</f>
        <v>5.4351989999999809E-3</v>
      </c>
    </row>
    <row r="1209" spans="1:12">
      <c r="A1209" s="22">
        <v>40311.452777777777</v>
      </c>
      <c r="E1209" s="26">
        <v>14.772368</v>
      </c>
      <c r="G1209" s="27">
        <v>0.45277777777777778</v>
      </c>
      <c r="J1209" s="30">
        <f>IF(G1209&lt;$H$10,$H$16,IF(G1209&gt;$I$10,$H$16,$H$11))*E1209/600</f>
        <v>5.4165349333333331E-3</v>
      </c>
      <c r="L1209" s="32">
        <f>$J1209*($G1209-$G1208)*60*24</f>
        <v>5.416534933333314E-3</v>
      </c>
    </row>
    <row r="1210" spans="1:12">
      <c r="A1210" s="22">
        <v>40311.453472222223</v>
      </c>
      <c r="E1210" s="26">
        <v>14.688544</v>
      </c>
      <c r="G1210" s="27">
        <v>0.45347222222222222</v>
      </c>
      <c r="J1210" s="30">
        <f>IF(G1210&lt;$H$10,$H$16,IF(G1210&gt;$I$10,$H$16,$H$11))*E1210/600</f>
        <v>5.3857994666666664E-3</v>
      </c>
      <c r="L1210" s="32">
        <f>$J1210*($G1210-$G1209)*60*24</f>
        <v>5.3857994666666473E-3</v>
      </c>
    </row>
    <row r="1211" spans="1:12">
      <c r="A1211" s="22">
        <v>40311.45416666667</v>
      </c>
      <c r="E1211" s="26">
        <v>14.925456000000001</v>
      </c>
      <c r="G1211" s="27">
        <v>0.45416666666666666</v>
      </c>
      <c r="J1211" s="30">
        <f>IF(G1211&lt;$H$10,$H$16,IF(G1211&gt;$I$10,$H$16,$H$11))*E1211/600</f>
        <v>5.4726672000000006E-3</v>
      </c>
      <c r="L1211" s="32">
        <f>$J1211*($G1211-$G1210)*60*24</f>
        <v>5.4726671999999815E-3</v>
      </c>
    </row>
    <row r="1212" spans="1:12">
      <c r="A1212" s="22">
        <v>40311.454861111109</v>
      </c>
      <c r="E1212" s="26">
        <v>14.97132</v>
      </c>
      <c r="G1212" s="27">
        <v>0.4548611111111111</v>
      </c>
      <c r="J1212" s="30">
        <f>IF(G1212&lt;$H$10,$H$16,IF(G1212&gt;$I$10,$H$16,$H$11))*E1212/600</f>
        <v>5.4894840000000002E-3</v>
      </c>
      <c r="L1212" s="32">
        <f>$J1212*($G1212-$G1211)*60*24</f>
        <v>5.4894839999999803E-3</v>
      </c>
    </row>
    <row r="1213" spans="1:12">
      <c r="A1213" s="22">
        <v>40311.455555555556</v>
      </c>
      <c r="E1213" s="26">
        <v>14.675648000000001</v>
      </c>
      <c r="G1213" s="27">
        <v>0.45555555555555555</v>
      </c>
      <c r="J1213" s="30">
        <f>IF(G1213&lt;$H$10,$H$16,IF(G1213&gt;$I$10,$H$16,$H$11))*E1213/600</f>
        <v>5.3810709333333342E-3</v>
      </c>
      <c r="L1213" s="32">
        <f>$J1213*($G1213-$G1212)*60*24</f>
        <v>5.3810709333333151E-3</v>
      </c>
    </row>
    <row r="1214" spans="1:12">
      <c r="A1214" s="22">
        <v>40311.456250000003</v>
      </c>
      <c r="E1214" s="26">
        <v>14.997528000000001</v>
      </c>
      <c r="G1214" s="27">
        <v>0.45624999999999999</v>
      </c>
      <c r="J1214" s="30">
        <f>IF(G1214&lt;$H$10,$H$16,IF(G1214&gt;$I$10,$H$16,$H$11))*E1214/600</f>
        <v>5.4990936000000002E-3</v>
      </c>
      <c r="L1214" s="32">
        <f>$J1214*($G1214-$G1213)*60*24</f>
        <v>5.4990935999999803E-3</v>
      </c>
    </row>
    <row r="1215" spans="1:12">
      <c r="A1215" s="22">
        <v>40311.456944444442</v>
      </c>
      <c r="E1215" s="26">
        <v>14.958216</v>
      </c>
      <c r="G1215" s="27">
        <v>0.45694444444444443</v>
      </c>
      <c r="J1215" s="30">
        <f>IF(G1215&lt;$H$10,$H$16,IF(G1215&gt;$I$10,$H$16,$H$11))*E1215/600</f>
        <v>5.4846792000000002E-3</v>
      </c>
      <c r="L1215" s="32">
        <f>$J1215*($G1215-$G1214)*60*24</f>
        <v>5.4846791999999811E-3</v>
      </c>
    </row>
    <row r="1216" spans="1:12">
      <c r="A1216" s="22">
        <v>40311.457638888889</v>
      </c>
      <c r="E1216" s="26">
        <v>14.777699999999999</v>
      </c>
      <c r="G1216" s="27">
        <v>0.45763888888888887</v>
      </c>
      <c r="J1216" s="30">
        <f>IF(G1216&lt;$H$10,$H$16,IF(G1216&gt;$I$10,$H$16,$H$11))*E1216/600</f>
        <v>5.4184899999999998E-3</v>
      </c>
      <c r="L1216" s="32">
        <f>$J1216*($G1216-$G1215)*60*24</f>
        <v>5.4184899999999807E-3</v>
      </c>
    </row>
    <row r="1217" spans="1:12">
      <c r="A1217" s="22">
        <v>40311.458333333336</v>
      </c>
      <c r="E1217" s="26">
        <v>14.81025</v>
      </c>
      <c r="G1217" s="27">
        <v>0.45833333333333331</v>
      </c>
      <c r="J1217" s="30">
        <f>IF(G1217&lt;$H$10,$H$16,IF(G1217&gt;$I$10,$H$16,$H$11))*E1217/600</f>
        <v>5.430425E-3</v>
      </c>
      <c r="L1217" s="32">
        <f>$J1217*($G1217-$G1216)*60*24</f>
        <v>5.4304249999999801E-3</v>
      </c>
    </row>
    <row r="1218" spans="1:12">
      <c r="A1218" s="22">
        <v>40311.459027777775</v>
      </c>
      <c r="E1218" s="26">
        <v>14.83629</v>
      </c>
      <c r="G1218" s="27">
        <v>0.45902777777777781</v>
      </c>
      <c r="J1218" s="30">
        <f>IF(G1218&lt;$H$10,$H$16,IF(G1218&gt;$I$10,$H$16,$H$11))*E1218/600</f>
        <v>5.4399729999999999E-3</v>
      </c>
      <c r="L1218" s="32">
        <f>$J1218*($G1218-$G1217)*60*24</f>
        <v>5.4399730000004153E-3</v>
      </c>
    </row>
    <row r="1219" spans="1:12">
      <c r="A1219" s="22">
        <v>40311.459722222222</v>
      </c>
      <c r="E1219" s="26">
        <v>14.63696</v>
      </c>
      <c r="G1219" s="27">
        <v>0.4597222222222222</v>
      </c>
      <c r="J1219" s="30">
        <f>IF(G1219&lt;$H$10,$H$16,IF(G1219&gt;$I$10,$H$16,$H$11))*E1219/600</f>
        <v>5.3668853333333332E-3</v>
      </c>
      <c r="L1219" s="32">
        <f>$J1219*($G1219-$G1218)*60*24</f>
        <v>5.3668853333328848E-3</v>
      </c>
    </row>
    <row r="1220" spans="1:12">
      <c r="A1220" s="22">
        <v>40311.460416666669</v>
      </c>
      <c r="E1220" s="26">
        <v>14.97132</v>
      </c>
      <c r="G1220" s="27">
        <v>0.4604166666666667</v>
      </c>
      <c r="J1220" s="30">
        <f>IF(G1220&lt;$H$10,$H$16,IF(G1220&gt;$I$10,$H$16,$H$11))*E1220/600</f>
        <v>5.4894840000000002E-3</v>
      </c>
      <c r="L1220" s="32">
        <f>$J1220*($G1220-$G1219)*60*24</f>
        <v>5.4894840000004191E-3</v>
      </c>
    </row>
    <row r="1221" spans="1:12">
      <c r="A1221" s="22">
        <v>40311.461111111108</v>
      </c>
      <c r="E1221" s="26">
        <v>14.656304</v>
      </c>
      <c r="G1221" s="27">
        <v>0.46111111111111108</v>
      </c>
      <c r="J1221" s="30">
        <f>IF(G1221&lt;$H$10,$H$16,IF(G1221&gt;$I$10,$H$16,$H$11))*E1221/600</f>
        <v>5.3739781333333328E-3</v>
      </c>
      <c r="L1221" s="32">
        <f>$J1221*($G1221-$G1220)*60*24</f>
        <v>5.3739781333328844E-3</v>
      </c>
    </row>
    <row r="1222" spans="1:12">
      <c r="A1222" s="22">
        <v>40311.461805555555</v>
      </c>
      <c r="E1222" s="26">
        <v>14.656304</v>
      </c>
      <c r="G1222" s="27">
        <v>0.46180555555555558</v>
      </c>
      <c r="J1222" s="30">
        <f>IF(G1222&lt;$H$10,$H$16,IF(G1222&gt;$I$10,$H$16,$H$11))*E1222/600</f>
        <v>5.3739781333333328E-3</v>
      </c>
      <c r="L1222" s="32">
        <f>$J1222*($G1222-$G1221)*60*24</f>
        <v>5.3739781333337431E-3</v>
      </c>
    </row>
    <row r="1223" spans="1:12">
      <c r="A1223" s="22">
        <v>40311.462500000001</v>
      </c>
      <c r="E1223" s="26">
        <v>14.662751999999999</v>
      </c>
      <c r="G1223" s="27">
        <v>0.46249999999999997</v>
      </c>
      <c r="J1223" s="30">
        <f>IF(G1223&lt;$H$10,$H$16,IF(G1223&gt;$I$10,$H$16,$H$11))*E1223/600</f>
        <v>5.3763423999999994E-3</v>
      </c>
      <c r="L1223" s="32">
        <f>$J1223*($G1223-$G1222)*60*24</f>
        <v>5.3763423999995501E-3</v>
      </c>
    </row>
    <row r="1224" spans="1:12">
      <c r="A1224" s="22">
        <v>40311.463194444441</v>
      </c>
      <c r="E1224" s="26">
        <v>15.017184</v>
      </c>
      <c r="G1224" s="27">
        <v>0.46319444444444446</v>
      </c>
      <c r="J1224" s="30">
        <f>IF(G1224&lt;$H$10,$H$16,IF(G1224&gt;$I$10,$H$16,$H$11))*E1224/600</f>
        <v>5.5063007999999998E-3</v>
      </c>
      <c r="L1224" s="32">
        <f>$J1224*($G1224-$G1223)*60*24</f>
        <v>5.5063008000004196E-3</v>
      </c>
    </row>
    <row r="1225" spans="1:12">
      <c r="A1225" s="22">
        <v>40311.463888888888</v>
      </c>
      <c r="E1225" s="26">
        <v>15.023736</v>
      </c>
      <c r="G1225" s="27">
        <v>0.46388888888888885</v>
      </c>
      <c r="J1225" s="30">
        <f>IF(G1225&lt;$H$10,$H$16,IF(G1225&gt;$I$10,$H$16,$H$11))*E1225/600</f>
        <v>5.5087031999999994E-3</v>
      </c>
      <c r="L1225" s="32">
        <f>$J1225*($G1225-$G1224)*60*24</f>
        <v>5.5087031999995397E-3</v>
      </c>
    </row>
    <row r="1226" spans="1:12">
      <c r="A1226" s="22">
        <v>40311.464583333334</v>
      </c>
      <c r="E1226" s="26">
        <v>15.03684</v>
      </c>
      <c r="G1226" s="27">
        <v>0.46458333333333335</v>
      </c>
      <c r="J1226" s="30">
        <f>IF(G1226&lt;$H$10,$H$16,IF(G1226&gt;$I$10,$H$16,$H$11))*E1226/600</f>
        <v>5.5135080000000003E-3</v>
      </c>
      <c r="L1226" s="32">
        <f>$J1226*($G1226-$G1225)*60*24</f>
        <v>5.5135080000004218E-3</v>
      </c>
    </row>
    <row r="1227" spans="1:12">
      <c r="A1227" s="22">
        <v>40311.465277777781</v>
      </c>
      <c r="E1227" s="26">
        <v>15.010631999999999</v>
      </c>
      <c r="G1227" s="27">
        <v>0.46527777777777773</v>
      </c>
      <c r="J1227" s="30">
        <f>IF(G1227&lt;$H$10,$H$16,IF(G1227&gt;$I$10,$H$16,$H$11))*E1227/600</f>
        <v>5.5038983999999994E-3</v>
      </c>
      <c r="L1227" s="32">
        <f>$J1227*($G1227-$G1226)*60*24</f>
        <v>5.5038983999995406E-3</v>
      </c>
    </row>
    <row r="1228" spans="1:12">
      <c r="A1228" s="22">
        <v>40311.46597222222</v>
      </c>
      <c r="E1228" s="26">
        <v>15.043392000000001</v>
      </c>
      <c r="G1228" s="27">
        <v>0.46597222222222223</v>
      </c>
      <c r="J1228" s="30">
        <f>IF(G1228&lt;$H$10,$H$16,IF(G1228&gt;$I$10,$H$16,$H$11))*E1228/600</f>
        <v>5.5159103999999999E-3</v>
      </c>
      <c r="L1228" s="32">
        <f>$J1228*($G1228-$G1227)*60*24</f>
        <v>5.5159104000004223E-3</v>
      </c>
    </row>
    <row r="1229" spans="1:12">
      <c r="A1229" s="22">
        <v>40311.466666666667</v>
      </c>
      <c r="E1229" s="26">
        <v>14.990976</v>
      </c>
      <c r="G1229" s="27">
        <v>0.46666666666666662</v>
      </c>
      <c r="J1229" s="30">
        <f>IF(G1229&lt;$H$10,$H$16,IF(G1229&gt;$I$10,$H$16,$H$11))*E1229/600</f>
        <v>5.4966911999999998E-3</v>
      </c>
      <c r="L1229" s="32">
        <f>$J1229*($G1229-$G1228)*60*24</f>
        <v>5.496691199999541E-3</v>
      </c>
    </row>
    <row r="1230" spans="1:12">
      <c r="A1230" s="22">
        <v>40311.467361111114</v>
      </c>
      <c r="E1230" s="26">
        <v>14.725619999999999</v>
      </c>
      <c r="G1230" s="27">
        <v>0.46736111111111112</v>
      </c>
      <c r="J1230" s="30">
        <f>IF(G1230&lt;$H$10,$H$16,IF(G1230&gt;$I$10,$H$16,$H$11))*E1230/600</f>
        <v>5.3993939999999992E-3</v>
      </c>
      <c r="L1230" s="32">
        <f>$J1230*($G1230-$G1229)*60*24</f>
        <v>5.3993940000004121E-3</v>
      </c>
    </row>
    <row r="1231" spans="1:12">
      <c r="A1231" s="22">
        <v>40311.468055555553</v>
      </c>
      <c r="E1231" s="26">
        <v>14.76468</v>
      </c>
      <c r="G1231" s="27">
        <v>0.4680555555555555</v>
      </c>
      <c r="J1231" s="30">
        <f>IF(G1231&lt;$H$10,$H$16,IF(G1231&gt;$I$10,$H$16,$H$11))*E1231/600</f>
        <v>5.4137159999999998E-3</v>
      </c>
      <c r="L1231" s="32">
        <f>$J1231*($G1231-$G1230)*60*24</f>
        <v>5.4137159999995479E-3</v>
      </c>
    </row>
    <row r="1232" spans="1:12">
      <c r="A1232" s="22">
        <v>40311.46875</v>
      </c>
      <c r="E1232" s="26">
        <v>14.73213</v>
      </c>
      <c r="G1232" s="27">
        <v>0.46875</v>
      </c>
      <c r="J1232" s="30">
        <f>IF(G1232&lt;$H$10,$H$16,IF(G1232&gt;$I$10,$H$16,$H$11))*E1232/600</f>
        <v>5.4017809999999996E-3</v>
      </c>
      <c r="L1232" s="32">
        <f>$J1232*($G1232-$G1231)*60*24</f>
        <v>5.4017810000004125E-3</v>
      </c>
    </row>
    <row r="1233" spans="1:12">
      <c r="A1233" s="22">
        <v>40311.469444444447</v>
      </c>
      <c r="E1233" s="26">
        <v>14.79072</v>
      </c>
      <c r="G1233" s="27">
        <v>0.4694444444444445</v>
      </c>
      <c r="J1233" s="30">
        <f>IF(G1233&lt;$H$10,$H$16,IF(G1233&gt;$I$10,$H$16,$H$11))*E1233/600</f>
        <v>5.4232640000000006E-3</v>
      </c>
      <c r="L1233" s="32">
        <f>$J1233*($G1233-$G1232)*60*24</f>
        <v>5.4232640000004152E-3</v>
      </c>
    </row>
    <row r="1234" spans="1:12">
      <c r="A1234" s="22">
        <v>40311.470138888886</v>
      </c>
      <c r="E1234" s="26">
        <v>14.63696</v>
      </c>
      <c r="G1234" s="27">
        <v>0.47013888888888888</v>
      </c>
      <c r="J1234" s="30">
        <f>IF(G1234&lt;$H$10,$H$16,IF(G1234&gt;$I$10,$H$16,$H$11))*E1234/600</f>
        <v>5.3668853333333332E-3</v>
      </c>
      <c r="L1234" s="32">
        <f>$J1234*($G1234-$G1233)*60*24</f>
        <v>5.3668853333328848E-3</v>
      </c>
    </row>
    <row r="1235" spans="1:12">
      <c r="A1235" s="22">
        <v>40311.470833333333</v>
      </c>
      <c r="E1235" s="26">
        <v>14.79072</v>
      </c>
      <c r="G1235" s="27">
        <v>0.47083333333333338</v>
      </c>
      <c r="J1235" s="30">
        <f>IF(G1235&lt;$H$10,$H$16,IF(G1235&gt;$I$10,$H$16,$H$11))*E1235/600</f>
        <v>5.4232640000000006E-3</v>
      </c>
      <c r="L1235" s="32">
        <f>$J1235*($G1235-$G1234)*60*24</f>
        <v>5.4232640000004152E-3</v>
      </c>
    </row>
    <row r="1236" spans="1:12">
      <c r="A1236" s="22">
        <v>40311.47152777778</v>
      </c>
      <c r="E1236" s="26">
        <v>14.627969999999999</v>
      </c>
      <c r="G1236" s="27">
        <v>0.47152777777777777</v>
      </c>
      <c r="J1236" s="30">
        <f>IF(G1236&lt;$H$10,$H$16,IF(G1236&gt;$I$10,$H$16,$H$11))*E1236/600</f>
        <v>5.3635889999999993E-3</v>
      </c>
      <c r="L1236" s="32">
        <f>$J1236*($G1236-$G1235)*60*24</f>
        <v>5.3635889999995509E-3</v>
      </c>
    </row>
    <row r="1237" spans="1:12">
      <c r="A1237" s="22">
        <v>40311.472222222219</v>
      </c>
      <c r="E1237" s="26">
        <v>14.627969999999999</v>
      </c>
      <c r="G1237" s="27">
        <v>0.47222222222222227</v>
      </c>
      <c r="J1237" s="30">
        <f>IF(G1237&lt;$H$10,$H$16,IF(G1237&gt;$I$10,$H$16,$H$11))*E1237/600</f>
        <v>5.3635889999999993E-3</v>
      </c>
      <c r="L1237" s="32">
        <f>$J1237*($G1237-$G1236)*60*24</f>
        <v>5.3635890000004087E-3</v>
      </c>
    </row>
    <row r="1238" spans="1:12">
      <c r="A1238" s="22">
        <v>40311.472916666666</v>
      </c>
      <c r="E1238" s="26">
        <v>14.575889999999999</v>
      </c>
      <c r="G1238" s="27">
        <v>0.47291666666666665</v>
      </c>
      <c r="J1238" s="30">
        <f>IF(G1238&lt;$H$10,$H$16,IF(G1238&gt;$I$10,$H$16,$H$11))*E1238/600</f>
        <v>5.3444929999999996E-3</v>
      </c>
      <c r="L1238" s="32">
        <f>$J1238*($G1238-$G1237)*60*24</f>
        <v>5.3444929999995538E-3</v>
      </c>
    </row>
    <row r="1239" spans="1:12">
      <c r="A1239" s="22">
        <v>40311.473611111112</v>
      </c>
      <c r="E1239" s="26">
        <v>14.621460000000001</v>
      </c>
      <c r="G1239" s="27">
        <v>0.47361111111111115</v>
      </c>
      <c r="J1239" s="30">
        <f>IF(G1239&lt;$H$10,$H$16,IF(G1239&gt;$I$10,$H$16,$H$11))*E1239/600</f>
        <v>5.3612020000000007E-3</v>
      </c>
      <c r="L1239" s="32">
        <f>$J1239*($G1239-$G1238)*60*24</f>
        <v>5.3612020000004101E-3</v>
      </c>
    </row>
    <row r="1240" spans="1:12">
      <c r="A1240" s="22">
        <v>40311.474305555559</v>
      </c>
      <c r="E1240" s="26">
        <v>14.701563999999999</v>
      </c>
      <c r="G1240" s="27">
        <v>0.47430555555555554</v>
      </c>
      <c r="J1240" s="30">
        <f>IF(G1240&lt;$H$10,$H$16,IF(G1240&gt;$I$10,$H$16,$H$11))*E1240/600</f>
        <v>5.3905734666666672E-3</v>
      </c>
      <c r="L1240" s="32">
        <f>$J1240*($G1240-$G1239)*60*24</f>
        <v>5.390573466666217E-3</v>
      </c>
    </row>
    <row r="1241" spans="1:12">
      <c r="A1241" s="22">
        <v>40311.474999999999</v>
      </c>
      <c r="E1241" s="26">
        <v>14.78421</v>
      </c>
      <c r="G1241" s="27">
        <v>0.47500000000000003</v>
      </c>
      <c r="J1241" s="30">
        <f>IF(G1241&lt;$H$10,$H$16,IF(G1241&gt;$I$10,$H$16,$H$11))*E1241/600</f>
        <v>5.4208770000000002E-3</v>
      </c>
      <c r="L1241" s="32">
        <f>$J1241*($G1241-$G1240)*60*24</f>
        <v>5.4208770000004139E-3</v>
      </c>
    </row>
    <row r="1242" spans="1:12">
      <c r="A1242" s="22">
        <v>40311.475694444445</v>
      </c>
      <c r="E1242" s="26">
        <v>14.865864</v>
      </c>
      <c r="G1242" s="27">
        <v>0.47569444444444442</v>
      </c>
      <c r="J1242" s="30">
        <f>IF(G1242&lt;$H$10,$H$16,IF(G1242&gt;$I$10,$H$16,$H$11))*E1242/600</f>
        <v>5.4508168000000001E-3</v>
      </c>
      <c r="L1242" s="32">
        <f>$J1242*($G1242-$G1241)*60*24</f>
        <v>5.4508167999995447E-3</v>
      </c>
    </row>
    <row r="1243" spans="1:12">
      <c r="A1243" s="22">
        <v>40311.476388888892</v>
      </c>
      <c r="E1243" s="26">
        <v>15.023736</v>
      </c>
      <c r="G1243" s="27">
        <v>0.47638888888888892</v>
      </c>
      <c r="J1243" s="30">
        <f>IF(G1243&lt;$H$10,$H$16,IF(G1243&gt;$I$10,$H$16,$H$11))*E1243/600</f>
        <v>5.5087031999999994E-3</v>
      </c>
      <c r="L1243" s="32">
        <f>$J1243*($G1243-$G1242)*60*24</f>
        <v>5.5087032000004201E-3</v>
      </c>
    </row>
    <row r="1244" spans="1:12">
      <c r="A1244" s="22">
        <v>40311.477083333331</v>
      </c>
      <c r="E1244" s="26">
        <v>14.964767999999999</v>
      </c>
      <c r="G1244" s="27">
        <v>0.4770833333333333</v>
      </c>
      <c r="J1244" s="30">
        <f>IF(G1244&lt;$H$10,$H$16,IF(G1244&gt;$I$10,$H$16,$H$11))*E1244/600</f>
        <v>5.4870815999999998E-3</v>
      </c>
      <c r="L1244" s="32">
        <f>$J1244*($G1244-$G1243)*60*24</f>
        <v>5.4870815999995418E-3</v>
      </c>
    </row>
    <row r="1245" spans="1:12">
      <c r="A1245" s="22">
        <v>40311.477777777778</v>
      </c>
      <c r="E1245" s="26">
        <v>14.918903999999999</v>
      </c>
      <c r="G1245" s="27">
        <v>0.4777777777777778</v>
      </c>
      <c r="J1245" s="30">
        <f>IF(G1245&lt;$H$10,$H$16,IF(G1245&gt;$I$10,$H$16,$H$11))*E1245/600</f>
        <v>5.4702648000000001E-3</v>
      </c>
      <c r="L1245" s="32">
        <f>$J1245*($G1245-$G1244)*60*24</f>
        <v>5.4702648000004173E-3</v>
      </c>
    </row>
    <row r="1246" spans="1:12">
      <c r="A1246" s="22">
        <v>40311.478472222225</v>
      </c>
      <c r="E1246" s="26">
        <v>14.945112</v>
      </c>
      <c r="G1246" s="27">
        <v>0.47847222222222219</v>
      </c>
      <c r="J1246" s="30">
        <f>IF(G1246&lt;$H$10,$H$16,IF(G1246&gt;$I$10,$H$16,$H$11))*E1246/600</f>
        <v>5.4798744000000002E-3</v>
      </c>
      <c r="L1246" s="32">
        <f>$J1246*($G1246-$G1245)*60*24</f>
        <v>5.4798743999995431E-3</v>
      </c>
    </row>
    <row r="1247" spans="1:12">
      <c r="A1247" s="22">
        <v>40311.479166666664</v>
      </c>
      <c r="E1247" s="26">
        <v>14.997528000000001</v>
      </c>
      <c r="G1247" s="27">
        <v>0.47916666666666669</v>
      </c>
      <c r="J1247" s="30">
        <f>IF(G1247&lt;$H$10,$H$16,IF(G1247&gt;$I$10,$H$16,$H$11))*E1247/600</f>
        <v>5.4990936000000002E-3</v>
      </c>
      <c r="L1247" s="32">
        <f>$J1247*($G1247-$G1246)*60*24</f>
        <v>5.4990936000004209E-3</v>
      </c>
    </row>
    <row r="1248" spans="1:12">
      <c r="A1248" s="22">
        <v>40311.479861111111</v>
      </c>
      <c r="E1248" s="26">
        <v>14.990976</v>
      </c>
      <c r="G1248" s="27">
        <v>0.47986111111111113</v>
      </c>
      <c r="J1248" s="30">
        <f>IF(G1248&lt;$H$10,$H$16,IF(G1248&gt;$I$10,$H$16,$H$11))*E1248/600</f>
        <v>5.4966911999999998E-3</v>
      </c>
      <c r="L1248" s="32">
        <f>$J1248*($G1248-$G1247)*60*24</f>
        <v>5.4966911999999798E-3</v>
      </c>
    </row>
    <row r="1249" spans="1:12">
      <c r="A1249" s="22">
        <v>40311.480555555558</v>
      </c>
      <c r="E1249" s="26">
        <v>14.958216</v>
      </c>
      <c r="G1249" s="27">
        <v>0.48055555555555557</v>
      </c>
      <c r="J1249" s="30">
        <f>IF(G1249&lt;$H$10,$H$16,IF(G1249&gt;$I$10,$H$16,$H$11))*E1249/600</f>
        <v>5.4846792000000002E-3</v>
      </c>
      <c r="L1249" s="32">
        <f>$J1249*($G1249-$G1248)*60*24</f>
        <v>5.4846791999999811E-3</v>
      </c>
    </row>
    <row r="1250" spans="1:12">
      <c r="A1250" s="22">
        <v>40311.481249999997</v>
      </c>
      <c r="E1250" s="26">
        <v>14.849309999999999</v>
      </c>
      <c r="G1250" s="27">
        <v>0.48125000000000001</v>
      </c>
      <c r="J1250" s="30">
        <f>IF(G1250&lt;$H$10,$H$16,IF(G1250&gt;$I$10,$H$16,$H$11))*E1250/600</f>
        <v>5.4447469999999998E-3</v>
      </c>
      <c r="L1250" s="32">
        <f>$J1250*($G1250-$G1249)*60*24</f>
        <v>5.4447469999999807E-3</v>
      </c>
    </row>
    <row r="1251" spans="1:12">
      <c r="A1251" s="22">
        <v>40311.481944444444</v>
      </c>
      <c r="E1251" s="26">
        <v>14.944728</v>
      </c>
      <c r="G1251" s="27">
        <v>0.48194444444444445</v>
      </c>
      <c r="J1251" s="30">
        <f>IF(G1251&lt;$H$10,$H$16,IF(G1251&gt;$I$10,$H$16,$H$11))*E1251/600</f>
        <v>5.4797335999999999E-3</v>
      </c>
      <c r="L1251" s="32">
        <f>$J1251*($G1251-$G1250)*60*24</f>
        <v>5.4797335999999808E-3</v>
      </c>
    </row>
    <row r="1252" spans="1:12">
      <c r="A1252" s="22">
        <v>40311.482638888891</v>
      </c>
      <c r="E1252" s="26">
        <v>14.659642</v>
      </c>
      <c r="G1252" s="27">
        <v>0.4826388888888889</v>
      </c>
      <c r="J1252" s="30">
        <f>IF(G1252&lt;$H$10,$H$16,IF(G1252&gt;$I$10,$H$16,$H$11))*E1252/600</f>
        <v>5.3752020666666669E-3</v>
      </c>
      <c r="L1252" s="32">
        <f>$J1252*($G1252-$G1251)*60*24</f>
        <v>5.3752020666666478E-3</v>
      </c>
    </row>
    <row r="1253" spans="1:12">
      <c r="A1253" s="22">
        <v>40311.48333333333</v>
      </c>
      <c r="E1253" s="26">
        <v>14.646587999999999</v>
      </c>
      <c r="G1253" s="27">
        <v>0.48333333333333334</v>
      </c>
      <c r="J1253" s="30">
        <f>IF(G1253&lt;$H$10,$H$16,IF(G1253&gt;$I$10,$H$16,$H$11))*E1253/600</f>
        <v>5.3704155999999992E-3</v>
      </c>
      <c r="L1253" s="32">
        <f>$J1253*($G1253-$G1252)*60*24</f>
        <v>5.3704155999999802E-3</v>
      </c>
    </row>
    <row r="1254" spans="1:12">
      <c r="A1254" s="22">
        <v>40311.484027777777</v>
      </c>
      <c r="E1254" s="26">
        <v>14.645490000000001</v>
      </c>
      <c r="G1254" s="27">
        <v>0.48402777777777778</v>
      </c>
      <c r="J1254" s="30">
        <f>IF(G1254&lt;$H$10,$H$16,IF(G1254&gt;$I$10,$H$16,$H$11))*E1254/600</f>
        <v>5.3700129999999999E-3</v>
      </c>
      <c r="L1254" s="32">
        <f>$J1254*($G1254-$G1253)*60*24</f>
        <v>5.3700129999999808E-3</v>
      </c>
    </row>
    <row r="1255" spans="1:12">
      <c r="A1255" s="22">
        <v>40311.484722222223</v>
      </c>
      <c r="E1255" s="26">
        <v>14.813288</v>
      </c>
      <c r="G1255" s="27">
        <v>0.48472222222222222</v>
      </c>
      <c r="J1255" s="30">
        <f>IF(G1255&lt;$H$10,$H$16,IF(G1255&gt;$I$10,$H$16,$H$11))*E1255/600</f>
        <v>5.431538933333333E-3</v>
      </c>
      <c r="L1255" s="32">
        <f>$J1255*($G1255-$G1254)*60*24</f>
        <v>5.4315389333333131E-3</v>
      </c>
    </row>
    <row r="1256" spans="1:12">
      <c r="A1256" s="22">
        <v>40311.48541666667</v>
      </c>
      <c r="E1256" s="26">
        <v>14.793571999999999</v>
      </c>
      <c r="G1256" s="27">
        <v>0.48541666666666666</v>
      </c>
      <c r="J1256" s="30">
        <f>IF(G1256&lt;$H$10,$H$16,IF(G1256&gt;$I$10,$H$16,$H$11))*E1256/600</f>
        <v>5.4243097333333328E-3</v>
      </c>
      <c r="L1256" s="32">
        <f>$J1256*($G1256-$G1255)*60*24</f>
        <v>5.4243097333333129E-3</v>
      </c>
    </row>
    <row r="1257" spans="1:12">
      <c r="A1257" s="22">
        <v>40311.486111111109</v>
      </c>
      <c r="E1257" s="26">
        <v>14.727852</v>
      </c>
      <c r="G1257" s="27">
        <v>0.4861111111111111</v>
      </c>
      <c r="J1257" s="30">
        <f>IF(G1257&lt;$H$10,$H$16,IF(G1257&gt;$I$10,$H$16,$H$11))*E1257/600</f>
        <v>5.4002124000000007E-3</v>
      </c>
      <c r="L1257" s="32">
        <f>$J1257*($G1257-$G1256)*60*24</f>
        <v>5.4002123999999808E-3</v>
      </c>
    </row>
    <row r="1258" spans="1:12">
      <c r="A1258" s="22">
        <v>40311.486805555556</v>
      </c>
      <c r="E1258" s="26">
        <v>14.773856</v>
      </c>
      <c r="G1258" s="27">
        <v>0.48680555555555555</v>
      </c>
      <c r="J1258" s="30">
        <f>IF(G1258&lt;$H$10,$H$16,IF(G1258&gt;$I$10,$H$16,$H$11))*E1258/600</f>
        <v>5.4170805333333336E-3</v>
      </c>
      <c r="L1258" s="32">
        <f>$J1258*($G1258-$G1257)*60*24</f>
        <v>5.4170805333333145E-3</v>
      </c>
    </row>
    <row r="1259" spans="1:12">
      <c r="A1259" s="22">
        <v>40311.487500000003</v>
      </c>
      <c r="E1259" s="26">
        <v>14.767284</v>
      </c>
      <c r="G1259" s="27">
        <v>0.48749999999999999</v>
      </c>
      <c r="J1259" s="30">
        <f>IF(G1259&lt;$H$10,$H$16,IF(G1259&gt;$I$10,$H$16,$H$11))*E1259/600</f>
        <v>5.4146708000000002E-3</v>
      </c>
      <c r="L1259" s="32">
        <f>$J1259*($G1259-$G1258)*60*24</f>
        <v>5.4146707999999811E-3</v>
      </c>
    </row>
    <row r="1260" spans="1:12">
      <c r="A1260" s="22">
        <v>40311.488194444442</v>
      </c>
      <c r="E1260" s="26">
        <v>14.872436</v>
      </c>
      <c r="G1260" s="27">
        <v>0.48819444444444443</v>
      </c>
      <c r="J1260" s="30">
        <f>IF(G1260&lt;$H$10,$H$16,IF(G1260&gt;$I$10,$H$16,$H$11))*E1260/600</f>
        <v>5.4532265333333335E-3</v>
      </c>
      <c r="L1260" s="32">
        <f>$J1260*($G1260-$G1259)*60*24</f>
        <v>5.4532265333333144E-3</v>
      </c>
    </row>
    <row r="1261" spans="1:12">
      <c r="A1261" s="22">
        <v>40311.488888888889</v>
      </c>
      <c r="E1261" s="26">
        <v>14.944728</v>
      </c>
      <c r="G1261" s="27">
        <v>0.48888888888888887</v>
      </c>
      <c r="J1261" s="30">
        <f>IF(G1261&lt;$H$10,$H$16,IF(G1261&gt;$I$10,$H$16,$H$11))*E1261/600</f>
        <v>5.4797335999999999E-3</v>
      </c>
      <c r="L1261" s="32">
        <f>$J1261*($G1261-$G1260)*60*24</f>
        <v>5.4797335999999808E-3</v>
      </c>
    </row>
    <row r="1262" spans="1:12">
      <c r="A1262" s="22">
        <v>40311.489583333336</v>
      </c>
      <c r="E1262" s="26">
        <v>14.73864</v>
      </c>
      <c r="G1262" s="27">
        <v>0.48958333333333331</v>
      </c>
      <c r="J1262" s="30">
        <f>IF(G1262&lt;$H$10,$H$16,IF(G1262&gt;$I$10,$H$16,$H$11))*E1262/600</f>
        <v>5.404168E-3</v>
      </c>
      <c r="L1262" s="32">
        <f>$J1262*($G1262-$G1261)*60*24</f>
        <v>5.4041679999999818E-3</v>
      </c>
    </row>
    <row r="1263" spans="1:12">
      <c r="A1263" s="22">
        <v>40311.490277777775</v>
      </c>
      <c r="E1263" s="26">
        <v>14.938560000000001</v>
      </c>
      <c r="G1263" s="27">
        <v>0.49027777777777781</v>
      </c>
      <c r="J1263" s="30">
        <f>IF(G1263&lt;$H$10,$H$16,IF(G1263&gt;$I$10,$H$16,$H$11))*E1263/600</f>
        <v>5.4774720000000006E-3</v>
      </c>
      <c r="L1263" s="32">
        <f>$J1263*($G1263-$G1262)*60*24</f>
        <v>5.4774720000004187E-3</v>
      </c>
    </row>
    <row r="1264" spans="1:12">
      <c r="A1264" s="22">
        <v>40311.490972222222</v>
      </c>
      <c r="E1264" s="26">
        <v>14.7126</v>
      </c>
      <c r="G1264" s="27">
        <v>0.4909722222222222</v>
      </c>
      <c r="J1264" s="30">
        <f>IF(G1264&lt;$H$10,$H$16,IF(G1264&gt;$I$10,$H$16,$H$11))*E1264/600</f>
        <v>5.3946200000000001E-3</v>
      </c>
      <c r="L1264" s="32">
        <f>$J1264*($G1264-$G1263)*60*24</f>
        <v>5.39461999999955E-3</v>
      </c>
    </row>
    <row r="1265" spans="1:12">
      <c r="A1265" s="22">
        <v>40311.491666666669</v>
      </c>
      <c r="E1265" s="26">
        <v>14.68005</v>
      </c>
      <c r="G1265" s="27">
        <v>0.4916666666666667</v>
      </c>
      <c r="J1265" s="30">
        <f>IF(G1265&lt;$H$10,$H$16,IF(G1265&gt;$I$10,$H$16,$H$11))*E1265/600</f>
        <v>5.3826849999999999E-3</v>
      </c>
      <c r="L1265" s="32">
        <f>$J1265*($G1265-$G1264)*60*24</f>
        <v>5.382685000000411E-3</v>
      </c>
    </row>
    <row r="1266" spans="1:12">
      <c r="A1266" s="22">
        <v>40311.492361111108</v>
      </c>
      <c r="E1266" s="26">
        <v>14.7126</v>
      </c>
      <c r="G1266" s="27">
        <v>0.49236111111111108</v>
      </c>
      <c r="J1266" s="30">
        <f>IF(G1266&lt;$H$10,$H$16,IF(G1266&gt;$I$10,$H$16,$H$11))*E1266/600</f>
        <v>5.3946200000000001E-3</v>
      </c>
      <c r="L1266" s="32">
        <f>$J1266*($G1266-$G1265)*60*24</f>
        <v>5.39461999999955E-3</v>
      </c>
    </row>
    <row r="1267" spans="1:12">
      <c r="A1267" s="22">
        <v>40311.493055555555</v>
      </c>
      <c r="E1267" s="26">
        <v>14.84028</v>
      </c>
      <c r="G1267" s="27">
        <v>0.49305555555555558</v>
      </c>
      <c r="J1267" s="30">
        <f>IF(G1267&lt;$H$10,$H$16,IF(G1267&gt;$I$10,$H$16,$H$11))*E1267/600</f>
        <v>5.441436E-3</v>
      </c>
      <c r="L1267" s="32">
        <f>$J1267*($G1267-$G1266)*60*24</f>
        <v>5.4414360000004155E-3</v>
      </c>
    </row>
    <row r="1268" spans="1:12">
      <c r="A1268" s="22">
        <v>40311.493750000001</v>
      </c>
      <c r="E1268" s="26">
        <v>14.61495</v>
      </c>
      <c r="G1268" s="27">
        <v>0.49374999999999997</v>
      </c>
      <c r="J1268" s="30">
        <f>IF(G1268&lt;$H$10,$H$16,IF(G1268&gt;$I$10,$H$16,$H$11))*E1268/600</f>
        <v>5.3588150000000003E-3</v>
      </c>
      <c r="L1268" s="32">
        <f>$J1268*($G1268-$G1267)*60*24</f>
        <v>5.3588149999995527E-3</v>
      </c>
    </row>
    <row r="1269" spans="1:12">
      <c r="A1269" s="22">
        <v>40311.494444444441</v>
      </c>
      <c r="E1269" s="26">
        <v>14.60844</v>
      </c>
      <c r="G1269" s="27">
        <v>0.49444444444444446</v>
      </c>
      <c r="J1269" s="30">
        <f>IF(G1269&lt;$H$10,$H$16,IF(G1269&gt;$I$10,$H$16,$H$11))*E1269/600</f>
        <v>5.3564279999999999E-3</v>
      </c>
      <c r="L1269" s="32">
        <f>$J1269*($G1269-$G1268)*60*24</f>
        <v>5.3564280000004093E-3</v>
      </c>
    </row>
    <row r="1270" spans="1:12">
      <c r="A1270" s="22">
        <v>40311.495138888888</v>
      </c>
      <c r="E1270" s="26">
        <v>14.51079</v>
      </c>
      <c r="G1270" s="27">
        <v>0.49513888888888885</v>
      </c>
      <c r="J1270" s="30">
        <f>IF(G1270&lt;$H$10,$H$16,IF(G1270&gt;$I$10,$H$16,$H$11))*E1270/600</f>
        <v>5.320623E-3</v>
      </c>
      <c r="L1270" s="32">
        <f>$J1270*($G1270-$G1269)*60*24</f>
        <v>5.3206229999995559E-3</v>
      </c>
    </row>
    <row r="1271" spans="1:12">
      <c r="A1271" s="22">
        <v>40311.495833333334</v>
      </c>
      <c r="E1271" s="26">
        <v>14.52412</v>
      </c>
      <c r="G1271" s="27">
        <v>0.49583333333333335</v>
      </c>
      <c r="J1271" s="30">
        <f>IF(G1271&lt;$H$10,$H$16,IF(G1271&gt;$I$10,$H$16,$H$11))*E1271/600</f>
        <v>5.3255106666666666E-3</v>
      </c>
      <c r="L1271" s="32">
        <f>$J1271*($G1271-$G1270)*60*24</f>
        <v>5.3255106666670734E-3</v>
      </c>
    </row>
    <row r="1272" spans="1:12">
      <c r="A1272" s="22">
        <v>40311.496527777781</v>
      </c>
      <c r="E1272" s="26">
        <v>14.48475</v>
      </c>
      <c r="G1272" s="27">
        <v>0.49652777777777773</v>
      </c>
      <c r="J1272" s="30">
        <f>IF(G1272&lt;$H$10,$H$16,IF(G1272&gt;$I$10,$H$16,$H$11))*E1272/600</f>
        <v>5.3110750000000002E-3</v>
      </c>
      <c r="L1272" s="32">
        <f>$J1272*($G1272-$G1271)*60*24</f>
        <v>5.3110749999995569E-3</v>
      </c>
    </row>
    <row r="1273" spans="1:12">
      <c r="A1273" s="22">
        <v>40311.49722222222</v>
      </c>
      <c r="E1273" s="26">
        <v>14.575889999999999</v>
      </c>
      <c r="G1273" s="27">
        <v>0.49722222222222223</v>
      </c>
      <c r="J1273" s="30">
        <f>IF(G1273&lt;$H$10,$H$16,IF(G1273&gt;$I$10,$H$16,$H$11))*E1273/600</f>
        <v>5.3444929999999996E-3</v>
      </c>
      <c r="L1273" s="32">
        <f>$J1273*($G1273-$G1272)*60*24</f>
        <v>5.3444930000004082E-3</v>
      </c>
    </row>
    <row r="1274" spans="1:12">
      <c r="A1274" s="22">
        <v>40311.497916666667</v>
      </c>
      <c r="E1274" s="26">
        <v>14.418968</v>
      </c>
      <c r="G1274" s="27">
        <v>0.49791666666666662</v>
      </c>
      <c r="J1274" s="30">
        <f>IF(G1274&lt;$H$10,$H$16,IF(G1274&gt;$I$10,$H$16,$H$11))*E1274/600</f>
        <v>5.2869549333333325E-3</v>
      </c>
      <c r="L1274" s="32">
        <f>$J1274*($G1274-$G1273)*60*24</f>
        <v>5.2869549333328901E-3</v>
      </c>
    </row>
    <row r="1275" spans="1:12">
      <c r="A1275" s="22">
        <v>40311.498611111114</v>
      </c>
      <c r="E1275" s="26">
        <v>14.216661999999999</v>
      </c>
      <c r="G1275" s="27">
        <v>0.49861111111111112</v>
      </c>
      <c r="J1275" s="30">
        <f>IF(G1275&lt;$H$10,$H$16,IF(G1275&gt;$I$10,$H$16,$H$11))*E1275/600</f>
        <v>5.2127760666666667E-3</v>
      </c>
      <c r="L1275" s="32">
        <f>$J1275*($G1275-$G1274)*60*24</f>
        <v>5.2127760666670648E-3</v>
      </c>
    </row>
    <row r="1276" spans="1:12">
      <c r="A1276" s="22">
        <v>40311.499305555553</v>
      </c>
      <c r="E1276" s="26">
        <v>14.342708</v>
      </c>
      <c r="G1276" s="27">
        <v>0.4993055555555555</v>
      </c>
      <c r="J1276" s="30">
        <f>IF(G1276&lt;$H$10,$H$16,IF(G1276&gt;$I$10,$H$16,$H$11))*E1276/600</f>
        <v>5.2589929333333339E-3</v>
      </c>
      <c r="L1276" s="32">
        <f>$J1276*($G1276-$G1275)*60*24</f>
        <v>5.2589929333328941E-3</v>
      </c>
    </row>
    <row r="1277" spans="1:12">
      <c r="A1277" s="22">
        <v>40311.5</v>
      </c>
      <c r="E1277" s="26">
        <v>14.111496000000001</v>
      </c>
      <c r="G1277" s="27">
        <v>0.5</v>
      </c>
      <c r="J1277" s="30">
        <f>IF(G1277&lt;$H$10,$H$16,IF(G1277&gt;$I$10,$H$16,$H$11))*E1277/600</f>
        <v>5.1742152000000003E-3</v>
      </c>
      <c r="L1277" s="32">
        <f>$J1277*($G1277-$G1276)*60*24</f>
        <v>5.174215200000395E-3</v>
      </c>
    </row>
    <row r="1278" spans="1:12">
      <c r="A1278" s="22">
        <v>40311.500694444447</v>
      </c>
      <c r="E1278" s="26">
        <v>14.289636</v>
      </c>
      <c r="G1278" s="27">
        <v>0.50069444444444444</v>
      </c>
      <c r="J1278" s="30">
        <f>IF(G1278&lt;$H$10,$H$16,IF(G1278&gt;$I$10,$H$16,$H$11))*E1278/600</f>
        <v>5.2395332000000003E-3</v>
      </c>
      <c r="L1278" s="32">
        <f>$J1278*($G1278-$G1277)*60*24</f>
        <v>5.2395331999999812E-3</v>
      </c>
    </row>
    <row r="1279" spans="1:12">
      <c r="A1279" s="22">
        <v>40311.501388888886</v>
      </c>
      <c r="E1279" s="26">
        <v>14.300672</v>
      </c>
      <c r="G1279" s="27">
        <v>0.50138888888888888</v>
      </c>
      <c r="J1279" s="30">
        <f>IF(G1279&lt;$H$10,$H$16,IF(G1279&gt;$I$10,$H$16,$H$11))*E1279/600</f>
        <v>5.2435797333333341E-3</v>
      </c>
      <c r="L1279" s="32">
        <f>$J1279*($G1279-$G1278)*60*24</f>
        <v>5.2435797333333159E-3</v>
      </c>
    </row>
    <row r="1280" spans="1:12">
      <c r="A1280" s="22">
        <v>40311.502083333333</v>
      </c>
      <c r="E1280" s="26">
        <v>14.548361999999999</v>
      </c>
      <c r="G1280" s="27">
        <v>0.50208333333333333</v>
      </c>
      <c r="J1280" s="30">
        <f>IF(G1280&lt;$H$10,$H$16,IF(G1280&gt;$I$10,$H$16,$H$11))*E1280/600</f>
        <v>5.3343994000000002E-3</v>
      </c>
      <c r="L1280" s="32">
        <f>$J1280*($G1280-$G1279)*60*24</f>
        <v>5.3343993999999811E-3</v>
      </c>
    </row>
    <row r="1281" spans="1:12">
      <c r="A1281" s="22">
        <v>40311.50277777778</v>
      </c>
      <c r="E1281" s="26">
        <v>14.375016</v>
      </c>
      <c r="G1281" s="27">
        <v>0.50277777777777777</v>
      </c>
      <c r="J1281" s="30">
        <f>IF(G1281&lt;$H$10,$H$16,IF(G1281&gt;$I$10,$H$16,$H$11))*E1281/600</f>
        <v>5.2708392000000003E-3</v>
      </c>
      <c r="L1281" s="32">
        <f>$J1281*($G1281-$G1280)*60*24</f>
        <v>5.2708391999999812E-3</v>
      </c>
    </row>
    <row r="1282" spans="1:12">
      <c r="A1282" s="22">
        <v>40311.503472222219</v>
      </c>
      <c r="E1282" s="26">
        <v>14.481522</v>
      </c>
      <c r="G1282" s="27">
        <v>0.50347222222222221</v>
      </c>
      <c r="J1282" s="30">
        <f>IF(G1282&lt;$H$10,$H$16,IF(G1282&gt;$I$10,$H$16,$H$11))*E1282/600</f>
        <v>5.3098913999999999E-3</v>
      </c>
      <c r="L1282" s="32">
        <f>$J1282*($G1282-$G1281)*60*24</f>
        <v>5.3098913999999808E-3</v>
      </c>
    </row>
    <row r="1283" spans="1:12">
      <c r="A1283" s="22">
        <v>40311.504166666666</v>
      </c>
      <c r="E1283" s="26">
        <v>14.559480000000001</v>
      </c>
      <c r="G1283" s="27">
        <v>0.50416666666666665</v>
      </c>
      <c r="J1283" s="30">
        <f>IF(G1283&lt;$H$10,$H$16,IF(G1283&gt;$I$10,$H$16,$H$11))*E1283/600</f>
        <v>5.338476E-3</v>
      </c>
      <c r="L1283" s="32">
        <f>$J1283*($G1283-$G1282)*60*24</f>
        <v>5.3384759999999809E-3</v>
      </c>
    </row>
    <row r="1284" spans="1:12">
      <c r="A1284" s="22">
        <v>40311.504861111112</v>
      </c>
      <c r="E1284" s="26">
        <v>14.47302</v>
      </c>
      <c r="G1284" s="27">
        <v>0.50486111111111109</v>
      </c>
      <c r="J1284" s="30">
        <f>IF(G1284&lt;$H$10,$H$16,IF(G1284&gt;$I$10,$H$16,$H$11))*E1284/600</f>
        <v>5.3067740000000002E-3</v>
      </c>
      <c r="L1284" s="32">
        <f>$J1284*($G1284-$G1283)*60*24</f>
        <v>5.3067739999999811E-3</v>
      </c>
    </row>
    <row r="1285" spans="1:12">
      <c r="A1285" s="22">
        <v>40311.505555555559</v>
      </c>
      <c r="E1285" s="26">
        <v>14.477373999999999</v>
      </c>
      <c r="G1285" s="27">
        <v>0.50555555555555554</v>
      </c>
      <c r="J1285" s="30">
        <f>IF(G1285&lt;$H$10,$H$16,IF(G1285&gt;$I$10,$H$16,$H$11))*E1285/600</f>
        <v>5.308370466666666E-3</v>
      </c>
      <c r="L1285" s="32">
        <f>$J1285*($G1285-$G1284)*60*24</f>
        <v>5.3083704666666478E-3</v>
      </c>
    </row>
    <row r="1286" spans="1:12">
      <c r="A1286" s="22">
        <v>40311.506249999999</v>
      </c>
      <c r="E1286" s="26">
        <v>14.685750000000001</v>
      </c>
      <c r="G1286" s="27">
        <v>0.50624999999999998</v>
      </c>
      <c r="J1286" s="30">
        <f>IF(G1286&lt;$H$10,$H$16,IF(G1286&gt;$I$10,$H$16,$H$11))*E1286/600</f>
        <v>5.3847750000000005E-3</v>
      </c>
      <c r="L1286" s="32">
        <f>$J1286*($G1286-$G1285)*60*24</f>
        <v>5.3847749999999814E-3</v>
      </c>
    </row>
    <row r="1287" spans="1:12">
      <c r="A1287" s="22">
        <v>40311.506944444445</v>
      </c>
      <c r="E1287" s="26">
        <v>14.91844</v>
      </c>
      <c r="G1287" s="27">
        <v>0.50694444444444442</v>
      </c>
      <c r="J1287" s="30">
        <f>IF(G1287&lt;$H$10,$H$16,IF(G1287&gt;$I$10,$H$16,$H$11))*E1287/600</f>
        <v>5.4700946666666663E-3</v>
      </c>
      <c r="L1287" s="32">
        <f>$J1287*($G1287-$G1286)*60*24</f>
        <v>5.4700946666666472E-3</v>
      </c>
    </row>
    <row r="1288" spans="1:12">
      <c r="A1288" s="22">
        <v>40311.507638888892</v>
      </c>
      <c r="E1288" s="26">
        <v>15.043308</v>
      </c>
      <c r="G1288" s="27">
        <v>0.50763888888888886</v>
      </c>
      <c r="J1288" s="30">
        <f>IF(G1288&lt;$H$10,$H$16,IF(G1288&gt;$I$10,$H$16,$H$11))*E1288/600</f>
        <v>5.5158795999999998E-3</v>
      </c>
      <c r="L1288" s="32">
        <f>$J1288*($G1288-$G1287)*60*24</f>
        <v>5.5158795999999798E-3</v>
      </c>
    </row>
    <row r="1289" spans="1:12">
      <c r="A1289" s="22">
        <v>40311.508333333331</v>
      </c>
      <c r="E1289" s="26">
        <v>14.990732</v>
      </c>
      <c r="G1289" s="27">
        <v>0.5083333333333333</v>
      </c>
      <c r="J1289" s="30">
        <f>IF(G1289&lt;$H$10,$H$16,IF(G1289&gt;$I$10,$H$16,$H$11))*E1289/600</f>
        <v>5.4966017333333336E-3</v>
      </c>
      <c r="L1289" s="32">
        <f>$J1289*($G1289-$G1288)*60*24</f>
        <v>5.4966017333333136E-3</v>
      </c>
    </row>
    <row r="1290" spans="1:12">
      <c r="A1290" s="22">
        <v>40311.509027777778</v>
      </c>
      <c r="E1290" s="26">
        <v>43.3125</v>
      </c>
      <c r="G1290" s="27">
        <v>0.50902777777777775</v>
      </c>
      <c r="J1290" s="30">
        <f>IF(G1290&lt;$H$10,$H$16,IF(G1290&gt;$I$10,$H$16,$H$11))*E1290/600</f>
        <v>1.588125E-2</v>
      </c>
      <c r="L1290" s="32">
        <f>$J1290*($G1290-$G1289)*60*24</f>
        <v>1.5881249999999944E-2</v>
      </c>
    </row>
    <row r="1291" spans="1:12">
      <c r="A1291" s="22">
        <v>40311.509722222225</v>
      </c>
      <c r="E1291" s="26">
        <v>172.422</v>
      </c>
      <c r="G1291" s="27">
        <v>0.50972222222222219</v>
      </c>
      <c r="J1291" s="30">
        <f>IF(G1291&lt;$H$10,$H$16,IF(G1291&gt;$I$10,$H$16,$H$11))*E1291/600</f>
        <v>6.3221399999999997E-2</v>
      </c>
      <c r="L1291" s="32">
        <f>$J1291*($G1291-$G1290)*60*24</f>
        <v>6.3221399999999775E-2</v>
      </c>
    </row>
    <row r="1292" spans="1:12">
      <c r="A1292" s="22">
        <v>40311.510416666664</v>
      </c>
      <c r="E1292" s="26">
        <v>161.51216400000001</v>
      </c>
      <c r="G1292" s="27">
        <v>0.51041666666666663</v>
      </c>
      <c r="J1292" s="30">
        <f>IF(G1292&lt;$H$10,$H$16,IF(G1292&gt;$I$10,$H$16,$H$11))*E1292/600</f>
        <v>5.9221126800000003E-2</v>
      </c>
      <c r="L1292" s="32">
        <f>$J1292*($G1292-$G1291)*60*24</f>
        <v>5.9221126799999801E-2</v>
      </c>
    </row>
    <row r="1293" spans="1:12">
      <c r="A1293" s="22">
        <v>40311.511111111111</v>
      </c>
      <c r="E1293" s="26">
        <v>165.44985600000001</v>
      </c>
      <c r="G1293" s="27">
        <v>0.51111111111111118</v>
      </c>
      <c r="J1293" s="30">
        <f>IF(G1293&lt;$H$10,$H$16,IF(G1293&gt;$I$10,$H$16,$H$11))*E1293/600</f>
        <v>6.06649472E-2</v>
      </c>
      <c r="L1293" s="32">
        <f>$J1293*($G1293-$G1292)*60*24</f>
        <v>6.0664947200009478E-2</v>
      </c>
    </row>
    <row r="1294" spans="1:12">
      <c r="A1294" s="22">
        <v>40311.511805555558</v>
      </c>
      <c r="E1294" s="26">
        <v>172.72677999999999</v>
      </c>
      <c r="G1294" s="27">
        <v>0.51180555555555551</v>
      </c>
      <c r="J1294" s="30">
        <f>IF(G1294&lt;$H$10,$H$16,IF(G1294&gt;$I$10,$H$16,$H$11))*E1294/600</f>
        <v>6.333315266666667E-2</v>
      </c>
      <c r="L1294" s="32">
        <f>$J1294*($G1294-$G1293)*60*24</f>
        <v>6.3333152666656317E-2</v>
      </c>
    </row>
    <row r="1295" spans="1:12">
      <c r="A1295" s="22">
        <v>40311.512499999997</v>
      </c>
      <c r="E1295" s="26">
        <v>156.61245600000001</v>
      </c>
      <c r="G1295" s="27">
        <v>0.51250000000000007</v>
      </c>
      <c r="J1295" s="30">
        <f>IF(G1295&lt;$H$10,$H$16,IF(G1295&gt;$I$10,$H$16,$H$11))*E1295/600</f>
        <v>5.7424567199999998E-2</v>
      </c>
      <c r="L1295" s="32">
        <f>$J1295*($G1295-$G1294)*60*24</f>
        <v>5.7424567200008977E-2</v>
      </c>
    </row>
    <row r="1296" spans="1:12">
      <c r="A1296" s="22">
        <v>40311.513194444444</v>
      </c>
      <c r="E1296" s="26">
        <v>158.99394000000001</v>
      </c>
      <c r="G1296" s="27">
        <v>0.5131944444444444</v>
      </c>
      <c r="J1296" s="30">
        <f>IF(G1296&lt;$H$10,$H$16,IF(G1296&gt;$I$10,$H$16,$H$11))*E1296/600</f>
        <v>5.8297778000000001E-2</v>
      </c>
      <c r="L1296" s="32">
        <f>$J1296*($G1296-$G1295)*60*24</f>
        <v>5.8297777999990481E-2</v>
      </c>
    </row>
    <row r="1297" spans="1:12">
      <c r="A1297" s="22">
        <v>40311.513888888891</v>
      </c>
      <c r="E1297" s="26">
        <v>162.20262399999999</v>
      </c>
      <c r="G1297" s="27">
        <v>0.51388888888888895</v>
      </c>
      <c r="J1297" s="30">
        <f>IF(G1297&lt;$H$10,$H$16,IF(G1297&gt;$I$10,$H$16,$H$11))*E1297/600</f>
        <v>5.9474295466666667E-2</v>
      </c>
      <c r="L1297" s="32">
        <f>$J1297*($G1297-$G1296)*60*24</f>
        <v>5.9474295466675972E-2</v>
      </c>
    </row>
    <row r="1298" spans="1:12">
      <c r="A1298" s="22">
        <v>40311.51458333333</v>
      </c>
      <c r="E1298" s="26">
        <v>159.902624</v>
      </c>
      <c r="G1298" s="27">
        <v>0.51458333333333328</v>
      </c>
      <c r="J1298" s="30">
        <f>IF(G1298&lt;$H$10,$H$16,IF(G1298&gt;$I$10,$H$16,$H$11))*E1298/600</f>
        <v>5.8630962133333332E-2</v>
      </c>
      <c r="L1298" s="32">
        <f>$J1298*($G1298-$G1297)*60*24</f>
        <v>5.863096213332375E-2</v>
      </c>
    </row>
    <row r="1299" spans="1:12">
      <c r="A1299" s="22">
        <v>40311.515277777777</v>
      </c>
      <c r="E1299" s="26">
        <v>159.196248</v>
      </c>
      <c r="G1299" s="27">
        <v>0.51527777777777783</v>
      </c>
      <c r="J1299" s="30">
        <f>IF(G1299&lt;$H$10,$H$16,IF(G1299&gt;$I$10,$H$16,$H$11))*E1299/600</f>
        <v>5.8371957600000003E-2</v>
      </c>
      <c r="L1299" s="32">
        <f>$J1299*($G1299-$G1298)*60*24</f>
        <v>5.8371957600009128E-2</v>
      </c>
    </row>
    <row r="1300" spans="1:12">
      <c r="A1300" s="22">
        <v>40311.515972222223</v>
      </c>
      <c r="E1300" s="26">
        <v>155.27311800000001</v>
      </c>
      <c r="G1300" s="27">
        <v>0.51597222222222217</v>
      </c>
      <c r="J1300" s="30">
        <f>IF(G1300&lt;$H$10,$H$16,IF(G1300&gt;$I$10,$H$16,$H$11))*E1300/600</f>
        <v>5.6933476600000005E-2</v>
      </c>
      <c r="L1300" s="32">
        <f>$J1300*($G1300-$G1299)*60*24</f>
        <v>5.6933476599990693E-2</v>
      </c>
    </row>
    <row r="1301" spans="1:12">
      <c r="A1301" s="22">
        <v>40311.51666666667</v>
      </c>
      <c r="E1301" s="26">
        <v>159.55145999999999</v>
      </c>
      <c r="G1301" s="27">
        <v>0.51666666666666672</v>
      </c>
      <c r="J1301" s="30">
        <f>IF(G1301&lt;$H$10,$H$16,IF(G1301&gt;$I$10,$H$16,$H$11))*E1301/600</f>
        <v>5.8502202000000003E-2</v>
      </c>
      <c r="L1301" s="32">
        <f>$J1301*($G1301-$G1300)*60*24</f>
        <v>5.8502202000009149E-2</v>
      </c>
    </row>
    <row r="1302" spans="1:12">
      <c r="A1302" s="22">
        <v>40311.517361111109</v>
      </c>
      <c r="E1302" s="26">
        <v>155.86823999999999</v>
      </c>
      <c r="G1302" s="27">
        <v>0.51736111111111105</v>
      </c>
      <c r="J1302" s="30">
        <f>IF(G1302&lt;$H$10,$H$16,IF(G1302&gt;$I$10,$H$16,$H$11))*E1302/600</f>
        <v>5.7151687999999992E-2</v>
      </c>
      <c r="L1302" s="32">
        <f>$J1302*($G1302-$G1301)*60*24</f>
        <v>5.7151687999990652E-2</v>
      </c>
    </row>
    <row r="1303" spans="1:12">
      <c r="A1303" s="22">
        <v>40311.518055555556</v>
      </c>
      <c r="E1303" s="26">
        <v>155.386528</v>
      </c>
      <c r="G1303" s="27">
        <v>0.5180555555555556</v>
      </c>
      <c r="J1303" s="30">
        <f>IF(G1303&lt;$H$10,$H$16,IF(G1303&gt;$I$10,$H$16,$H$11))*E1303/600</f>
        <v>5.6975060266666669E-2</v>
      </c>
      <c r="L1303" s="32">
        <f>$J1303*($G1303-$G1302)*60*24</f>
        <v>5.6975060266675578E-2</v>
      </c>
    </row>
    <row r="1304" spans="1:12">
      <c r="A1304" s="22">
        <v>40311.518750000003</v>
      </c>
      <c r="E1304" s="26">
        <v>153.523188</v>
      </c>
      <c r="G1304" s="27">
        <v>0.51874999999999993</v>
      </c>
      <c r="J1304" s="30">
        <f>IF(G1304&lt;$H$10,$H$16,IF(G1304&gt;$I$10,$H$16,$H$11))*E1304/600</f>
        <v>5.6291835599999999E-2</v>
      </c>
      <c r="L1304" s="32">
        <f>$J1304*($G1304-$G1303)*60*24</f>
        <v>5.6291835599990798E-2</v>
      </c>
    </row>
    <row r="1305" spans="1:12">
      <c r="A1305" s="22">
        <v>40311.519444444442</v>
      </c>
      <c r="E1305" s="26">
        <v>153.61255</v>
      </c>
      <c r="G1305" s="27">
        <v>0.51944444444444449</v>
      </c>
      <c r="J1305" s="30">
        <f>IF(G1305&lt;$H$10,$H$16,IF(G1305&gt;$I$10,$H$16,$H$11))*E1305/600</f>
        <v>5.6324601666666668E-2</v>
      </c>
      <c r="L1305" s="32">
        <f>$J1305*($G1305-$G1304)*60*24</f>
        <v>5.6324601666675481E-2</v>
      </c>
    </row>
    <row r="1306" spans="1:12">
      <c r="A1306" s="22">
        <v>40311.520138888889</v>
      </c>
      <c r="E1306" s="26">
        <v>152.45348300000001</v>
      </c>
      <c r="G1306" s="27">
        <v>0.52013888888888882</v>
      </c>
      <c r="J1306" s="30">
        <f>IF(G1306&lt;$H$10,$H$16,IF(G1306&gt;$I$10,$H$16,$H$11))*E1306/600</f>
        <v>5.5899610433333337E-2</v>
      </c>
      <c r="L1306" s="32">
        <f>$J1306*($G1306-$G1305)*60*24</f>
        <v>5.5899610433324198E-2</v>
      </c>
    </row>
    <row r="1307" spans="1:12">
      <c r="A1307" s="22">
        <v>40311.520833333336</v>
      </c>
      <c r="E1307" s="26">
        <v>152.683167</v>
      </c>
      <c r="G1307" s="27">
        <v>0.52083333333333337</v>
      </c>
      <c r="J1307" s="30">
        <f>IF(G1307&lt;$H$10,$H$16,IF(G1307&gt;$I$10,$H$16,$H$11))*E1307/600</f>
        <v>5.5983827899999998E-2</v>
      </c>
      <c r="L1307" s="32">
        <f>$J1307*($G1307-$G1306)*60*24</f>
        <v>5.5983827900008748E-2</v>
      </c>
    </row>
    <row r="1308" spans="1:12">
      <c r="A1308" s="22">
        <v>40311.521527777775</v>
      </c>
      <c r="E1308" s="26">
        <v>166.575108</v>
      </c>
      <c r="G1308" s="27">
        <v>0.52152777777777781</v>
      </c>
      <c r="J1308" s="30">
        <f>IF(G1308&lt;$H$10,$H$16,IF(G1308&gt;$I$10,$H$16,$H$11))*E1308/600</f>
        <v>6.1077539600000001E-2</v>
      </c>
      <c r="L1308" s="32">
        <f>$J1308*($G1308-$G1307)*60*24</f>
        <v>6.1077539599999786E-2</v>
      </c>
    </row>
    <row r="1309" spans="1:12">
      <c r="A1309" s="22">
        <v>40311.522222222222</v>
      </c>
      <c r="E1309" s="26">
        <v>176.262156</v>
      </c>
      <c r="G1309" s="27">
        <v>0.52222222222222225</v>
      </c>
      <c r="J1309" s="30">
        <f>IF(G1309&lt;$H$10,$H$16,IF(G1309&gt;$I$10,$H$16,$H$11))*E1309/600</f>
        <v>6.4629457200000004E-2</v>
      </c>
      <c r="L1309" s="32">
        <f>$J1309*($G1309-$G1308)*60*24</f>
        <v>6.4629457199999768E-2</v>
      </c>
    </row>
    <row r="1310" spans="1:12">
      <c r="A1310" s="22">
        <v>40311.522916666669</v>
      </c>
      <c r="E1310" s="26">
        <v>164.73382000000001</v>
      </c>
      <c r="G1310" s="27">
        <v>0.5229166666666667</v>
      </c>
      <c r="J1310" s="30">
        <f>IF(G1310&lt;$H$10,$H$16,IF(G1310&gt;$I$10,$H$16,$H$11))*E1310/600</f>
        <v>6.0402400666666668E-2</v>
      </c>
      <c r="L1310" s="32">
        <f>$J1310*($G1310-$G1309)*60*24</f>
        <v>6.0402400666666453E-2</v>
      </c>
    </row>
    <row r="1311" spans="1:12">
      <c r="A1311" s="22">
        <v>40311.523611111108</v>
      </c>
      <c r="E1311" s="26">
        <v>152.75787800000001</v>
      </c>
      <c r="G1311" s="27">
        <v>0.52361111111111114</v>
      </c>
      <c r="J1311" s="30">
        <f>IF(G1311&lt;$H$10,$H$16,IF(G1311&gt;$I$10,$H$16,$H$11))*E1311/600</f>
        <v>5.6011221933333341E-2</v>
      </c>
      <c r="L1311" s="32">
        <f>$J1311*($G1311-$G1310)*60*24</f>
        <v>5.601122193333314E-2</v>
      </c>
    </row>
    <row r="1312" spans="1:12">
      <c r="A1312" s="22">
        <v>40311.524305555555</v>
      </c>
      <c r="E1312" s="26">
        <v>152.851608</v>
      </c>
      <c r="G1312" s="27">
        <v>0.52430555555555558</v>
      </c>
      <c r="J1312" s="30">
        <f>IF(G1312&lt;$H$10,$H$16,IF(G1312&gt;$I$10,$H$16,$H$11))*E1312/600</f>
        <v>5.6045589599999994E-2</v>
      </c>
      <c r="L1312" s="32">
        <f>$J1312*($G1312-$G1311)*60*24</f>
        <v>5.60455895999998E-2</v>
      </c>
    </row>
    <row r="1313" spans="1:12">
      <c r="A1313" s="22">
        <v>40311.525000000001</v>
      </c>
      <c r="E1313" s="26">
        <v>152.50289599999999</v>
      </c>
      <c r="G1313" s="27">
        <v>0.52500000000000002</v>
      </c>
      <c r="J1313" s="30">
        <f>IF(G1313&lt;$H$10,$H$16,IF(G1313&gt;$I$10,$H$16,$H$11))*E1313/600</f>
        <v>5.5917728533333329E-2</v>
      </c>
      <c r="L1313" s="32">
        <f>$J1313*($G1313-$G1312)*60*24</f>
        <v>5.5917728533333128E-2</v>
      </c>
    </row>
    <row r="1314" spans="1:12">
      <c r="A1314" s="22">
        <v>40311.525694444441</v>
      </c>
      <c r="E1314" s="26">
        <v>152.39961099999999</v>
      </c>
      <c r="G1314" s="27">
        <v>0.52569444444444446</v>
      </c>
      <c r="J1314" s="30">
        <f>IF(G1314&lt;$H$10,$H$16,IF(G1314&gt;$I$10,$H$16,$H$11))*E1314/600</f>
        <v>5.5879857366666667E-2</v>
      </c>
      <c r="L1314" s="32">
        <f>$J1314*($G1314-$G1313)*60*24</f>
        <v>5.5879857366666466E-2</v>
      </c>
    </row>
    <row r="1315" spans="1:12">
      <c r="A1315" s="22">
        <v>40311.526388888888</v>
      </c>
      <c r="E1315" s="26">
        <v>152.04088899999999</v>
      </c>
      <c r="G1315" s="27">
        <v>0.52638888888888891</v>
      </c>
      <c r="J1315" s="30">
        <f>IF(G1315&lt;$H$10,$H$16,IF(G1315&gt;$I$10,$H$16,$H$11))*E1315/600</f>
        <v>5.5748325966666672E-2</v>
      </c>
      <c r="L1315" s="32">
        <f>$J1315*($G1315-$G1314)*60*24</f>
        <v>5.574832596666647E-2</v>
      </c>
    </row>
    <row r="1316" spans="1:12">
      <c r="A1316" s="22">
        <v>40311.527083333334</v>
      </c>
      <c r="E1316" s="26">
        <v>151.906755</v>
      </c>
      <c r="G1316" s="27">
        <v>0.52708333333333335</v>
      </c>
      <c r="J1316" s="30">
        <f>IF(G1316&lt;$H$10,$H$16,IF(G1316&gt;$I$10,$H$16,$H$11))*E1316/600</f>
        <v>5.5699143499999999E-2</v>
      </c>
      <c r="L1316" s="32">
        <f>$J1316*($G1316-$G1315)*60*24</f>
        <v>5.5699143499999798E-2</v>
      </c>
    </row>
    <row r="1317" spans="1:12">
      <c r="A1317" s="22">
        <v>40311.527777777781</v>
      </c>
      <c r="E1317" s="26">
        <v>161.77969999999999</v>
      </c>
      <c r="G1317" s="27">
        <v>0.52777777777777779</v>
      </c>
      <c r="J1317" s="30">
        <f>IF(G1317&lt;$H$10,$H$16,IF(G1317&gt;$I$10,$H$16,$H$11))*E1317/600</f>
        <v>5.9319223333333324E-2</v>
      </c>
      <c r="L1317" s="32">
        <f>$J1317*($G1317-$G1316)*60*24</f>
        <v>5.9319223333333101E-2</v>
      </c>
    </row>
    <row r="1318" spans="1:12">
      <c r="A1318" s="22">
        <v>40311.52847222222</v>
      </c>
      <c r="E1318" s="26">
        <v>178.569579</v>
      </c>
      <c r="G1318" s="27">
        <v>0.52847222222222223</v>
      </c>
      <c r="J1318" s="30">
        <f>IF(G1318&lt;$H$10,$H$16,IF(G1318&gt;$I$10,$H$16,$H$11))*E1318/600</f>
        <v>6.5475512299999997E-2</v>
      </c>
      <c r="L1318" s="32">
        <f>$J1318*($G1318-$G1317)*60*24</f>
        <v>6.5475512299999761E-2</v>
      </c>
    </row>
    <row r="1319" spans="1:12">
      <c r="A1319" s="22">
        <v>40311.529166666667</v>
      </c>
      <c r="E1319" s="26">
        <v>177.238935</v>
      </c>
      <c r="G1319" s="27">
        <v>0.52916666666666667</v>
      </c>
      <c r="J1319" s="30">
        <f>IF(G1319&lt;$H$10,$H$16,IF(G1319&gt;$I$10,$H$16,$H$11))*E1319/600</f>
        <v>6.4987609500000001E-2</v>
      </c>
      <c r="L1319" s="32">
        <f>$J1319*($G1319-$G1318)*60*24</f>
        <v>6.4987609499999766E-2</v>
      </c>
    </row>
    <row r="1320" spans="1:12">
      <c r="A1320" s="22">
        <v>40311.529861111114</v>
      </c>
      <c r="E1320" s="26">
        <v>176.5977</v>
      </c>
      <c r="G1320" s="27">
        <v>0.52986111111111112</v>
      </c>
      <c r="J1320" s="30">
        <f>IF(G1320&lt;$H$10,$H$16,IF(G1320&gt;$I$10,$H$16,$H$11))*E1320/600</f>
        <v>6.475249000000001E-2</v>
      </c>
      <c r="L1320" s="32">
        <f>$J1320*($G1320-$G1319)*60*24</f>
        <v>6.4752489999999774E-2</v>
      </c>
    </row>
    <row r="1321" spans="1:12">
      <c r="A1321" s="22">
        <v>40311.530555555553</v>
      </c>
      <c r="E1321" s="26">
        <v>177.190482</v>
      </c>
      <c r="G1321" s="27">
        <v>0.53055555555555556</v>
      </c>
      <c r="J1321" s="30">
        <f>IF(G1321&lt;$H$10,$H$16,IF(G1321&gt;$I$10,$H$16,$H$11))*E1321/600</f>
        <v>6.4969843399999991E-2</v>
      </c>
      <c r="L1321" s="32">
        <f>$J1321*($G1321-$G1320)*60*24</f>
        <v>6.4969843399999755E-2</v>
      </c>
    </row>
    <row r="1322" spans="1:12">
      <c r="A1322" s="22">
        <v>40311.53125</v>
      </c>
      <c r="E1322" s="26">
        <v>177.77628899999999</v>
      </c>
      <c r="G1322" s="27">
        <v>0.53125</v>
      </c>
      <c r="J1322" s="30">
        <f>IF(G1322&lt;$H$10,$H$16,IF(G1322&gt;$I$10,$H$16,$H$11))*E1322/600</f>
        <v>6.51846393E-2</v>
      </c>
      <c r="L1322" s="32">
        <f>$J1322*($G1322-$G1321)*60*24</f>
        <v>6.5184639299999778E-2</v>
      </c>
    </row>
    <row r="1323" spans="1:12">
      <c r="A1323" s="22">
        <v>40311.531944444447</v>
      </c>
      <c r="E1323" s="26">
        <v>178.25979599999999</v>
      </c>
      <c r="G1323" s="27">
        <v>0.53194444444444444</v>
      </c>
      <c r="J1323" s="30">
        <f>IF(G1323&lt;$H$10,$H$16,IF(G1323&gt;$I$10,$H$16,$H$11))*E1323/600</f>
        <v>6.5361925200000004E-2</v>
      </c>
      <c r="L1323" s="32">
        <f>$J1323*($G1323-$G1322)*60*24</f>
        <v>6.5361925199999768E-2</v>
      </c>
    </row>
    <row r="1324" spans="1:12">
      <c r="A1324" s="22">
        <v>40311.532638888886</v>
      </c>
      <c r="E1324" s="26">
        <v>178.03548000000001</v>
      </c>
      <c r="G1324" s="27">
        <v>0.53263888888888888</v>
      </c>
      <c r="J1324" s="30">
        <f>IF(G1324&lt;$H$10,$H$16,IF(G1324&gt;$I$10,$H$16,$H$11))*E1324/600</f>
        <v>6.5279676000000009E-2</v>
      </c>
      <c r="L1324" s="32">
        <f>$J1324*($G1324-$G1323)*60*24</f>
        <v>6.5279675999999787E-2</v>
      </c>
    </row>
    <row r="1325" spans="1:12">
      <c r="A1325" s="22">
        <v>40311.533333333333</v>
      </c>
      <c r="E1325" s="26">
        <v>178.41575700000001</v>
      </c>
      <c r="G1325" s="27">
        <v>0.53333333333333333</v>
      </c>
      <c r="J1325" s="30">
        <f>IF(G1325&lt;$H$10,$H$16,IF(G1325&gt;$I$10,$H$16,$H$11))*E1325/600</f>
        <v>6.5419110900000008E-2</v>
      </c>
      <c r="L1325" s="32">
        <f>$J1325*($G1325-$G1324)*60*24</f>
        <v>6.5419110899999772E-2</v>
      </c>
    </row>
    <row r="1326" spans="1:12">
      <c r="A1326" s="22">
        <v>40311.53402777778</v>
      </c>
      <c r="E1326" s="26">
        <v>179.37709799999999</v>
      </c>
      <c r="G1326" s="27">
        <v>0.53402777777777777</v>
      </c>
      <c r="J1326" s="30">
        <f>IF(G1326&lt;$H$10,$H$16,IF(G1326&gt;$I$10,$H$16,$H$11))*E1326/600</f>
        <v>6.5771602599999993E-2</v>
      </c>
      <c r="L1326" s="32">
        <f>$J1326*($G1326-$G1325)*60*24</f>
        <v>6.5771602599999757E-2</v>
      </c>
    </row>
    <row r="1327" spans="1:12">
      <c r="A1327" s="22">
        <v>40311.534722222219</v>
      </c>
      <c r="E1327" s="26">
        <v>179.055712</v>
      </c>
      <c r="G1327" s="27">
        <v>0.53472222222222221</v>
      </c>
      <c r="J1327" s="30">
        <f>IF(G1327&lt;$H$10,$H$16,IF(G1327&gt;$I$10,$H$16,$H$11))*E1327/600</f>
        <v>6.5653761066666663E-2</v>
      </c>
      <c r="L1327" s="32">
        <f>$J1327*($G1327-$G1326)*60*24</f>
        <v>6.5653761066666427E-2</v>
      </c>
    </row>
    <row r="1328" spans="1:12">
      <c r="A1328" s="22">
        <v>40311.535416666666</v>
      </c>
      <c r="E1328" s="26">
        <v>178.48061999999999</v>
      </c>
      <c r="G1328" s="27">
        <v>0.53541666666666665</v>
      </c>
      <c r="J1328" s="30">
        <f>IF(G1328&lt;$H$10,$H$16,IF(G1328&gt;$I$10,$H$16,$H$11))*E1328/600</f>
        <v>6.5442893999999988E-2</v>
      </c>
      <c r="L1328" s="32">
        <f>$J1328*($G1328-$G1327)*60*24</f>
        <v>6.5442893999999752E-2</v>
      </c>
    </row>
    <row r="1329" spans="1:12">
      <c r="A1329" s="22">
        <v>40311.536111111112</v>
      </c>
      <c r="E1329" s="26">
        <v>179.55175</v>
      </c>
      <c r="G1329" s="27">
        <v>0.53611111111111109</v>
      </c>
      <c r="J1329" s="30">
        <f>IF(G1329&lt;$H$10,$H$16,IF(G1329&gt;$I$10,$H$16,$H$11))*E1329/600</f>
        <v>6.5835641666666667E-2</v>
      </c>
      <c r="L1329" s="32">
        <f>$J1329*($G1329-$G1328)*60*24</f>
        <v>6.5835641666666431E-2</v>
      </c>
    </row>
    <row r="1330" spans="1:12">
      <c r="A1330" s="22">
        <v>40311.536805555559</v>
      </c>
      <c r="E1330" s="26">
        <v>177.68245200000001</v>
      </c>
      <c r="G1330" s="27">
        <v>0.53680555555555554</v>
      </c>
      <c r="J1330" s="30">
        <f>IF(G1330&lt;$H$10,$H$16,IF(G1330&gt;$I$10,$H$16,$H$11))*E1330/600</f>
        <v>6.5150232400000008E-2</v>
      </c>
      <c r="L1330" s="32">
        <f>$J1330*($G1330-$G1329)*60*24</f>
        <v>6.5150232399999772E-2</v>
      </c>
    </row>
    <row r="1331" spans="1:12">
      <c r="A1331" s="22">
        <v>40311.537499999999</v>
      </c>
      <c r="E1331" s="26">
        <v>176.60569799999999</v>
      </c>
      <c r="G1331" s="27">
        <v>0.53749999999999998</v>
      </c>
      <c r="J1331" s="30">
        <f>IF(G1331&lt;$H$10,$H$16,IF(G1331&gt;$I$10,$H$16,$H$11))*E1331/600</f>
        <v>6.4755422600000001E-2</v>
      </c>
      <c r="L1331" s="32">
        <f>$J1331*($G1331-$G1330)*60*24</f>
        <v>6.4755422599999765E-2</v>
      </c>
    </row>
    <row r="1332" spans="1:12">
      <c r="A1332" s="22">
        <v>40311.538194444445</v>
      </c>
      <c r="E1332" s="26">
        <v>177.38206199999999</v>
      </c>
      <c r="G1332" s="27">
        <v>0.53819444444444442</v>
      </c>
      <c r="J1332" s="30">
        <f>IF(G1332&lt;$H$10,$H$16,IF(G1332&gt;$I$10,$H$16,$H$11))*E1332/600</f>
        <v>6.5040089400000001E-2</v>
      </c>
      <c r="L1332" s="32">
        <f>$J1332*($G1332-$G1331)*60*24</f>
        <v>6.5040089399999779E-2</v>
      </c>
    </row>
    <row r="1333" spans="1:12">
      <c r="A1333" s="22">
        <v>40311.538888888892</v>
      </c>
      <c r="E1333" s="26">
        <v>177.556995</v>
      </c>
      <c r="G1333" s="27">
        <v>0.53888888888888886</v>
      </c>
      <c r="J1333" s="30">
        <f>IF(G1333&lt;$H$10,$H$16,IF(G1333&gt;$I$10,$H$16,$H$11))*E1333/600</f>
        <v>6.5104231499999998E-2</v>
      </c>
      <c r="L1333" s="32">
        <f>$J1333*($G1333-$G1332)*60*24</f>
        <v>6.5104231499999776E-2</v>
      </c>
    </row>
    <row r="1334" spans="1:12">
      <c r="A1334" s="22">
        <v>40311.539583333331</v>
      </c>
      <c r="E1334" s="26">
        <v>177.190482</v>
      </c>
      <c r="G1334" s="27">
        <v>0.5395833333333333</v>
      </c>
      <c r="J1334" s="30">
        <f>IF(G1334&lt;$H$10,$H$16,IF(G1334&gt;$I$10,$H$16,$H$11))*E1334/600</f>
        <v>6.4969843399999991E-2</v>
      </c>
      <c r="L1334" s="32">
        <f>$J1334*($G1334-$G1333)*60*24</f>
        <v>6.4969843399999755E-2</v>
      </c>
    </row>
    <row r="1335" spans="1:12">
      <c r="A1335" s="22">
        <v>40311.540277777778</v>
      </c>
      <c r="E1335" s="26">
        <v>175.88718</v>
      </c>
      <c r="G1335" s="27">
        <v>0.54027777777777775</v>
      </c>
      <c r="J1335" s="30">
        <f>IF(G1335&lt;$H$10,$H$16,IF(G1335&gt;$I$10,$H$16,$H$11))*E1335/600</f>
        <v>6.4491966000000012E-2</v>
      </c>
      <c r="L1335" s="32">
        <f>$J1335*($G1335-$G1334)*60*24</f>
        <v>6.4491965999999776E-2</v>
      </c>
    </row>
    <row r="1336" spans="1:12">
      <c r="A1336" s="22">
        <v>40311.540972222225</v>
      </c>
      <c r="E1336" s="26">
        <v>176.34474</v>
      </c>
      <c r="G1336" s="27">
        <v>0.54097222222222219</v>
      </c>
      <c r="J1336" s="30">
        <f>IF(G1336&lt;$H$10,$H$16,IF(G1336&gt;$I$10,$H$16,$H$11))*E1336/600</f>
        <v>6.4659738000000008E-2</v>
      </c>
      <c r="L1336" s="32">
        <f>$J1336*($G1336-$G1335)*60*24</f>
        <v>6.4659737999999772E-2</v>
      </c>
    </row>
    <row r="1337" spans="1:12">
      <c r="A1337" s="22">
        <v>40311.541666666664</v>
      </c>
      <c r="E1337" s="26">
        <v>171.604251</v>
      </c>
      <c r="G1337" s="27">
        <v>0.54166666666666663</v>
      </c>
      <c r="J1337" s="30">
        <f>IF(G1337&lt;$H$10,$H$16,IF(G1337&gt;$I$10,$H$16,$H$11))*E1337/600</f>
        <v>6.2921558700000005E-2</v>
      </c>
      <c r="L1337" s="32">
        <f>$J1337*($G1337-$G1336)*60*24</f>
        <v>6.2921558699999783E-2</v>
      </c>
    </row>
    <row r="1338" spans="1:12">
      <c r="A1338" s="22">
        <v>40311.542361111111</v>
      </c>
      <c r="E1338" s="26">
        <v>158.997252</v>
      </c>
      <c r="G1338" s="27">
        <v>0.54236111111111118</v>
      </c>
      <c r="J1338" s="30">
        <f>IF(G1338&lt;$H$10,$H$16,IF(G1338&gt;$I$10,$H$16,$H$11))*E1338/600</f>
        <v>5.8298992399999999E-2</v>
      </c>
      <c r="L1338" s="32">
        <f>$J1338*($G1338-$G1337)*60*24</f>
        <v>5.829899240000911E-2</v>
      </c>
    </row>
    <row r="1339" spans="1:12">
      <c r="A1339" s="22">
        <v>40311.543055555558</v>
      </c>
      <c r="E1339" s="26">
        <v>154.92540700000001</v>
      </c>
      <c r="G1339" s="27">
        <v>0.54305555555555551</v>
      </c>
      <c r="J1339" s="30">
        <f>IF(G1339&lt;$H$10,$H$16,IF(G1339&gt;$I$10,$H$16,$H$11))*E1339/600</f>
        <v>5.6805982566666663E-2</v>
      </c>
      <c r="L1339" s="32">
        <f>$J1339*($G1339-$G1338)*60*24</f>
        <v>5.6805982566657372E-2</v>
      </c>
    </row>
    <row r="1340" spans="1:12">
      <c r="A1340" s="22">
        <v>40311.543749999997</v>
      </c>
      <c r="E1340" s="26">
        <v>152.25173599999999</v>
      </c>
      <c r="G1340" s="27">
        <v>0.54375000000000007</v>
      </c>
      <c r="J1340" s="30">
        <f>IF(G1340&lt;$H$10,$H$16,IF(G1340&gt;$I$10,$H$16,$H$11))*E1340/600</f>
        <v>5.5825636533333334E-2</v>
      </c>
      <c r="L1340" s="32">
        <f>$J1340*($G1340-$G1339)*60*24</f>
        <v>5.5825636533342063E-2</v>
      </c>
    </row>
    <row r="1341" spans="1:12">
      <c r="A1341" s="22">
        <v>40311.544444444444</v>
      </c>
      <c r="E1341" s="26">
        <v>151.72357199999999</v>
      </c>
      <c r="G1341" s="27">
        <v>0.5444444444444444</v>
      </c>
      <c r="J1341" s="30">
        <f>IF(G1341&lt;$H$10,$H$16,IF(G1341&gt;$I$10,$H$16,$H$11))*E1341/600</f>
        <v>5.5631976399999998E-2</v>
      </c>
      <c r="L1341" s="32">
        <f>$J1341*($G1341-$G1340)*60*24</f>
        <v>5.5631976399990915E-2</v>
      </c>
    </row>
    <row r="1342" spans="1:12">
      <c r="A1342" s="22">
        <v>40311.545138888891</v>
      </c>
      <c r="E1342" s="26">
        <v>152.26720599999999</v>
      </c>
      <c r="G1342" s="27">
        <v>0.54513888888888895</v>
      </c>
      <c r="J1342" s="30">
        <f>IF(G1342&lt;$H$10,$H$16,IF(G1342&gt;$I$10,$H$16,$H$11))*E1342/600</f>
        <v>5.5831308866666658E-2</v>
      </c>
      <c r="L1342" s="32">
        <f>$J1342*($G1342-$G1341)*60*24</f>
        <v>5.583130886667538E-2</v>
      </c>
    </row>
    <row r="1343" spans="1:12">
      <c r="A1343" s="22">
        <v>40311.54583333333</v>
      </c>
      <c r="E1343" s="26">
        <v>151.58962</v>
      </c>
      <c r="G1343" s="27">
        <v>0.54583333333333328</v>
      </c>
      <c r="J1343" s="30">
        <f>IF(G1343&lt;$H$10,$H$16,IF(G1343&gt;$I$10,$H$16,$H$11))*E1343/600</f>
        <v>5.5582860666666664E-2</v>
      </c>
      <c r="L1343" s="32">
        <f>$J1343*($G1343-$G1342)*60*24</f>
        <v>5.5582860666657574E-2</v>
      </c>
    </row>
    <row r="1344" spans="1:12">
      <c r="A1344" s="22">
        <v>40311.546527777777</v>
      </c>
      <c r="E1344" s="26">
        <v>151.928595</v>
      </c>
      <c r="G1344" s="27">
        <v>0.54652777777777783</v>
      </c>
      <c r="J1344" s="30">
        <f>IF(G1344&lt;$H$10,$H$16,IF(G1344&gt;$I$10,$H$16,$H$11))*E1344/600</f>
        <v>5.5707151500000003E-2</v>
      </c>
      <c r="L1344" s="32">
        <f>$J1344*($G1344-$G1343)*60*24</f>
        <v>5.5707151500008711E-2</v>
      </c>
    </row>
    <row r="1345" spans="1:12">
      <c r="A1345" s="22">
        <v>40311.547222222223</v>
      </c>
      <c r="E1345" s="26">
        <v>152.22352599999999</v>
      </c>
      <c r="G1345" s="27">
        <v>0.54722222222222217</v>
      </c>
      <c r="J1345" s="30">
        <f>IF(G1345&lt;$H$10,$H$16,IF(G1345&gt;$I$10,$H$16,$H$11))*E1345/600</f>
        <v>5.5815292866666665E-2</v>
      </c>
      <c r="L1345" s="32">
        <f>$J1345*($G1345-$G1344)*60*24</f>
        <v>5.581529286665754E-2</v>
      </c>
    </row>
    <row r="1346" spans="1:12">
      <c r="A1346" s="22">
        <v>40311.54791666667</v>
      </c>
      <c r="E1346" s="26">
        <v>152.14954299999999</v>
      </c>
      <c r="G1346" s="27">
        <v>0.54791666666666672</v>
      </c>
      <c r="J1346" s="30">
        <f>IF(G1346&lt;$H$10,$H$16,IF(G1346&gt;$I$10,$H$16,$H$11))*E1346/600</f>
        <v>5.5788165766666668E-2</v>
      </c>
      <c r="L1346" s="32">
        <f>$J1346*($G1346-$G1345)*60*24</f>
        <v>5.5788165766675391E-2</v>
      </c>
    </row>
    <row r="1347" spans="1:12">
      <c r="A1347" s="22">
        <v>40311.548611111109</v>
      </c>
      <c r="E1347" s="26">
        <v>151.949434</v>
      </c>
      <c r="G1347" s="27">
        <v>0.54861111111111105</v>
      </c>
      <c r="J1347" s="30">
        <f>IF(G1347&lt;$H$10,$H$16,IF(G1347&gt;$I$10,$H$16,$H$11))*E1347/600</f>
        <v>5.571479246666667E-2</v>
      </c>
      <c r="L1347" s="32">
        <f>$J1347*($G1347-$G1346)*60*24</f>
        <v>5.5714792466657559E-2</v>
      </c>
    </row>
    <row r="1348" spans="1:12">
      <c r="A1348" s="22">
        <v>40311.549305555556</v>
      </c>
      <c r="E1348" s="26">
        <v>156.62420399999999</v>
      </c>
      <c r="G1348" s="27">
        <v>0.5493055555555556</v>
      </c>
      <c r="J1348" s="30">
        <f>IF(G1348&lt;$H$10,$H$16,IF(G1348&gt;$I$10,$H$16,$H$11))*E1348/600</f>
        <v>5.7428874800000002E-2</v>
      </c>
      <c r="L1348" s="32">
        <f>$J1348*($G1348-$G1347)*60*24</f>
        <v>5.742887480000898E-2</v>
      </c>
    </row>
    <row r="1349" spans="1:12">
      <c r="A1349" s="22">
        <v>40311.550000000003</v>
      </c>
      <c r="E1349" s="26">
        <v>151.51199700000001</v>
      </c>
      <c r="G1349" s="27">
        <v>0.54999999999999993</v>
      </c>
      <c r="J1349" s="30">
        <f>IF(G1349&lt;$H$10,$H$16,IF(G1349&gt;$I$10,$H$16,$H$11))*E1349/600</f>
        <v>5.5554398900000003E-2</v>
      </c>
      <c r="L1349" s="32">
        <f>$J1349*($G1349-$G1348)*60*24</f>
        <v>5.555439889999092E-2</v>
      </c>
    </row>
    <row r="1350" spans="1:12">
      <c r="A1350" s="22">
        <v>40311.550694444442</v>
      </c>
      <c r="E1350" s="26">
        <v>151.641672</v>
      </c>
      <c r="G1350" s="27">
        <v>0.55069444444444449</v>
      </c>
      <c r="J1350" s="30">
        <f>IF(G1350&lt;$H$10,$H$16,IF(G1350&gt;$I$10,$H$16,$H$11))*E1350/600</f>
        <v>5.5601946399999998E-2</v>
      </c>
      <c r="L1350" s="32">
        <f>$J1350*($G1350-$G1349)*60*24</f>
        <v>5.5601946400008685E-2</v>
      </c>
    </row>
    <row r="1351" spans="1:12">
      <c r="A1351" s="22">
        <v>40311.551388888889</v>
      </c>
      <c r="E1351" s="26">
        <v>154.938672</v>
      </c>
      <c r="G1351" s="27">
        <v>0.55138888888888882</v>
      </c>
      <c r="J1351" s="30">
        <f>IF(G1351&lt;$H$10,$H$16,IF(G1351&gt;$I$10,$H$16,$H$11))*E1351/600</f>
        <v>5.6810846400000004E-2</v>
      </c>
      <c r="L1351" s="32">
        <f>$J1351*($G1351-$G1350)*60*24</f>
        <v>5.6810846399990719E-2</v>
      </c>
    </row>
    <row r="1352" spans="1:12">
      <c r="A1352" s="22">
        <v>40311.552083333336</v>
      </c>
      <c r="E1352" s="26">
        <v>154.15869599999999</v>
      </c>
      <c r="G1352" s="27">
        <v>0.55208333333333337</v>
      </c>
      <c r="J1352" s="30">
        <f>IF(G1352&lt;$H$10,$H$16,IF(G1352&gt;$I$10,$H$16,$H$11))*E1352/600</f>
        <v>5.6524855200000002E-2</v>
      </c>
      <c r="L1352" s="32">
        <f>$J1352*($G1352-$G1351)*60*24</f>
        <v>5.6524855200008835E-2</v>
      </c>
    </row>
    <row r="1353" spans="1:12">
      <c r="A1353" s="22">
        <v>40311.552777777775</v>
      </c>
      <c r="E1353" s="26">
        <v>155.02754400000001</v>
      </c>
      <c r="G1353" s="27">
        <v>0.55277777777777781</v>
      </c>
      <c r="J1353" s="30">
        <f>IF(G1353&lt;$H$10,$H$16,IF(G1353&gt;$I$10,$H$16,$H$11))*E1353/600</f>
        <v>5.6843432800000003E-2</v>
      </c>
      <c r="L1353" s="32">
        <f>$J1353*($G1353-$G1352)*60*24</f>
        <v>5.6843432799999802E-2</v>
      </c>
    </row>
    <row r="1354" spans="1:12">
      <c r="A1354" s="22">
        <v>40311.553472222222</v>
      </c>
      <c r="E1354" s="26">
        <v>155.924544</v>
      </c>
      <c r="G1354" s="27">
        <v>0.55347222222222225</v>
      </c>
      <c r="J1354" s="30">
        <f>IF(G1354&lt;$H$10,$H$16,IF(G1354&gt;$I$10,$H$16,$H$11))*E1354/600</f>
        <v>5.7172332799999996E-2</v>
      </c>
      <c r="L1354" s="32">
        <f>$J1354*($G1354-$G1353)*60*24</f>
        <v>5.7172332799999795E-2</v>
      </c>
    </row>
    <row r="1355" spans="1:12">
      <c r="A1355" s="22">
        <v>40311.554166666669</v>
      </c>
      <c r="E1355" s="26">
        <v>155.86410000000001</v>
      </c>
      <c r="G1355" s="27">
        <v>0.5541666666666667</v>
      </c>
      <c r="J1355" s="30">
        <f>IF(G1355&lt;$H$10,$H$16,IF(G1355&gt;$I$10,$H$16,$H$11))*E1355/600</f>
        <v>5.7150170000000007E-2</v>
      </c>
      <c r="L1355" s="32">
        <f>$J1355*($G1355-$G1354)*60*24</f>
        <v>5.7150169999999799E-2</v>
      </c>
    </row>
    <row r="1356" spans="1:12">
      <c r="A1356" s="22">
        <v>40311.554861111108</v>
      </c>
      <c r="E1356" s="26">
        <v>153.27421200000001</v>
      </c>
      <c r="G1356" s="27">
        <v>0.55486111111111114</v>
      </c>
      <c r="J1356" s="30">
        <f>IF(G1356&lt;$H$10,$H$16,IF(G1356&gt;$I$10,$H$16,$H$11))*E1356/600</f>
        <v>5.6200544400000003E-2</v>
      </c>
      <c r="L1356" s="32">
        <f>$J1356*($G1356-$G1355)*60*24</f>
        <v>5.6200544399999802E-2</v>
      </c>
    </row>
    <row r="1357" spans="1:12">
      <c r="A1357" s="22">
        <v>40311.555555555555</v>
      </c>
      <c r="E1357" s="26">
        <v>153.75407999999999</v>
      </c>
      <c r="G1357" s="27">
        <v>0.55555555555555558</v>
      </c>
      <c r="J1357" s="30">
        <f>IF(G1357&lt;$H$10,$H$16,IF(G1357&gt;$I$10,$H$16,$H$11))*E1357/600</f>
        <v>5.6376495999999998E-2</v>
      </c>
      <c r="L1357" s="32">
        <f>$J1357*($G1357-$G1356)*60*24</f>
        <v>5.6376495999999804E-2</v>
      </c>
    </row>
    <row r="1358" spans="1:12">
      <c r="A1358" s="22">
        <v>40311.556250000001</v>
      </c>
      <c r="E1358" s="26">
        <v>153.76787999999999</v>
      </c>
      <c r="G1358" s="27">
        <v>0.55625000000000002</v>
      </c>
      <c r="J1358" s="30">
        <f>IF(G1358&lt;$H$10,$H$16,IF(G1358&gt;$I$10,$H$16,$H$11))*E1358/600</f>
        <v>5.6381555999999999E-2</v>
      </c>
      <c r="L1358" s="32">
        <f>$J1358*($G1358-$G1357)*60*24</f>
        <v>5.6381555999999791E-2</v>
      </c>
    </row>
    <row r="1359" spans="1:12">
      <c r="A1359" s="22">
        <v>40311.556944444441</v>
      </c>
      <c r="E1359" s="26">
        <v>153.551772</v>
      </c>
      <c r="G1359" s="27">
        <v>0.55694444444444446</v>
      </c>
      <c r="J1359" s="30">
        <f>IF(G1359&lt;$H$10,$H$16,IF(G1359&gt;$I$10,$H$16,$H$11))*E1359/600</f>
        <v>5.6302316400000003E-2</v>
      </c>
      <c r="L1359" s="32">
        <f>$J1359*($G1359-$G1358)*60*24</f>
        <v>5.6302316399999802E-2</v>
      </c>
    </row>
    <row r="1360" spans="1:12">
      <c r="A1360" s="22">
        <v>40311.557638888888</v>
      </c>
      <c r="E1360" s="26">
        <v>153.31800000000001</v>
      </c>
      <c r="G1360" s="27">
        <v>0.55763888888888891</v>
      </c>
      <c r="J1360" s="30">
        <f>IF(G1360&lt;$H$10,$H$16,IF(G1360&gt;$I$10,$H$16,$H$11))*E1360/600</f>
        <v>5.6216600000000012E-2</v>
      </c>
      <c r="L1360" s="32">
        <f>$J1360*($G1360-$G1359)*60*24</f>
        <v>5.6216599999999811E-2</v>
      </c>
    </row>
    <row r="1361" spans="1:12">
      <c r="A1361" s="22">
        <v>40311.558333333334</v>
      </c>
      <c r="E1361" s="26">
        <v>153.5204</v>
      </c>
      <c r="G1361" s="27">
        <v>0.55833333333333335</v>
      </c>
      <c r="J1361" s="30">
        <f>IF(G1361&lt;$H$10,$H$16,IF(G1361&gt;$I$10,$H$16,$H$11))*E1361/600</f>
        <v>5.6290813333333328E-2</v>
      </c>
      <c r="L1361" s="32">
        <f>$J1361*($G1361-$G1360)*60*24</f>
        <v>5.6290813333333134E-2</v>
      </c>
    </row>
    <row r="1362" spans="1:12">
      <c r="A1362" s="22">
        <v>40311.559027777781</v>
      </c>
      <c r="E1362" s="26">
        <v>154.42282800000001</v>
      </c>
      <c r="G1362" s="27">
        <v>0.55902777777777779</v>
      </c>
      <c r="J1362" s="30">
        <f>IF(G1362&lt;$H$10,$H$16,IF(G1362&gt;$I$10,$H$16,$H$11))*E1362/600</f>
        <v>5.6621703599999997E-2</v>
      </c>
      <c r="L1362" s="32">
        <f>$J1362*($G1362-$G1361)*60*24</f>
        <v>5.6621703599999795E-2</v>
      </c>
    </row>
    <row r="1363" spans="1:12">
      <c r="A1363" s="22">
        <v>40311.55972222222</v>
      </c>
      <c r="E1363" s="26">
        <v>153.59814</v>
      </c>
      <c r="G1363" s="27">
        <v>0.55972222222222223</v>
      </c>
      <c r="J1363" s="30">
        <f>IF(G1363&lt;$H$10,$H$16,IF(G1363&gt;$I$10,$H$16,$H$11))*E1363/600</f>
        <v>5.6319318E-2</v>
      </c>
      <c r="L1363" s="32">
        <f>$J1363*($G1363-$G1362)*60*24</f>
        <v>5.6319317999999806E-2</v>
      </c>
    </row>
    <row r="1364" spans="1:12">
      <c r="A1364" s="22">
        <v>40311.560416666667</v>
      </c>
      <c r="E1364" s="26">
        <v>153.52702400000001</v>
      </c>
      <c r="G1364" s="27">
        <v>0.56041666666666667</v>
      </c>
      <c r="J1364" s="30">
        <f>IF(G1364&lt;$H$10,$H$16,IF(G1364&gt;$I$10,$H$16,$H$11))*E1364/600</f>
        <v>5.6293242133333338E-2</v>
      </c>
      <c r="L1364" s="32">
        <f>$J1364*($G1364-$G1363)*60*24</f>
        <v>5.6293242133333136E-2</v>
      </c>
    </row>
    <row r="1365" spans="1:12">
      <c r="A1365" s="22">
        <v>40311.561111111114</v>
      </c>
      <c r="E1365" s="26">
        <v>152.99314799999999</v>
      </c>
      <c r="G1365" s="27">
        <v>0.56111111111111112</v>
      </c>
      <c r="J1365" s="30">
        <f>IF(G1365&lt;$H$10,$H$16,IF(G1365&gt;$I$10,$H$16,$H$11))*E1365/600</f>
        <v>5.6097487599999996E-2</v>
      </c>
      <c r="L1365" s="32">
        <f>$J1365*($G1365-$G1364)*60*24</f>
        <v>5.6097487599999794E-2</v>
      </c>
    </row>
    <row r="1366" spans="1:12">
      <c r="A1366" s="22">
        <v>40311.561805555553</v>
      </c>
      <c r="E1366" s="26">
        <v>150.99628799999999</v>
      </c>
      <c r="G1366" s="27">
        <v>0.56180555555555556</v>
      </c>
      <c r="J1366" s="30">
        <f>IF(G1366&lt;$H$10,$H$16,IF(G1366&gt;$I$10,$H$16,$H$11))*E1366/600</f>
        <v>5.5365305599999991E-2</v>
      </c>
      <c r="L1366" s="32">
        <f>$J1366*($G1366-$G1365)*60*24</f>
        <v>5.536530559999979E-2</v>
      </c>
    </row>
    <row r="1367" spans="1:12">
      <c r="A1367" s="22">
        <v>40311.5625</v>
      </c>
      <c r="E1367" s="26">
        <v>148.81257600000001</v>
      </c>
      <c r="G1367" s="27">
        <v>0.5625</v>
      </c>
      <c r="J1367" s="30">
        <f>IF(G1367&lt;$H$10,$H$16,IF(G1367&gt;$I$10,$H$16,$H$11))*E1367/600</f>
        <v>5.4564611200000002E-2</v>
      </c>
      <c r="L1367" s="32">
        <f>$J1367*($G1367-$G1366)*60*24</f>
        <v>5.4564611199999807E-2</v>
      </c>
    </row>
    <row r="1368" spans="1:12">
      <c r="A1368" s="22">
        <v>40311.563194444447</v>
      </c>
      <c r="E1368" s="26">
        <v>149.22726</v>
      </c>
      <c r="G1368" s="27">
        <v>0.56319444444444444</v>
      </c>
      <c r="J1368" s="30">
        <f>IF(G1368&lt;$H$10,$H$16,IF(G1368&gt;$I$10,$H$16,$H$11))*E1368/600</f>
        <v>5.4716661999999999E-2</v>
      </c>
      <c r="L1368" s="32">
        <f>$J1368*($G1368-$G1367)*60*24</f>
        <v>5.4716661999999805E-2</v>
      </c>
    </row>
    <row r="1369" spans="1:12">
      <c r="A1369" s="22">
        <v>40311.563888888886</v>
      </c>
      <c r="E1369" s="26">
        <v>148.241184</v>
      </c>
      <c r="G1369" s="27">
        <v>0.56388888888888888</v>
      </c>
      <c r="J1369" s="30">
        <f>IF(G1369&lt;$H$10,$H$16,IF(G1369&gt;$I$10,$H$16,$H$11))*E1369/600</f>
        <v>5.43551008E-2</v>
      </c>
      <c r="L1369" s="32">
        <f>$J1369*($G1369-$G1368)*60*24</f>
        <v>5.4355100799999806E-2</v>
      </c>
    </row>
    <row r="1370" spans="1:12">
      <c r="A1370" s="22">
        <v>40311.564583333333</v>
      </c>
      <c r="E1370" s="26">
        <v>148.86143999999999</v>
      </c>
      <c r="G1370" s="27">
        <v>0.56458333333333333</v>
      </c>
      <c r="J1370" s="30">
        <f>IF(G1370&lt;$H$10,$H$16,IF(G1370&gt;$I$10,$H$16,$H$11))*E1370/600</f>
        <v>5.4582527999999991E-2</v>
      </c>
      <c r="L1370" s="32">
        <f>$J1370*($G1370-$G1369)*60*24</f>
        <v>5.4582527999999797E-2</v>
      </c>
    </row>
    <row r="1371" spans="1:12">
      <c r="A1371" s="22">
        <v>40311.56527777778</v>
      </c>
      <c r="E1371" s="26">
        <v>150.211344</v>
      </c>
      <c r="G1371" s="27">
        <v>0.56527777777777777</v>
      </c>
      <c r="J1371" s="30">
        <f>IF(G1371&lt;$H$10,$H$16,IF(G1371&gt;$I$10,$H$16,$H$11))*E1371/600</f>
        <v>5.5077492800000002E-2</v>
      </c>
      <c r="L1371" s="32">
        <f>$J1371*($G1371-$G1370)*60*24</f>
        <v>5.5077492799999808E-2</v>
      </c>
    </row>
    <row r="1372" spans="1:12">
      <c r="A1372" s="22">
        <v>40311.565972222219</v>
      </c>
      <c r="E1372" s="26">
        <v>152.460284</v>
      </c>
      <c r="G1372" s="27">
        <v>0.56597222222222221</v>
      </c>
      <c r="J1372" s="30">
        <f>IF(G1372&lt;$H$10,$H$16,IF(G1372&gt;$I$10,$H$16,$H$11))*E1372/600</f>
        <v>5.5902104133333332E-2</v>
      </c>
      <c r="L1372" s="32">
        <f>$J1372*($G1372-$G1371)*60*24</f>
        <v>5.5902104133333137E-2</v>
      </c>
    </row>
    <row r="1373" spans="1:12">
      <c r="A1373" s="22">
        <v>40311.566666666666</v>
      </c>
      <c r="E1373" s="26">
        <v>151.96044800000001</v>
      </c>
      <c r="G1373" s="27">
        <v>0.56666666666666665</v>
      </c>
      <c r="J1373" s="30">
        <f>IF(G1373&lt;$H$10,$H$16,IF(G1373&gt;$I$10,$H$16,$H$11))*E1373/600</f>
        <v>5.5718830933333338E-2</v>
      </c>
      <c r="L1373" s="32">
        <f>$J1373*($G1373-$G1372)*60*24</f>
        <v>5.571883093333313E-2</v>
      </c>
    </row>
    <row r="1374" spans="1:12">
      <c r="A1374" s="22">
        <v>40311.567361111112</v>
      </c>
      <c r="E1374" s="26">
        <v>152.352552</v>
      </c>
      <c r="G1374" s="27">
        <v>0.56736111111111109</v>
      </c>
      <c r="J1374" s="30">
        <f>IF(G1374&lt;$H$10,$H$16,IF(G1374&gt;$I$10,$H$16,$H$11))*E1374/600</f>
        <v>5.5862602400000003E-2</v>
      </c>
      <c r="L1374" s="32">
        <f>$J1374*($G1374-$G1373)*60*24</f>
        <v>5.5862602399999808E-2</v>
      </c>
    </row>
    <row r="1375" spans="1:12">
      <c r="A1375" s="22">
        <v>40311.568055555559</v>
      </c>
      <c r="E1375" s="26">
        <v>151.96044800000001</v>
      </c>
      <c r="G1375" s="27">
        <v>0.56805555555555554</v>
      </c>
      <c r="J1375" s="30">
        <f>IF(G1375&lt;$H$10,$H$16,IF(G1375&gt;$I$10,$H$16,$H$11))*E1375/600</f>
        <v>5.5718830933333338E-2</v>
      </c>
      <c r="L1375" s="32">
        <f>$J1375*($G1375-$G1374)*60*24</f>
        <v>5.571883093333313E-2</v>
      </c>
    </row>
    <row r="1376" spans="1:12">
      <c r="A1376" s="22">
        <v>40311.568749999999</v>
      </c>
      <c r="E1376" s="26">
        <v>155.80172400000001</v>
      </c>
      <c r="G1376" s="27">
        <v>0.56874999999999998</v>
      </c>
      <c r="J1376" s="30">
        <f>IF(G1376&lt;$H$10,$H$16,IF(G1376&gt;$I$10,$H$16,$H$11))*E1376/600</f>
        <v>5.7127298800000004E-2</v>
      </c>
      <c r="L1376" s="32">
        <f>$J1376*($G1376-$G1375)*60*24</f>
        <v>5.7127298799999809E-2</v>
      </c>
    </row>
    <row r="1377" spans="1:12">
      <c r="A1377" s="22">
        <v>40311.569444444445</v>
      </c>
      <c r="E1377" s="26">
        <v>152.94879599999999</v>
      </c>
      <c r="G1377" s="27">
        <v>0.56944444444444442</v>
      </c>
      <c r="J1377" s="30">
        <f>IF(G1377&lt;$H$10,$H$16,IF(G1377&gt;$I$10,$H$16,$H$11))*E1377/600</f>
        <v>5.6081225199999994E-2</v>
      </c>
      <c r="L1377" s="32">
        <f>$J1377*($G1377-$G1376)*60*24</f>
        <v>5.6081225199999786E-2</v>
      </c>
    </row>
    <row r="1378" spans="1:12">
      <c r="A1378" s="22">
        <v>40311.570138888892</v>
      </c>
      <c r="E1378" s="26">
        <v>152.67525000000001</v>
      </c>
      <c r="G1378" s="27">
        <v>0.57013888888888886</v>
      </c>
      <c r="J1378" s="30">
        <f>IF(G1378&lt;$H$10,$H$16,IF(G1378&gt;$I$10,$H$16,$H$11))*E1378/600</f>
        <v>5.5980925000000001E-2</v>
      </c>
      <c r="L1378" s="32">
        <f>$J1378*($G1378-$G1377)*60*24</f>
        <v>5.5980924999999807E-2</v>
      </c>
    </row>
    <row r="1379" spans="1:12">
      <c r="A1379" s="22">
        <v>40311.570833333331</v>
      </c>
      <c r="E1379" s="26">
        <v>153.967905</v>
      </c>
      <c r="G1379" s="27">
        <v>0.5708333333333333</v>
      </c>
      <c r="J1379" s="30">
        <f>IF(G1379&lt;$H$10,$H$16,IF(G1379&gt;$I$10,$H$16,$H$11))*E1379/600</f>
        <v>5.6454898500000003E-2</v>
      </c>
      <c r="L1379" s="32">
        <f>$J1379*($G1379-$G1378)*60*24</f>
        <v>5.6454898499999802E-2</v>
      </c>
    </row>
    <row r="1380" spans="1:12">
      <c r="A1380" s="22">
        <v>40311.571527777778</v>
      </c>
      <c r="E1380" s="26">
        <v>156.892752</v>
      </c>
      <c r="G1380" s="27">
        <v>0.57152777777777775</v>
      </c>
      <c r="J1380" s="30">
        <f>IF(G1380&lt;$H$10,$H$16,IF(G1380&gt;$I$10,$H$16,$H$11))*E1380/600</f>
        <v>5.7527342400000001E-2</v>
      </c>
      <c r="L1380" s="32">
        <f>$J1380*($G1380-$G1379)*60*24</f>
        <v>5.7527342399999792E-2</v>
      </c>
    </row>
    <row r="1381" spans="1:12">
      <c r="A1381" s="22">
        <v>40311.572222222225</v>
      </c>
      <c r="E1381" s="26">
        <v>155.59242399999999</v>
      </c>
      <c r="G1381" s="27">
        <v>0.57222222222222219</v>
      </c>
      <c r="J1381" s="30">
        <f>IF(G1381&lt;$H$10,$H$16,IF(G1381&gt;$I$10,$H$16,$H$11))*E1381/600</f>
        <v>5.7050555466666659E-2</v>
      </c>
      <c r="L1381" s="32">
        <f>$J1381*($G1381-$G1380)*60*24</f>
        <v>5.7050555466666458E-2</v>
      </c>
    </row>
    <row r="1382" spans="1:12">
      <c r="A1382" s="22">
        <v>40311.572916666664</v>
      </c>
      <c r="E1382" s="26">
        <v>156.612336</v>
      </c>
      <c r="G1382" s="27">
        <v>0.57291666666666663</v>
      </c>
      <c r="J1382" s="30">
        <f>IF(G1382&lt;$H$10,$H$16,IF(G1382&gt;$I$10,$H$16,$H$11))*E1382/600</f>
        <v>5.7424523200000008E-2</v>
      </c>
      <c r="L1382" s="32">
        <f>$J1382*($G1382-$G1381)*60*24</f>
        <v>5.74245231999998E-2</v>
      </c>
    </row>
    <row r="1383" spans="1:12">
      <c r="A1383" s="22">
        <v>40311.573611111111</v>
      </c>
      <c r="E1383" s="26">
        <v>154.147932</v>
      </c>
      <c r="G1383" s="27">
        <v>0.57361111111111118</v>
      </c>
      <c r="J1383" s="30">
        <f>IF(G1383&lt;$H$10,$H$16,IF(G1383&gt;$I$10,$H$16,$H$11))*E1383/600</f>
        <v>5.6520908399999993E-2</v>
      </c>
      <c r="L1383" s="32">
        <f>$J1383*($G1383-$G1382)*60*24</f>
        <v>5.6520908400008826E-2</v>
      </c>
    </row>
    <row r="1384" spans="1:12">
      <c r="A1384" s="22">
        <v>40311.574305555558</v>
      </c>
      <c r="E1384" s="26">
        <v>152.326629</v>
      </c>
      <c r="G1384" s="27">
        <v>0.57430555555555551</v>
      </c>
      <c r="J1384" s="30">
        <f>IF(G1384&lt;$H$10,$H$16,IF(G1384&gt;$I$10,$H$16,$H$11))*E1384/600</f>
        <v>5.5853097300000001E-2</v>
      </c>
      <c r="L1384" s="32">
        <f>$J1384*($G1384-$G1383)*60*24</f>
        <v>5.585309729999087E-2</v>
      </c>
    </row>
    <row r="1385" spans="1:12">
      <c r="A1385" s="22">
        <v>40311.574999999997</v>
      </c>
      <c r="E1385" s="26">
        <v>153.39196799999999</v>
      </c>
      <c r="G1385" s="27">
        <v>0.57500000000000007</v>
      </c>
      <c r="J1385" s="30">
        <f>IF(G1385&lt;$H$10,$H$16,IF(G1385&gt;$I$10,$H$16,$H$11))*E1385/600</f>
        <v>5.6243721599999998E-2</v>
      </c>
      <c r="L1385" s="32">
        <f>$J1385*($G1385-$G1384)*60*24</f>
        <v>5.6243721600008796E-2</v>
      </c>
    </row>
    <row r="1386" spans="1:12">
      <c r="A1386" s="22">
        <v>40311.575694444444</v>
      </c>
      <c r="E1386" s="26">
        <v>153.02580800000001</v>
      </c>
      <c r="G1386" s="27">
        <v>0.5756944444444444</v>
      </c>
      <c r="J1386" s="30">
        <f>IF(G1386&lt;$H$10,$H$16,IF(G1386&gt;$I$10,$H$16,$H$11))*E1386/600</f>
        <v>5.6109462933333333E-2</v>
      </c>
      <c r="L1386" s="32">
        <f>$J1386*($G1386-$G1385)*60*24</f>
        <v>5.6109462933324167E-2</v>
      </c>
    </row>
    <row r="1387" spans="1:12">
      <c r="A1387" s="22">
        <v>40311.576388888891</v>
      </c>
      <c r="E1387" s="26">
        <v>153.26464000000001</v>
      </c>
      <c r="G1387" s="27">
        <v>0.57638888888888895</v>
      </c>
      <c r="J1387" s="30">
        <f>IF(G1387&lt;$H$10,$H$16,IF(G1387&gt;$I$10,$H$16,$H$11))*E1387/600</f>
        <v>5.6197034666666673E-2</v>
      </c>
      <c r="L1387" s="32">
        <f>$J1387*($G1387-$G1386)*60*24</f>
        <v>5.6197034666675458E-2</v>
      </c>
    </row>
    <row r="1388" spans="1:12">
      <c r="A1388" s="22">
        <v>40311.57708333333</v>
      </c>
      <c r="E1388" s="26">
        <v>153.93982800000001</v>
      </c>
      <c r="G1388" s="27">
        <v>0.57708333333333328</v>
      </c>
      <c r="J1388" s="30">
        <f>IF(G1388&lt;$H$10,$H$16,IF(G1388&gt;$I$10,$H$16,$H$11))*E1388/600</f>
        <v>5.6444603600000004E-2</v>
      </c>
      <c r="L1388" s="32">
        <f>$J1388*($G1388-$G1387)*60*24</f>
        <v>5.6444603599990782E-2</v>
      </c>
    </row>
    <row r="1389" spans="1:12">
      <c r="A1389" s="22">
        <v>40311.577777777777</v>
      </c>
      <c r="E1389" s="26">
        <v>153.73807199999999</v>
      </c>
      <c r="G1389" s="27">
        <v>0.57777777777777783</v>
      </c>
      <c r="J1389" s="30">
        <f>IF(G1389&lt;$H$10,$H$16,IF(G1389&gt;$I$10,$H$16,$H$11))*E1389/600</f>
        <v>5.6370626399999998E-2</v>
      </c>
      <c r="L1389" s="32">
        <f>$J1389*($G1389-$G1388)*60*24</f>
        <v>5.6370626400008804E-2</v>
      </c>
    </row>
    <row r="1390" spans="1:12">
      <c r="A1390" s="22">
        <v>40311.578472222223</v>
      </c>
      <c r="E1390" s="26">
        <v>153.37826000000001</v>
      </c>
      <c r="G1390" s="27">
        <v>0.57847222222222217</v>
      </c>
      <c r="J1390" s="30">
        <f>IF(G1390&lt;$H$10,$H$16,IF(G1390&gt;$I$10,$H$16,$H$11))*E1390/600</f>
        <v>5.6238695333333338E-2</v>
      </c>
      <c r="L1390" s="32">
        <f>$J1390*($G1390-$G1389)*60*24</f>
        <v>5.6238695333324144E-2</v>
      </c>
    </row>
    <row r="1391" spans="1:12">
      <c r="A1391" s="22">
        <v>40311.57916666667</v>
      </c>
      <c r="E1391" s="26">
        <v>153.54432</v>
      </c>
      <c r="G1391" s="27">
        <v>0.57916666666666672</v>
      </c>
      <c r="J1391" s="30">
        <f>IF(G1391&lt;$H$10,$H$16,IF(G1391&gt;$I$10,$H$16,$H$11))*E1391/600</f>
        <v>5.6299583999999993E-2</v>
      </c>
      <c r="L1391" s="32">
        <f>$J1391*($G1391-$G1390)*60*24</f>
        <v>5.6299584000008798E-2</v>
      </c>
    </row>
    <row r="1392" spans="1:12">
      <c r="A1392" s="22">
        <v>40311.579861111109</v>
      </c>
      <c r="E1392" s="26">
        <v>153.87827999999999</v>
      </c>
      <c r="G1392" s="27">
        <v>0.57986111111111105</v>
      </c>
      <c r="J1392" s="30">
        <f>IF(G1392&lt;$H$10,$H$16,IF(G1392&gt;$I$10,$H$16,$H$11))*E1392/600</f>
        <v>5.6422035999999995E-2</v>
      </c>
      <c r="L1392" s="32">
        <f>$J1392*($G1392-$G1391)*60*24</f>
        <v>5.642203599999078E-2</v>
      </c>
    </row>
    <row r="1393" spans="1:12">
      <c r="A1393" s="22">
        <v>40311.580555555556</v>
      </c>
      <c r="E1393" s="26">
        <v>150.744576</v>
      </c>
      <c r="G1393" s="27">
        <v>0.5805555555555556</v>
      </c>
      <c r="J1393" s="30">
        <f>IF(G1393&lt;$H$10,$H$16,IF(G1393&gt;$I$10,$H$16,$H$11))*E1393/600</f>
        <v>5.5273011199999993E-2</v>
      </c>
      <c r="L1393" s="32">
        <f>$J1393*($G1393-$G1392)*60*24</f>
        <v>5.5273011200008632E-2</v>
      </c>
    </row>
    <row r="1394" spans="1:12">
      <c r="A1394" s="22">
        <v>40311.581250000003</v>
      </c>
      <c r="E1394" s="26">
        <v>148.74265600000001</v>
      </c>
      <c r="G1394" s="27">
        <v>0.58124999999999993</v>
      </c>
      <c r="J1394" s="30">
        <f>IF(G1394&lt;$H$10,$H$16,IF(G1394&gt;$I$10,$H$16,$H$11))*E1394/600</f>
        <v>5.4538973866666667E-2</v>
      </c>
      <c r="L1394" s="32">
        <f>$J1394*($G1394-$G1393)*60*24</f>
        <v>5.4538973866657764E-2</v>
      </c>
    </row>
    <row r="1395" spans="1:12">
      <c r="A1395" s="22">
        <v>40311.581944444442</v>
      </c>
      <c r="E1395" s="26">
        <v>151.36097599999999</v>
      </c>
      <c r="G1395" s="27">
        <v>0.58194444444444449</v>
      </c>
      <c r="J1395" s="30">
        <f>IF(G1395&lt;$H$10,$H$16,IF(G1395&gt;$I$10,$H$16,$H$11))*E1395/600</f>
        <v>5.5499024533333337E-2</v>
      </c>
      <c r="L1395" s="32">
        <f>$J1395*($G1395-$G1394)*60*24</f>
        <v>5.5499024533342003E-2</v>
      </c>
    </row>
    <row r="1396" spans="1:12">
      <c r="A1396" s="22">
        <v>40311.582638888889</v>
      </c>
      <c r="E1396" s="26">
        <v>152.75661600000001</v>
      </c>
      <c r="G1396" s="27">
        <v>0.58263888888888882</v>
      </c>
      <c r="J1396" s="30">
        <f>IF(G1396&lt;$H$10,$H$16,IF(G1396&gt;$I$10,$H$16,$H$11))*E1396/600</f>
        <v>5.601075920000001E-2</v>
      </c>
      <c r="L1396" s="32">
        <f>$J1396*($G1396-$G1395)*60*24</f>
        <v>5.6010759199990851E-2</v>
      </c>
    </row>
    <row r="1397" spans="1:12">
      <c r="A1397" s="22">
        <v>40311.583333333336</v>
      </c>
      <c r="E1397" s="26">
        <v>152.89682400000001</v>
      </c>
      <c r="G1397" s="27">
        <v>0.58333333333333337</v>
      </c>
      <c r="J1397" s="30">
        <f>IF(G1397&lt;$H$10,$H$16,IF(G1397&gt;$I$10,$H$16,$H$11))*E1397/600</f>
        <v>5.6062168800000006E-2</v>
      </c>
      <c r="L1397" s="32">
        <f>$J1397*($G1397-$G1396)*60*24</f>
        <v>5.6062168800008777E-2</v>
      </c>
    </row>
    <row r="1398" spans="1:12">
      <c r="A1398" s="22">
        <v>40311.584027777775</v>
      </c>
      <c r="E1398" s="26">
        <v>160.39445599999999</v>
      </c>
      <c r="G1398" s="27">
        <v>0.58402777777777781</v>
      </c>
      <c r="J1398" s="30">
        <f>IF(G1398&lt;$H$10,$H$16,IF(G1398&gt;$I$10,$H$16,$H$11))*E1398/600</f>
        <v>5.8811300533333333E-2</v>
      </c>
      <c r="L1398" s="32">
        <f>$J1398*($G1398-$G1397)*60*24</f>
        <v>5.8811300533333132E-2</v>
      </c>
    </row>
    <row r="1399" spans="1:12">
      <c r="A1399" s="22">
        <v>40311.584722222222</v>
      </c>
      <c r="E1399" s="26">
        <v>152.11022399999999</v>
      </c>
      <c r="G1399" s="27">
        <v>0.58472222222222225</v>
      </c>
      <c r="J1399" s="30">
        <f>IF(G1399&lt;$H$10,$H$16,IF(G1399&gt;$I$10,$H$16,$H$11))*E1399/600</f>
        <v>5.5773748799999995E-2</v>
      </c>
      <c r="L1399" s="32">
        <f>$J1399*($G1399-$G1398)*60*24</f>
        <v>5.5773748799999801E-2</v>
      </c>
    </row>
    <row r="1400" spans="1:12">
      <c r="A1400" s="22">
        <v>40311.585416666669</v>
      </c>
      <c r="E1400" s="26">
        <v>152.540232</v>
      </c>
      <c r="G1400" s="27">
        <v>0.5854166666666667</v>
      </c>
      <c r="J1400" s="30">
        <f>IF(G1400&lt;$H$10,$H$16,IF(G1400&gt;$I$10,$H$16,$H$11))*E1400/600</f>
        <v>5.5931418400000002E-2</v>
      </c>
      <c r="L1400" s="32">
        <f>$J1400*($G1400-$G1399)*60*24</f>
        <v>5.5931418399999801E-2</v>
      </c>
    </row>
    <row r="1401" spans="1:12">
      <c r="A1401" s="22">
        <v>40311.586111111108</v>
      </c>
      <c r="E1401" s="26">
        <v>150.165288</v>
      </c>
      <c r="G1401" s="27">
        <v>0.58611111111111114</v>
      </c>
      <c r="J1401" s="30">
        <f>IF(G1401&lt;$H$10,$H$16,IF(G1401&gt;$I$10,$H$16,$H$11))*E1401/600</f>
        <v>5.5060605600000007E-2</v>
      </c>
      <c r="L1401" s="32">
        <f>$J1401*($G1401-$G1400)*60*24</f>
        <v>5.5060605599999812E-2</v>
      </c>
    </row>
    <row r="1402" spans="1:12">
      <c r="A1402" s="22">
        <v>40311.586805555555</v>
      </c>
      <c r="E1402" s="26">
        <v>153.14890500000001</v>
      </c>
      <c r="G1402" s="27">
        <v>0.58680555555555558</v>
      </c>
      <c r="J1402" s="30">
        <f>IF(G1402&lt;$H$10,$H$16,IF(G1402&gt;$I$10,$H$16,$H$11))*E1402/600</f>
        <v>5.6154598500000007E-2</v>
      </c>
      <c r="L1402" s="32">
        <f>$J1402*($G1402-$G1401)*60*24</f>
        <v>5.6154598499999805E-2</v>
      </c>
    </row>
    <row r="1403" spans="1:12">
      <c r="A1403" s="22">
        <v>40311.587500000001</v>
      </c>
      <c r="E1403" s="26">
        <v>152.67634200000001</v>
      </c>
      <c r="G1403" s="27">
        <v>0.58750000000000002</v>
      </c>
      <c r="J1403" s="30">
        <f>IF(G1403&lt;$H$10,$H$16,IF(G1403&gt;$I$10,$H$16,$H$11))*E1403/600</f>
        <v>5.5981325400000004E-2</v>
      </c>
      <c r="L1403" s="32">
        <f>$J1403*($G1403-$G1402)*60*24</f>
        <v>5.5981325399999803E-2</v>
      </c>
    </row>
    <row r="1404" spans="1:12">
      <c r="A1404" s="22">
        <v>40311.588194444441</v>
      </c>
      <c r="E1404" s="26">
        <v>152.53984199999999</v>
      </c>
      <c r="G1404" s="27">
        <v>0.58819444444444446</v>
      </c>
      <c r="J1404" s="30">
        <f>IF(G1404&lt;$H$10,$H$16,IF(G1404&gt;$I$10,$H$16,$H$11))*E1404/600</f>
        <v>5.5931275400000001E-2</v>
      </c>
      <c r="L1404" s="32">
        <f>$J1404*($G1404-$G1403)*60*24</f>
        <v>5.59312753999998E-2</v>
      </c>
    </row>
    <row r="1405" spans="1:12">
      <c r="A1405" s="22">
        <v>40311.588888888888</v>
      </c>
      <c r="E1405" s="26">
        <v>153.42590899999999</v>
      </c>
      <c r="G1405" s="27">
        <v>0.58888888888888891</v>
      </c>
      <c r="J1405" s="30">
        <f>IF(G1405&lt;$H$10,$H$16,IF(G1405&gt;$I$10,$H$16,$H$11))*E1405/600</f>
        <v>5.6256166633333334E-2</v>
      </c>
      <c r="L1405" s="32">
        <f>$J1405*($G1405-$G1404)*60*24</f>
        <v>5.6256166633333132E-2</v>
      </c>
    </row>
    <row r="1406" spans="1:12">
      <c r="A1406" s="22">
        <v>40311.589583333334</v>
      </c>
      <c r="E1406" s="26">
        <v>153.552672</v>
      </c>
      <c r="G1406" s="27">
        <v>0.58958333333333335</v>
      </c>
      <c r="J1406" s="30">
        <f>IF(G1406&lt;$H$10,$H$16,IF(G1406&gt;$I$10,$H$16,$H$11))*E1406/600</f>
        <v>5.6302646400000003E-2</v>
      </c>
      <c r="L1406" s="32">
        <f>$J1406*($G1406-$G1405)*60*24</f>
        <v>5.6302646399999795E-2</v>
      </c>
    </row>
    <row r="1407" spans="1:12">
      <c r="A1407" s="22">
        <v>40311.590277777781</v>
      </c>
      <c r="E1407" s="26">
        <v>153.442016</v>
      </c>
      <c r="G1407" s="27">
        <v>0.59027777777777779</v>
      </c>
      <c r="J1407" s="30">
        <f>IF(G1407&lt;$H$10,$H$16,IF(G1407&gt;$I$10,$H$16,$H$11))*E1407/600</f>
        <v>5.6262072533333325E-2</v>
      </c>
      <c r="L1407" s="32">
        <f>$J1407*($G1407-$G1406)*60*24</f>
        <v>5.6262072533333131E-2</v>
      </c>
    </row>
    <row r="1408" spans="1:12">
      <c r="A1408" s="22">
        <v>40311.59097222222</v>
      </c>
      <c r="E1408" s="26">
        <v>152.08284</v>
      </c>
      <c r="G1408" s="27">
        <v>0.59097222222222223</v>
      </c>
      <c r="J1408" s="30">
        <f>IF(G1408&lt;$H$10,$H$16,IF(G1408&gt;$I$10,$H$16,$H$11))*E1408/600</f>
        <v>5.5763708000000009E-2</v>
      </c>
      <c r="L1408" s="32">
        <f>$J1408*($G1408-$G1407)*60*24</f>
        <v>5.5763707999999815E-2</v>
      </c>
    </row>
    <row r="1409" spans="1:12">
      <c r="A1409" s="22">
        <v>40311.591666666667</v>
      </c>
      <c r="E1409" s="26">
        <v>162.27879999999999</v>
      </c>
      <c r="G1409" s="27">
        <v>0.59166666666666667</v>
      </c>
      <c r="J1409" s="30">
        <f>IF(G1409&lt;$H$10,$H$16,IF(G1409&gt;$I$10,$H$16,$H$11))*E1409/600</f>
        <v>5.9502226666666665E-2</v>
      </c>
      <c r="L1409" s="32">
        <f>$J1409*($G1409-$G1408)*60*24</f>
        <v>5.950222666666645E-2</v>
      </c>
    </row>
    <row r="1410" spans="1:12">
      <c r="A1410" s="22">
        <v>40311.592361111114</v>
      </c>
      <c r="E1410" s="26">
        <v>152.236448</v>
      </c>
      <c r="G1410" s="27">
        <v>0.59236111111111112</v>
      </c>
      <c r="J1410" s="30">
        <f>IF(G1410&lt;$H$10,$H$16,IF(G1410&gt;$I$10,$H$16,$H$11))*E1410/600</f>
        <v>5.5820030933333327E-2</v>
      </c>
      <c r="L1410" s="32">
        <f>$J1410*($G1410-$G1409)*60*24</f>
        <v>5.5820030933333126E-2</v>
      </c>
    </row>
    <row r="1411" spans="1:12">
      <c r="A1411" s="22">
        <v>40311.593055555553</v>
      </c>
      <c r="E1411" s="26">
        <v>152.282949</v>
      </c>
      <c r="G1411" s="27">
        <v>0.59305555555555556</v>
      </c>
      <c r="J1411" s="30">
        <f>IF(G1411&lt;$H$10,$H$16,IF(G1411&gt;$I$10,$H$16,$H$11))*E1411/600</f>
        <v>5.5837081300000001E-2</v>
      </c>
      <c r="L1411" s="32">
        <f>$J1411*($G1411-$G1410)*60*24</f>
        <v>5.58370812999998E-2</v>
      </c>
    </row>
    <row r="1412" spans="1:12">
      <c r="A1412" s="22">
        <v>40311.59375</v>
      </c>
      <c r="E1412" s="26">
        <v>153.20323200000001</v>
      </c>
      <c r="G1412" s="27">
        <v>0.59375</v>
      </c>
      <c r="J1412" s="30">
        <f>IF(G1412&lt;$H$10,$H$16,IF(G1412&gt;$I$10,$H$16,$H$11))*E1412/600</f>
        <v>5.6174518400000012E-2</v>
      </c>
      <c r="L1412" s="32">
        <f>$J1412*($G1412-$G1411)*60*24</f>
        <v>5.6174518399999818E-2</v>
      </c>
    </row>
    <row r="1413" spans="1:12">
      <c r="A1413" s="22">
        <v>40311.594444444447</v>
      </c>
      <c r="E1413" s="26">
        <v>157.361952</v>
      </c>
      <c r="G1413" s="27">
        <v>0.59444444444444444</v>
      </c>
      <c r="J1413" s="30">
        <f>IF(G1413&lt;$H$10,$H$16,IF(G1413&gt;$I$10,$H$16,$H$11))*E1413/600</f>
        <v>5.7699382400000006E-2</v>
      </c>
      <c r="L1413" s="32">
        <f>$J1413*($G1413-$G1412)*60*24</f>
        <v>5.7699382399999805E-2</v>
      </c>
    </row>
    <row r="1414" spans="1:12">
      <c r="A1414" s="22">
        <v>40311.595138888886</v>
      </c>
      <c r="E1414" s="26">
        <v>160.39721599999999</v>
      </c>
      <c r="G1414" s="27">
        <v>0.59513888888888888</v>
      </c>
      <c r="J1414" s="30">
        <f>IF(G1414&lt;$H$10,$H$16,IF(G1414&gt;$I$10,$H$16,$H$11))*E1414/600</f>
        <v>5.8812312533333327E-2</v>
      </c>
      <c r="L1414" s="32">
        <f>$J1414*($G1414-$G1413)*60*24</f>
        <v>5.8812312533333119E-2</v>
      </c>
    </row>
    <row r="1415" spans="1:12">
      <c r="A1415" s="22">
        <v>40311.595833333333</v>
      </c>
      <c r="E1415" s="26">
        <v>155.03471999999999</v>
      </c>
      <c r="G1415" s="27">
        <v>0.59583333333333333</v>
      </c>
      <c r="J1415" s="30">
        <f>IF(G1415&lt;$H$10,$H$16,IF(G1415&gt;$I$10,$H$16,$H$11))*E1415/600</f>
        <v>5.6846064000000002E-2</v>
      </c>
      <c r="L1415" s="32">
        <f>$J1415*($G1415-$G1414)*60*24</f>
        <v>5.6846063999999794E-2</v>
      </c>
    </row>
    <row r="1416" spans="1:12">
      <c r="A1416" s="22">
        <v>40311.59652777778</v>
      </c>
      <c r="E1416" s="26">
        <v>154.118492</v>
      </c>
      <c r="G1416" s="27">
        <v>0.59652777777777777</v>
      </c>
      <c r="J1416" s="30">
        <f>IF(G1416&lt;$H$10,$H$16,IF(G1416&gt;$I$10,$H$16,$H$11))*E1416/600</f>
        <v>5.6510113733333339E-2</v>
      </c>
      <c r="L1416" s="32">
        <f>$J1416*($G1416-$G1415)*60*24</f>
        <v>5.6510113733333145E-2</v>
      </c>
    </row>
    <row r="1417" spans="1:12">
      <c r="A1417" s="22">
        <v>40311.597222222219</v>
      </c>
      <c r="E1417" s="26">
        <v>154.76516000000001</v>
      </c>
      <c r="G1417" s="27">
        <v>0.59722222222222221</v>
      </c>
      <c r="J1417" s="30">
        <f>IF(G1417&lt;$H$10,$H$16,IF(G1417&gt;$I$10,$H$16,$H$11))*E1417/600</f>
        <v>5.6747225333333338E-2</v>
      </c>
      <c r="L1417" s="32">
        <f>$J1417*($G1417-$G1416)*60*24</f>
        <v>5.6747225333333137E-2</v>
      </c>
    </row>
    <row r="1418" spans="1:12">
      <c r="A1418" s="22">
        <v>40311.597916666666</v>
      </c>
      <c r="E1418" s="26">
        <v>151.928595</v>
      </c>
      <c r="G1418" s="27">
        <v>0.59791666666666665</v>
      </c>
      <c r="J1418" s="30">
        <f>IF(G1418&lt;$H$10,$H$16,IF(G1418&gt;$I$10,$H$16,$H$11))*E1418/600</f>
        <v>5.5707151500000003E-2</v>
      </c>
      <c r="L1418" s="32">
        <f>$J1418*($G1418-$G1417)*60*24</f>
        <v>5.5707151499999802E-2</v>
      </c>
    </row>
    <row r="1419" spans="1:12">
      <c r="A1419" s="22">
        <v>40311.598611111112</v>
      </c>
      <c r="E1419" s="26">
        <v>152.19859199999999</v>
      </c>
      <c r="G1419" s="27">
        <v>0.59861111111111109</v>
      </c>
      <c r="J1419" s="30">
        <f>IF(G1419&lt;$H$10,$H$16,IF(G1419&gt;$I$10,$H$16,$H$11))*E1419/600</f>
        <v>5.5806150400000004E-2</v>
      </c>
      <c r="L1419" s="32">
        <f>$J1419*($G1419-$G1418)*60*24</f>
        <v>5.5806150399999796E-2</v>
      </c>
    </row>
    <row r="1420" spans="1:12">
      <c r="A1420" s="22">
        <v>40311.599305555559</v>
      </c>
      <c r="E1420" s="26">
        <v>151.588346</v>
      </c>
      <c r="G1420" s="27">
        <v>0.59930555555555554</v>
      </c>
      <c r="J1420" s="30">
        <f>IF(G1420&lt;$H$10,$H$16,IF(G1420&gt;$I$10,$H$16,$H$11))*E1420/600</f>
        <v>5.5582393533333337E-2</v>
      </c>
      <c r="L1420" s="32">
        <f>$J1420*($G1420-$G1419)*60*24</f>
        <v>5.5582393533333135E-2</v>
      </c>
    </row>
    <row r="1421" spans="1:12">
      <c r="A1421" s="22">
        <v>40311.599999999999</v>
      </c>
      <c r="E1421" s="26">
        <v>151.45384799999999</v>
      </c>
      <c r="G1421" s="27">
        <v>0.6</v>
      </c>
      <c r="J1421" s="30">
        <f>IF(G1421&lt;$H$10,$H$16,IF(G1421&gt;$I$10,$H$16,$H$11))*E1421/600</f>
        <v>5.5533077600000001E-2</v>
      </c>
      <c r="L1421" s="32">
        <f>$J1421*($G1421-$G1420)*60*24</f>
        <v>5.55330775999998E-2</v>
      </c>
    </row>
    <row r="1422" spans="1:12">
      <c r="A1422" s="22">
        <v>40311.600694444445</v>
      </c>
      <c r="E1422" s="26">
        <v>151.386144</v>
      </c>
      <c r="G1422" s="27">
        <v>0.60069444444444442</v>
      </c>
      <c r="J1422" s="30">
        <f>IF(G1422&lt;$H$10,$H$16,IF(G1422&gt;$I$10,$H$16,$H$11))*E1422/600</f>
        <v>5.5508252800000005E-2</v>
      </c>
      <c r="L1422" s="32">
        <f>$J1422*($G1422-$G1421)*60*24</f>
        <v>5.550825279999981E-2</v>
      </c>
    </row>
    <row r="1423" spans="1:12">
      <c r="A1423" s="22">
        <v>40311.601388888892</v>
      </c>
      <c r="E1423" s="26">
        <v>151.72466399999999</v>
      </c>
      <c r="G1423" s="27">
        <v>0.60138888888888886</v>
      </c>
      <c r="J1423" s="30">
        <f>IF(G1423&lt;$H$10,$H$16,IF(G1423&gt;$I$10,$H$16,$H$11))*E1423/600</f>
        <v>5.5632376799999994E-2</v>
      </c>
      <c r="L1423" s="32">
        <f>$J1423*($G1423-$G1422)*60*24</f>
        <v>5.56323767999998E-2</v>
      </c>
    </row>
    <row r="1424" spans="1:12">
      <c r="A1424" s="22">
        <v>40311.602083333331</v>
      </c>
      <c r="E1424" s="26">
        <v>151.860072</v>
      </c>
      <c r="G1424" s="27">
        <v>0.6020833333333333</v>
      </c>
      <c r="J1424" s="30">
        <f>IF(G1424&lt;$H$10,$H$16,IF(G1424&gt;$I$10,$H$16,$H$11))*E1424/600</f>
        <v>5.5682026400000001E-2</v>
      </c>
      <c r="L1424" s="32">
        <f>$J1424*($G1424-$G1423)*60*24</f>
        <v>5.56820263999998E-2</v>
      </c>
    </row>
    <row r="1425" spans="1:12">
      <c r="A1425" s="22">
        <v>40311.602777777778</v>
      </c>
      <c r="E1425" s="26">
        <v>152.88027299999999</v>
      </c>
      <c r="G1425" s="27">
        <v>0.60277777777777775</v>
      </c>
      <c r="J1425" s="30">
        <f>IF(G1425&lt;$H$10,$H$16,IF(G1425&gt;$I$10,$H$16,$H$11))*E1425/600</f>
        <v>5.6056100099999992E-2</v>
      </c>
      <c r="L1425" s="32">
        <f>$J1425*($G1425-$G1424)*60*24</f>
        <v>5.6056100099999798E-2</v>
      </c>
    </row>
    <row r="1426" spans="1:12">
      <c r="A1426" s="22">
        <v>40311.603472222225</v>
      </c>
      <c r="E1426" s="26">
        <v>151.79309599999999</v>
      </c>
      <c r="G1426" s="27">
        <v>0.60347222222222219</v>
      </c>
      <c r="J1426" s="30">
        <f>IF(G1426&lt;$H$10,$H$16,IF(G1426&gt;$I$10,$H$16,$H$11))*E1426/600</f>
        <v>5.5657468533333337E-2</v>
      </c>
      <c r="L1426" s="32">
        <f>$J1426*($G1426-$G1425)*60*24</f>
        <v>5.5657468533333129E-2</v>
      </c>
    </row>
    <row r="1427" spans="1:12">
      <c r="A1427" s="22">
        <v>40311.604166666664</v>
      </c>
      <c r="E1427" s="26">
        <v>157.68984</v>
      </c>
      <c r="G1427" s="27">
        <v>0.60416666666666663</v>
      </c>
      <c r="J1427" s="30">
        <f>IF(G1427&lt;$H$10,$H$16,IF(G1427&gt;$I$10,$H$16,$H$11))*E1427/600</f>
        <v>5.7819608000000002E-2</v>
      </c>
      <c r="L1427" s="32">
        <f>$J1427*($G1427-$G1426)*60*24</f>
        <v>5.7819607999999786E-2</v>
      </c>
    </row>
    <row r="1428" spans="1:12">
      <c r="A1428" s="22">
        <v>40311.604861111111</v>
      </c>
      <c r="E1428" s="26">
        <v>151.11096000000001</v>
      </c>
      <c r="G1428" s="27">
        <v>0.60486111111111118</v>
      </c>
      <c r="J1428" s="30">
        <f>IF(G1428&lt;$H$10,$H$16,IF(G1428&gt;$I$10,$H$16,$H$11))*E1428/600</f>
        <v>5.5407352E-2</v>
      </c>
      <c r="L1428" s="32">
        <f>$J1428*($G1428-$G1427)*60*24</f>
        <v>5.540735200000866E-2</v>
      </c>
    </row>
    <row r="1429" spans="1:12">
      <c r="A1429" s="22">
        <v>40311.605555555558</v>
      </c>
      <c r="E1429" s="26">
        <v>152.335365</v>
      </c>
      <c r="G1429" s="27">
        <v>0.60555555555555551</v>
      </c>
      <c r="J1429" s="30">
        <f>IF(G1429&lt;$H$10,$H$16,IF(G1429&gt;$I$10,$H$16,$H$11))*E1429/600</f>
        <v>5.5856300500000004E-2</v>
      </c>
      <c r="L1429" s="32">
        <f>$J1429*($G1429-$G1428)*60*24</f>
        <v>5.585630049999088E-2</v>
      </c>
    </row>
    <row r="1430" spans="1:12">
      <c r="A1430" s="22">
        <v>40311.606249999997</v>
      </c>
      <c r="E1430" s="26">
        <v>151.181758</v>
      </c>
      <c r="G1430" s="27">
        <v>0.60625000000000007</v>
      </c>
      <c r="J1430" s="30">
        <f>IF(G1430&lt;$H$10,$H$16,IF(G1430&gt;$I$10,$H$16,$H$11))*E1430/600</f>
        <v>5.5433311266666674E-2</v>
      </c>
      <c r="L1430" s="32">
        <f>$J1430*($G1430-$G1429)*60*24</f>
        <v>5.5433311266675341E-2</v>
      </c>
    </row>
    <row r="1431" spans="1:12">
      <c r="A1431" s="22">
        <v>40311.606944444444</v>
      </c>
      <c r="E1431" s="26">
        <v>151.444748</v>
      </c>
      <c r="G1431" s="27">
        <v>0.6069444444444444</v>
      </c>
      <c r="J1431" s="30">
        <f>IF(G1431&lt;$H$10,$H$16,IF(G1431&gt;$I$10,$H$16,$H$11))*E1431/600</f>
        <v>5.5529740933333342E-2</v>
      </c>
      <c r="L1431" s="32">
        <f>$J1431*($G1431-$G1430)*60*24</f>
        <v>5.5529740933324259E-2</v>
      </c>
    </row>
    <row r="1432" spans="1:12">
      <c r="A1432" s="22">
        <v>40311.607638888891</v>
      </c>
      <c r="E1432" s="26">
        <v>151.24928</v>
      </c>
      <c r="G1432" s="27">
        <v>0.60763888888888895</v>
      </c>
      <c r="J1432" s="30">
        <f>IF(G1432&lt;$H$10,$H$16,IF(G1432&gt;$I$10,$H$16,$H$11))*E1432/600</f>
        <v>5.5458069333333339E-2</v>
      </c>
      <c r="L1432" s="32">
        <f>$J1432*($G1432-$G1431)*60*24</f>
        <v>5.5458069333342012E-2</v>
      </c>
    </row>
    <row r="1433" spans="1:12">
      <c r="A1433" s="22">
        <v>40311.60833333333</v>
      </c>
      <c r="E1433" s="26">
        <v>151.79118500000001</v>
      </c>
      <c r="G1433" s="27">
        <v>0.60833333333333328</v>
      </c>
      <c r="J1433" s="30">
        <f>IF(G1433&lt;$H$10,$H$16,IF(G1433&gt;$I$10,$H$16,$H$11))*E1433/600</f>
        <v>5.5656767833333343E-2</v>
      </c>
      <c r="L1433" s="32">
        <f>$J1433*($G1433-$G1432)*60*24</f>
        <v>5.5656767833324239E-2</v>
      </c>
    </row>
    <row r="1434" spans="1:12">
      <c r="A1434" s="22">
        <v>40311.609027777777</v>
      </c>
      <c r="E1434" s="26">
        <v>151.37021899999999</v>
      </c>
      <c r="G1434" s="27">
        <v>0.60902777777777783</v>
      </c>
      <c r="J1434" s="30">
        <f>IF(G1434&lt;$H$10,$H$16,IF(G1434&gt;$I$10,$H$16,$H$11))*E1434/600</f>
        <v>5.5502413633333338E-2</v>
      </c>
      <c r="L1434" s="32">
        <f>$J1434*($G1434-$G1433)*60*24</f>
        <v>5.5502413633342011E-2</v>
      </c>
    </row>
    <row r="1435" spans="1:12">
      <c r="A1435" s="22">
        <v>40311.609722222223</v>
      </c>
      <c r="E1435" s="26">
        <v>151.38032000000001</v>
      </c>
      <c r="G1435" s="27">
        <v>0.60972222222222217</v>
      </c>
      <c r="J1435" s="30">
        <f>IF(G1435&lt;$H$10,$H$16,IF(G1435&gt;$I$10,$H$16,$H$11))*E1435/600</f>
        <v>5.5506117333333334E-2</v>
      </c>
      <c r="L1435" s="32">
        <f>$J1435*($G1435-$G1434)*60*24</f>
        <v>5.5506117333324265E-2</v>
      </c>
    </row>
    <row r="1436" spans="1:12">
      <c r="A1436" s="22">
        <v>40311.61041666667</v>
      </c>
      <c r="E1436" s="26">
        <v>151.17830000000001</v>
      </c>
      <c r="G1436" s="27">
        <v>0.61041666666666672</v>
      </c>
      <c r="J1436" s="30">
        <f>IF(G1436&lt;$H$10,$H$16,IF(G1436&gt;$I$10,$H$16,$H$11))*E1436/600</f>
        <v>5.543204333333334E-2</v>
      </c>
      <c r="L1436" s="32">
        <f>$J1436*($G1436-$G1435)*60*24</f>
        <v>5.5432043333342007E-2</v>
      </c>
    </row>
    <row r="1437" spans="1:12">
      <c r="A1437" s="22">
        <v>40311.611111111109</v>
      </c>
      <c r="E1437" s="26">
        <v>151.31516400000001</v>
      </c>
      <c r="G1437" s="27">
        <v>0.61111111111111105</v>
      </c>
      <c r="J1437" s="30">
        <f>IF(G1437&lt;$H$10,$H$16,IF(G1437&gt;$I$10,$H$16,$H$11))*E1437/600</f>
        <v>5.5482226800000006E-2</v>
      </c>
      <c r="L1437" s="32">
        <f>$J1437*($G1437-$G1436)*60*24</f>
        <v>5.5482226799990944E-2</v>
      </c>
    </row>
    <row r="1438" spans="1:12">
      <c r="A1438" s="22">
        <v>40311.611805555556</v>
      </c>
      <c r="E1438" s="26">
        <v>176.58049500000001</v>
      </c>
      <c r="G1438" s="27">
        <v>0.6118055555555556</v>
      </c>
      <c r="J1438" s="30">
        <f>IF(G1438&lt;$H$10,$H$16,IF(G1438&gt;$I$10,$H$16,$H$11))*E1438/600</f>
        <v>6.47461815E-2</v>
      </c>
      <c r="L1438" s="32">
        <f>$J1438*($G1438-$G1437)*60*24</f>
        <v>6.4746181500010117E-2</v>
      </c>
    </row>
    <row r="1439" spans="1:12">
      <c r="A1439" s="22">
        <v>40311.612500000003</v>
      </c>
      <c r="E1439" s="26">
        <v>177.549834</v>
      </c>
      <c r="G1439" s="27">
        <v>0.61249999999999993</v>
      </c>
      <c r="J1439" s="30">
        <f>IF(G1439&lt;$H$10,$H$16,IF(G1439&gt;$I$10,$H$16,$H$11))*E1439/600</f>
        <v>6.5101605800000004E-2</v>
      </c>
      <c r="L1439" s="32">
        <f>$J1439*($G1439-$G1438)*60*24</f>
        <v>6.5101605799989359E-2</v>
      </c>
    </row>
    <row r="1440" spans="1:12">
      <c r="A1440" s="22">
        <v>40311.613194444442</v>
      </c>
      <c r="E1440" s="26">
        <v>177.26153400000001</v>
      </c>
      <c r="G1440" s="27">
        <v>0.61319444444444449</v>
      </c>
      <c r="J1440" s="30">
        <f>IF(G1440&lt;$H$10,$H$16,IF(G1440&gt;$I$10,$H$16,$H$11))*E1440/600</f>
        <v>6.4995895800000009E-2</v>
      </c>
      <c r="L1440" s="32">
        <f>$J1440*($G1440-$G1439)*60*24</f>
        <v>6.4995895800010167E-2</v>
      </c>
    </row>
    <row r="1441" spans="1:12">
      <c r="A1441" s="22">
        <v>40311.613888888889</v>
      </c>
      <c r="E1441" s="26">
        <v>177.51774900000001</v>
      </c>
      <c r="G1441" s="27">
        <v>0.61388888888888882</v>
      </c>
      <c r="J1441" s="30">
        <f>IF(G1441&lt;$H$10,$H$16,IF(G1441&gt;$I$10,$H$16,$H$11))*E1441/600</f>
        <v>6.5089841300000006E-2</v>
      </c>
      <c r="L1441" s="32">
        <f>$J1441*($G1441-$G1440)*60*24</f>
        <v>6.5089841299989362E-2</v>
      </c>
    </row>
    <row r="1442" spans="1:12">
      <c r="A1442" s="22">
        <v>40311.614583333336</v>
      </c>
      <c r="E1442" s="26">
        <v>177.37964400000001</v>
      </c>
      <c r="G1442" s="27">
        <v>0.61458333333333337</v>
      </c>
      <c r="J1442" s="30">
        <f>IF(G1442&lt;$H$10,$H$16,IF(G1442&gt;$I$10,$H$16,$H$11))*E1442/600</f>
        <v>6.5039202800000001E-2</v>
      </c>
      <c r="L1442" s="32">
        <f>$J1442*($G1442-$G1441)*60*24</f>
        <v>6.503920280001016E-2</v>
      </c>
    </row>
    <row r="1443" spans="1:12">
      <c r="A1443" s="22">
        <v>40311.615277777775</v>
      </c>
      <c r="E1443" s="26">
        <v>177.171696</v>
      </c>
      <c r="G1443" s="27">
        <v>0.61527777777777781</v>
      </c>
      <c r="J1443" s="30">
        <f>IF(G1443&lt;$H$10,$H$16,IF(G1443&gt;$I$10,$H$16,$H$11))*E1443/600</f>
        <v>6.4962955200000005E-2</v>
      </c>
      <c r="L1443" s="32">
        <f>$J1443*($G1443-$G1442)*60*24</f>
        <v>6.4962955199999783E-2</v>
      </c>
    </row>
    <row r="1444" spans="1:12">
      <c r="A1444" s="22">
        <v>40311.615972222222</v>
      </c>
      <c r="E1444" s="26">
        <v>176.12572499999999</v>
      </c>
      <c r="G1444" s="27">
        <v>0.61597222222222225</v>
      </c>
      <c r="J1444" s="30">
        <f>IF(G1444&lt;$H$10,$H$16,IF(G1444&gt;$I$10,$H$16,$H$11))*E1444/600</f>
        <v>6.4579432499999992E-2</v>
      </c>
      <c r="L1444" s="32">
        <f>$J1444*($G1444-$G1443)*60*24</f>
        <v>6.4579432499999756E-2</v>
      </c>
    </row>
    <row r="1445" spans="1:12">
      <c r="A1445" s="22">
        <v>40311.616666666669</v>
      </c>
      <c r="E1445" s="26">
        <v>178.185675</v>
      </c>
      <c r="G1445" s="27">
        <v>0.6166666666666667</v>
      </c>
      <c r="J1445" s="30">
        <f>IF(G1445&lt;$H$10,$H$16,IF(G1445&gt;$I$10,$H$16,$H$11))*E1445/600</f>
        <v>6.5334747499999998E-2</v>
      </c>
      <c r="L1445" s="32">
        <f>$J1445*($G1445-$G1444)*60*24</f>
        <v>6.5334747499999762E-2</v>
      </c>
    </row>
    <row r="1446" spans="1:12">
      <c r="A1446" s="22">
        <v>40311.617361111108</v>
      </c>
      <c r="E1446" s="26">
        <v>178.67829599999999</v>
      </c>
      <c r="G1446" s="27">
        <v>0.61736111111111114</v>
      </c>
      <c r="J1446" s="30">
        <f>IF(G1446&lt;$H$10,$H$16,IF(G1446&gt;$I$10,$H$16,$H$11))*E1446/600</f>
        <v>6.5515375200000003E-2</v>
      </c>
      <c r="L1446" s="32">
        <f>$J1446*($G1446-$G1445)*60*24</f>
        <v>6.5515375199999767E-2</v>
      </c>
    </row>
    <row r="1447" spans="1:12">
      <c r="A1447" s="22">
        <v>40311.618055555555</v>
      </c>
      <c r="E1447" s="26">
        <v>179.68381199999999</v>
      </c>
      <c r="G1447" s="27">
        <v>0.61805555555555558</v>
      </c>
      <c r="J1447" s="30">
        <f>IF(G1447&lt;$H$10,$H$16,IF(G1447&gt;$I$10,$H$16,$H$11))*E1447/600</f>
        <v>6.5884064399999998E-2</v>
      </c>
      <c r="L1447" s="32">
        <f>$J1447*($G1447-$G1446)*60*24</f>
        <v>6.5884064399999775E-2</v>
      </c>
    </row>
    <row r="1448" spans="1:12">
      <c r="A1448" s="22">
        <v>40311.618750000001</v>
      </c>
      <c r="E1448" s="26">
        <v>179.78341499999999</v>
      </c>
      <c r="G1448" s="27">
        <v>0.61875000000000002</v>
      </c>
      <c r="J1448" s="30">
        <f>IF(G1448&lt;$H$10,$H$16,IF(G1448&gt;$I$10,$H$16,$H$11))*E1448/600</f>
        <v>6.5920585500000003E-2</v>
      </c>
      <c r="L1448" s="32">
        <f>$J1448*($G1448-$G1447)*60*24</f>
        <v>6.5920585499999768E-2</v>
      </c>
    </row>
    <row r="1449" spans="1:12">
      <c r="A1449" s="22">
        <v>40311.619444444441</v>
      </c>
      <c r="E1449" s="26">
        <v>179.81289599999999</v>
      </c>
      <c r="G1449" s="27">
        <v>0.61944444444444446</v>
      </c>
      <c r="J1449" s="30">
        <f>IF(G1449&lt;$H$10,$H$16,IF(G1449&gt;$I$10,$H$16,$H$11))*E1449/600</f>
        <v>6.5931395200000006E-2</v>
      </c>
      <c r="L1449" s="32">
        <f>$J1449*($G1449-$G1448)*60*24</f>
        <v>6.593139519999977E-2</v>
      </c>
    </row>
    <row r="1450" spans="1:12">
      <c r="A1450" s="22">
        <v>40311.620138888888</v>
      </c>
      <c r="E1450" s="26">
        <v>179.30716200000001</v>
      </c>
      <c r="G1450" s="27">
        <v>0.62013888888888891</v>
      </c>
      <c r="J1450" s="30">
        <f>IF(G1450&lt;$H$10,$H$16,IF(G1450&gt;$I$10,$H$16,$H$11))*E1450/600</f>
        <v>6.5745959400000012E-2</v>
      </c>
      <c r="L1450" s="32">
        <f>$J1450*($G1450-$G1449)*60*24</f>
        <v>6.5745959399999776E-2</v>
      </c>
    </row>
    <row r="1451" spans="1:12">
      <c r="A1451" s="22">
        <v>40311.620833333334</v>
      </c>
      <c r="E1451" s="26">
        <v>180.57363599999999</v>
      </c>
      <c r="G1451" s="27">
        <v>0.62083333333333335</v>
      </c>
      <c r="J1451" s="30">
        <f>IF(G1451&lt;$H$10,$H$16,IF(G1451&gt;$I$10,$H$16,$H$11))*E1451/600</f>
        <v>6.6210333199999999E-2</v>
      </c>
      <c r="L1451" s="32">
        <f>$J1451*($G1451-$G1450)*60*24</f>
        <v>6.6210333199999763E-2</v>
      </c>
    </row>
    <row r="1452" spans="1:12">
      <c r="A1452" s="22">
        <v>40311.621527777781</v>
      </c>
      <c r="E1452" s="26">
        <v>180.67203000000001</v>
      </c>
      <c r="G1452" s="27">
        <v>0.62152777777777779</v>
      </c>
      <c r="J1452" s="30">
        <f>IF(G1452&lt;$H$10,$H$16,IF(G1452&gt;$I$10,$H$16,$H$11))*E1452/600</f>
        <v>6.6246411000000005E-2</v>
      </c>
      <c r="L1452" s="32">
        <f>$J1452*($G1452-$G1451)*60*24</f>
        <v>6.6246410999999769E-2</v>
      </c>
    </row>
    <row r="1453" spans="1:12">
      <c r="A1453" s="22">
        <v>40311.62222222222</v>
      </c>
      <c r="E1453" s="26">
        <v>177.69454200000001</v>
      </c>
      <c r="G1453" s="27">
        <v>0.62222222222222223</v>
      </c>
      <c r="J1453" s="30">
        <f>IF(G1453&lt;$H$10,$H$16,IF(G1453&gt;$I$10,$H$16,$H$11))*E1453/600</f>
        <v>6.5154665400000006E-2</v>
      </c>
      <c r="L1453" s="32">
        <f>$J1453*($G1453-$G1452)*60*24</f>
        <v>6.5154665399999784E-2</v>
      </c>
    </row>
    <row r="1454" spans="1:12">
      <c r="A1454" s="22">
        <v>40311.622916666667</v>
      </c>
      <c r="E1454" s="26">
        <v>171.30915200000001</v>
      </c>
      <c r="G1454" s="27">
        <v>0.62291666666666667</v>
      </c>
      <c r="J1454" s="30">
        <f>IF(G1454&lt;$H$10,$H$16,IF(G1454&gt;$I$10,$H$16,$H$11))*E1454/600</f>
        <v>6.281335573333334E-2</v>
      </c>
      <c r="L1454" s="32">
        <f>$J1454*($G1454-$G1453)*60*24</f>
        <v>6.2813355733333132E-2</v>
      </c>
    </row>
    <row r="1455" spans="1:12">
      <c r="A1455" s="22">
        <v>40311.623611111114</v>
      </c>
      <c r="E1455" s="26">
        <v>57.868000000000002</v>
      </c>
      <c r="G1455" s="27">
        <v>0.62361111111111112</v>
      </c>
      <c r="J1455" s="30">
        <f>IF(G1455&lt;$H$10,$H$16,IF(G1455&gt;$I$10,$H$16,$H$11))*E1455/600</f>
        <v>2.1218266666666669E-2</v>
      </c>
      <c r="L1455" s="32">
        <f>$J1455*($G1455-$G1454)*60*24</f>
        <v>2.1218266666666593E-2</v>
      </c>
    </row>
    <row r="1456" spans="1:12">
      <c r="A1456" s="22">
        <v>40311.624305555553</v>
      </c>
      <c r="E1456" s="26">
        <v>20.050419999999999</v>
      </c>
      <c r="G1456" s="27">
        <v>0.62430555555555556</v>
      </c>
      <c r="J1456" s="30">
        <f>IF(G1456&lt;$H$10,$H$16,IF(G1456&gt;$I$10,$H$16,$H$11))*E1456/600</f>
        <v>7.3518206666666674E-3</v>
      </c>
      <c r="L1456" s="32">
        <f>$J1456*($G1456-$G1455)*60*24</f>
        <v>7.3518206666666423E-3</v>
      </c>
    </row>
    <row r="1457" spans="1:12">
      <c r="A1457" s="22">
        <v>40311.625</v>
      </c>
      <c r="E1457" s="26">
        <v>19.287383999999999</v>
      </c>
      <c r="G1457" s="27">
        <v>0.625</v>
      </c>
      <c r="J1457" s="30">
        <f>IF(G1457&lt;$H$10,$H$16,IF(G1457&gt;$I$10,$H$16,$H$11))*E1457/600</f>
        <v>7.0720408000000002E-3</v>
      </c>
      <c r="L1457" s="32">
        <f>$J1457*($G1457-$G1456)*60*24</f>
        <v>7.0720407999999742E-3</v>
      </c>
    </row>
    <row r="1458" spans="1:12">
      <c r="A1458" s="22">
        <v>40311.625694444447</v>
      </c>
      <c r="E1458" s="26">
        <v>17.417400000000001</v>
      </c>
      <c r="G1458" s="27">
        <v>0.62569444444444444</v>
      </c>
      <c r="J1458" s="30">
        <f>IF(G1458&lt;$H$10,$H$16,IF(G1458&gt;$I$10,$H$16,$H$11))*E1458/600</f>
        <v>6.3863800000000005E-3</v>
      </c>
      <c r="L1458" s="32">
        <f>$J1458*($G1458-$G1457)*60*24</f>
        <v>6.386379999999978E-3</v>
      </c>
    </row>
    <row r="1459" spans="1:12">
      <c r="A1459" s="22">
        <v>40311.626388888886</v>
      </c>
      <c r="E1459" s="26">
        <v>15.312647</v>
      </c>
      <c r="G1459" s="27">
        <v>0.62638888888888888</v>
      </c>
      <c r="J1459" s="30">
        <f>IF(G1459&lt;$H$10,$H$16,IF(G1459&gt;$I$10,$H$16,$H$11))*E1459/600</f>
        <v>5.6146372333333331E-3</v>
      </c>
      <c r="L1459" s="32">
        <f>$J1459*($G1459-$G1458)*60*24</f>
        <v>5.6146372333333132E-3</v>
      </c>
    </row>
    <row r="1460" spans="1:12">
      <c r="A1460" s="22">
        <v>40311.645833333336</v>
      </c>
      <c r="E1460" s="26">
        <v>21.142520000000001</v>
      </c>
      <c r="G1460" s="27">
        <v>0.64583333333333337</v>
      </c>
      <c r="J1460" s="30">
        <f>IF(G1460&lt;$H$10,$H$16,IF(G1460&gt;$I$10,$H$16,$H$11))*E1460/600</f>
        <v>7.7522573333333343E-3</v>
      </c>
      <c r="L1460" s="32">
        <f>$J1460*($G1460-$G1459)*60*24</f>
        <v>0.21706320533333384</v>
      </c>
    </row>
    <row r="1461" spans="1:12">
      <c r="A1461" s="22">
        <v>40311.646527777775</v>
      </c>
      <c r="E1461" s="26">
        <v>18.348528000000002</v>
      </c>
      <c r="G1461" s="27">
        <v>0.64652777777777781</v>
      </c>
      <c r="J1461" s="30">
        <f>IF(G1461&lt;$H$10,$H$16,IF(G1461&gt;$I$10,$H$16,$H$11))*E1461/600</f>
        <v>6.7277936000000012E-3</v>
      </c>
      <c r="L1461" s="32">
        <f>$J1461*($G1461-$G1460)*60*24</f>
        <v>6.7277935999999778E-3</v>
      </c>
    </row>
    <row r="1462" spans="1:12">
      <c r="A1462" s="22">
        <v>40311.647222222222</v>
      </c>
      <c r="E1462" s="26">
        <v>15.756494</v>
      </c>
      <c r="G1462" s="27">
        <v>0.64722222222222225</v>
      </c>
      <c r="J1462" s="30">
        <f>IF(G1462&lt;$H$10,$H$16,IF(G1462&gt;$I$10,$H$16,$H$11))*E1462/600</f>
        <v>5.7773811333333329E-3</v>
      </c>
      <c r="L1462" s="32">
        <f>$J1462*($G1462-$G1461)*60*24</f>
        <v>5.777381133333313E-3</v>
      </c>
    </row>
    <row r="1463" spans="1:12">
      <c r="A1463" s="22">
        <v>40311.647916666669</v>
      </c>
      <c r="E1463" s="26">
        <v>15.721463999999999</v>
      </c>
      <c r="G1463" s="27">
        <v>0.6479166666666667</v>
      </c>
      <c r="J1463" s="30">
        <f>IF(G1463&lt;$H$10,$H$16,IF(G1463&gt;$I$10,$H$16,$H$11))*E1463/600</f>
        <v>5.7645368000000001E-3</v>
      </c>
      <c r="L1463" s="32">
        <f>$J1463*($G1463-$G1462)*60*24</f>
        <v>5.7645367999999801E-3</v>
      </c>
    </row>
    <row r="1464" spans="1:12">
      <c r="A1464" s="22">
        <v>40311.648611111108</v>
      </c>
      <c r="E1464" s="26">
        <v>15.568448</v>
      </c>
      <c r="G1464" s="27">
        <v>0.64861111111111114</v>
      </c>
      <c r="J1464" s="30">
        <f>IF(G1464&lt;$H$10,$H$16,IF(G1464&gt;$I$10,$H$16,$H$11))*E1464/600</f>
        <v>5.7084309333333338E-3</v>
      </c>
      <c r="L1464" s="32">
        <f>$J1464*($G1464-$G1463)*60*24</f>
        <v>5.708430933333313E-3</v>
      </c>
    </row>
    <row r="1465" spans="1:12">
      <c r="A1465" s="22">
        <v>40311.649305555555</v>
      </c>
      <c r="E1465" s="26">
        <v>15.596223999999999</v>
      </c>
      <c r="G1465" s="27">
        <v>0.64930555555555558</v>
      </c>
      <c r="J1465" s="30">
        <f>IF(G1465&lt;$H$10,$H$16,IF(G1465&gt;$I$10,$H$16,$H$11))*E1465/600</f>
        <v>5.7186154666666661E-3</v>
      </c>
      <c r="L1465" s="32">
        <f>$J1465*($G1465-$G1464)*60*24</f>
        <v>5.7186154666666452E-3</v>
      </c>
    </row>
    <row r="1466" spans="1:12">
      <c r="A1466" s="22">
        <v>40311.65</v>
      </c>
      <c r="E1466" s="26">
        <v>15.55456</v>
      </c>
      <c r="G1466" s="27">
        <v>0.65</v>
      </c>
      <c r="J1466" s="30">
        <f>IF(G1466&lt;$H$10,$H$16,IF(G1466&gt;$I$10,$H$16,$H$11))*E1466/600</f>
        <v>5.7033386666666668E-3</v>
      </c>
      <c r="L1466" s="32">
        <f>$J1466*($G1466-$G1465)*60*24</f>
        <v>5.7033386666666469E-3</v>
      </c>
    </row>
    <row r="1467" spans="1:12">
      <c r="A1467" s="22">
        <v>40311.650694444441</v>
      </c>
      <c r="E1467" s="26">
        <v>15.658720000000001</v>
      </c>
      <c r="G1467" s="27">
        <v>0.65069444444444446</v>
      </c>
      <c r="J1467" s="30">
        <f>IF(G1467&lt;$H$10,$H$16,IF(G1467&gt;$I$10,$H$16,$H$11))*E1467/600</f>
        <v>5.7415306666666671E-3</v>
      </c>
      <c r="L1467" s="32">
        <f>$J1467*($G1467-$G1466)*60*24</f>
        <v>5.7415306666666463E-3</v>
      </c>
    </row>
    <row r="1468" spans="1:12">
      <c r="A1468" s="22">
        <v>40311.651388888888</v>
      </c>
      <c r="E1468" s="26">
        <v>15.679551999999999</v>
      </c>
      <c r="G1468" s="27">
        <v>0.65138888888888891</v>
      </c>
      <c r="J1468" s="30">
        <f>IF(G1468&lt;$H$10,$H$16,IF(G1468&gt;$I$10,$H$16,$H$11))*E1468/600</f>
        <v>5.7491690666666663E-3</v>
      </c>
      <c r="L1468" s="32">
        <f>$J1468*($G1468-$G1467)*60*24</f>
        <v>5.7491690666666463E-3</v>
      </c>
    </row>
    <row r="1469" spans="1:12">
      <c r="A1469" s="22">
        <v>40311.652083333334</v>
      </c>
      <c r="E1469" s="26">
        <v>15.707328</v>
      </c>
      <c r="G1469" s="27">
        <v>0.65208333333333335</v>
      </c>
      <c r="J1469" s="30">
        <f>IF(G1469&lt;$H$10,$H$16,IF(G1469&gt;$I$10,$H$16,$H$11))*E1469/600</f>
        <v>5.7593536000000002E-3</v>
      </c>
      <c r="L1469" s="32">
        <f>$J1469*($G1469-$G1468)*60*24</f>
        <v>5.7593535999999794E-3</v>
      </c>
    </row>
    <row r="1470" spans="1:12">
      <c r="A1470" s="22">
        <v>40311.652777777781</v>
      </c>
      <c r="E1470" s="26">
        <v>15.665664</v>
      </c>
      <c r="G1470" s="27">
        <v>0.65277777777777779</v>
      </c>
      <c r="J1470" s="30">
        <f>IF(G1470&lt;$H$10,$H$16,IF(G1470&gt;$I$10,$H$16,$H$11))*E1470/600</f>
        <v>5.7440768000000001E-3</v>
      </c>
      <c r="L1470" s="32">
        <f>$J1470*($G1470-$G1469)*60*24</f>
        <v>5.7440767999999793E-3</v>
      </c>
    </row>
    <row r="1471" spans="1:12">
      <c r="A1471" s="22">
        <v>40311.65347222222</v>
      </c>
      <c r="E1471" s="26">
        <v>15.58928</v>
      </c>
      <c r="G1471" s="27">
        <v>0.65347222222222223</v>
      </c>
      <c r="J1471" s="30">
        <f>IF(G1471&lt;$H$10,$H$16,IF(G1471&gt;$I$10,$H$16,$H$11))*E1471/600</f>
        <v>5.7160693333333339E-3</v>
      </c>
      <c r="L1471" s="32">
        <f>$J1471*($G1471-$G1470)*60*24</f>
        <v>5.7160693333333139E-3</v>
      </c>
    </row>
    <row r="1472" spans="1:12">
      <c r="A1472" s="22">
        <v>40311.654166666667</v>
      </c>
      <c r="E1472" s="26">
        <v>15.582336</v>
      </c>
      <c r="G1472" s="27">
        <v>0.65416666666666667</v>
      </c>
      <c r="J1472" s="30">
        <f>IF(G1472&lt;$H$10,$H$16,IF(G1472&gt;$I$10,$H$16,$H$11))*E1472/600</f>
        <v>5.7135231999999999E-3</v>
      </c>
      <c r="L1472" s="32">
        <f>$J1472*($G1472-$G1471)*60*24</f>
        <v>5.71352319999998E-3</v>
      </c>
    </row>
    <row r="1473" spans="1:12">
      <c r="A1473" s="22">
        <v>40311.654861111114</v>
      </c>
      <c r="E1473" s="26">
        <v>15.624000000000001</v>
      </c>
      <c r="G1473" s="27">
        <v>0.65486111111111112</v>
      </c>
      <c r="J1473" s="30">
        <f>IF(G1473&lt;$H$10,$H$16,IF(G1473&gt;$I$10,$H$16,$H$11))*E1473/600</f>
        <v>5.7288000000000009E-3</v>
      </c>
      <c r="L1473" s="32">
        <f>$J1473*($G1473-$G1472)*60*24</f>
        <v>5.7287999999999801E-3</v>
      </c>
    </row>
    <row r="1474" spans="1:12">
      <c r="A1474" s="22">
        <v>40311.655555555553</v>
      </c>
      <c r="E1474" s="26">
        <v>15.783201</v>
      </c>
      <c r="G1474" s="27">
        <v>0.65555555555555556</v>
      </c>
      <c r="J1474" s="30">
        <f>IF(G1474&lt;$H$10,$H$16,IF(G1474&gt;$I$10,$H$16,$H$11))*E1474/600</f>
        <v>5.7871736999999994E-3</v>
      </c>
      <c r="L1474" s="32">
        <f>$J1474*($G1474-$G1473)*60*24</f>
        <v>5.7871736999999786E-3</v>
      </c>
    </row>
    <row r="1475" spans="1:12">
      <c r="A1475" s="22">
        <v>40311.65625</v>
      </c>
      <c r="E1475" s="26">
        <v>15.776208</v>
      </c>
      <c r="G1475" s="27">
        <v>0.65625</v>
      </c>
      <c r="J1475" s="30">
        <f>IF(G1475&lt;$H$10,$H$16,IF(G1475&gt;$I$10,$H$16,$H$11))*E1475/600</f>
        <v>5.7846095999999998E-3</v>
      </c>
      <c r="L1475" s="32">
        <f>$J1475*($G1475-$G1474)*60*24</f>
        <v>5.7846095999999798E-3</v>
      </c>
    </row>
    <row r="1476" spans="1:12">
      <c r="A1476" s="22">
        <v>40311.656944444447</v>
      </c>
      <c r="E1476" s="26">
        <v>15.657327</v>
      </c>
      <c r="G1476" s="27">
        <v>0.65694444444444444</v>
      </c>
      <c r="J1476" s="30">
        <f>IF(G1476&lt;$H$10,$H$16,IF(G1476&gt;$I$10,$H$16,$H$11))*E1476/600</f>
        <v>5.7410198999999999E-3</v>
      </c>
      <c r="L1476" s="32">
        <f>$J1476*($G1476-$G1475)*60*24</f>
        <v>5.7410198999999799E-3</v>
      </c>
    </row>
    <row r="1477" spans="1:12">
      <c r="A1477" s="22">
        <v>40311.657638888886</v>
      </c>
      <c r="E1477" s="26">
        <v>15.264276000000001</v>
      </c>
      <c r="G1477" s="27">
        <v>0.65763888888888888</v>
      </c>
      <c r="J1477" s="30">
        <f>IF(G1477&lt;$H$10,$H$16,IF(G1477&gt;$I$10,$H$16,$H$11))*E1477/600</f>
        <v>5.5969012000000005E-3</v>
      </c>
      <c r="L1477" s="32">
        <f>$J1477*($G1477-$G1476)*60*24</f>
        <v>5.5969011999999815E-3</v>
      </c>
    </row>
    <row r="1478" spans="1:12">
      <c r="A1478" s="22">
        <v>40311.658333333333</v>
      </c>
      <c r="E1478" s="26">
        <v>15.457344000000001</v>
      </c>
      <c r="G1478" s="27">
        <v>0.65833333333333333</v>
      </c>
      <c r="J1478" s="30">
        <f>IF(G1478&lt;$H$10,$H$16,IF(G1478&gt;$I$10,$H$16,$H$11))*E1478/600</f>
        <v>5.6676927999999996E-3</v>
      </c>
      <c r="L1478" s="32">
        <f>$J1478*($G1478-$G1477)*60*24</f>
        <v>5.6676927999999797E-3</v>
      </c>
    </row>
    <row r="1479" spans="1:12">
      <c r="A1479" s="22">
        <v>40311.65902777778</v>
      </c>
      <c r="E1479" s="26">
        <v>15.678305999999999</v>
      </c>
      <c r="G1479" s="27">
        <v>0.65902777777777777</v>
      </c>
      <c r="J1479" s="30">
        <f>IF(G1479&lt;$H$10,$H$16,IF(G1479&gt;$I$10,$H$16,$H$11))*E1479/600</f>
        <v>5.7487121999999996E-3</v>
      </c>
      <c r="L1479" s="32">
        <f>$J1479*($G1479-$G1478)*60*24</f>
        <v>5.7487121999999797E-3</v>
      </c>
    </row>
    <row r="1480" spans="1:12">
      <c r="A1480" s="22">
        <v>40311.659722222219</v>
      </c>
      <c r="E1480" s="26">
        <v>15.629355</v>
      </c>
      <c r="G1480" s="27">
        <v>0.65972222222222221</v>
      </c>
      <c r="J1480" s="30">
        <f>IF(G1480&lt;$H$10,$H$16,IF(G1480&gt;$I$10,$H$16,$H$11))*E1480/600</f>
        <v>5.7307635000000004E-3</v>
      </c>
      <c r="L1480" s="32">
        <f>$J1480*($G1480-$G1479)*60*24</f>
        <v>5.7307634999999805E-3</v>
      </c>
    </row>
    <row r="1481" spans="1:12">
      <c r="A1481" s="22">
        <v>40311.660416666666</v>
      </c>
      <c r="E1481" s="26">
        <v>15.499008</v>
      </c>
      <c r="G1481" s="27">
        <v>0.66041666666666665</v>
      </c>
      <c r="J1481" s="30">
        <f>IF(G1481&lt;$H$10,$H$16,IF(G1481&gt;$I$10,$H$16,$H$11))*E1481/600</f>
        <v>5.6829695999999997E-3</v>
      </c>
      <c r="L1481" s="32">
        <f>$J1481*($G1481-$G1480)*60*24</f>
        <v>5.6829695999999798E-3</v>
      </c>
    </row>
    <row r="1482" spans="1:12">
      <c r="A1482" s="22">
        <v>40311.661111111112</v>
      </c>
      <c r="E1482" s="26">
        <v>15.58928</v>
      </c>
      <c r="G1482" s="27">
        <v>0.66111111111111109</v>
      </c>
      <c r="J1482" s="30">
        <f>IF(G1482&lt;$H$10,$H$16,IF(G1482&gt;$I$10,$H$16,$H$11))*E1482/600</f>
        <v>5.7160693333333339E-3</v>
      </c>
      <c r="L1482" s="32">
        <f>$J1482*($G1482-$G1481)*60*24</f>
        <v>5.7160693333333139E-3</v>
      </c>
    </row>
    <row r="1483" spans="1:12">
      <c r="A1483" s="22">
        <v>40311.661805555559</v>
      </c>
      <c r="E1483" s="26">
        <v>15.610112000000001</v>
      </c>
      <c r="G1483" s="27">
        <v>0.66180555555555554</v>
      </c>
      <c r="J1483" s="30">
        <f>IF(G1483&lt;$H$10,$H$16,IF(G1483&gt;$I$10,$H$16,$H$11))*E1483/600</f>
        <v>5.723707733333333E-3</v>
      </c>
      <c r="L1483" s="32">
        <f>$J1483*($G1483-$G1482)*60*24</f>
        <v>5.7237077333333122E-3</v>
      </c>
    </row>
    <row r="1484" spans="1:12">
      <c r="A1484" s="22">
        <v>40311.662499999999</v>
      </c>
      <c r="E1484" s="26">
        <v>15.939503999999999</v>
      </c>
      <c r="G1484" s="27">
        <v>0.66249999999999998</v>
      </c>
      <c r="J1484" s="30">
        <f>IF(G1484&lt;$H$10,$H$16,IF(G1484&gt;$I$10,$H$16,$H$11))*E1484/600</f>
        <v>5.8444847999999999E-3</v>
      </c>
      <c r="L1484" s="32">
        <f>$J1484*($G1484-$G1483)*60*24</f>
        <v>5.8444847999999799E-3</v>
      </c>
    </row>
    <row r="1485" spans="1:12">
      <c r="A1485" s="22">
        <v>40311.663194444445</v>
      </c>
      <c r="E1485" s="26">
        <v>110.193552</v>
      </c>
      <c r="G1485" s="27">
        <v>0.66319444444444442</v>
      </c>
      <c r="J1485" s="30">
        <f>IF(G1485&lt;$H$10,$H$16,IF(G1485&gt;$I$10,$H$16,$H$11))*E1485/600</f>
        <v>4.0404302399999995E-2</v>
      </c>
      <c r="L1485" s="32">
        <f>$J1485*($G1485-$G1484)*60*24</f>
        <v>4.0404302399999849E-2</v>
      </c>
    </row>
    <row r="1486" spans="1:12">
      <c r="A1486" s="22">
        <v>40311.663888888892</v>
      </c>
      <c r="E1486" s="26">
        <v>169.26651000000001</v>
      </c>
      <c r="G1486" s="27">
        <v>0.66388888888888886</v>
      </c>
      <c r="J1486" s="30">
        <f>IF(G1486&lt;$H$10,$H$16,IF(G1486&gt;$I$10,$H$16,$H$11))*E1486/600</f>
        <v>6.2064387000000006E-2</v>
      </c>
      <c r="L1486" s="32">
        <f>$J1486*($G1486-$G1485)*60*24</f>
        <v>6.206438699999979E-2</v>
      </c>
    </row>
    <row r="1487" spans="1:12">
      <c r="A1487" s="22">
        <v>40311.664583333331</v>
      </c>
      <c r="E1487" s="26">
        <v>162.86502400000001</v>
      </c>
      <c r="G1487" s="27">
        <v>0.6645833333333333</v>
      </c>
      <c r="J1487" s="30">
        <f>IF(G1487&lt;$H$10,$H$16,IF(G1487&gt;$I$10,$H$16,$H$11))*E1487/600</f>
        <v>5.9717175466666675E-2</v>
      </c>
      <c r="L1487" s="32">
        <f>$J1487*($G1487-$G1486)*60*24</f>
        <v>5.9717175466666467E-2</v>
      </c>
    </row>
    <row r="1488" spans="1:12">
      <c r="A1488" s="22">
        <v>40311.665277777778</v>
      </c>
      <c r="E1488" s="26">
        <v>166.23024599999999</v>
      </c>
      <c r="G1488" s="27">
        <v>0.66527777777777775</v>
      </c>
      <c r="J1488" s="30">
        <f>IF(G1488&lt;$H$10,$H$16,IF(G1488&gt;$I$10,$H$16,$H$11))*E1488/600</f>
        <v>6.0951090200000002E-2</v>
      </c>
      <c r="L1488" s="32">
        <f>$J1488*($G1488-$G1487)*60*24</f>
        <v>6.0951090199999787E-2</v>
      </c>
    </row>
    <row r="1489" spans="1:12">
      <c r="A1489" s="22">
        <v>40311.665972222225</v>
      </c>
      <c r="E1489" s="26">
        <v>174.51952199999999</v>
      </c>
      <c r="G1489" s="27">
        <v>0.66597222222222219</v>
      </c>
      <c r="J1489" s="30">
        <f>IF(G1489&lt;$H$10,$H$16,IF(G1489&gt;$I$10,$H$16,$H$11))*E1489/600</f>
        <v>6.3990491400000002E-2</v>
      </c>
      <c r="L1489" s="32">
        <f>$J1489*($G1489-$G1488)*60*24</f>
        <v>6.399049139999978E-2</v>
      </c>
    </row>
    <row r="1490" spans="1:12">
      <c r="A1490" s="22">
        <v>40311.666666666664</v>
      </c>
      <c r="E1490" s="26">
        <v>155.73244800000001</v>
      </c>
      <c r="G1490" s="27">
        <v>0.66666666666666663</v>
      </c>
      <c r="J1490" s="30">
        <f>IF(G1490&lt;$H$10,$H$16,IF(G1490&gt;$I$10,$H$16,$H$11))*E1490/600</f>
        <v>5.71018976E-2</v>
      </c>
      <c r="L1490" s="32">
        <f>$J1490*($G1490-$G1489)*60*24</f>
        <v>5.7101897599999799E-2</v>
      </c>
    </row>
    <row r="1491" spans="1:12">
      <c r="A1491" s="22">
        <v>40311.667361111111</v>
      </c>
      <c r="E1491" s="26">
        <v>158.28857600000001</v>
      </c>
      <c r="G1491" s="27">
        <v>0.66736111111111107</v>
      </c>
      <c r="J1491" s="30">
        <f>IF(G1491&lt;$H$10,$H$16,IF(G1491&gt;$I$10,$H$16,$H$11))*E1491/600</f>
        <v>5.803914453333333E-2</v>
      </c>
      <c r="L1491" s="32">
        <f>$J1491*($G1491-$G1490)*60*24</f>
        <v>5.8039144533333129E-2</v>
      </c>
    </row>
    <row r="1492" spans="1:12">
      <c r="A1492" s="22">
        <v>40311.668055555558</v>
      </c>
      <c r="E1492" s="26">
        <v>155.59481600000001</v>
      </c>
      <c r="G1492" s="27">
        <v>0.66805555555555562</v>
      </c>
      <c r="J1492" s="30">
        <f>IF(G1492&lt;$H$10,$H$16,IF(G1492&gt;$I$10,$H$16,$H$11))*E1492/600</f>
        <v>5.7051432533333335E-2</v>
      </c>
      <c r="L1492" s="32">
        <f>$J1492*($G1492-$G1491)*60*24</f>
        <v>5.7051432533342258E-2</v>
      </c>
    </row>
    <row r="1493" spans="1:12">
      <c r="A1493" s="22">
        <v>40311.668749999997</v>
      </c>
      <c r="E1493" s="26">
        <v>159.65541999999999</v>
      </c>
      <c r="G1493" s="27">
        <v>0.66875000000000007</v>
      </c>
      <c r="J1493" s="30">
        <f>IF(G1493&lt;$H$10,$H$16,IF(G1493&gt;$I$10,$H$16,$H$11))*E1493/600</f>
        <v>5.8540320666666666E-2</v>
      </c>
      <c r="L1493" s="32">
        <f>$J1493*($G1493-$G1492)*60*24</f>
        <v>5.8540320666666451E-2</v>
      </c>
    </row>
    <row r="1494" spans="1:12">
      <c r="A1494" s="22">
        <v>40311.669444444444</v>
      </c>
      <c r="E1494" s="26">
        <v>157.65598399999999</v>
      </c>
      <c r="G1494" s="27">
        <v>0.6694444444444444</v>
      </c>
      <c r="J1494" s="30">
        <f>IF(G1494&lt;$H$10,$H$16,IF(G1494&gt;$I$10,$H$16,$H$11))*E1494/600</f>
        <v>5.780719413333333E-2</v>
      </c>
      <c r="L1494" s="32">
        <f>$J1494*($G1494-$G1493)*60*24</f>
        <v>5.7807194133323879E-2</v>
      </c>
    </row>
    <row r="1495" spans="1:12">
      <c r="A1495" s="22">
        <v>40311.670138888891</v>
      </c>
      <c r="E1495" s="26">
        <v>161.55614</v>
      </c>
      <c r="G1495" s="27">
        <v>0.67013888888888884</v>
      </c>
      <c r="J1495" s="30">
        <f>IF(G1495&lt;$H$10,$H$16,IF(G1495&gt;$I$10,$H$16,$H$11))*E1495/600</f>
        <v>5.9237251333333338E-2</v>
      </c>
      <c r="L1495" s="32">
        <f>$J1495*($G1495-$G1494)*60*24</f>
        <v>5.923725133333313E-2</v>
      </c>
    </row>
    <row r="1496" spans="1:12">
      <c r="A1496" s="22">
        <v>40311.67083333333</v>
      </c>
      <c r="E1496" s="26">
        <v>157.113</v>
      </c>
      <c r="G1496" s="27">
        <v>0.67083333333333339</v>
      </c>
      <c r="J1496" s="30">
        <f>IF(G1496&lt;$H$10,$H$16,IF(G1496&gt;$I$10,$H$16,$H$11))*E1496/600</f>
        <v>5.7608100000000002E-2</v>
      </c>
      <c r="L1496" s="32">
        <f>$J1496*($G1496-$G1495)*60*24</f>
        <v>5.7608100000009016E-2</v>
      </c>
    </row>
    <row r="1497" spans="1:12">
      <c r="A1497" s="22">
        <v>40311.671527777777</v>
      </c>
      <c r="E1497" s="26">
        <v>155.65986000000001</v>
      </c>
      <c r="G1497" s="27">
        <v>0.67152777777777783</v>
      </c>
      <c r="J1497" s="30">
        <f>IF(G1497&lt;$H$10,$H$16,IF(G1497&gt;$I$10,$H$16,$H$11))*E1497/600</f>
        <v>5.7075281999999998E-2</v>
      </c>
      <c r="L1497" s="32">
        <f>$J1497*($G1497-$G1496)*60*24</f>
        <v>5.7075281999999797E-2</v>
      </c>
    </row>
    <row r="1498" spans="1:12">
      <c r="A1498" s="22">
        <v>40311.672222222223</v>
      </c>
      <c r="E1498" s="26">
        <v>155.65433999999999</v>
      </c>
      <c r="G1498" s="27">
        <v>0.67222222222222217</v>
      </c>
      <c r="J1498" s="30">
        <f>IF(G1498&lt;$H$10,$H$16,IF(G1498&gt;$I$10,$H$16,$H$11))*E1498/600</f>
        <v>5.7073257999999995E-2</v>
      </c>
      <c r="L1498" s="32">
        <f>$J1498*($G1498-$G1497)*60*24</f>
        <v>5.7073257999990676E-2</v>
      </c>
    </row>
    <row r="1499" spans="1:12">
      <c r="A1499" s="22">
        <v>40311.67291666667</v>
      </c>
      <c r="E1499" s="26">
        <v>154.75688</v>
      </c>
      <c r="G1499" s="27">
        <v>0.67291666666666661</v>
      </c>
      <c r="J1499" s="30">
        <f>IF(G1499&lt;$H$10,$H$16,IF(G1499&gt;$I$10,$H$16,$H$11))*E1499/600</f>
        <v>5.6744189333333327E-2</v>
      </c>
      <c r="L1499" s="32">
        <f>$J1499*($G1499-$G1498)*60*24</f>
        <v>5.6744189333333125E-2</v>
      </c>
    </row>
    <row r="1500" spans="1:12">
      <c r="A1500" s="22">
        <v>40311.673611111109</v>
      </c>
      <c r="E1500" s="26">
        <v>154.69064</v>
      </c>
      <c r="G1500" s="27">
        <v>0.67361111111111116</v>
      </c>
      <c r="J1500" s="30">
        <f>IF(G1500&lt;$H$10,$H$16,IF(G1500&gt;$I$10,$H$16,$H$11))*E1500/600</f>
        <v>5.6719901333333336E-2</v>
      </c>
      <c r="L1500" s="32">
        <f>$J1500*($G1500-$G1499)*60*24</f>
        <v>5.6719901333342204E-2</v>
      </c>
    </row>
    <row r="1501" spans="1:12">
      <c r="A1501" s="22">
        <v>40311.674305555556</v>
      </c>
      <c r="E1501" s="26">
        <v>154.19678400000001</v>
      </c>
      <c r="G1501" s="27">
        <v>0.6743055555555556</v>
      </c>
      <c r="J1501" s="30">
        <f>IF(G1501&lt;$H$10,$H$16,IF(G1501&gt;$I$10,$H$16,$H$11))*E1501/600</f>
        <v>5.65388208E-2</v>
      </c>
      <c r="L1501" s="32">
        <f>$J1501*($G1501-$G1500)*60*24</f>
        <v>5.6538820799999806E-2</v>
      </c>
    </row>
    <row r="1502" spans="1:12">
      <c r="A1502" s="22">
        <v>40311.675000000003</v>
      </c>
      <c r="E1502" s="26">
        <v>154.97216</v>
      </c>
      <c r="G1502" s="27">
        <v>0.67499999999999993</v>
      </c>
      <c r="J1502" s="30">
        <f>IF(G1502&lt;$H$10,$H$16,IF(G1502&gt;$I$10,$H$16,$H$11))*E1502/600</f>
        <v>5.6823125333333335E-2</v>
      </c>
      <c r="L1502" s="32">
        <f>$J1502*($G1502-$G1501)*60*24</f>
        <v>5.6823125333324037E-2</v>
      </c>
    </row>
    <row r="1503" spans="1:12">
      <c r="A1503" s="22">
        <v>40311.675694444442</v>
      </c>
      <c r="E1503" s="26">
        <v>154.90481600000001</v>
      </c>
      <c r="G1503" s="27">
        <v>0.67569444444444438</v>
      </c>
      <c r="J1503" s="30">
        <f>IF(G1503&lt;$H$10,$H$16,IF(G1503&gt;$I$10,$H$16,$H$11))*E1503/600</f>
        <v>5.6798432533333339E-2</v>
      </c>
      <c r="L1503" s="32">
        <f>$J1503*($G1503-$G1502)*60*24</f>
        <v>5.6798432533333137E-2</v>
      </c>
    </row>
    <row r="1504" spans="1:12">
      <c r="A1504" s="22">
        <v>40311.676388888889</v>
      </c>
      <c r="E1504" s="26">
        <v>154.767</v>
      </c>
      <c r="G1504" s="27">
        <v>0.67638888888888893</v>
      </c>
      <c r="J1504" s="30">
        <f>IF(G1504&lt;$H$10,$H$16,IF(G1504&gt;$I$10,$H$16,$H$11))*E1504/600</f>
        <v>5.6747900000000004E-2</v>
      </c>
      <c r="L1504" s="32">
        <f>$J1504*($G1504-$G1503)*60*24</f>
        <v>5.6747900000008872E-2</v>
      </c>
    </row>
    <row r="1505" spans="1:12">
      <c r="A1505" s="22">
        <v>40311.677083333336</v>
      </c>
      <c r="E1505" s="26">
        <v>155.59481600000001</v>
      </c>
      <c r="G1505" s="27">
        <v>0.67708333333333337</v>
      </c>
      <c r="J1505" s="30">
        <f>IF(G1505&lt;$H$10,$H$16,IF(G1505&gt;$I$10,$H$16,$H$11))*E1505/600</f>
        <v>5.7051432533333335E-2</v>
      </c>
      <c r="L1505" s="32">
        <f>$J1505*($G1505-$G1504)*60*24</f>
        <v>5.7051432533333127E-2</v>
      </c>
    </row>
    <row r="1506" spans="1:12">
      <c r="A1506" s="22">
        <v>40311.677777777775</v>
      </c>
      <c r="E1506" s="26">
        <v>154.49191999999999</v>
      </c>
      <c r="G1506" s="27">
        <v>0.6777777777777777</v>
      </c>
      <c r="J1506" s="30">
        <f>IF(G1506&lt;$H$10,$H$16,IF(G1506&gt;$I$10,$H$16,$H$11))*E1506/600</f>
        <v>5.664703733333333E-2</v>
      </c>
      <c r="L1506" s="32">
        <f>$J1506*($G1506-$G1505)*60*24</f>
        <v>5.6647037333324074E-2</v>
      </c>
    </row>
    <row r="1507" spans="1:12">
      <c r="A1507" s="22">
        <v>40311.678472222222</v>
      </c>
      <c r="E1507" s="26">
        <v>155.73115999999999</v>
      </c>
      <c r="G1507" s="27">
        <v>0.67847222222222225</v>
      </c>
      <c r="J1507" s="30">
        <f>IF(G1507&lt;$H$10,$H$16,IF(G1507&gt;$I$10,$H$16,$H$11))*E1507/600</f>
        <v>5.7101425333333324E-2</v>
      </c>
      <c r="L1507" s="32">
        <f>$J1507*($G1507-$G1506)*60*24</f>
        <v>5.7101425333342247E-2</v>
      </c>
    </row>
    <row r="1508" spans="1:12">
      <c r="A1508" s="22">
        <v>40311.679166666669</v>
      </c>
      <c r="E1508" s="26">
        <v>155.646612</v>
      </c>
      <c r="G1508" s="27">
        <v>0.6791666666666667</v>
      </c>
      <c r="J1508" s="30">
        <f>IF(G1508&lt;$H$10,$H$16,IF(G1508&gt;$I$10,$H$16,$H$11))*E1508/600</f>
        <v>5.70704244E-2</v>
      </c>
      <c r="L1508" s="32">
        <f>$J1508*($G1508-$G1507)*60*24</f>
        <v>5.7070424399999799E-2</v>
      </c>
    </row>
    <row r="1509" spans="1:12">
      <c r="A1509" s="22">
        <v>40311.679861111108</v>
      </c>
      <c r="E1509" s="26">
        <v>154.83600000000001</v>
      </c>
      <c r="G1509" s="27">
        <v>0.67986111111111114</v>
      </c>
      <c r="J1509" s="30">
        <f>IF(G1509&lt;$H$10,$H$16,IF(G1509&gt;$I$10,$H$16,$H$11))*E1509/600</f>
        <v>5.6773200000000003E-2</v>
      </c>
      <c r="L1509" s="32">
        <f>$J1509*($G1509-$G1508)*60*24</f>
        <v>5.6773199999999802E-2</v>
      </c>
    </row>
    <row r="1510" spans="1:12">
      <c r="A1510" s="22">
        <v>40311.680555555555</v>
      </c>
      <c r="E1510" s="26">
        <v>154.767368</v>
      </c>
      <c r="G1510" s="27">
        <v>0.68055555555555547</v>
      </c>
      <c r="J1510" s="30">
        <f>IF(G1510&lt;$H$10,$H$16,IF(G1510&gt;$I$10,$H$16,$H$11))*E1510/600</f>
        <v>5.6748034933333337E-2</v>
      </c>
      <c r="L1510" s="32">
        <f>$J1510*($G1510-$G1509)*60*24</f>
        <v>5.674803493332406E-2</v>
      </c>
    </row>
    <row r="1511" spans="1:12">
      <c r="A1511" s="22">
        <v>40311.681250000001</v>
      </c>
      <c r="E1511" s="26">
        <v>157.87706</v>
      </c>
      <c r="G1511" s="27">
        <v>0.68125000000000002</v>
      </c>
      <c r="J1511" s="30">
        <f>IF(G1511&lt;$H$10,$H$16,IF(G1511&gt;$I$10,$H$16,$H$11))*E1511/600</f>
        <v>5.7888255333333326E-2</v>
      </c>
      <c r="L1511" s="32">
        <f>$J1511*($G1511-$G1510)*60*24</f>
        <v>5.7888255333342367E-2</v>
      </c>
    </row>
    <row r="1512" spans="1:12">
      <c r="A1512" s="22">
        <v>40311.681944444441</v>
      </c>
      <c r="E1512" s="26">
        <v>157.11024</v>
      </c>
      <c r="G1512" s="27">
        <v>0.68194444444444446</v>
      </c>
      <c r="J1512" s="30">
        <f>IF(G1512&lt;$H$10,$H$16,IF(G1512&gt;$I$10,$H$16,$H$11))*E1512/600</f>
        <v>5.7607088000000001E-2</v>
      </c>
      <c r="L1512" s="32">
        <f>$J1512*($G1512-$G1511)*60*24</f>
        <v>5.7607087999999806E-2</v>
      </c>
    </row>
    <row r="1513" spans="1:12">
      <c r="A1513" s="22">
        <v>40311.682638888888</v>
      </c>
      <c r="E1513" s="26">
        <v>157.74283199999999</v>
      </c>
      <c r="G1513" s="27">
        <v>0.68263888888888891</v>
      </c>
      <c r="J1513" s="30">
        <f>IF(G1513&lt;$H$10,$H$16,IF(G1513&gt;$I$10,$H$16,$H$11))*E1513/600</f>
        <v>5.7839038399999994E-2</v>
      </c>
      <c r="L1513" s="32">
        <f>$J1513*($G1513-$G1512)*60*24</f>
        <v>5.7839038399999793E-2</v>
      </c>
    </row>
    <row r="1514" spans="1:12">
      <c r="A1514" s="22">
        <v>40311.683333333334</v>
      </c>
      <c r="E1514" s="26">
        <v>156.49338</v>
      </c>
      <c r="G1514" s="27">
        <v>0.68333333333333324</v>
      </c>
      <c r="J1514" s="30">
        <f>IF(G1514&lt;$H$10,$H$16,IF(G1514&gt;$I$10,$H$16,$H$11))*E1514/600</f>
        <v>5.7380905999999995E-2</v>
      </c>
      <c r="L1514" s="32">
        <f>$J1514*($G1514-$G1513)*60*24</f>
        <v>5.7380905999990628E-2</v>
      </c>
    </row>
    <row r="1515" spans="1:12">
      <c r="A1515" s="22">
        <v>40311.684027777781</v>
      </c>
      <c r="E1515" s="26">
        <v>158.43503999999999</v>
      </c>
      <c r="G1515" s="27">
        <v>0.68402777777777779</v>
      </c>
      <c r="J1515" s="30">
        <f>IF(G1515&lt;$H$10,$H$16,IF(G1515&gt;$I$10,$H$16,$H$11))*E1515/600</f>
        <v>5.8092847999999989E-2</v>
      </c>
      <c r="L1515" s="32">
        <f>$J1515*($G1515-$G1514)*60*24</f>
        <v>5.8092848000009079E-2</v>
      </c>
    </row>
    <row r="1516" spans="1:12">
      <c r="A1516" s="22">
        <v>40311.68472222222</v>
      </c>
      <c r="E1516" s="26">
        <v>158.43715599999999</v>
      </c>
      <c r="G1516" s="27">
        <v>0.68472222222222223</v>
      </c>
      <c r="J1516" s="30">
        <f>IF(G1516&lt;$H$10,$H$16,IF(G1516&gt;$I$10,$H$16,$H$11))*E1516/600</f>
        <v>5.8093623866666666E-2</v>
      </c>
      <c r="L1516" s="32">
        <f>$J1516*($G1516-$G1515)*60*24</f>
        <v>5.8093623866666458E-2</v>
      </c>
    </row>
    <row r="1517" spans="1:12">
      <c r="A1517" s="22">
        <v>40311.685416666667</v>
      </c>
      <c r="E1517" s="26">
        <v>155.248896</v>
      </c>
      <c r="G1517" s="27">
        <v>0.68541666666666667</v>
      </c>
      <c r="J1517" s="30">
        <f>IF(G1517&lt;$H$10,$H$16,IF(G1517&gt;$I$10,$H$16,$H$11))*E1517/600</f>
        <v>5.6924595199999997E-2</v>
      </c>
      <c r="L1517" s="32">
        <f>$J1517*($G1517-$G1516)*60*24</f>
        <v>5.6924595199999789E-2</v>
      </c>
    </row>
    <row r="1518" spans="1:12">
      <c r="A1518" s="22">
        <v>40311.686111111114</v>
      </c>
      <c r="E1518" s="26">
        <v>156.909312</v>
      </c>
      <c r="G1518" s="27">
        <v>0.68611111111111101</v>
      </c>
      <c r="J1518" s="30">
        <f>IF(G1518&lt;$H$10,$H$16,IF(G1518&gt;$I$10,$H$16,$H$11))*E1518/600</f>
        <v>5.7533414399999996E-2</v>
      </c>
      <c r="L1518" s="32">
        <f>$J1518*($G1518-$G1517)*60*24</f>
        <v>5.7533414399990587E-2</v>
      </c>
    </row>
    <row r="1519" spans="1:12">
      <c r="A1519" s="22">
        <v>40311.686805555553</v>
      </c>
      <c r="E1519" s="26">
        <v>156.63</v>
      </c>
      <c r="G1519" s="27">
        <v>0.68680555555555556</v>
      </c>
      <c r="J1519" s="30">
        <f>IF(G1519&lt;$H$10,$H$16,IF(G1519&gt;$I$10,$H$16,$H$11))*E1519/600</f>
        <v>5.7430999999999996E-2</v>
      </c>
      <c r="L1519" s="32">
        <f>$J1519*($G1519-$G1518)*60*24</f>
        <v>5.7431000000008975E-2</v>
      </c>
    </row>
    <row r="1520" spans="1:12">
      <c r="A1520" s="22">
        <v>40311.6875</v>
      </c>
      <c r="E1520" s="26">
        <v>157.46214000000001</v>
      </c>
      <c r="G1520" s="27">
        <v>0.6875</v>
      </c>
      <c r="J1520" s="30">
        <f>IF(G1520&lt;$H$10,$H$16,IF(G1520&gt;$I$10,$H$16,$H$11))*E1520/600</f>
        <v>5.7736118000000003E-2</v>
      </c>
      <c r="L1520" s="32">
        <f>$J1520*($G1520-$G1519)*60*24</f>
        <v>5.7736117999999802E-2</v>
      </c>
    </row>
    <row r="1521" spans="1:12">
      <c r="A1521" s="22">
        <v>40311.688194444447</v>
      </c>
      <c r="E1521" s="26">
        <v>158.569728</v>
      </c>
      <c r="G1521" s="27">
        <v>0.68819444444444444</v>
      </c>
      <c r="J1521" s="30">
        <f>IF(G1521&lt;$H$10,$H$16,IF(G1521&gt;$I$10,$H$16,$H$11))*E1521/600</f>
        <v>5.8142233599999996E-2</v>
      </c>
      <c r="L1521" s="32">
        <f>$J1521*($G1521-$G1520)*60*24</f>
        <v>5.8142233599999794E-2</v>
      </c>
    </row>
    <row r="1522" spans="1:12">
      <c r="A1522" s="22">
        <v>40311.688888888886</v>
      </c>
      <c r="E1522" s="26">
        <v>160.92410000000001</v>
      </c>
      <c r="G1522" s="27">
        <v>0.68888888888888899</v>
      </c>
      <c r="J1522" s="30">
        <f>IF(G1522&lt;$H$10,$H$16,IF(G1522&gt;$I$10,$H$16,$H$11))*E1522/600</f>
        <v>5.9005503333333341E-2</v>
      </c>
      <c r="L1522" s="32">
        <f>$J1522*($G1522-$G1521)*60*24</f>
        <v>5.9005503333342563E-2</v>
      </c>
    </row>
    <row r="1523" spans="1:12">
      <c r="A1523" s="22">
        <v>40311.689583333333</v>
      </c>
      <c r="E1523" s="26">
        <v>163.42511999999999</v>
      </c>
      <c r="G1523" s="27">
        <v>0.68958333333333333</v>
      </c>
      <c r="J1523" s="30">
        <f>IF(G1523&lt;$H$10,$H$16,IF(G1523&gt;$I$10,$H$16,$H$11))*E1523/600</f>
        <v>5.9922544000000001E-2</v>
      </c>
      <c r="L1523" s="32">
        <f>$J1523*($G1523-$G1522)*60*24</f>
        <v>5.992254399999021E-2</v>
      </c>
    </row>
    <row r="1524" spans="1:12">
      <c r="A1524" s="22">
        <v>40311.69027777778</v>
      </c>
      <c r="E1524" s="26">
        <v>158.57524799999999</v>
      </c>
      <c r="G1524" s="27">
        <v>0.69027777777777777</v>
      </c>
      <c r="J1524" s="30">
        <f>IF(G1524&lt;$H$10,$H$16,IF(G1524&gt;$I$10,$H$16,$H$11))*E1524/600</f>
        <v>5.8144257599999999E-2</v>
      </c>
      <c r="L1524" s="32">
        <f>$J1524*($G1524-$G1523)*60*24</f>
        <v>5.8144257599999791E-2</v>
      </c>
    </row>
    <row r="1525" spans="1:12">
      <c r="A1525" s="22">
        <v>40311.690972222219</v>
      </c>
      <c r="E1525" s="26">
        <v>159.11225200000001</v>
      </c>
      <c r="G1525" s="27">
        <v>0.69097222222222221</v>
      </c>
      <c r="J1525" s="30">
        <f>IF(G1525&lt;$H$10,$H$16,IF(G1525&gt;$I$10,$H$16,$H$11))*E1525/600</f>
        <v>5.8341159066666676E-2</v>
      </c>
      <c r="L1525" s="32">
        <f>$J1525*($G1525-$G1524)*60*24</f>
        <v>5.8341159066666461E-2</v>
      </c>
    </row>
    <row r="1526" spans="1:12">
      <c r="A1526" s="22">
        <v>40311.691666666666</v>
      </c>
      <c r="E1526" s="26">
        <v>159.41069999999999</v>
      </c>
      <c r="G1526" s="27">
        <v>0.69166666666666676</v>
      </c>
      <c r="J1526" s="30">
        <f>IF(G1526&lt;$H$10,$H$16,IF(G1526&gt;$I$10,$H$16,$H$11))*E1526/600</f>
        <v>5.8450590000000004E-2</v>
      </c>
      <c r="L1526" s="32">
        <f>$J1526*($G1526-$G1525)*60*24</f>
        <v>5.8450590000009142E-2</v>
      </c>
    </row>
    <row r="1527" spans="1:12">
      <c r="A1527" s="22">
        <v>40311.692361111112</v>
      </c>
      <c r="E1527" s="26">
        <v>156.977024</v>
      </c>
      <c r="G1527" s="27">
        <v>0.69236111111111109</v>
      </c>
      <c r="J1527" s="30">
        <f>IF(G1527&lt;$H$10,$H$16,IF(G1527&gt;$I$10,$H$16,$H$11))*E1527/600</f>
        <v>5.755824213333334E-2</v>
      </c>
      <c r="L1527" s="32">
        <f>$J1527*($G1527-$G1526)*60*24</f>
        <v>5.7558242133323931E-2</v>
      </c>
    </row>
    <row r="1528" spans="1:12">
      <c r="A1528" s="22">
        <v>40311.693055555559</v>
      </c>
      <c r="E1528" s="26">
        <v>157.325796</v>
      </c>
      <c r="G1528" s="27">
        <v>0.69305555555555554</v>
      </c>
      <c r="J1528" s="30">
        <f>IF(G1528&lt;$H$10,$H$16,IF(G1528&gt;$I$10,$H$16,$H$11))*E1528/600</f>
        <v>5.76861252E-2</v>
      </c>
      <c r="L1528" s="32">
        <f>$J1528*($G1528-$G1527)*60*24</f>
        <v>5.7686125199999785E-2</v>
      </c>
    </row>
    <row r="1529" spans="1:12">
      <c r="A1529" s="22">
        <v>40311.693749999999</v>
      </c>
      <c r="E1529" s="26">
        <v>156.834608</v>
      </c>
      <c r="G1529" s="27">
        <v>0.69374999999999998</v>
      </c>
      <c r="J1529" s="30">
        <f>IF(G1529&lt;$H$10,$H$16,IF(G1529&gt;$I$10,$H$16,$H$11))*E1529/600</f>
        <v>5.7506022933333331E-2</v>
      </c>
      <c r="L1529" s="32">
        <f>$J1529*($G1529-$G1528)*60*24</f>
        <v>5.750602293333313E-2</v>
      </c>
    </row>
    <row r="1530" spans="1:12">
      <c r="A1530" s="22">
        <v>40311.694444444445</v>
      </c>
      <c r="E1530" s="26">
        <v>158.23098400000001</v>
      </c>
      <c r="G1530" s="27">
        <v>0.69444444444444453</v>
      </c>
      <c r="J1530" s="30">
        <f>IF(G1530&lt;$H$10,$H$16,IF(G1530&gt;$I$10,$H$16,$H$11))*E1530/600</f>
        <v>5.8018027466666663E-2</v>
      </c>
      <c r="L1530" s="32">
        <f>$J1530*($G1530-$G1529)*60*24</f>
        <v>5.801802746667574E-2</v>
      </c>
    </row>
    <row r="1531" spans="1:12">
      <c r="A1531" s="22">
        <v>40311.695138888892</v>
      </c>
      <c r="E1531" s="26">
        <v>158.71867599999999</v>
      </c>
      <c r="G1531" s="27">
        <v>0.69513888888888886</v>
      </c>
      <c r="J1531" s="30">
        <f>IF(G1531&lt;$H$10,$H$16,IF(G1531&gt;$I$10,$H$16,$H$11))*E1531/600</f>
        <v>5.8196847866666665E-2</v>
      </c>
      <c r="L1531" s="32">
        <f>$J1531*($G1531-$G1530)*60*24</f>
        <v>5.8196847866657159E-2</v>
      </c>
    </row>
    <row r="1532" spans="1:12">
      <c r="A1532" s="22">
        <v>40311.695833333331</v>
      </c>
      <c r="E1532" s="26">
        <v>160.59428</v>
      </c>
      <c r="G1532" s="27">
        <v>0.6958333333333333</v>
      </c>
      <c r="J1532" s="30">
        <f>IF(G1532&lt;$H$10,$H$16,IF(G1532&gt;$I$10,$H$16,$H$11))*E1532/600</f>
        <v>5.8884569333333338E-2</v>
      </c>
      <c r="L1532" s="32">
        <f>$J1532*($G1532-$G1531)*60*24</f>
        <v>5.8884569333333123E-2</v>
      </c>
    </row>
    <row r="1533" spans="1:12">
      <c r="A1533" s="22">
        <v>40311.696527777778</v>
      </c>
      <c r="E1533" s="26">
        <v>155.72600800000001</v>
      </c>
      <c r="G1533" s="27">
        <v>0.69652777777777775</v>
      </c>
      <c r="J1533" s="30">
        <f>IF(G1533&lt;$H$10,$H$16,IF(G1533&gt;$I$10,$H$16,$H$11))*E1533/600</f>
        <v>5.7099536266666674E-2</v>
      </c>
      <c r="L1533" s="32">
        <f>$J1533*($G1533-$G1532)*60*24</f>
        <v>5.7099536266666473E-2</v>
      </c>
    </row>
    <row r="1534" spans="1:12">
      <c r="A1534" s="22">
        <v>40311.697222222225</v>
      </c>
      <c r="E1534" s="26">
        <v>154.80287999999999</v>
      </c>
      <c r="G1534" s="27">
        <v>0.6972222222222223</v>
      </c>
      <c r="J1534" s="30">
        <f>IF(G1534&lt;$H$10,$H$16,IF(G1534&gt;$I$10,$H$16,$H$11))*E1534/600</f>
        <v>5.6761055999999997E-2</v>
      </c>
      <c r="L1534" s="32">
        <f>$J1534*($G1534-$G1533)*60*24</f>
        <v>5.6761056000008872E-2</v>
      </c>
    </row>
    <row r="1535" spans="1:12">
      <c r="A1535" s="22">
        <v>40311.697916666664</v>
      </c>
      <c r="E1535" s="26">
        <v>154.66092399999999</v>
      </c>
      <c r="G1535" s="27">
        <v>0.69791666666666663</v>
      </c>
      <c r="J1535" s="30">
        <f>IF(G1535&lt;$H$10,$H$16,IF(G1535&gt;$I$10,$H$16,$H$11))*E1535/600</f>
        <v>5.6709005466666663E-2</v>
      </c>
      <c r="L1535" s="32">
        <f>$J1535*($G1535-$G1534)*60*24</f>
        <v>5.67090054666574E-2</v>
      </c>
    </row>
    <row r="1536" spans="1:12">
      <c r="A1536" s="22">
        <v>40311.698611111111</v>
      </c>
      <c r="E1536" s="26">
        <v>154.68226799999999</v>
      </c>
      <c r="G1536" s="27">
        <v>0.69861111111111107</v>
      </c>
      <c r="J1536" s="30">
        <f>IF(G1536&lt;$H$10,$H$16,IF(G1536&gt;$I$10,$H$16,$H$11))*E1536/600</f>
        <v>5.6716831599999996E-2</v>
      </c>
      <c r="L1536" s="32">
        <f>$J1536*($G1536-$G1535)*60*24</f>
        <v>5.6716831599999795E-2</v>
      </c>
    </row>
    <row r="1537" spans="1:12">
      <c r="A1537" s="22">
        <v>40311.699305555558</v>
      </c>
      <c r="E1537" s="26">
        <v>155.317712</v>
      </c>
      <c r="G1537" s="27">
        <v>0.69930555555555562</v>
      </c>
      <c r="J1537" s="30">
        <f>IF(G1537&lt;$H$10,$H$16,IF(G1537&gt;$I$10,$H$16,$H$11))*E1537/600</f>
        <v>5.6949827733333326E-2</v>
      </c>
      <c r="L1537" s="32">
        <f>$J1537*($G1537-$G1536)*60*24</f>
        <v>5.6949827733342222E-2</v>
      </c>
    </row>
    <row r="1538" spans="1:12">
      <c r="A1538" s="22">
        <v>40311.699999999997</v>
      </c>
      <c r="E1538" s="26">
        <v>155.24972399999999</v>
      </c>
      <c r="G1538" s="27">
        <v>0.70000000000000007</v>
      </c>
      <c r="J1538" s="30">
        <f>IF(G1538&lt;$H$10,$H$16,IF(G1538&gt;$I$10,$H$16,$H$11))*E1538/600</f>
        <v>5.6924898799999998E-2</v>
      </c>
      <c r="L1538" s="32">
        <f>$J1538*($G1538-$G1537)*60*24</f>
        <v>5.692489879999979E-2</v>
      </c>
    </row>
    <row r="1539" spans="1:12">
      <c r="A1539" s="22">
        <v>40311.700694444444</v>
      </c>
      <c r="E1539" s="26">
        <v>154.97262000000001</v>
      </c>
      <c r="G1539" s="27">
        <v>0.7006944444444444</v>
      </c>
      <c r="J1539" s="30">
        <f>IF(G1539&lt;$H$10,$H$16,IF(G1539&gt;$I$10,$H$16,$H$11))*E1539/600</f>
        <v>5.6823294000000003E-2</v>
      </c>
      <c r="L1539" s="32">
        <f>$J1539*($G1539-$G1538)*60*24</f>
        <v>5.6823293999990712E-2</v>
      </c>
    </row>
    <row r="1540" spans="1:12">
      <c r="A1540" s="22">
        <v>40311.701388888891</v>
      </c>
      <c r="E1540" s="26">
        <v>155.18100000000001</v>
      </c>
      <c r="G1540" s="27">
        <v>0.70138888888888884</v>
      </c>
      <c r="J1540" s="30">
        <f>IF(G1540&lt;$H$10,$H$16,IF(G1540&gt;$I$10,$H$16,$H$11))*E1540/600</f>
        <v>5.6899699999999998E-2</v>
      </c>
      <c r="L1540" s="32">
        <f>$J1540*($G1540-$G1539)*60*24</f>
        <v>5.6899699999999789E-2</v>
      </c>
    </row>
    <row r="1541" spans="1:12">
      <c r="A1541" s="22">
        <v>40311.70208333333</v>
      </c>
      <c r="E1541" s="26">
        <v>154.90039999999999</v>
      </c>
      <c r="G1541" s="27">
        <v>0.70208333333333339</v>
      </c>
      <c r="J1541" s="30">
        <f>IF(G1541&lt;$H$10,$H$16,IF(G1541&gt;$I$10,$H$16,$H$11))*E1541/600</f>
        <v>5.6796813333333335E-2</v>
      </c>
      <c r="L1541" s="32">
        <f>$J1541*($G1541-$G1540)*60*24</f>
        <v>5.6796813333342216E-2</v>
      </c>
    </row>
    <row r="1542" spans="1:12">
      <c r="A1542" s="22">
        <v>40311.702777777777</v>
      </c>
      <c r="E1542" s="26">
        <v>155.304832</v>
      </c>
      <c r="G1542" s="27">
        <v>0.70277777777777783</v>
      </c>
      <c r="J1542" s="30">
        <f>IF(G1542&lt;$H$10,$H$16,IF(G1542&gt;$I$10,$H$16,$H$11))*E1542/600</f>
        <v>5.6945105066666668E-2</v>
      </c>
      <c r="L1542" s="32">
        <f>$J1542*($G1542-$G1541)*60*24</f>
        <v>5.694510506666646E-2</v>
      </c>
    </row>
    <row r="1543" spans="1:12">
      <c r="A1543" s="22">
        <v>40311.703472222223</v>
      </c>
      <c r="E1543" s="26">
        <v>178.49080799999999</v>
      </c>
      <c r="G1543" s="27">
        <v>0.70347222222222217</v>
      </c>
      <c r="J1543" s="30">
        <f>IF(G1543&lt;$H$10,$H$16,IF(G1543&gt;$I$10,$H$16,$H$11))*E1543/600</f>
        <v>6.54466296E-2</v>
      </c>
      <c r="L1543" s="32">
        <f>$J1543*($G1543-$G1542)*60*24</f>
        <v>6.5446629599989314E-2</v>
      </c>
    </row>
    <row r="1544" spans="1:12">
      <c r="A1544" s="22">
        <v>40311.70416666667</v>
      </c>
      <c r="E1544" s="26">
        <v>181.47884400000001</v>
      </c>
      <c r="G1544" s="27">
        <v>0.70416666666666661</v>
      </c>
      <c r="J1544" s="30">
        <f>IF(G1544&lt;$H$10,$H$16,IF(G1544&gt;$I$10,$H$16,$H$11))*E1544/600</f>
        <v>6.6542242799999998E-2</v>
      </c>
      <c r="L1544" s="32">
        <f>$J1544*($G1544-$G1543)*60*24</f>
        <v>6.6542242799999762E-2</v>
      </c>
    </row>
    <row r="1545" spans="1:12">
      <c r="A1545" s="22">
        <v>40311.704861111109</v>
      </c>
      <c r="E1545" s="26">
        <v>178.624728</v>
      </c>
      <c r="G1545" s="27">
        <v>0.70486111111111116</v>
      </c>
      <c r="J1545" s="30">
        <f>IF(G1545&lt;$H$10,$H$16,IF(G1545&gt;$I$10,$H$16,$H$11))*E1545/600</f>
        <v>6.5495733599999995E-2</v>
      </c>
      <c r="L1545" s="32">
        <f>$J1545*($G1545-$G1544)*60*24</f>
        <v>6.5495733600010236E-2</v>
      </c>
    </row>
    <row r="1546" spans="1:12">
      <c r="A1546" s="22">
        <v>40311.705555555556</v>
      </c>
      <c r="E1546" s="26">
        <v>154.95008000000001</v>
      </c>
      <c r="G1546" s="27">
        <v>0.7055555555555556</v>
      </c>
      <c r="J1546" s="30">
        <f>IF(G1546&lt;$H$10,$H$16,IF(G1546&gt;$I$10,$H$16,$H$11))*E1546/600</f>
        <v>5.6815029333333343E-2</v>
      </c>
      <c r="L1546" s="32">
        <f>$J1546*($G1546-$G1545)*60*24</f>
        <v>5.6815029333333142E-2</v>
      </c>
    </row>
    <row r="1547" spans="1:12">
      <c r="A1547" s="22">
        <v>40311.706250000003</v>
      </c>
      <c r="E1547" s="26">
        <v>155.35856000000001</v>
      </c>
      <c r="G1547" s="27">
        <v>0.70624999999999993</v>
      </c>
      <c r="J1547" s="30">
        <f>IF(G1547&lt;$H$10,$H$16,IF(G1547&gt;$I$10,$H$16,$H$11))*E1547/600</f>
        <v>5.6964805333333333E-2</v>
      </c>
      <c r="L1547" s="32">
        <f>$J1547*($G1547-$G1546)*60*24</f>
        <v>5.6964805333324028E-2</v>
      </c>
    </row>
    <row r="1548" spans="1:12">
      <c r="A1548" s="22">
        <v>40311.706944444442</v>
      </c>
      <c r="E1548" s="26">
        <v>160.74755200000001</v>
      </c>
      <c r="G1548" s="27">
        <v>0.70694444444444438</v>
      </c>
      <c r="J1548" s="30">
        <f>IF(G1548&lt;$H$10,$H$16,IF(G1548&gt;$I$10,$H$16,$H$11))*E1548/600</f>
        <v>5.8940769066666676E-2</v>
      </c>
      <c r="L1548" s="32">
        <f>$J1548*($G1548-$G1547)*60*24</f>
        <v>5.8940769066666468E-2</v>
      </c>
    </row>
    <row r="1549" spans="1:12">
      <c r="A1549" s="22">
        <v>40311.707638888889</v>
      </c>
      <c r="E1549" s="26">
        <v>161.22963200000001</v>
      </c>
      <c r="G1549" s="27">
        <v>0.70763888888888893</v>
      </c>
      <c r="J1549" s="30">
        <f>IF(G1549&lt;$H$10,$H$16,IF(G1549&gt;$I$10,$H$16,$H$11))*E1549/600</f>
        <v>5.9117531733333332E-2</v>
      </c>
      <c r="L1549" s="32">
        <f>$J1549*($G1549-$G1548)*60*24</f>
        <v>5.9117531733342575E-2</v>
      </c>
    </row>
    <row r="1550" spans="1:12">
      <c r="A1550" s="22">
        <v>40311.708333333336</v>
      </c>
      <c r="E1550" s="26">
        <v>159.82387199999999</v>
      </c>
      <c r="G1550" s="27">
        <v>0.70833333333333337</v>
      </c>
      <c r="J1550" s="30">
        <f>IF(G1550&lt;$H$10,$H$16,IF(G1550&gt;$I$10,$H$16,$H$11))*E1550/600</f>
        <v>5.8602086399999996E-2</v>
      </c>
      <c r="L1550" s="32">
        <f>$J1550*($G1550-$G1549)*60*24</f>
        <v>5.8602086399999788E-2</v>
      </c>
    </row>
    <row r="1551" spans="1:12">
      <c r="A1551" s="22">
        <v>40311.709027777775</v>
      </c>
      <c r="E1551" s="26">
        <v>158.13392400000001</v>
      </c>
      <c r="G1551" s="27">
        <v>0.7090277777777777</v>
      </c>
      <c r="J1551" s="30">
        <f>IF(G1551&lt;$H$10,$H$16,IF(G1551&gt;$I$10,$H$16,$H$11))*E1551/600</f>
        <v>5.7982438800000001E-2</v>
      </c>
      <c r="L1551" s="32">
        <f>$J1551*($G1551-$G1550)*60*24</f>
        <v>5.7982438799990529E-2</v>
      </c>
    </row>
    <row r="1552" spans="1:12">
      <c r="A1552" s="22">
        <v>40311.709722222222</v>
      </c>
      <c r="E1552" s="26">
        <v>155.1396</v>
      </c>
      <c r="G1552" s="27">
        <v>0.70972222222222225</v>
      </c>
      <c r="J1552" s="30">
        <f>IF(G1552&lt;$H$10,$H$16,IF(G1552&gt;$I$10,$H$16,$H$11))*E1552/600</f>
        <v>5.6884520000000001E-2</v>
      </c>
      <c r="L1552" s="32">
        <f>$J1552*($G1552-$G1551)*60*24</f>
        <v>5.6884520000008897E-2</v>
      </c>
    </row>
    <row r="1553" spans="1:12">
      <c r="A1553" s="22">
        <v>40311.710416666669</v>
      </c>
      <c r="E1553" s="26">
        <v>154.37968000000001</v>
      </c>
      <c r="G1553" s="27">
        <v>0.7104166666666667</v>
      </c>
      <c r="J1553" s="30">
        <f>IF(G1553&lt;$H$10,$H$16,IF(G1553&gt;$I$10,$H$16,$H$11))*E1553/600</f>
        <v>5.660588266666667E-2</v>
      </c>
      <c r="L1553" s="32">
        <f>$J1553*($G1553-$G1552)*60*24</f>
        <v>5.6605882666666468E-2</v>
      </c>
    </row>
    <row r="1554" spans="1:12">
      <c r="A1554" s="22">
        <v>40311.711111111108</v>
      </c>
      <c r="E1554" s="26">
        <v>154.19936000000001</v>
      </c>
      <c r="G1554" s="27">
        <v>0.71111111111111114</v>
      </c>
      <c r="J1554" s="30">
        <f>IF(G1554&lt;$H$10,$H$16,IF(G1554&gt;$I$10,$H$16,$H$11))*E1554/600</f>
        <v>5.6539765333333339E-2</v>
      </c>
      <c r="L1554" s="32">
        <f>$J1554*($G1554-$G1553)*60*24</f>
        <v>5.6539765333333131E-2</v>
      </c>
    </row>
    <row r="1555" spans="1:12">
      <c r="A1555" s="22">
        <v>40311.711805555555</v>
      </c>
      <c r="E1555" s="26">
        <v>156.152612</v>
      </c>
      <c r="G1555" s="27">
        <v>0.71180555555555547</v>
      </c>
      <c r="J1555" s="30">
        <f>IF(G1555&lt;$H$10,$H$16,IF(G1555&gt;$I$10,$H$16,$H$11))*E1555/600</f>
        <v>5.7255957733333328E-2</v>
      </c>
      <c r="L1555" s="32">
        <f>$J1555*($G1555-$G1554)*60*24</f>
        <v>5.7255957733323974E-2</v>
      </c>
    </row>
    <row r="1556" spans="1:12">
      <c r="A1556" s="22">
        <v>40311.712500000001</v>
      </c>
      <c r="E1556" s="26">
        <v>155.36260799999999</v>
      </c>
      <c r="G1556" s="27">
        <v>0.71250000000000002</v>
      </c>
      <c r="J1556" s="30">
        <f>IF(G1556&lt;$H$10,$H$16,IF(G1556&gt;$I$10,$H$16,$H$11))*E1556/600</f>
        <v>5.696628959999999E-2</v>
      </c>
      <c r="L1556" s="32">
        <f>$J1556*($G1556-$G1555)*60*24</f>
        <v>5.6966289600008907E-2</v>
      </c>
    </row>
    <row r="1557" spans="1:12">
      <c r="A1557" s="22">
        <v>40311.713194444441</v>
      </c>
      <c r="E1557" s="26">
        <v>157.70419200000001</v>
      </c>
      <c r="G1557" s="27">
        <v>0.71319444444444446</v>
      </c>
      <c r="J1557" s="30">
        <f>IF(G1557&lt;$H$10,$H$16,IF(G1557&gt;$I$10,$H$16,$H$11))*E1557/600</f>
        <v>5.7824870400000006E-2</v>
      </c>
      <c r="L1557" s="32">
        <f>$J1557*($G1557-$G1556)*60*24</f>
        <v>5.7824870399999798E-2</v>
      </c>
    </row>
    <row r="1558" spans="1:12">
      <c r="A1558" s="22">
        <v>40311.713888888888</v>
      </c>
      <c r="E1558" s="26">
        <v>156.08480800000001</v>
      </c>
      <c r="G1558" s="27">
        <v>0.71388888888888891</v>
      </c>
      <c r="J1558" s="30">
        <f>IF(G1558&lt;$H$10,$H$16,IF(G1558&gt;$I$10,$H$16,$H$11))*E1558/600</f>
        <v>5.723109626666667E-2</v>
      </c>
      <c r="L1558" s="32">
        <f>$J1558*($G1558-$G1557)*60*24</f>
        <v>5.7231096266666462E-2</v>
      </c>
    </row>
    <row r="1559" spans="1:12">
      <c r="A1559" s="22">
        <v>40311.714583333334</v>
      </c>
      <c r="E1559" s="26">
        <v>156.16079999999999</v>
      </c>
      <c r="G1559" s="27">
        <v>0.71458333333333324</v>
      </c>
      <c r="J1559" s="30">
        <f>IF(G1559&lt;$H$10,$H$16,IF(G1559&gt;$I$10,$H$16,$H$11))*E1559/600</f>
        <v>5.7258959999999998E-2</v>
      </c>
      <c r="L1559" s="32">
        <f>$J1559*($G1559-$G1558)*60*24</f>
        <v>5.7258959999990644E-2</v>
      </c>
    </row>
    <row r="1560" spans="1:12">
      <c r="A1560" s="22">
        <v>40311.715277777781</v>
      </c>
      <c r="E1560" s="26">
        <v>154.635808</v>
      </c>
      <c r="G1560" s="27">
        <v>0.71527777777777779</v>
      </c>
      <c r="J1560" s="30">
        <f>IF(G1560&lt;$H$10,$H$16,IF(G1560&gt;$I$10,$H$16,$H$11))*E1560/600</f>
        <v>5.6699796266666665E-2</v>
      </c>
      <c r="L1560" s="32">
        <f>$J1560*($G1560-$G1559)*60*24</f>
        <v>5.6699796266675519E-2</v>
      </c>
    </row>
    <row r="1561" spans="1:12">
      <c r="A1561" s="22">
        <v>40311.71597222222</v>
      </c>
      <c r="E1561" s="26">
        <v>156.04690400000001</v>
      </c>
      <c r="G1561" s="27">
        <v>0.71597222222222223</v>
      </c>
      <c r="J1561" s="30">
        <f>IF(G1561&lt;$H$10,$H$16,IF(G1561&gt;$I$10,$H$16,$H$11))*E1561/600</f>
        <v>5.7217198133333334E-2</v>
      </c>
      <c r="L1561" s="32">
        <f>$J1561*($G1561-$G1560)*60*24</f>
        <v>5.7217198133333133E-2</v>
      </c>
    </row>
    <row r="1562" spans="1:12">
      <c r="A1562" s="22">
        <v>40311.716666666667</v>
      </c>
      <c r="E1562" s="26">
        <v>159.804</v>
      </c>
      <c r="G1562" s="27">
        <v>0.71666666666666667</v>
      </c>
      <c r="J1562" s="30">
        <f>IF(G1562&lt;$H$10,$H$16,IF(G1562&gt;$I$10,$H$16,$H$11))*E1562/600</f>
        <v>5.8594800000000002E-2</v>
      </c>
      <c r="L1562" s="32">
        <f>$J1562*($G1562-$G1561)*60*24</f>
        <v>5.8594799999999794E-2</v>
      </c>
    </row>
    <row r="1563" spans="1:12">
      <c r="A1563" s="22">
        <v>40311.717361111114</v>
      </c>
      <c r="E1563" s="26">
        <v>174.22712999999999</v>
      </c>
      <c r="G1563" s="27">
        <v>0.71736111111111101</v>
      </c>
      <c r="J1563" s="30">
        <f>IF(G1563&lt;$H$10,$H$16,IF(G1563&gt;$I$10,$H$16,$H$11))*E1563/600</f>
        <v>6.3883281E-2</v>
      </c>
      <c r="L1563" s="32">
        <f>$J1563*($G1563-$G1562)*60*24</f>
        <v>6.3883280999989564E-2</v>
      </c>
    </row>
    <row r="1564" spans="1:12">
      <c r="A1564" s="22">
        <v>40311.718055555553</v>
      </c>
      <c r="E1564" s="26">
        <v>175.163175</v>
      </c>
      <c r="G1564" s="27">
        <v>0.71805555555555556</v>
      </c>
      <c r="J1564" s="30">
        <f>IF(G1564&lt;$H$10,$H$16,IF(G1564&gt;$I$10,$H$16,$H$11))*E1564/600</f>
        <v>6.4226497500000007E-2</v>
      </c>
      <c r="L1564" s="32">
        <f>$J1564*($G1564-$G1563)*60*24</f>
        <v>6.4226497500010041E-2</v>
      </c>
    </row>
    <row r="1565" spans="1:12">
      <c r="A1565" s="22">
        <v>40311.71875</v>
      </c>
      <c r="E1565" s="26">
        <v>154.89469600000001</v>
      </c>
      <c r="G1565" s="27">
        <v>0.71875</v>
      </c>
      <c r="J1565" s="30">
        <f>IF(G1565&lt;$H$10,$H$16,IF(G1565&gt;$I$10,$H$16,$H$11))*E1565/600</f>
        <v>5.6794721866666675E-2</v>
      </c>
      <c r="L1565" s="32">
        <f>$J1565*($G1565-$G1564)*60*24</f>
        <v>5.6794721866666467E-2</v>
      </c>
    </row>
    <row r="1566" spans="1:12">
      <c r="A1566" s="22">
        <v>40311.719444444447</v>
      </c>
      <c r="E1566" s="26">
        <v>155.31421599999999</v>
      </c>
      <c r="G1566" s="27">
        <v>0.71944444444444444</v>
      </c>
      <c r="J1566" s="30">
        <f>IF(G1566&lt;$H$10,$H$16,IF(G1566&gt;$I$10,$H$16,$H$11))*E1566/600</f>
        <v>5.6948545866666658E-2</v>
      </c>
      <c r="L1566" s="32">
        <f>$J1566*($G1566-$G1565)*60*24</f>
        <v>5.694854586666645E-2</v>
      </c>
    </row>
    <row r="1567" spans="1:12">
      <c r="A1567" s="22">
        <v>40311.720138888886</v>
      </c>
      <c r="E1567" s="26">
        <v>160.80680000000001</v>
      </c>
      <c r="G1567" s="27">
        <v>0.72013888888888899</v>
      </c>
      <c r="J1567" s="30">
        <f>IF(G1567&lt;$H$10,$H$16,IF(G1567&gt;$I$10,$H$16,$H$11))*E1567/600</f>
        <v>5.8962493333333338E-2</v>
      </c>
      <c r="L1567" s="32">
        <f>$J1567*($G1567-$G1566)*60*24</f>
        <v>5.8962493333342553E-2</v>
      </c>
    </row>
    <row r="1568" spans="1:12">
      <c r="A1568" s="22">
        <v>40311.720833333333</v>
      </c>
      <c r="E1568" s="26">
        <v>156.49338</v>
      </c>
      <c r="G1568" s="27">
        <v>0.72083333333333333</v>
      </c>
      <c r="J1568" s="30">
        <f>IF(G1568&lt;$H$10,$H$16,IF(G1568&gt;$I$10,$H$16,$H$11))*E1568/600</f>
        <v>5.7380905999999995E-2</v>
      </c>
      <c r="L1568" s="32">
        <f>$J1568*($G1568-$G1567)*60*24</f>
        <v>5.7380905999990628E-2</v>
      </c>
    </row>
    <row r="1569" spans="1:12">
      <c r="A1569" s="22">
        <v>40311.72152777778</v>
      </c>
      <c r="E1569" s="26">
        <v>155.73318399999999</v>
      </c>
      <c r="G1569" s="27">
        <v>0.72152777777777777</v>
      </c>
      <c r="J1569" s="30">
        <f>IF(G1569&lt;$H$10,$H$16,IF(G1569&gt;$I$10,$H$16,$H$11))*E1569/600</f>
        <v>5.7102167466666659E-2</v>
      </c>
      <c r="L1569" s="32">
        <f>$J1569*($G1569-$G1568)*60*24</f>
        <v>5.7102167466666458E-2</v>
      </c>
    </row>
    <row r="1570" spans="1:12">
      <c r="A1570" s="22">
        <v>40311.722222222219</v>
      </c>
      <c r="E1570" s="26">
        <v>155.80246</v>
      </c>
      <c r="G1570" s="27">
        <v>0.72222222222222221</v>
      </c>
      <c r="J1570" s="30">
        <f>IF(G1570&lt;$H$10,$H$16,IF(G1570&gt;$I$10,$H$16,$H$11))*E1570/600</f>
        <v>5.7127568666666663E-2</v>
      </c>
      <c r="L1570" s="32">
        <f>$J1570*($G1570-$G1569)*60*24</f>
        <v>5.7127568666666469E-2</v>
      </c>
    </row>
    <row r="1571" spans="1:12">
      <c r="A1571" s="22">
        <v>40311.722916666666</v>
      </c>
      <c r="E1571" s="26">
        <v>156.5564</v>
      </c>
      <c r="G1571" s="27">
        <v>0.72291666666666676</v>
      </c>
      <c r="J1571" s="30">
        <f>IF(G1571&lt;$H$10,$H$16,IF(G1571&gt;$I$10,$H$16,$H$11))*E1571/600</f>
        <v>5.7404013333333337E-2</v>
      </c>
      <c r="L1571" s="32">
        <f>$J1571*($G1571-$G1570)*60*24</f>
        <v>5.7404013333342309E-2</v>
      </c>
    </row>
    <row r="1572" spans="1:12">
      <c r="A1572" s="22">
        <v>40311.723611111112</v>
      </c>
      <c r="E1572" s="26">
        <v>157.03001599999999</v>
      </c>
      <c r="G1572" s="27">
        <v>0.72361111111111109</v>
      </c>
      <c r="J1572" s="30">
        <f>IF(G1572&lt;$H$10,$H$16,IF(G1572&gt;$I$10,$H$16,$H$11))*E1572/600</f>
        <v>5.7577672533333332E-2</v>
      </c>
      <c r="L1572" s="32">
        <f>$J1572*($G1572-$G1571)*60*24</f>
        <v>5.7577672533323923E-2</v>
      </c>
    </row>
    <row r="1573" spans="1:12">
      <c r="A1573" s="22">
        <v>40311.724305555559</v>
      </c>
      <c r="E1573" s="26">
        <v>156.82411999999999</v>
      </c>
      <c r="G1573" s="27">
        <v>0.72430555555555554</v>
      </c>
      <c r="J1573" s="30">
        <f>IF(G1573&lt;$H$10,$H$16,IF(G1573&gt;$I$10,$H$16,$H$11))*E1573/600</f>
        <v>5.7502177333333328E-2</v>
      </c>
      <c r="L1573" s="32">
        <f>$J1573*($G1573-$G1572)*60*24</f>
        <v>5.7502177333333127E-2</v>
      </c>
    </row>
    <row r="1574" spans="1:12">
      <c r="A1574" s="22">
        <v>40311.724999999999</v>
      </c>
      <c r="E1574" s="26">
        <v>156.60359600000001</v>
      </c>
      <c r="G1574" s="27">
        <v>0.72499999999999998</v>
      </c>
      <c r="J1574" s="30">
        <f>IF(G1574&lt;$H$10,$H$16,IF(G1574&gt;$I$10,$H$16,$H$11))*E1574/600</f>
        <v>5.7421318533333335E-2</v>
      </c>
      <c r="L1574" s="32">
        <f>$J1574*($G1574-$G1573)*60*24</f>
        <v>5.7421318533333134E-2</v>
      </c>
    </row>
    <row r="1575" spans="1:12">
      <c r="A1575" s="22">
        <v>40311.725694444445</v>
      </c>
      <c r="E1575" s="26">
        <v>153.397426</v>
      </c>
      <c r="G1575" s="27">
        <v>0.72569444444444453</v>
      </c>
      <c r="J1575" s="30">
        <f>IF(G1575&lt;$H$10,$H$16,IF(G1575&gt;$I$10,$H$16,$H$11))*E1575/600</f>
        <v>5.624572286666666E-2</v>
      </c>
      <c r="L1575" s="32">
        <f>$J1575*($G1575-$G1574)*60*24</f>
        <v>5.6245722866675452E-2</v>
      </c>
    </row>
    <row r="1576" spans="1:12">
      <c r="A1576" s="22">
        <v>40311.726388888892</v>
      </c>
      <c r="E1576" s="26">
        <v>164.205648</v>
      </c>
      <c r="G1576" s="27">
        <v>0.72638888888888886</v>
      </c>
      <c r="J1576" s="30">
        <f>IF(G1576&lt;$H$10,$H$16,IF(G1576&gt;$I$10,$H$16,$H$11))*E1576/600</f>
        <v>6.0208737599999992E-2</v>
      </c>
      <c r="L1576" s="32">
        <f>$J1576*($G1576-$G1575)*60*24</f>
        <v>6.0208737599990153E-2</v>
      </c>
    </row>
    <row r="1577" spans="1:12">
      <c r="A1577" s="22">
        <v>40311.727083333331</v>
      </c>
      <c r="E1577" s="26">
        <v>158.18332799999999</v>
      </c>
      <c r="G1577" s="27">
        <v>0.7270833333333333</v>
      </c>
      <c r="J1577" s="30">
        <f>IF(G1577&lt;$H$10,$H$16,IF(G1577&gt;$I$10,$H$16,$H$11))*E1577/600</f>
        <v>5.8000553599999997E-2</v>
      </c>
      <c r="L1577" s="32">
        <f>$J1577*($G1577-$G1576)*60*24</f>
        <v>5.8000553599999782E-2</v>
      </c>
    </row>
    <row r="1578" spans="1:12">
      <c r="A1578" s="22">
        <v>40311.727777777778</v>
      </c>
      <c r="E1578" s="26">
        <v>156.394848</v>
      </c>
      <c r="G1578" s="27">
        <v>0.72777777777777775</v>
      </c>
      <c r="J1578" s="30">
        <f>IF(G1578&lt;$H$10,$H$16,IF(G1578&gt;$I$10,$H$16,$H$11))*E1578/600</f>
        <v>5.7344777599999994E-2</v>
      </c>
      <c r="L1578" s="32">
        <f>$J1578*($G1578-$G1577)*60*24</f>
        <v>5.7344777599999792E-2</v>
      </c>
    </row>
    <row r="1579" spans="1:12">
      <c r="A1579" s="22">
        <v>40311.728472222225</v>
      </c>
      <c r="E1579" s="26">
        <v>153.15345500000001</v>
      </c>
      <c r="G1579" s="27">
        <v>0.7284722222222223</v>
      </c>
      <c r="J1579" s="30">
        <f>IF(G1579&lt;$H$10,$H$16,IF(G1579&gt;$I$10,$H$16,$H$11))*E1579/600</f>
        <v>5.6156266833333329E-2</v>
      </c>
      <c r="L1579" s="32">
        <f>$J1579*($G1579-$G1578)*60*24</f>
        <v>5.61562668333421E-2</v>
      </c>
    </row>
    <row r="1580" spans="1:12">
      <c r="A1580" s="22">
        <v>40311.729166666664</v>
      </c>
      <c r="E1580" s="26">
        <v>155.39904000000001</v>
      </c>
      <c r="G1580" s="27">
        <v>0.72916666666666663</v>
      </c>
      <c r="J1580" s="30">
        <f>IF(G1580&lt;$H$10,$H$16,IF(G1580&gt;$I$10,$H$16,$H$11))*E1580/600</f>
        <v>5.6979648000000001E-2</v>
      </c>
      <c r="L1580" s="32">
        <f>$J1580*($G1580-$G1579)*60*24</f>
        <v>5.6979647999990696E-2</v>
      </c>
    </row>
    <row r="1581" spans="1:12">
      <c r="A1581" s="22">
        <v>40311.729861111111</v>
      </c>
      <c r="E1581" s="26">
        <v>155.39076</v>
      </c>
      <c r="G1581" s="27">
        <v>0.72986111111111107</v>
      </c>
      <c r="J1581" s="30">
        <f>IF(G1581&lt;$H$10,$H$16,IF(G1581&gt;$I$10,$H$16,$H$11))*E1581/600</f>
        <v>5.6976612000000003E-2</v>
      </c>
      <c r="L1581" s="32">
        <f>$J1581*($G1581-$G1580)*60*24</f>
        <v>5.6976611999999802E-2</v>
      </c>
    </row>
    <row r="1582" spans="1:12">
      <c r="A1582" s="22">
        <v>40311.730555555558</v>
      </c>
      <c r="E1582" s="26">
        <v>156.18803199999999</v>
      </c>
      <c r="G1582" s="27">
        <v>0.73055555555555562</v>
      </c>
      <c r="J1582" s="30">
        <f>IF(G1582&lt;$H$10,$H$16,IF(G1582&gt;$I$10,$H$16,$H$11))*E1582/600</f>
        <v>5.726894506666666E-2</v>
      </c>
      <c r="L1582" s="32">
        <f>$J1582*($G1582-$G1581)*60*24</f>
        <v>5.7268945066675611E-2</v>
      </c>
    </row>
    <row r="1583" spans="1:12">
      <c r="A1583" s="22">
        <v>40311.731249999997</v>
      </c>
      <c r="E1583" s="26">
        <v>155.232336</v>
      </c>
      <c r="G1583" s="27">
        <v>0.73125000000000007</v>
      </c>
      <c r="J1583" s="30">
        <f>IF(G1583&lt;$H$10,$H$16,IF(G1583&gt;$I$10,$H$16,$H$11))*E1583/600</f>
        <v>5.6918523200000001E-2</v>
      </c>
      <c r="L1583" s="32">
        <f>$J1583*($G1583-$G1582)*60*24</f>
        <v>5.69185231999998E-2</v>
      </c>
    </row>
    <row r="1584" spans="1:12">
      <c r="A1584" s="22">
        <v>40311.731944444444</v>
      </c>
      <c r="E1584" s="26">
        <v>155.368864</v>
      </c>
      <c r="G1584" s="27">
        <v>0.7319444444444444</v>
      </c>
      <c r="J1584" s="30">
        <f>IF(G1584&lt;$H$10,$H$16,IF(G1584&gt;$I$10,$H$16,$H$11))*E1584/600</f>
        <v>5.6968583466666667E-2</v>
      </c>
      <c r="L1584" s="32">
        <f>$J1584*($G1584-$G1583)*60*24</f>
        <v>5.6968583466657355E-2</v>
      </c>
    </row>
    <row r="1585" spans="1:12">
      <c r="A1585" s="22">
        <v>40311.732638888891</v>
      </c>
      <c r="E1585" s="26">
        <v>154.40544</v>
      </c>
      <c r="G1585" s="27">
        <v>0.73263888888888884</v>
      </c>
      <c r="J1585" s="30">
        <f>IF(G1585&lt;$H$10,$H$16,IF(G1585&gt;$I$10,$H$16,$H$11))*E1585/600</f>
        <v>5.6615327999999999E-2</v>
      </c>
      <c r="L1585" s="32">
        <f>$J1585*($G1585-$G1584)*60*24</f>
        <v>5.6615327999999798E-2</v>
      </c>
    </row>
    <row r="1586" spans="1:12">
      <c r="A1586" s="22">
        <v>40311.73333333333</v>
      </c>
      <c r="E1586" s="26">
        <v>155.87100000000001</v>
      </c>
      <c r="G1586" s="27">
        <v>0.73333333333333339</v>
      </c>
      <c r="J1586" s="30">
        <f>IF(G1586&lt;$H$10,$H$16,IF(G1586&gt;$I$10,$H$16,$H$11))*E1586/600</f>
        <v>5.7152700000000001E-2</v>
      </c>
      <c r="L1586" s="32">
        <f>$J1586*($G1586-$G1585)*60*24</f>
        <v>5.7152700000008938E-2</v>
      </c>
    </row>
    <row r="1587" spans="1:12">
      <c r="A1587" s="22">
        <v>40311.734027777777</v>
      </c>
      <c r="E1587" s="26">
        <v>155.58874399999999</v>
      </c>
      <c r="G1587" s="27">
        <v>0.73402777777777783</v>
      </c>
      <c r="J1587" s="30">
        <f>IF(G1587&lt;$H$10,$H$16,IF(G1587&gt;$I$10,$H$16,$H$11))*E1587/600</f>
        <v>5.7049206133333336E-2</v>
      </c>
      <c r="L1587" s="32">
        <f>$J1587*($G1587-$G1586)*60*24</f>
        <v>5.7049206133333127E-2</v>
      </c>
    </row>
    <row r="1588" spans="1:12">
      <c r="A1588" s="22">
        <v>40311.734722222223</v>
      </c>
      <c r="E1588" s="26">
        <v>155.03471999999999</v>
      </c>
      <c r="G1588" s="27">
        <v>0.73472222222222217</v>
      </c>
      <c r="J1588" s="30">
        <f>IF(G1588&lt;$H$10,$H$16,IF(G1588&gt;$I$10,$H$16,$H$11))*E1588/600</f>
        <v>5.6846064000000002E-2</v>
      </c>
      <c r="L1588" s="32">
        <f>$J1588*($G1588-$G1587)*60*24</f>
        <v>5.6846063999990711E-2</v>
      </c>
    </row>
    <row r="1589" spans="1:12">
      <c r="A1589" s="22">
        <v>40311.73541666667</v>
      </c>
      <c r="E1589" s="26">
        <v>154.48713599999999</v>
      </c>
      <c r="G1589" s="27">
        <v>0.73541666666666661</v>
      </c>
      <c r="J1589" s="30">
        <f>IF(G1589&lt;$H$10,$H$16,IF(G1589&gt;$I$10,$H$16,$H$11))*E1589/600</f>
        <v>5.66452832E-2</v>
      </c>
      <c r="L1589" s="32">
        <f>$J1589*($G1589-$G1588)*60*24</f>
        <v>5.6645283199999799E-2</v>
      </c>
    </row>
    <row r="1590" spans="1:12">
      <c r="A1590" s="22">
        <v>40311.736111111109</v>
      </c>
      <c r="E1590" s="26">
        <v>154.624032</v>
      </c>
      <c r="G1590" s="27">
        <v>0.73611111111111116</v>
      </c>
      <c r="J1590" s="30">
        <f>IF(G1590&lt;$H$10,$H$16,IF(G1590&gt;$I$10,$H$16,$H$11))*E1590/600</f>
        <v>5.6695478399999999E-2</v>
      </c>
      <c r="L1590" s="32">
        <f>$J1590*($G1590-$G1589)*60*24</f>
        <v>5.6695478400008853E-2</v>
      </c>
    </row>
    <row r="1591" spans="1:12">
      <c r="A1591" s="22">
        <v>40311.736805555556</v>
      </c>
      <c r="E1591" s="26">
        <v>154.86433600000001</v>
      </c>
      <c r="G1591" s="27">
        <v>0.7368055555555556</v>
      </c>
      <c r="J1591" s="30">
        <f>IF(G1591&lt;$H$10,$H$16,IF(G1591&gt;$I$10,$H$16,$H$11))*E1591/600</f>
        <v>5.6783589866666671E-2</v>
      </c>
      <c r="L1591" s="32">
        <f>$J1591*($G1591-$G1590)*60*24</f>
        <v>5.678358986666647E-2</v>
      </c>
    </row>
    <row r="1592" spans="1:12">
      <c r="A1592" s="22">
        <v>40311.737500000003</v>
      </c>
      <c r="E1592" s="26">
        <v>154.68226799999999</v>
      </c>
      <c r="G1592" s="27">
        <v>0.73749999999999993</v>
      </c>
      <c r="J1592" s="30">
        <f>IF(G1592&lt;$H$10,$H$16,IF(G1592&gt;$I$10,$H$16,$H$11))*E1592/600</f>
        <v>5.6716831599999996E-2</v>
      </c>
      <c r="L1592" s="32">
        <f>$J1592*($G1592-$G1591)*60*24</f>
        <v>5.6716831599990733E-2</v>
      </c>
    </row>
    <row r="1593" spans="1:12">
      <c r="A1593" s="22">
        <v>40311.738194444442</v>
      </c>
      <c r="E1593" s="26">
        <v>154.95008000000001</v>
      </c>
      <c r="G1593" s="27">
        <v>0.73819444444444438</v>
      </c>
      <c r="J1593" s="30">
        <f>IF(G1593&lt;$H$10,$H$16,IF(G1593&gt;$I$10,$H$16,$H$11))*E1593/600</f>
        <v>5.6815029333333343E-2</v>
      </c>
      <c r="L1593" s="32">
        <f>$J1593*($G1593-$G1592)*60*24</f>
        <v>5.6815029333333142E-2</v>
      </c>
    </row>
    <row r="1594" spans="1:12">
      <c r="A1594" s="22">
        <v>40311.738888888889</v>
      </c>
      <c r="E1594" s="26">
        <v>154.72192000000001</v>
      </c>
      <c r="G1594" s="27">
        <v>0.73888888888888893</v>
      </c>
      <c r="J1594" s="30">
        <f>IF(G1594&lt;$H$10,$H$16,IF(G1594&gt;$I$10,$H$16,$H$11))*E1594/600</f>
        <v>5.6731370666666669E-2</v>
      </c>
      <c r="L1594" s="32">
        <f>$J1594*($G1594-$G1593)*60*24</f>
        <v>5.6731370666675544E-2</v>
      </c>
    </row>
    <row r="1595" spans="1:12">
      <c r="A1595" s="22">
        <v>40311.739583333336</v>
      </c>
      <c r="E1595" s="26">
        <v>157.29929999999999</v>
      </c>
      <c r="G1595" s="27">
        <v>0.73958333333333337</v>
      </c>
      <c r="J1595" s="30">
        <f>IF(G1595&lt;$H$10,$H$16,IF(G1595&gt;$I$10,$H$16,$H$11))*E1595/600</f>
        <v>5.7676409999999997E-2</v>
      </c>
      <c r="L1595" s="32">
        <f>$J1595*($G1595-$G1594)*60*24</f>
        <v>5.7676409999999796E-2</v>
      </c>
    </row>
    <row r="1596" spans="1:12">
      <c r="A1596" s="22">
        <v>40311.740277777775</v>
      </c>
      <c r="E1596" s="26">
        <v>154.60231999999999</v>
      </c>
      <c r="G1596" s="27">
        <v>0.7402777777777777</v>
      </c>
      <c r="J1596" s="30">
        <f>IF(G1596&lt;$H$10,$H$16,IF(G1596&gt;$I$10,$H$16,$H$11))*E1596/600</f>
        <v>5.6687517333333326E-2</v>
      </c>
      <c r="L1596" s="32">
        <f>$J1596*($G1596-$G1595)*60*24</f>
        <v>5.6687517333324056E-2</v>
      </c>
    </row>
    <row r="1597" spans="1:12">
      <c r="A1597" s="22">
        <v>40311.740972222222</v>
      </c>
      <c r="E1597" s="26">
        <v>153.28764000000001</v>
      </c>
      <c r="G1597" s="27">
        <v>0.74097222222222225</v>
      </c>
      <c r="J1597" s="30">
        <f>IF(G1597&lt;$H$10,$H$16,IF(G1597&gt;$I$10,$H$16,$H$11))*E1597/600</f>
        <v>5.6205468000000008E-2</v>
      </c>
      <c r="L1597" s="32">
        <f>$J1597*($G1597-$G1596)*60*24</f>
        <v>5.6205468000008793E-2</v>
      </c>
    </row>
    <row r="1598" spans="1:12">
      <c r="A1598" s="22">
        <v>40311.741666666669</v>
      </c>
      <c r="E1598" s="26">
        <v>153.61009999999999</v>
      </c>
      <c r="G1598" s="27">
        <v>0.7416666666666667</v>
      </c>
      <c r="J1598" s="30">
        <f>IF(G1598&lt;$H$10,$H$16,IF(G1598&gt;$I$10,$H$16,$H$11))*E1598/600</f>
        <v>5.6323703333333329E-2</v>
      </c>
      <c r="L1598" s="32">
        <f>$J1598*($G1598-$G1597)*60*24</f>
        <v>5.6323703333333142E-2</v>
      </c>
    </row>
    <row r="1599" spans="1:12">
      <c r="A1599" s="22">
        <v>40311.742361111108</v>
      </c>
      <c r="E1599" s="26">
        <v>153.55858000000001</v>
      </c>
      <c r="G1599" s="27">
        <v>0.74236111111111114</v>
      </c>
      <c r="J1599" s="30">
        <f>IF(G1599&lt;$H$10,$H$16,IF(G1599&gt;$I$10,$H$16,$H$11))*E1599/600</f>
        <v>5.6304812666666669E-2</v>
      </c>
      <c r="L1599" s="32">
        <f>$J1599*($G1599-$G1598)*60*24</f>
        <v>5.6304812666666468E-2</v>
      </c>
    </row>
    <row r="1600" spans="1:12">
      <c r="A1600" s="22">
        <v>40311.743055555555</v>
      </c>
      <c r="E1600" s="26">
        <v>153.54339999999999</v>
      </c>
      <c r="G1600" s="27">
        <v>0.74305555555555547</v>
      </c>
      <c r="J1600" s="30">
        <f>IF(G1600&lt;$H$10,$H$16,IF(G1600&gt;$I$10,$H$16,$H$11))*E1600/600</f>
        <v>5.6299246666666664E-2</v>
      </c>
      <c r="L1600" s="32">
        <f>$J1600*($G1600-$G1599)*60*24</f>
        <v>5.6299246666657463E-2</v>
      </c>
    </row>
    <row r="1601" spans="1:12">
      <c r="A1601" s="22">
        <v>40311.743750000001</v>
      </c>
      <c r="E1601" s="26">
        <v>153.398224</v>
      </c>
      <c r="G1601" s="27">
        <v>0.74375000000000002</v>
      </c>
      <c r="J1601" s="30">
        <f>IF(G1601&lt;$H$10,$H$16,IF(G1601&gt;$I$10,$H$16,$H$11))*E1601/600</f>
        <v>5.6246015466666667E-2</v>
      </c>
      <c r="L1601" s="32">
        <f>$J1601*($G1601-$G1600)*60*24</f>
        <v>5.6246015466675452E-2</v>
      </c>
    </row>
    <row r="1602" spans="1:12">
      <c r="A1602" s="22">
        <v>40311.744444444441</v>
      </c>
      <c r="E1602" s="26">
        <v>153.91048000000001</v>
      </c>
      <c r="G1602" s="27">
        <v>0.74444444444444446</v>
      </c>
      <c r="J1602" s="30">
        <f>IF(G1602&lt;$H$10,$H$16,IF(G1602&gt;$I$10,$H$16,$H$11))*E1602/600</f>
        <v>5.6433842666666671E-2</v>
      </c>
      <c r="L1602" s="32">
        <f>$J1602*($G1602-$G1601)*60*24</f>
        <v>5.643384266666647E-2</v>
      </c>
    </row>
    <row r="1603" spans="1:12">
      <c r="A1603" s="22">
        <v>40311.745138888888</v>
      </c>
      <c r="E1603" s="26">
        <v>152.29905600000001</v>
      </c>
      <c r="G1603" s="27">
        <v>0.74513888888888891</v>
      </c>
      <c r="J1603" s="30">
        <f>IF(G1603&lt;$H$10,$H$16,IF(G1603&gt;$I$10,$H$16,$H$11))*E1603/600</f>
        <v>5.5842987200000006E-2</v>
      </c>
      <c r="L1603" s="32">
        <f>$J1603*($G1603-$G1602)*60*24</f>
        <v>5.5842987199999805E-2</v>
      </c>
    </row>
    <row r="1604" spans="1:12">
      <c r="A1604" s="22">
        <v>40311.745833333334</v>
      </c>
      <c r="E1604" s="26">
        <v>153.9436</v>
      </c>
      <c r="G1604" s="27">
        <v>0.74583333333333324</v>
      </c>
      <c r="J1604" s="30">
        <f>IF(G1604&lt;$H$10,$H$16,IF(G1604&gt;$I$10,$H$16,$H$11))*E1604/600</f>
        <v>5.644598666666667E-2</v>
      </c>
      <c r="L1604" s="32">
        <f>$J1604*($G1604-$G1603)*60*24</f>
        <v>5.6445986666657441E-2</v>
      </c>
    </row>
    <row r="1605" spans="1:12">
      <c r="A1605" s="22">
        <v>40311.746527777781</v>
      </c>
      <c r="E1605" s="26">
        <v>153.505864</v>
      </c>
      <c r="G1605" s="27">
        <v>0.74652777777777779</v>
      </c>
      <c r="J1605" s="30">
        <f>IF(G1605&lt;$H$10,$H$16,IF(G1605&gt;$I$10,$H$16,$H$11))*E1605/600</f>
        <v>5.6285483466666668E-2</v>
      </c>
      <c r="L1605" s="32">
        <f>$J1605*($G1605-$G1604)*60*24</f>
        <v>5.6285483466675459E-2</v>
      </c>
    </row>
    <row r="1606" spans="1:12">
      <c r="A1606" s="22">
        <v>40311.74722222222</v>
      </c>
      <c r="E1606" s="26">
        <v>153.77689599999999</v>
      </c>
      <c r="G1606" s="27">
        <v>0.74722222222222223</v>
      </c>
      <c r="J1606" s="30">
        <f>IF(G1606&lt;$H$10,$H$16,IF(G1606&gt;$I$10,$H$16,$H$11))*E1606/600</f>
        <v>5.638486186666667E-2</v>
      </c>
      <c r="L1606" s="32">
        <f>$J1606*($G1606-$G1605)*60*24</f>
        <v>5.6384861866666469E-2</v>
      </c>
    </row>
    <row r="1607" spans="1:12">
      <c r="A1607" s="22">
        <v>40311.747916666667</v>
      </c>
      <c r="E1607" s="26">
        <v>154.28952000000001</v>
      </c>
      <c r="G1607" s="27">
        <v>0.74791666666666667</v>
      </c>
      <c r="J1607" s="30">
        <f>IF(G1607&lt;$H$10,$H$16,IF(G1607&gt;$I$10,$H$16,$H$11))*E1607/600</f>
        <v>5.6572824000000008E-2</v>
      </c>
      <c r="L1607" s="32">
        <f>$J1607*($G1607-$G1606)*60*24</f>
        <v>5.6572823999999806E-2</v>
      </c>
    </row>
    <row r="1608" spans="1:12">
      <c r="A1608" s="22">
        <v>40311.748611111114</v>
      </c>
      <c r="E1608" s="26">
        <v>154.155936</v>
      </c>
      <c r="G1608" s="27">
        <v>0.74861111111111101</v>
      </c>
      <c r="J1608" s="30">
        <f>IF(G1608&lt;$H$10,$H$16,IF(G1608&gt;$I$10,$H$16,$H$11))*E1608/600</f>
        <v>5.6523843199999993E-2</v>
      </c>
      <c r="L1608" s="32">
        <f>$J1608*($G1608-$G1607)*60*24</f>
        <v>5.6523843199990757E-2</v>
      </c>
    </row>
    <row r="1609" spans="1:12">
      <c r="A1609" s="22">
        <v>40311.749305555553</v>
      </c>
      <c r="E1609" s="26">
        <v>153.67081999999999</v>
      </c>
      <c r="G1609" s="27">
        <v>0.74930555555555556</v>
      </c>
      <c r="J1609" s="30">
        <f>IF(G1609&lt;$H$10,$H$16,IF(G1609&gt;$I$10,$H$16,$H$11))*E1609/600</f>
        <v>5.634596733333333E-2</v>
      </c>
      <c r="L1609" s="32">
        <f>$J1609*($G1609-$G1608)*60*24</f>
        <v>5.6345967333342142E-2</v>
      </c>
    </row>
    <row r="1610" spans="1:12">
      <c r="A1610" s="22">
        <v>40311.75</v>
      </c>
      <c r="E1610" s="26">
        <v>157.10306399999999</v>
      </c>
      <c r="G1610" s="27">
        <v>0.75</v>
      </c>
      <c r="J1610" s="30">
        <f>IF(G1610&lt;$H$10,$H$16,IF(G1610&gt;$I$10,$H$16,$H$11))*E1610/600</f>
        <v>5.7604456800000002E-2</v>
      </c>
      <c r="L1610" s="32">
        <f>$J1610*($G1610-$G1609)*60*24</f>
        <v>5.7604456799999801E-2</v>
      </c>
    </row>
    <row r="1611" spans="1:12">
      <c r="A1611" s="22">
        <v>40311.750694444447</v>
      </c>
      <c r="E1611" s="26">
        <v>155.21025599999999</v>
      </c>
      <c r="G1611" s="27">
        <v>0.75069444444444444</v>
      </c>
      <c r="J1611" s="30">
        <f>IF(G1611&lt;$H$10,$H$16,IF(G1611&gt;$I$10,$H$16,$H$11))*E1611/600</f>
        <v>5.1736751999999997E-2</v>
      </c>
      <c r="L1611" s="32">
        <f>$J1611*($G1611-$G1610)*60*24</f>
        <v>5.1736751999999817E-2</v>
      </c>
    </row>
    <row r="1612" spans="1:12">
      <c r="A1612" s="22">
        <v>40311.751388888886</v>
      </c>
      <c r="E1612" s="26">
        <v>153.29812799999999</v>
      </c>
      <c r="G1612" s="27">
        <v>0.75138888888888899</v>
      </c>
      <c r="J1612" s="30">
        <f>IF(G1612&lt;$H$10,$H$16,IF(G1612&gt;$I$10,$H$16,$H$11))*E1612/600</f>
        <v>5.1099375999999995E-2</v>
      </c>
      <c r="L1612" s="32">
        <f>$J1612*($G1612-$G1611)*60*24</f>
        <v>5.1099376000007982E-2</v>
      </c>
    </row>
    <row r="1613" spans="1:12">
      <c r="A1613" s="22">
        <v>40311.752083333333</v>
      </c>
      <c r="E1613" s="26">
        <v>154.21776</v>
      </c>
      <c r="G1613" s="27">
        <v>0.75208333333333333</v>
      </c>
      <c r="J1613" s="30">
        <f>IF(G1613&lt;$H$10,$H$16,IF(G1613&gt;$I$10,$H$16,$H$11))*E1613/600</f>
        <v>5.1405920000000001E-2</v>
      </c>
      <c r="L1613" s="32">
        <f>$J1613*($G1613-$G1612)*60*24</f>
        <v>5.1405919999991598E-2</v>
      </c>
    </row>
    <row r="1614" spans="1:12">
      <c r="A1614" s="22">
        <v>40311.75277777778</v>
      </c>
      <c r="E1614" s="26">
        <v>153.64386400000001</v>
      </c>
      <c r="G1614" s="27">
        <v>0.75277777777777777</v>
      </c>
      <c r="J1614" s="30">
        <f>IF(G1614&lt;$H$10,$H$16,IF(G1614&gt;$I$10,$H$16,$H$11))*E1614/600</f>
        <v>5.1214621333333335E-2</v>
      </c>
      <c r="L1614" s="32">
        <f>$J1614*($G1614-$G1613)*60*24</f>
        <v>5.1214621333333155E-2</v>
      </c>
    </row>
    <row r="1615" spans="1:12">
      <c r="A1615" s="22">
        <v>40311.753472222219</v>
      </c>
      <c r="E1615" s="26">
        <v>153.584892</v>
      </c>
      <c r="G1615" s="27">
        <v>0.75347222222222221</v>
      </c>
      <c r="J1615" s="30">
        <f>IF(G1615&lt;$H$10,$H$16,IF(G1615&gt;$I$10,$H$16,$H$11))*E1615/600</f>
        <v>5.1194964000000003E-2</v>
      </c>
      <c r="L1615" s="32">
        <f>$J1615*($G1615-$G1614)*60*24</f>
        <v>5.1194963999999822E-2</v>
      </c>
    </row>
    <row r="1616" spans="1:12">
      <c r="A1616" s="22">
        <v>40311.754166666666</v>
      </c>
      <c r="E1616" s="26">
        <v>153.389208</v>
      </c>
      <c r="G1616" s="27">
        <v>0.75416666666666676</v>
      </c>
      <c r="J1616" s="30">
        <f>IF(G1616&lt;$H$10,$H$16,IF(G1616&gt;$I$10,$H$16,$H$11))*E1616/600</f>
        <v>5.1129736000000002E-2</v>
      </c>
      <c r="L1616" s="32">
        <f>$J1616*($G1616-$G1615)*60*24</f>
        <v>5.1129736000008003E-2</v>
      </c>
    </row>
    <row r="1617" spans="1:12">
      <c r="A1617" s="22">
        <v>40311.754861111112</v>
      </c>
      <c r="E1617" s="26">
        <v>154.076448</v>
      </c>
      <c r="G1617" s="27">
        <v>0.75486111111111109</v>
      </c>
      <c r="J1617" s="30">
        <f>IF(G1617&lt;$H$10,$H$16,IF(G1617&gt;$I$10,$H$16,$H$11))*E1617/600</f>
        <v>5.1358816000000002E-2</v>
      </c>
      <c r="L1617" s="32">
        <f>$J1617*($G1617-$G1616)*60*24</f>
        <v>5.1358815999991606E-2</v>
      </c>
    </row>
    <row r="1618" spans="1:12">
      <c r="A1618" s="22">
        <v>40311.755555555559</v>
      </c>
      <c r="E1618" s="26">
        <v>152.775936</v>
      </c>
      <c r="G1618" s="27">
        <v>0.75555555555555554</v>
      </c>
      <c r="J1618" s="30">
        <f>IF(G1618&lt;$H$10,$H$16,IF(G1618&gt;$I$10,$H$16,$H$11))*E1618/600</f>
        <v>5.0925312000000007E-2</v>
      </c>
      <c r="L1618" s="32">
        <f>$J1618*($G1618-$G1617)*60*24</f>
        <v>5.0925311999999827E-2</v>
      </c>
    </row>
    <row r="1619" spans="1:12">
      <c r="A1619" s="22">
        <v>40311.756249999999</v>
      </c>
      <c r="E1619" s="26">
        <v>152.91274000000001</v>
      </c>
      <c r="G1619" s="27">
        <v>0.75624999999999998</v>
      </c>
      <c r="J1619" s="30">
        <f>IF(G1619&lt;$H$10,$H$16,IF(G1619&gt;$I$10,$H$16,$H$11))*E1619/600</f>
        <v>5.097091333333334E-2</v>
      </c>
      <c r="L1619" s="32">
        <f>$J1619*($G1619-$G1618)*60*24</f>
        <v>5.0970913333333159E-2</v>
      </c>
    </row>
    <row r="1620" spans="1:12">
      <c r="A1620" s="22">
        <v>40311.756944444445</v>
      </c>
      <c r="E1620" s="26">
        <v>152.775936</v>
      </c>
      <c r="G1620" s="27">
        <v>0.75694444444444453</v>
      </c>
      <c r="J1620" s="30">
        <f>IF(G1620&lt;$H$10,$H$16,IF(G1620&gt;$I$10,$H$16,$H$11))*E1620/600</f>
        <v>5.0925312000000007E-2</v>
      </c>
      <c r="L1620" s="32">
        <f>$J1620*($G1620-$G1619)*60*24</f>
        <v>5.0925312000007966E-2</v>
      </c>
    </row>
    <row r="1621" spans="1:12">
      <c r="A1621" s="22">
        <v>40311.757638888892</v>
      </c>
      <c r="E1621" s="26">
        <v>153.04614000000001</v>
      </c>
      <c r="G1621" s="27">
        <v>0.75763888888888886</v>
      </c>
      <c r="J1621" s="30">
        <f>IF(G1621&lt;$H$10,$H$16,IF(G1621&gt;$I$10,$H$16,$H$11))*E1621/600</f>
        <v>5.1015380000000006E-2</v>
      </c>
      <c r="L1621" s="32">
        <f>$J1621*($G1621-$G1620)*60*24</f>
        <v>5.1015379999991672E-2</v>
      </c>
    </row>
    <row r="1622" spans="1:12">
      <c r="A1622" s="22">
        <v>40311.758333333331</v>
      </c>
      <c r="E1622" s="26">
        <v>152.70730399999999</v>
      </c>
      <c r="G1622" s="27">
        <v>0.7583333333333333</v>
      </c>
      <c r="J1622" s="30">
        <f>IF(G1622&lt;$H$10,$H$16,IF(G1622&gt;$I$10,$H$16,$H$11))*E1622/600</f>
        <v>5.0902434666666663E-2</v>
      </c>
      <c r="L1622" s="32">
        <f>$J1622*($G1622-$G1621)*60*24</f>
        <v>5.0902434666666475E-2</v>
      </c>
    </row>
    <row r="1623" spans="1:12">
      <c r="A1623" s="22">
        <v>40311.759027777778</v>
      </c>
      <c r="E1623" s="26">
        <v>152.70472799999999</v>
      </c>
      <c r="G1623" s="27">
        <v>0.75902777777777775</v>
      </c>
      <c r="J1623" s="30">
        <f>IF(G1623&lt;$H$10,$H$16,IF(G1623&gt;$I$10,$H$16,$H$11))*E1623/600</f>
        <v>5.0901576000000004E-2</v>
      </c>
      <c r="L1623" s="32">
        <f>$J1623*($G1623-$G1622)*60*24</f>
        <v>5.0901575999999824E-2</v>
      </c>
    </row>
    <row r="1624" spans="1:12">
      <c r="A1624" s="22">
        <v>40311.759722222225</v>
      </c>
      <c r="E1624" s="26">
        <v>152.57004000000001</v>
      </c>
      <c r="G1624" s="27">
        <v>0.7597222222222223</v>
      </c>
      <c r="J1624" s="30">
        <f>IF(G1624&lt;$H$10,$H$16,IF(G1624&gt;$I$10,$H$16,$H$11))*E1624/600</f>
        <v>5.0856680000000008E-2</v>
      </c>
      <c r="L1624" s="32">
        <f>$J1624*($G1624-$G1623)*60*24</f>
        <v>5.0856680000007967E-2</v>
      </c>
    </row>
    <row r="1625" spans="1:12">
      <c r="A1625" s="22">
        <v>40311.760416666664</v>
      </c>
      <c r="E1625" s="26">
        <v>152.91274000000001</v>
      </c>
      <c r="G1625" s="27">
        <v>0.76041666666666663</v>
      </c>
      <c r="J1625" s="30">
        <f>IF(G1625&lt;$H$10,$H$16,IF(G1625&gt;$I$10,$H$16,$H$11))*E1625/600</f>
        <v>5.097091333333334E-2</v>
      </c>
      <c r="L1625" s="32">
        <f>$J1625*($G1625-$G1624)*60*24</f>
        <v>5.0970913333325006E-2</v>
      </c>
    </row>
    <row r="1626" spans="1:12">
      <c r="A1626" s="22">
        <v>40311.761111111111</v>
      </c>
      <c r="E1626" s="26">
        <v>152.91209599999999</v>
      </c>
      <c r="G1626" s="27">
        <v>0.76111111111111107</v>
      </c>
      <c r="J1626" s="30">
        <f>IF(G1626&lt;$H$10,$H$16,IF(G1626&gt;$I$10,$H$16,$H$11))*E1626/600</f>
        <v>5.0970698666666668E-2</v>
      </c>
      <c r="L1626" s="32">
        <f>$J1626*($G1626-$G1625)*60*24</f>
        <v>5.0970698666666495E-2</v>
      </c>
    </row>
    <row r="1627" spans="1:12">
      <c r="A1627" s="22">
        <v>40311.761805555558</v>
      </c>
      <c r="E1627" s="26">
        <v>155.70098400000001</v>
      </c>
      <c r="G1627" s="27">
        <v>0.76180555555555562</v>
      </c>
      <c r="J1627" s="30">
        <f>IF(G1627&lt;$H$10,$H$16,IF(G1627&gt;$I$10,$H$16,$H$11))*E1627/600</f>
        <v>5.1900328000000003E-2</v>
      </c>
      <c r="L1627" s="32">
        <f>$J1627*($G1627-$G1626)*60*24</f>
        <v>5.1900328000008121E-2</v>
      </c>
    </row>
    <row r="1628" spans="1:12">
      <c r="A1628" s="22">
        <v>40311.762499999997</v>
      </c>
      <c r="E1628" s="26">
        <v>156.74224000000001</v>
      </c>
      <c r="G1628" s="27">
        <v>0.76250000000000007</v>
      </c>
      <c r="J1628" s="30">
        <f>IF(G1628&lt;$H$10,$H$16,IF(G1628&gt;$I$10,$H$16,$H$11))*E1628/600</f>
        <v>5.224741333333334E-2</v>
      </c>
      <c r="L1628" s="32">
        <f>$J1628*($G1628-$G1627)*60*24</f>
        <v>5.2247413333333152E-2</v>
      </c>
    </row>
    <row r="1629" spans="1:12">
      <c r="A1629" s="22">
        <v>40311.763194444444</v>
      </c>
      <c r="E1629" s="26">
        <v>153.11707200000001</v>
      </c>
      <c r="G1629" s="27">
        <v>0.7631944444444444</v>
      </c>
      <c r="J1629" s="30">
        <f>IF(G1629&lt;$H$10,$H$16,IF(G1629&gt;$I$10,$H$16,$H$11))*E1629/600</f>
        <v>5.1039024000000002E-2</v>
      </c>
      <c r="L1629" s="32">
        <f>$J1629*($G1629-$G1628)*60*24</f>
        <v>5.1039023999991662E-2</v>
      </c>
    </row>
    <row r="1630" spans="1:12">
      <c r="A1630" s="22">
        <v>40311.763888888891</v>
      </c>
      <c r="E1630" s="26">
        <v>152.9109</v>
      </c>
      <c r="G1630" s="27">
        <v>0.76388888888888884</v>
      </c>
      <c r="J1630" s="30">
        <f>IF(G1630&lt;$H$10,$H$16,IF(G1630&gt;$I$10,$H$16,$H$11))*E1630/600</f>
        <v>5.0970300000000003E-2</v>
      </c>
      <c r="L1630" s="32">
        <f>$J1630*($G1630-$G1629)*60*24</f>
        <v>5.0970299999999816E-2</v>
      </c>
    </row>
    <row r="1631" spans="1:12">
      <c r="A1631" s="22">
        <v>40311.76458333333</v>
      </c>
      <c r="E1631" s="26">
        <v>153.25452000000001</v>
      </c>
      <c r="G1631" s="27">
        <v>0.76458333333333339</v>
      </c>
      <c r="J1631" s="30">
        <f>IF(G1631&lt;$H$10,$H$16,IF(G1631&gt;$I$10,$H$16,$H$11))*E1631/600</f>
        <v>5.1084840000000006E-2</v>
      </c>
      <c r="L1631" s="32">
        <f>$J1631*($G1631-$G1630)*60*24</f>
        <v>5.1084840000007993E-2</v>
      </c>
    </row>
    <row r="1632" spans="1:12">
      <c r="A1632" s="22">
        <v>40311.765277777777</v>
      </c>
      <c r="E1632" s="26">
        <v>153.320944</v>
      </c>
      <c r="G1632" s="27">
        <v>0.76527777777777783</v>
      </c>
      <c r="J1632" s="30">
        <f>IF(G1632&lt;$H$10,$H$16,IF(G1632&gt;$I$10,$H$16,$H$11))*E1632/600</f>
        <v>5.1106981333333336E-2</v>
      </c>
      <c r="L1632" s="32">
        <f>$J1632*($G1632-$G1631)*60*24</f>
        <v>5.1106981333333155E-2</v>
      </c>
    </row>
    <row r="1633" spans="1:12">
      <c r="A1633" s="22">
        <v>40311.765972222223</v>
      </c>
      <c r="E1633" s="26">
        <v>153.048348</v>
      </c>
      <c r="G1633" s="27">
        <v>0.76597222222222217</v>
      </c>
      <c r="J1633" s="30">
        <f>IF(G1633&lt;$H$10,$H$16,IF(G1633&gt;$I$10,$H$16,$H$11))*E1633/600</f>
        <v>5.1016116000000007E-2</v>
      </c>
      <c r="L1633" s="32">
        <f>$J1633*($G1633-$G1632)*60*24</f>
        <v>5.1016115999991667E-2</v>
      </c>
    </row>
    <row r="1634" spans="1:12">
      <c r="A1634" s="22">
        <v>40311.76666666667</v>
      </c>
      <c r="E1634" s="26">
        <v>153.18690000000001</v>
      </c>
      <c r="G1634" s="27">
        <v>0.76666666666666661</v>
      </c>
      <c r="J1634" s="30">
        <f>IF(G1634&lt;$H$10,$H$16,IF(G1634&gt;$I$10,$H$16,$H$11))*E1634/600</f>
        <v>5.1062300000000005E-2</v>
      </c>
      <c r="L1634" s="32">
        <f>$J1634*($G1634-$G1633)*60*24</f>
        <v>5.1062299999999824E-2</v>
      </c>
    </row>
    <row r="1635" spans="1:12">
      <c r="A1635" s="22">
        <v>40311.767361111109</v>
      </c>
      <c r="E1635" s="26">
        <v>153.18662399999999</v>
      </c>
      <c r="G1635" s="27">
        <v>0.76736111111111116</v>
      </c>
      <c r="J1635" s="30">
        <f>IF(G1635&lt;$H$10,$H$16,IF(G1635&gt;$I$10,$H$16,$H$11))*E1635/600</f>
        <v>5.1062208000000005E-2</v>
      </c>
      <c r="L1635" s="32">
        <f>$J1635*($G1635-$G1634)*60*24</f>
        <v>5.1062208000007991E-2</v>
      </c>
    </row>
    <row r="1636" spans="1:12">
      <c r="A1636" s="22">
        <v>40311.768055555556</v>
      </c>
      <c r="E1636" s="26">
        <v>153.320944</v>
      </c>
      <c r="G1636" s="27">
        <v>0.7680555555555556</v>
      </c>
      <c r="J1636" s="30">
        <f>IF(G1636&lt;$H$10,$H$16,IF(G1636&gt;$I$10,$H$16,$H$11))*E1636/600</f>
        <v>5.1106981333333336E-2</v>
      </c>
      <c r="L1636" s="32">
        <f>$J1636*($G1636-$G1635)*60*24</f>
        <v>5.1106981333333155E-2</v>
      </c>
    </row>
    <row r="1637" spans="1:12">
      <c r="A1637" s="22">
        <v>40311.768750000003</v>
      </c>
      <c r="E1637" s="26">
        <v>154.41316800000001</v>
      </c>
      <c r="G1637" s="27">
        <v>0.76874999999999993</v>
      </c>
      <c r="J1637" s="30">
        <f>IF(G1637&lt;$H$10,$H$16,IF(G1637&gt;$I$10,$H$16,$H$11))*E1637/600</f>
        <v>5.1471056000000008E-2</v>
      </c>
      <c r="L1637" s="32">
        <f>$J1637*($G1637-$G1636)*60*24</f>
        <v>5.1471055999991598E-2</v>
      </c>
    </row>
    <row r="1638" spans="1:12">
      <c r="A1638" s="22">
        <v>40311.769444444442</v>
      </c>
      <c r="E1638" s="26">
        <v>153.52702400000001</v>
      </c>
      <c r="G1638" s="27">
        <v>0.76944444444444438</v>
      </c>
      <c r="J1638" s="30">
        <f>IF(G1638&lt;$H$10,$H$16,IF(G1638&gt;$I$10,$H$16,$H$11))*E1638/600</f>
        <v>5.1175674666666671E-2</v>
      </c>
      <c r="L1638" s="32">
        <f>$J1638*($G1638-$G1637)*60*24</f>
        <v>5.117567466666649E-2</v>
      </c>
    </row>
    <row r="1639" spans="1:12">
      <c r="A1639" s="22">
        <v>40311.770138888889</v>
      </c>
      <c r="E1639" s="26">
        <v>153.322048</v>
      </c>
      <c r="G1639" s="27">
        <v>0.77013888888888893</v>
      </c>
      <c r="J1639" s="30">
        <f>IF(G1639&lt;$H$10,$H$16,IF(G1639&gt;$I$10,$H$16,$H$11))*E1639/600</f>
        <v>5.110734933333333E-2</v>
      </c>
      <c r="L1639" s="32">
        <f>$J1639*($G1639-$G1638)*60*24</f>
        <v>5.1107349333341323E-2</v>
      </c>
    </row>
    <row r="1640" spans="1:12">
      <c r="A1640" s="22">
        <v>40311.770833333336</v>
      </c>
      <c r="E1640" s="26">
        <v>153.52959999999999</v>
      </c>
      <c r="G1640" s="27">
        <v>0.77083333333333337</v>
      </c>
      <c r="J1640" s="30">
        <f>IF(G1640&lt;$H$10,$H$16,IF(G1640&gt;$I$10,$H$16,$H$11))*E1640/600</f>
        <v>5.1176533333333329E-2</v>
      </c>
      <c r="L1640" s="32">
        <f>$J1640*($G1640-$G1639)*60*24</f>
        <v>5.1176533333333142E-2</v>
      </c>
    </row>
    <row r="1641" spans="1:12">
      <c r="A1641" s="22">
        <v>40311.771527777775</v>
      </c>
      <c r="E1641" s="26">
        <v>153.311744</v>
      </c>
      <c r="G1641" s="27">
        <v>0.7715277777777777</v>
      </c>
      <c r="J1641" s="30">
        <f>IF(G1641&lt;$H$10,$H$16,IF(G1641&gt;$I$10,$H$16,$H$11))*E1641/600</f>
        <v>5.1103914666666674E-2</v>
      </c>
      <c r="L1641" s="32">
        <f>$J1641*($G1641-$G1640)*60*24</f>
        <v>5.1103914666658312E-2</v>
      </c>
    </row>
    <row r="1642" spans="1:12">
      <c r="A1642" s="22">
        <v>40311.772222222222</v>
      </c>
      <c r="E1642" s="26">
        <v>153.412116</v>
      </c>
      <c r="G1642" s="27">
        <v>0.77222222222222225</v>
      </c>
      <c r="J1642" s="30">
        <f>IF(G1642&lt;$H$10,$H$16,IF(G1642&gt;$I$10,$H$16,$H$11))*E1642/600</f>
        <v>5.1137372000000007E-2</v>
      </c>
      <c r="L1642" s="32">
        <f>$J1642*($G1642-$G1641)*60*24</f>
        <v>5.1137372000008008E-2</v>
      </c>
    </row>
    <row r="1643" spans="1:12">
      <c r="A1643" s="22">
        <v>40311.772916666669</v>
      </c>
      <c r="E1643" s="26">
        <v>152.82745600000001</v>
      </c>
      <c r="G1643" s="27">
        <v>0.7729166666666667</v>
      </c>
      <c r="J1643" s="30">
        <f>IF(G1643&lt;$H$10,$H$16,IF(G1643&gt;$I$10,$H$16,$H$11))*E1643/600</f>
        <v>5.0942485333333343E-2</v>
      </c>
      <c r="L1643" s="32">
        <f>$J1643*($G1643-$G1642)*60*24</f>
        <v>5.0942485333333162E-2</v>
      </c>
    </row>
    <row r="1644" spans="1:12">
      <c r="A1644" s="22">
        <v>40311.773611111108</v>
      </c>
      <c r="E1644" s="26">
        <v>152.24932799999999</v>
      </c>
      <c r="G1644" s="27">
        <v>0.77361111111111114</v>
      </c>
      <c r="J1644" s="30">
        <f>IF(G1644&lt;$H$10,$H$16,IF(G1644&gt;$I$10,$H$16,$H$11))*E1644/600</f>
        <v>5.0749775999999996E-2</v>
      </c>
      <c r="L1644" s="32">
        <f>$J1644*($G1644-$G1643)*60*24</f>
        <v>5.0749775999999816E-2</v>
      </c>
    </row>
    <row r="1645" spans="1:12">
      <c r="A1645" s="22">
        <v>40311.774305555555</v>
      </c>
      <c r="E1645" s="26">
        <v>153.13565600000001</v>
      </c>
      <c r="G1645" s="27">
        <v>0.77430555555555547</v>
      </c>
      <c r="J1645" s="30">
        <f>IF(G1645&lt;$H$10,$H$16,IF(G1645&gt;$I$10,$H$16,$H$11))*E1645/600</f>
        <v>5.1045218666666677E-2</v>
      </c>
      <c r="L1645" s="32">
        <f>$J1645*($G1645-$G1644)*60*24</f>
        <v>5.1045218666658343E-2</v>
      </c>
    </row>
    <row r="1646" spans="1:12">
      <c r="A1646" s="22">
        <v>40311.775000000001</v>
      </c>
      <c r="E1646" s="26">
        <v>152.34611200000001</v>
      </c>
      <c r="G1646" s="27">
        <v>0.77500000000000002</v>
      </c>
      <c r="J1646" s="30">
        <f>IF(G1646&lt;$H$10,$H$16,IF(G1646&gt;$I$10,$H$16,$H$11))*E1646/600</f>
        <v>5.0782037333333335E-2</v>
      </c>
      <c r="L1646" s="32">
        <f>$J1646*($G1646-$G1645)*60*24</f>
        <v>5.0782037333341273E-2</v>
      </c>
    </row>
    <row r="1647" spans="1:12">
      <c r="A1647" s="22">
        <v>40311.775694444441</v>
      </c>
      <c r="E1647" s="26">
        <v>153.617828</v>
      </c>
      <c r="G1647" s="27">
        <v>0.77569444444444446</v>
      </c>
      <c r="J1647" s="30">
        <f>IF(G1647&lt;$H$10,$H$16,IF(G1647&gt;$I$10,$H$16,$H$11))*E1647/600</f>
        <v>5.1205942666666671E-2</v>
      </c>
      <c r="L1647" s="32">
        <f>$J1647*($G1647-$G1646)*60*24</f>
        <v>5.120594266666649E-2</v>
      </c>
    </row>
    <row r="1648" spans="1:12">
      <c r="A1648" s="22">
        <v>40311.776388888888</v>
      </c>
      <c r="E1648" s="26">
        <v>152.805744</v>
      </c>
      <c r="G1648" s="27">
        <v>0.77638888888888891</v>
      </c>
      <c r="J1648" s="30">
        <f>IF(G1648&lt;$H$10,$H$16,IF(G1648&gt;$I$10,$H$16,$H$11))*E1648/600</f>
        <v>5.0935248000000002E-2</v>
      </c>
      <c r="L1648" s="32">
        <f>$J1648*($G1648-$G1647)*60*24</f>
        <v>5.0935247999999822E-2</v>
      </c>
    </row>
    <row r="1649" spans="1:12">
      <c r="A1649" s="22">
        <v>40311.777083333334</v>
      </c>
      <c r="E1649" s="26">
        <v>152.798936</v>
      </c>
      <c r="G1649" s="27">
        <v>0.77708333333333324</v>
      </c>
      <c r="J1649" s="30">
        <f>IF(G1649&lt;$H$10,$H$16,IF(G1649&gt;$I$10,$H$16,$H$11))*E1649/600</f>
        <v>5.093297866666667E-2</v>
      </c>
      <c r="L1649" s="32">
        <f>$J1649*($G1649-$G1648)*60*24</f>
        <v>5.093297866665835E-2</v>
      </c>
    </row>
    <row r="1650" spans="1:12">
      <c r="A1650" s="22">
        <v>40311.777777777781</v>
      </c>
      <c r="E1650" s="26">
        <v>153.254152</v>
      </c>
      <c r="G1650" s="27">
        <v>0.77777777777777779</v>
      </c>
      <c r="J1650" s="30">
        <f>IF(G1650&lt;$H$10,$H$16,IF(G1650&gt;$I$10,$H$16,$H$11))*E1650/600</f>
        <v>5.1084717333333342E-2</v>
      </c>
      <c r="L1650" s="32">
        <f>$J1650*($G1650-$G1649)*60*24</f>
        <v>5.1084717333341328E-2</v>
      </c>
    </row>
    <row r="1651" spans="1:12">
      <c r="A1651" s="22">
        <v>40311.77847222222</v>
      </c>
      <c r="E1651" s="26">
        <v>153.29996800000001</v>
      </c>
      <c r="G1651" s="27">
        <v>0.77847222222222223</v>
      </c>
      <c r="J1651" s="30">
        <f>IF(G1651&lt;$H$10,$H$16,IF(G1651&gt;$I$10,$H$16,$H$11))*E1651/600</f>
        <v>5.1099989333333339E-2</v>
      </c>
      <c r="L1651" s="32">
        <f>$J1651*($G1651-$G1650)*60*24</f>
        <v>5.1099989333333165E-2</v>
      </c>
    </row>
    <row r="1652" spans="1:12">
      <c r="A1652" s="22">
        <v>40311.779166666667</v>
      </c>
      <c r="E1652" s="26">
        <v>154.32190399999999</v>
      </c>
      <c r="G1652" s="27">
        <v>0.77916666666666667</v>
      </c>
      <c r="J1652" s="30">
        <f>IF(G1652&lt;$H$10,$H$16,IF(G1652&gt;$I$10,$H$16,$H$11))*E1652/600</f>
        <v>5.1440634666666665E-2</v>
      </c>
      <c r="L1652" s="32">
        <f>$J1652*($G1652-$G1651)*60*24</f>
        <v>5.1440634666666485E-2</v>
      </c>
    </row>
    <row r="1653" spans="1:12">
      <c r="A1653" s="22">
        <v>40311.779861111114</v>
      </c>
      <c r="E1653" s="26">
        <v>154.38970800000001</v>
      </c>
      <c r="G1653" s="27">
        <v>0.77986111111111101</v>
      </c>
      <c r="J1653" s="30">
        <f>IF(G1653&lt;$H$10,$H$16,IF(G1653&gt;$I$10,$H$16,$H$11))*E1653/600</f>
        <v>5.1463236000000002E-2</v>
      </c>
      <c r="L1653" s="32">
        <f>$J1653*($G1653-$G1652)*60*24</f>
        <v>5.1463235999991593E-2</v>
      </c>
    </row>
    <row r="1654" spans="1:12">
      <c r="A1654" s="22">
        <v>40311.780555555553</v>
      </c>
      <c r="E1654" s="26">
        <v>154.66092399999999</v>
      </c>
      <c r="G1654" s="27">
        <v>0.78055555555555556</v>
      </c>
      <c r="J1654" s="30">
        <f>IF(G1654&lt;$H$10,$H$16,IF(G1654&gt;$I$10,$H$16,$H$11))*E1654/600</f>
        <v>5.1553641333333337E-2</v>
      </c>
      <c r="L1654" s="32">
        <f>$J1654*($G1654-$G1653)*60*24</f>
        <v>5.1553641333341393E-2</v>
      </c>
    </row>
    <row r="1655" spans="1:12">
      <c r="A1655" s="22">
        <v>40311.78125</v>
      </c>
      <c r="E1655" s="26">
        <v>154.63074800000001</v>
      </c>
      <c r="G1655" s="27">
        <v>0.78125</v>
      </c>
      <c r="J1655" s="30">
        <f>IF(G1655&lt;$H$10,$H$16,IF(G1655&gt;$I$10,$H$16,$H$11))*E1655/600</f>
        <v>5.1543582666666671E-2</v>
      </c>
      <c r="L1655" s="32">
        <f>$J1655*($G1655-$G1654)*60*24</f>
        <v>5.1543582666666483E-2</v>
      </c>
    </row>
    <row r="1656" spans="1:12">
      <c r="A1656" s="22">
        <v>40311.781944444447</v>
      </c>
      <c r="E1656" s="26">
        <v>154.59919199999999</v>
      </c>
      <c r="G1656" s="27">
        <v>0.78194444444444444</v>
      </c>
      <c r="J1656" s="30">
        <f>IF(G1656&lt;$H$10,$H$16,IF(G1656&gt;$I$10,$H$16,$H$11))*E1656/600</f>
        <v>5.1533063999999996E-2</v>
      </c>
      <c r="L1656" s="32">
        <f>$J1656*($G1656-$G1655)*60*24</f>
        <v>5.1533063999999809E-2</v>
      </c>
    </row>
    <row r="1657" spans="1:12">
      <c r="A1657" s="22">
        <v>40311.782638888886</v>
      </c>
      <c r="E1657" s="26">
        <v>154.39550399999999</v>
      </c>
      <c r="G1657" s="27">
        <v>0.78263888888888899</v>
      </c>
      <c r="J1657" s="30">
        <f>IF(G1657&lt;$H$10,$H$16,IF(G1657&gt;$I$10,$H$16,$H$11))*E1657/600</f>
        <v>5.1465167999999999E-2</v>
      </c>
      <c r="L1657" s="32">
        <f>$J1657*($G1657-$G1656)*60*24</f>
        <v>5.1465168000008041E-2</v>
      </c>
    </row>
    <row r="1658" spans="1:12">
      <c r="A1658" s="22">
        <v>40311.783333333333</v>
      </c>
      <c r="E1658" s="26">
        <v>153.84166400000001</v>
      </c>
      <c r="G1658" s="27">
        <v>0.78333333333333333</v>
      </c>
      <c r="J1658" s="30">
        <f>IF(G1658&lt;$H$10,$H$16,IF(G1658&gt;$I$10,$H$16,$H$11))*E1658/600</f>
        <v>5.1280554666666672E-2</v>
      </c>
      <c r="L1658" s="32">
        <f>$J1658*($G1658-$G1657)*60*24</f>
        <v>5.1280554666658297E-2</v>
      </c>
    </row>
    <row r="1659" spans="1:12">
      <c r="A1659" s="22">
        <v>40311.78402777778</v>
      </c>
      <c r="E1659" s="26">
        <v>153.82878400000001</v>
      </c>
      <c r="G1659" s="27">
        <v>0.78402777777777777</v>
      </c>
      <c r="J1659" s="30">
        <f>IF(G1659&lt;$H$10,$H$16,IF(G1659&gt;$I$10,$H$16,$H$11))*E1659/600</f>
        <v>5.1276261333333344E-2</v>
      </c>
      <c r="L1659" s="32">
        <f>$J1659*($G1659-$G1658)*60*24</f>
        <v>5.1276261333333156E-2</v>
      </c>
    </row>
    <row r="1660" spans="1:12">
      <c r="A1660" s="22">
        <v>40311.784722222219</v>
      </c>
      <c r="E1660" s="26">
        <v>154.2012</v>
      </c>
      <c r="G1660" s="27">
        <v>0.78472222222222221</v>
      </c>
      <c r="J1660" s="30">
        <f>IF(G1660&lt;$H$10,$H$16,IF(G1660&gt;$I$10,$H$16,$H$11))*E1660/600</f>
        <v>5.1400400000000006E-2</v>
      </c>
      <c r="L1660" s="32">
        <f>$J1660*($G1660-$G1659)*60*24</f>
        <v>5.1400399999999818E-2</v>
      </c>
    </row>
    <row r="1661" spans="1:12">
      <c r="A1661" s="22">
        <v>40311.785416666666</v>
      </c>
      <c r="E1661" s="26">
        <v>153.42977999999999</v>
      </c>
      <c r="G1661" s="27">
        <v>0.78541666666666676</v>
      </c>
      <c r="J1661" s="30">
        <f>IF(G1661&lt;$H$10,$H$16,IF(G1661&gt;$I$10,$H$16,$H$11))*E1661/600</f>
        <v>5.1143260000000003E-2</v>
      </c>
      <c r="L1661" s="32">
        <f>$J1661*($G1661-$G1660)*60*24</f>
        <v>5.1143260000008003E-2</v>
      </c>
    </row>
    <row r="1662" spans="1:12">
      <c r="A1662" s="22">
        <v>40311.786111111112</v>
      </c>
      <c r="E1662" s="26">
        <v>154.39550399999999</v>
      </c>
      <c r="G1662" s="27">
        <v>0.78611111111111109</v>
      </c>
      <c r="J1662" s="30">
        <f>IF(G1662&lt;$H$10,$H$16,IF(G1662&gt;$I$10,$H$16,$H$11))*E1662/600</f>
        <v>5.1465167999999999E-2</v>
      </c>
      <c r="L1662" s="32">
        <f>$J1662*($G1662-$G1661)*60*24</f>
        <v>5.1465167999991582E-2</v>
      </c>
    </row>
    <row r="1663" spans="1:12">
      <c r="A1663" s="22">
        <v>40311.786805555559</v>
      </c>
      <c r="E1663" s="26">
        <v>154.72192000000001</v>
      </c>
      <c r="G1663" s="27">
        <v>0.78680555555555554</v>
      </c>
      <c r="J1663" s="30">
        <f>IF(G1663&lt;$H$10,$H$16,IF(G1663&gt;$I$10,$H$16,$H$11))*E1663/600</f>
        <v>5.1573973333333335E-2</v>
      </c>
      <c r="L1663" s="32">
        <f>$J1663*($G1663-$G1662)*60*24</f>
        <v>5.1573973333333155E-2</v>
      </c>
    </row>
    <row r="1664" spans="1:12">
      <c r="A1664" s="22">
        <v>40311.787499999999</v>
      </c>
      <c r="E1664" s="26">
        <v>153.80532400000001</v>
      </c>
      <c r="G1664" s="27">
        <v>0.78749999999999998</v>
      </c>
      <c r="J1664" s="30">
        <f>IF(G1664&lt;$H$10,$H$16,IF(G1664&gt;$I$10,$H$16,$H$11))*E1664/600</f>
        <v>5.1268441333333338E-2</v>
      </c>
      <c r="L1664" s="32">
        <f>$J1664*($G1664-$G1663)*60*24</f>
        <v>5.1268441333333151E-2</v>
      </c>
    </row>
    <row r="1665" spans="1:12">
      <c r="A1665" s="22">
        <v>40311.788194444445</v>
      </c>
      <c r="E1665" s="26">
        <v>154.10073600000001</v>
      </c>
      <c r="G1665" s="27">
        <v>0.78819444444444453</v>
      </c>
      <c r="J1665" s="30">
        <f>IF(G1665&lt;$H$10,$H$16,IF(G1665&gt;$I$10,$H$16,$H$11))*E1665/600</f>
        <v>5.1366912000000008E-2</v>
      </c>
      <c r="L1665" s="32">
        <f>$J1665*($G1665-$G1664)*60*24</f>
        <v>5.1366912000008036E-2</v>
      </c>
    </row>
    <row r="1666" spans="1:12">
      <c r="A1666" s="22">
        <v>40311.788888888892</v>
      </c>
      <c r="E1666" s="26">
        <v>153.71985599999999</v>
      </c>
      <c r="G1666" s="27">
        <v>0.78888888888888886</v>
      </c>
      <c r="J1666" s="30">
        <f>IF(G1666&lt;$H$10,$H$16,IF(G1666&gt;$I$10,$H$16,$H$11))*E1666/600</f>
        <v>5.1239951999999998E-2</v>
      </c>
      <c r="L1666" s="32">
        <f>$J1666*($G1666-$G1665)*60*24</f>
        <v>5.1239951999991623E-2</v>
      </c>
    </row>
    <row r="1667" spans="1:12">
      <c r="A1667" s="22">
        <v>40311.789583333331</v>
      </c>
      <c r="E1667" s="26">
        <v>153.956388</v>
      </c>
      <c r="G1667" s="27">
        <v>0.7895833333333333</v>
      </c>
      <c r="J1667" s="30">
        <f>IF(G1667&lt;$H$10,$H$16,IF(G1667&gt;$I$10,$H$16,$H$11))*E1667/600</f>
        <v>5.1318796E-2</v>
      </c>
      <c r="L1667" s="32">
        <f>$J1667*($G1667-$G1666)*60*24</f>
        <v>5.1318795999999819E-2</v>
      </c>
    </row>
    <row r="1668" spans="1:12">
      <c r="A1668" s="22">
        <v>40311.790277777778</v>
      </c>
      <c r="E1668" s="26">
        <v>153.29454000000001</v>
      </c>
      <c r="G1668" s="27">
        <v>0.79027777777777775</v>
      </c>
      <c r="J1668" s="30">
        <f>IF(G1668&lt;$H$10,$H$16,IF(G1668&gt;$I$10,$H$16,$H$11))*E1668/600</f>
        <v>5.1098180000000007E-2</v>
      </c>
      <c r="L1668" s="32">
        <f>$J1668*($G1668-$G1667)*60*24</f>
        <v>5.1098179999999827E-2</v>
      </c>
    </row>
    <row r="1669" spans="1:12">
      <c r="A1669" s="22">
        <v>40311.790972222225</v>
      </c>
      <c r="E1669" s="26">
        <v>156.20266000000001</v>
      </c>
      <c r="G1669" s="27">
        <v>0.7909722222222223</v>
      </c>
      <c r="J1669" s="30">
        <f>IF(G1669&lt;$H$10,$H$16,IF(G1669&gt;$I$10,$H$16,$H$11))*E1669/600</f>
        <v>5.2067553333333336E-2</v>
      </c>
      <c r="L1669" s="32">
        <f>$J1669*($G1669-$G1668)*60*24</f>
        <v>5.2067553333341475E-2</v>
      </c>
    </row>
    <row r="1670" spans="1:12">
      <c r="A1670" s="22">
        <v>40311.791666666664</v>
      </c>
      <c r="E1670" s="26">
        <v>154.42843999999999</v>
      </c>
      <c r="G1670" s="27">
        <v>0.79166666666666663</v>
      </c>
      <c r="J1670" s="30">
        <f>IF(G1670&lt;$H$10,$H$16,IF(G1670&gt;$I$10,$H$16,$H$11))*E1670/600</f>
        <v>5.1476146666666667E-2</v>
      </c>
      <c r="L1670" s="32">
        <f>$J1670*($G1670-$G1669)*60*24</f>
        <v>5.1476146666658264E-2</v>
      </c>
    </row>
    <row r="1671" spans="1:12">
      <c r="A1671" s="22">
        <v>40311.792361111111</v>
      </c>
      <c r="E1671" s="26">
        <v>154.12392</v>
      </c>
      <c r="G1671" s="27">
        <v>0.79236111111111107</v>
      </c>
      <c r="J1671" s="30">
        <f>IF(G1671&lt;$H$10,$H$16,IF(G1671&gt;$I$10,$H$16,$H$11))*E1671/600</f>
        <v>5.1374639999999999E-2</v>
      </c>
      <c r="L1671" s="32">
        <f>$J1671*($G1671-$G1670)*60*24</f>
        <v>5.1374639999999819E-2</v>
      </c>
    </row>
    <row r="1672" spans="1:12">
      <c r="A1672" s="22">
        <v>40311.793055555558</v>
      </c>
      <c r="E1672" s="26">
        <v>154.835172</v>
      </c>
      <c r="G1672" s="27">
        <v>0.79305555555555562</v>
      </c>
      <c r="J1672" s="30">
        <f>IF(G1672&lt;$H$10,$H$16,IF(G1672&gt;$I$10,$H$16,$H$11))*E1672/600</f>
        <v>5.1611724000000005E-2</v>
      </c>
      <c r="L1672" s="32">
        <f>$J1672*($G1672-$G1671)*60*24</f>
        <v>5.1611724000008075E-2</v>
      </c>
    </row>
    <row r="1673" spans="1:12">
      <c r="A1673" s="22">
        <v>40311.793749999997</v>
      </c>
      <c r="E1673" s="26">
        <v>154.767368</v>
      </c>
      <c r="G1673" s="27">
        <v>0.79375000000000007</v>
      </c>
      <c r="J1673" s="30">
        <f>IF(G1673&lt;$H$10,$H$16,IF(G1673&gt;$I$10,$H$16,$H$11))*E1673/600</f>
        <v>5.1589122666666667E-2</v>
      </c>
      <c r="L1673" s="32">
        <f>$J1673*($G1673-$G1672)*60*24</f>
        <v>5.1589122666666487E-2</v>
      </c>
    </row>
    <row r="1674" spans="1:12">
      <c r="A1674" s="22">
        <v>40311.794444444444</v>
      </c>
      <c r="E1674" s="26">
        <v>154.90481600000001</v>
      </c>
      <c r="G1674" s="27">
        <v>0.7944444444444444</v>
      </c>
      <c r="J1674" s="30">
        <f>IF(G1674&lt;$H$10,$H$16,IF(G1674&gt;$I$10,$H$16,$H$11))*E1674/600</f>
        <v>5.1634938666666678E-2</v>
      </c>
      <c r="L1674" s="32">
        <f>$J1674*($G1674-$G1673)*60*24</f>
        <v>5.1634938666658241E-2</v>
      </c>
    </row>
    <row r="1675" spans="1:12">
      <c r="A1675" s="22">
        <v>40311.795138888891</v>
      </c>
      <c r="E1675" s="26">
        <v>154.76607999999999</v>
      </c>
      <c r="G1675" s="27">
        <v>0.79513888888888884</v>
      </c>
      <c r="J1675" s="30">
        <f>IF(G1675&lt;$H$10,$H$16,IF(G1675&gt;$I$10,$H$16,$H$11))*E1675/600</f>
        <v>5.1588693333333331E-2</v>
      </c>
      <c r="L1675" s="32">
        <f>$J1675*($G1675-$G1674)*60*24</f>
        <v>5.1588693333333144E-2</v>
      </c>
    </row>
    <row r="1676" spans="1:12">
      <c r="A1676" s="22">
        <v>40311.79583333333</v>
      </c>
      <c r="E1676" s="26">
        <v>156.07468800000001</v>
      </c>
      <c r="G1676" s="27">
        <v>0.79583333333333339</v>
      </c>
      <c r="J1676" s="30">
        <f>IF(G1676&lt;$H$10,$H$16,IF(G1676&gt;$I$10,$H$16,$H$11))*E1676/600</f>
        <v>5.2024896000000001E-2</v>
      </c>
      <c r="L1676" s="32">
        <f>$J1676*($G1676-$G1675)*60*24</f>
        <v>5.2024896000008133E-2</v>
      </c>
    </row>
    <row r="1677" spans="1:12">
      <c r="A1677" s="22">
        <v>40311.796527777777</v>
      </c>
      <c r="E1677" s="26">
        <v>155.38800000000001</v>
      </c>
      <c r="G1677" s="27">
        <v>0.79652777777777783</v>
      </c>
      <c r="J1677" s="30">
        <f>IF(G1677&lt;$H$10,$H$16,IF(G1677&gt;$I$10,$H$16,$H$11))*E1677/600</f>
        <v>5.1796000000000009E-2</v>
      </c>
      <c r="L1677" s="32">
        <f>$J1677*($G1677-$G1676)*60*24</f>
        <v>5.1795999999999828E-2</v>
      </c>
    </row>
    <row r="1678" spans="1:12">
      <c r="A1678" s="22">
        <v>40311.797222222223</v>
      </c>
      <c r="E1678" s="26">
        <v>155.10896399999999</v>
      </c>
      <c r="G1678" s="27">
        <v>0.79722222222222217</v>
      </c>
      <c r="J1678" s="30">
        <f>IF(G1678&lt;$H$10,$H$16,IF(G1678&gt;$I$10,$H$16,$H$11))*E1678/600</f>
        <v>5.1702987999999998E-2</v>
      </c>
      <c r="L1678" s="32">
        <f>$J1678*($G1678-$G1677)*60*24</f>
        <v>5.1702987999991547E-2</v>
      </c>
    </row>
    <row r="1679" spans="1:12">
      <c r="A1679" s="22">
        <v>40311.79791666667</v>
      </c>
      <c r="E1679" s="26">
        <v>156.07882799999999</v>
      </c>
      <c r="G1679" s="27">
        <v>0.79791666666666661</v>
      </c>
      <c r="J1679" s="30">
        <f>IF(G1679&lt;$H$10,$H$16,IF(G1679&gt;$I$10,$H$16,$H$11))*E1679/600</f>
        <v>5.2026275999999996E-2</v>
      </c>
      <c r="L1679" s="32">
        <f>$J1679*($G1679-$G1678)*60*24</f>
        <v>5.2026275999999802E-2</v>
      </c>
    </row>
    <row r="1680" spans="1:12">
      <c r="A1680" s="22">
        <v>40311.798611111109</v>
      </c>
      <c r="E1680" s="26">
        <v>155.93291600000001</v>
      </c>
      <c r="G1680" s="27">
        <v>0.79861111111111116</v>
      </c>
      <c r="J1680" s="30">
        <f>IF(G1680&lt;$H$10,$H$16,IF(G1680&gt;$I$10,$H$16,$H$11))*E1680/600</f>
        <v>5.1977638666666666E-2</v>
      </c>
      <c r="L1680" s="32">
        <f>$J1680*($G1680-$G1679)*60*24</f>
        <v>5.1977638666674784E-2</v>
      </c>
    </row>
    <row r="1681" spans="1:12">
      <c r="A1681" s="22">
        <v>40311.799305555556</v>
      </c>
      <c r="E1681" s="26">
        <v>155.03747999999999</v>
      </c>
      <c r="G1681" s="27">
        <v>0.7993055555555556</v>
      </c>
      <c r="J1681" s="30">
        <f>IF(G1681&lt;$H$10,$H$16,IF(G1681&gt;$I$10,$H$16,$H$11))*E1681/600</f>
        <v>5.1679160000000002E-2</v>
      </c>
      <c r="L1681" s="32">
        <f>$J1681*($G1681-$G1680)*60*24</f>
        <v>5.1679159999999821E-2</v>
      </c>
    </row>
    <row r="1682" spans="1:12">
      <c r="A1682" s="22">
        <v>40311.800000000003</v>
      </c>
      <c r="E1682" s="26">
        <v>154.48548</v>
      </c>
      <c r="G1682" s="27">
        <v>0.79999999999999993</v>
      </c>
      <c r="J1682" s="30">
        <f>IF(G1682&lt;$H$10,$H$16,IF(G1682&gt;$I$10,$H$16,$H$11))*E1682/600</f>
        <v>5.1495160000000005E-2</v>
      </c>
      <c r="L1682" s="32">
        <f>$J1682*($G1682-$G1681)*60*24</f>
        <v>5.1495159999991588E-2</v>
      </c>
    </row>
    <row r="1683" spans="1:12">
      <c r="A1683" s="22">
        <v>40311.800694444442</v>
      </c>
      <c r="E1683" s="26">
        <v>155.44540799999999</v>
      </c>
      <c r="G1683" s="27">
        <v>0.80069444444444438</v>
      </c>
      <c r="J1683" s="30">
        <f>IF(G1683&lt;$H$10,$H$16,IF(G1683&gt;$I$10,$H$16,$H$11))*E1683/600</f>
        <v>5.1815135999999998E-2</v>
      </c>
      <c r="L1683" s="32">
        <f>$J1683*($G1683-$G1682)*60*24</f>
        <v>5.1815135999999803E-2</v>
      </c>
    </row>
    <row r="1684" spans="1:12">
      <c r="A1684" s="22">
        <v>40311.801388888889</v>
      </c>
      <c r="E1684" s="26">
        <v>155.52094</v>
      </c>
      <c r="G1684" s="27">
        <v>0.80138888888888893</v>
      </c>
      <c r="J1684" s="30">
        <f>IF(G1684&lt;$H$10,$H$16,IF(G1684&gt;$I$10,$H$16,$H$11))*E1684/600</f>
        <v>5.1840313333333332E-2</v>
      </c>
      <c r="L1684" s="32">
        <f>$J1684*($G1684-$G1683)*60*24</f>
        <v>5.184031333334143E-2</v>
      </c>
    </row>
    <row r="1685" spans="1:12">
      <c r="A1685" s="22">
        <v>40311.802083333336</v>
      </c>
      <c r="E1685" s="26">
        <v>154.760008</v>
      </c>
      <c r="G1685" s="27">
        <v>0.80208333333333337</v>
      </c>
      <c r="J1685" s="30">
        <f>IF(G1685&lt;$H$10,$H$16,IF(G1685&gt;$I$10,$H$16,$H$11))*E1685/600</f>
        <v>5.1586669333333335E-2</v>
      </c>
      <c r="L1685" s="32">
        <f>$J1685*($G1685-$G1684)*60*24</f>
        <v>5.1586669333333154E-2</v>
      </c>
    </row>
    <row r="1686" spans="1:12">
      <c r="A1686" s="22">
        <v>40311.802777777775</v>
      </c>
      <c r="E1686" s="26">
        <v>156.250224</v>
      </c>
      <c r="G1686" s="27">
        <v>0.8027777777777777</v>
      </c>
      <c r="J1686" s="30">
        <f>IF(G1686&lt;$H$10,$H$16,IF(G1686&gt;$I$10,$H$16,$H$11))*E1686/600</f>
        <v>5.2083408000000005E-2</v>
      </c>
      <c r="L1686" s="32">
        <f>$J1686*($G1686-$G1685)*60*24</f>
        <v>5.2083407999991491E-2</v>
      </c>
    </row>
    <row r="1687" spans="1:12">
      <c r="A1687" s="22">
        <v>40311.803472222222</v>
      </c>
      <c r="E1687" s="26">
        <v>155.73115999999999</v>
      </c>
      <c r="G1687" s="27">
        <v>0.80347222222222225</v>
      </c>
      <c r="J1687" s="30">
        <f>IF(G1687&lt;$H$10,$H$16,IF(G1687&gt;$I$10,$H$16,$H$11))*E1687/600</f>
        <v>5.1910386666666662E-2</v>
      </c>
      <c r="L1687" s="32">
        <f>$J1687*($G1687-$G1686)*60*24</f>
        <v>5.1910386666674774E-2</v>
      </c>
    </row>
    <row r="1688" spans="1:12">
      <c r="A1688" s="22">
        <v>40311.804166666669</v>
      </c>
      <c r="E1688" s="26">
        <v>154.902424</v>
      </c>
      <c r="G1688" s="27">
        <v>0.8041666666666667</v>
      </c>
      <c r="J1688" s="30">
        <f>IF(G1688&lt;$H$10,$H$16,IF(G1688&gt;$I$10,$H$16,$H$11))*E1688/600</f>
        <v>5.1634141333333335E-2</v>
      </c>
      <c r="L1688" s="32">
        <f>$J1688*($G1688-$G1687)*60*24</f>
        <v>5.1634141333333147E-2</v>
      </c>
    </row>
    <row r="1689" spans="1:12">
      <c r="A1689" s="22">
        <v>40311.804861111108</v>
      </c>
      <c r="E1689" s="26">
        <v>155.17971199999999</v>
      </c>
      <c r="G1689" s="27">
        <v>0.80486111111111114</v>
      </c>
      <c r="J1689" s="30">
        <f>IF(G1689&lt;$H$10,$H$16,IF(G1689&gt;$I$10,$H$16,$H$11))*E1689/600</f>
        <v>5.1726570666666666E-2</v>
      </c>
      <c r="L1689" s="32">
        <f>$J1689*($G1689-$G1688)*60*24</f>
        <v>5.1726570666666485E-2</v>
      </c>
    </row>
    <row r="1690" spans="1:12">
      <c r="A1690" s="22">
        <v>40311.805555555555</v>
      </c>
      <c r="E1690" s="26">
        <v>156.56376</v>
      </c>
      <c r="G1690" s="27">
        <v>0.80555555555555547</v>
      </c>
      <c r="J1690" s="30">
        <f>IF(G1690&lt;$H$10,$H$16,IF(G1690&gt;$I$10,$H$16,$H$11))*E1690/600</f>
        <v>5.2187920000000006E-2</v>
      </c>
      <c r="L1690" s="32">
        <f>$J1690*($G1690-$G1689)*60*24</f>
        <v>5.2187919999991478E-2</v>
      </c>
    </row>
    <row r="1691" spans="1:12">
      <c r="A1691" s="22">
        <v>40311.806250000001</v>
      </c>
      <c r="E1691" s="26">
        <v>155.148616</v>
      </c>
      <c r="G1691" s="27">
        <v>0.80625000000000002</v>
      </c>
      <c r="J1691" s="30">
        <f>IF(G1691&lt;$H$10,$H$16,IF(G1691&gt;$I$10,$H$16,$H$11))*E1691/600</f>
        <v>5.1716205333333341E-2</v>
      </c>
      <c r="L1691" s="32">
        <f>$J1691*($G1691-$G1690)*60*24</f>
        <v>5.1716205333341432E-2</v>
      </c>
    </row>
    <row r="1692" spans="1:12">
      <c r="A1692" s="22">
        <v>40311.806944444441</v>
      </c>
      <c r="E1692" s="26">
        <v>155.65204</v>
      </c>
      <c r="G1692" s="27">
        <v>0.80694444444444446</v>
      </c>
      <c r="J1692" s="30">
        <f>IF(G1692&lt;$H$10,$H$16,IF(G1692&gt;$I$10,$H$16,$H$11))*E1692/600</f>
        <v>5.188401333333334E-2</v>
      </c>
      <c r="L1692" s="32">
        <f>$J1692*($G1692-$G1691)*60*24</f>
        <v>5.1884013333333159E-2</v>
      </c>
    </row>
    <row r="1693" spans="1:12">
      <c r="A1693" s="22">
        <v>40311.807638888888</v>
      </c>
      <c r="E1693" s="26">
        <v>157.22726399999999</v>
      </c>
      <c r="G1693" s="27">
        <v>0.80763888888888891</v>
      </c>
      <c r="J1693" s="30">
        <f>IF(G1693&lt;$H$10,$H$16,IF(G1693&gt;$I$10,$H$16,$H$11))*E1693/600</f>
        <v>5.2409088E-2</v>
      </c>
      <c r="L1693" s="32">
        <f>$J1693*($G1693-$G1692)*60*24</f>
        <v>5.2409087999999812E-2</v>
      </c>
    </row>
    <row r="1694" spans="1:12">
      <c r="A1694" s="22">
        <v>40311.808333333334</v>
      </c>
      <c r="E1694" s="26">
        <v>155.78709599999999</v>
      </c>
      <c r="G1694" s="27">
        <v>0.80833333333333324</v>
      </c>
      <c r="J1694" s="30">
        <f>IF(G1694&lt;$H$10,$H$16,IF(G1694&gt;$I$10,$H$16,$H$11))*E1694/600</f>
        <v>5.1929032E-2</v>
      </c>
      <c r="L1694" s="32">
        <f>$J1694*($G1694-$G1693)*60*24</f>
        <v>5.1929031999991514E-2</v>
      </c>
    </row>
    <row r="1695" spans="1:12">
      <c r="A1695" s="22">
        <v>40311.809027777781</v>
      </c>
      <c r="E1695" s="26">
        <v>155.42995199999999</v>
      </c>
      <c r="G1695" s="27">
        <v>0.80902777777777779</v>
      </c>
      <c r="J1695" s="30">
        <f>IF(G1695&lt;$H$10,$H$16,IF(G1695&gt;$I$10,$H$16,$H$11))*E1695/600</f>
        <v>5.1809984000000003E-2</v>
      </c>
      <c r="L1695" s="32">
        <f>$J1695*($G1695-$G1694)*60*24</f>
        <v>5.1809984000008108E-2</v>
      </c>
    </row>
    <row r="1696" spans="1:12">
      <c r="A1696" s="22">
        <v>40311.80972222222</v>
      </c>
      <c r="E1696" s="26">
        <v>155.75894400000001</v>
      </c>
      <c r="G1696" s="27">
        <v>0.80972222222222223</v>
      </c>
      <c r="J1696" s="30">
        <f>IF(G1696&lt;$H$10,$H$16,IF(G1696&gt;$I$10,$H$16,$H$11))*E1696/600</f>
        <v>5.1919648000000013E-2</v>
      </c>
      <c r="L1696" s="32">
        <f>$J1696*($G1696-$G1695)*60*24</f>
        <v>5.1919647999999832E-2</v>
      </c>
    </row>
    <row r="1697" spans="1:12">
      <c r="A1697" s="22">
        <v>40311.810416666667</v>
      </c>
      <c r="E1697" s="26">
        <v>158.04220000000001</v>
      </c>
      <c r="G1697" s="27">
        <v>0.81041666666666667</v>
      </c>
      <c r="J1697" s="30">
        <f>IF(G1697&lt;$H$10,$H$16,IF(G1697&gt;$I$10,$H$16,$H$11))*E1697/600</f>
        <v>5.2680733333333334E-2</v>
      </c>
      <c r="L1697" s="32">
        <f>$J1697*($G1697-$G1696)*60*24</f>
        <v>5.2680733333333146E-2</v>
      </c>
    </row>
    <row r="1698" spans="1:12">
      <c r="A1698" s="22">
        <v>40311.811111111114</v>
      </c>
      <c r="E1698" s="26">
        <v>156.36209600000001</v>
      </c>
      <c r="G1698" s="27">
        <v>0.81111111111111101</v>
      </c>
      <c r="J1698" s="30">
        <f>IF(G1698&lt;$H$10,$H$16,IF(G1698&gt;$I$10,$H$16,$H$11))*E1698/600</f>
        <v>5.2120698666666666E-2</v>
      </c>
      <c r="L1698" s="32">
        <f>$J1698*($G1698-$G1697)*60*24</f>
        <v>5.2120698666658145E-2</v>
      </c>
    </row>
    <row r="1699" spans="1:12">
      <c r="A1699" s="22">
        <v>40311.811805555553</v>
      </c>
      <c r="E1699" s="26">
        <v>157.62451999999999</v>
      </c>
      <c r="G1699" s="27">
        <v>0.81180555555555556</v>
      </c>
      <c r="J1699" s="30">
        <f>IF(G1699&lt;$H$10,$H$16,IF(G1699&gt;$I$10,$H$16,$H$11))*E1699/600</f>
        <v>5.2541506666666668E-2</v>
      </c>
      <c r="L1699" s="32">
        <f>$J1699*($G1699-$G1698)*60*24</f>
        <v>5.2541506666674877E-2</v>
      </c>
    </row>
    <row r="1700" spans="1:12">
      <c r="A1700" s="22">
        <v>40311.8125</v>
      </c>
      <c r="E1700" s="26">
        <v>156.02611200000001</v>
      </c>
      <c r="G1700" s="27">
        <v>0.8125</v>
      </c>
      <c r="J1700" s="30">
        <f>IF(G1700&lt;$H$10,$H$16,IF(G1700&gt;$I$10,$H$16,$H$11))*E1700/600</f>
        <v>5.200870400000001E-2</v>
      </c>
      <c r="L1700" s="32">
        <f>$J1700*($G1700-$G1699)*60*24</f>
        <v>5.2008703999999829E-2</v>
      </c>
    </row>
    <row r="1701" spans="1:12">
      <c r="A1701" s="22">
        <v>40311.813194444447</v>
      </c>
      <c r="E1701" s="26">
        <v>156.41149999999999</v>
      </c>
      <c r="G1701" s="27">
        <v>0.81319444444444444</v>
      </c>
      <c r="J1701" s="30">
        <f>IF(G1701&lt;$H$10,$H$16,IF(G1701&gt;$I$10,$H$16,$H$11))*E1701/600</f>
        <v>5.2137166666666665E-2</v>
      </c>
      <c r="L1701" s="32">
        <f>$J1701*($G1701-$G1700)*60*24</f>
        <v>5.2137166666666471E-2</v>
      </c>
    </row>
    <row r="1702" spans="1:12">
      <c r="A1702" s="22">
        <v>40311.813888888886</v>
      </c>
      <c r="E1702" s="26">
        <v>169.16179199999999</v>
      </c>
      <c r="G1702" s="27">
        <v>0.81388888888888899</v>
      </c>
      <c r="J1702" s="30">
        <f>IF(G1702&lt;$H$10,$H$16,IF(G1702&gt;$I$10,$H$16,$H$11))*E1702/600</f>
        <v>5.6387263999999993E-2</v>
      </c>
      <c r="L1702" s="32">
        <f>$J1702*($G1702-$G1701)*60*24</f>
        <v>5.6387264000008805E-2</v>
      </c>
    </row>
    <row r="1703" spans="1:12">
      <c r="A1703" s="22">
        <v>40311.814583333333</v>
      </c>
      <c r="E1703" s="26">
        <v>178.031488</v>
      </c>
      <c r="G1703" s="27">
        <v>0.81458333333333333</v>
      </c>
      <c r="J1703" s="30">
        <f>IF(G1703&lt;$H$10,$H$16,IF(G1703&gt;$I$10,$H$16,$H$11))*E1703/600</f>
        <v>5.9343829333333327E-2</v>
      </c>
      <c r="L1703" s="32">
        <f>$J1703*($G1703-$G1702)*60*24</f>
        <v>5.9343829333323633E-2</v>
      </c>
    </row>
    <row r="1704" spans="1:12">
      <c r="A1704" s="22">
        <v>40311.81527777778</v>
      </c>
      <c r="E1704" s="26">
        <v>169.38108600000001</v>
      </c>
      <c r="G1704" s="27">
        <v>0.81527777777777777</v>
      </c>
      <c r="J1704" s="30">
        <f>IF(G1704&lt;$H$10,$H$16,IF(G1704&gt;$I$10,$H$16,$H$11))*E1704/600</f>
        <v>5.6460362000000014E-2</v>
      </c>
      <c r="L1704" s="32">
        <f>$J1704*($G1704-$G1703)*60*24</f>
        <v>5.6460361999999806E-2</v>
      </c>
    </row>
    <row r="1705" spans="1:12">
      <c r="A1705" s="22">
        <v>40311.815972222219</v>
      </c>
      <c r="E1705" s="26">
        <v>156.02611200000001</v>
      </c>
      <c r="G1705" s="27">
        <v>0.81597222222222221</v>
      </c>
      <c r="J1705" s="30">
        <f>IF(G1705&lt;$H$10,$H$16,IF(G1705&gt;$I$10,$H$16,$H$11))*E1705/600</f>
        <v>5.200870400000001E-2</v>
      </c>
      <c r="L1705" s="32">
        <f>$J1705*($G1705-$G1704)*60*24</f>
        <v>5.2008703999999829E-2</v>
      </c>
    </row>
    <row r="1706" spans="1:12">
      <c r="A1706" s="22">
        <v>40311.816666666666</v>
      </c>
      <c r="E1706" s="26">
        <v>156.33743999999999</v>
      </c>
      <c r="G1706" s="27">
        <v>0.81666666666666676</v>
      </c>
      <c r="J1706" s="30">
        <f>IF(G1706&lt;$H$10,$H$16,IF(G1706&gt;$I$10,$H$16,$H$11))*E1706/600</f>
        <v>5.2112480000000003E-2</v>
      </c>
      <c r="L1706" s="32">
        <f>$J1706*($G1706-$G1705)*60*24</f>
        <v>5.2112480000008149E-2</v>
      </c>
    </row>
    <row r="1707" spans="1:12">
      <c r="A1707" s="22">
        <v>40311.817361111112</v>
      </c>
      <c r="E1707" s="26">
        <v>156.71234000000001</v>
      </c>
      <c r="G1707" s="27">
        <v>0.81736111111111109</v>
      </c>
      <c r="J1707" s="30">
        <f>IF(G1707&lt;$H$10,$H$16,IF(G1707&gt;$I$10,$H$16,$H$11))*E1707/600</f>
        <v>5.2237446666666673E-2</v>
      </c>
      <c r="L1707" s="32">
        <f>$J1707*($G1707-$G1706)*60*24</f>
        <v>5.2237446666658138E-2</v>
      </c>
    </row>
    <row r="1708" spans="1:12">
      <c r="A1708" s="22">
        <v>40311.818055555559</v>
      </c>
      <c r="E1708" s="26">
        <v>156.27929599999999</v>
      </c>
      <c r="G1708" s="27">
        <v>0.81805555555555554</v>
      </c>
      <c r="J1708" s="30">
        <f>IF(G1708&lt;$H$10,$H$16,IF(G1708&gt;$I$10,$H$16,$H$11))*E1708/600</f>
        <v>5.2093098666666664E-2</v>
      </c>
      <c r="L1708" s="32">
        <f>$J1708*($G1708-$G1707)*60*24</f>
        <v>5.2093098666666476E-2</v>
      </c>
    </row>
    <row r="1709" spans="1:12">
      <c r="A1709" s="22">
        <v>40311.818749999999</v>
      </c>
      <c r="E1709" s="26">
        <v>156.73414399999999</v>
      </c>
      <c r="G1709" s="27">
        <v>0.81874999999999998</v>
      </c>
      <c r="J1709" s="30">
        <f>IF(G1709&lt;$H$10,$H$16,IF(G1709&gt;$I$10,$H$16,$H$11))*E1709/600</f>
        <v>5.2244714666666664E-2</v>
      </c>
      <c r="L1709" s="32">
        <f>$J1709*($G1709-$G1708)*60*24</f>
        <v>5.2244714666666484E-2</v>
      </c>
    </row>
    <row r="1710" spans="1:12">
      <c r="A1710" s="22">
        <v>40311.819444444445</v>
      </c>
      <c r="E1710" s="26">
        <v>157.16221999999999</v>
      </c>
      <c r="G1710" s="27">
        <v>0.81944444444444453</v>
      </c>
      <c r="J1710" s="30">
        <f>IF(G1710&lt;$H$10,$H$16,IF(G1710&gt;$I$10,$H$16,$H$11))*E1710/600</f>
        <v>5.2387406666666664E-2</v>
      </c>
      <c r="L1710" s="32">
        <f>$J1710*($G1710-$G1709)*60*24</f>
        <v>5.2387406666674845E-2</v>
      </c>
    </row>
    <row r="1711" spans="1:12">
      <c r="A1711" s="22">
        <v>40311.820138888892</v>
      </c>
      <c r="E1711" s="26">
        <v>157.03811200000001</v>
      </c>
      <c r="G1711" s="27">
        <v>0.82013888888888886</v>
      </c>
      <c r="J1711" s="30">
        <f>IF(G1711&lt;$H$10,$H$16,IF(G1711&gt;$I$10,$H$16,$H$11))*E1711/600</f>
        <v>5.2346037333333338E-2</v>
      </c>
      <c r="L1711" s="32">
        <f>$J1711*($G1711-$G1710)*60*24</f>
        <v>5.2346037333324782E-2</v>
      </c>
    </row>
    <row r="1712" spans="1:12">
      <c r="A1712" s="22">
        <v>40311.820833333331</v>
      </c>
      <c r="E1712" s="26">
        <v>155.7192</v>
      </c>
      <c r="G1712" s="27">
        <v>0.8208333333333333</v>
      </c>
      <c r="J1712" s="30">
        <f>IF(G1712&lt;$H$10,$H$16,IF(G1712&gt;$I$10,$H$16,$H$11))*E1712/600</f>
        <v>5.1906399999999998E-2</v>
      </c>
      <c r="L1712" s="32">
        <f>$J1712*($G1712-$G1711)*60*24</f>
        <v>5.1906399999999811E-2</v>
      </c>
    </row>
    <row r="1713" spans="1:12">
      <c r="A1713" s="22">
        <v>40311.821527777778</v>
      </c>
      <c r="E1713" s="26">
        <v>156.35519600000001</v>
      </c>
      <c r="G1713" s="27">
        <v>0.82152777777777775</v>
      </c>
      <c r="J1713" s="30">
        <f>IF(G1713&lt;$H$10,$H$16,IF(G1713&gt;$I$10,$H$16,$H$11))*E1713/600</f>
        <v>5.2118398666666677E-2</v>
      </c>
      <c r="L1713" s="32">
        <f>$J1713*($G1713-$G1712)*60*24</f>
        <v>5.2118398666666496E-2</v>
      </c>
    </row>
    <row r="1714" spans="1:12">
      <c r="A1714" s="22">
        <v>40311.822222222225</v>
      </c>
      <c r="E1714" s="26">
        <v>155.59481600000001</v>
      </c>
      <c r="G1714" s="27">
        <v>0.8222222222222223</v>
      </c>
      <c r="J1714" s="30">
        <f>IF(G1714&lt;$H$10,$H$16,IF(G1714&gt;$I$10,$H$16,$H$11))*E1714/600</f>
        <v>5.1864938666666673E-2</v>
      </c>
      <c r="L1714" s="32">
        <f>$J1714*($G1714-$G1713)*60*24</f>
        <v>5.1864938666674784E-2</v>
      </c>
    </row>
    <row r="1715" spans="1:12">
      <c r="A1715" s="22">
        <v>40311.822916666664</v>
      </c>
      <c r="E1715" s="26">
        <v>155.87155200000001</v>
      </c>
      <c r="G1715" s="27">
        <v>0.82291666666666663</v>
      </c>
      <c r="J1715" s="30">
        <f>IF(G1715&lt;$H$10,$H$16,IF(G1715&gt;$I$10,$H$16,$H$11))*E1715/600</f>
        <v>5.1957184000000003E-2</v>
      </c>
      <c r="L1715" s="32">
        <f>$J1715*($G1715-$G1714)*60*24</f>
        <v>5.1957183999991517E-2</v>
      </c>
    </row>
    <row r="1716" spans="1:12">
      <c r="A1716" s="22">
        <v>40311.823611111111</v>
      </c>
      <c r="E1716" s="26">
        <v>156.21737999999999</v>
      </c>
      <c r="G1716" s="27">
        <v>0.82361111111111107</v>
      </c>
      <c r="J1716" s="30">
        <f>IF(G1716&lt;$H$10,$H$16,IF(G1716&gt;$I$10,$H$16,$H$11))*E1716/600</f>
        <v>5.2072460000000001E-2</v>
      </c>
      <c r="L1716" s="32">
        <f>$J1716*($G1716-$G1715)*60*24</f>
        <v>5.2072459999999821E-2</v>
      </c>
    </row>
    <row r="1717" spans="1:12">
      <c r="A1717" s="22">
        <v>40311.824305555558</v>
      </c>
      <c r="E1717" s="26">
        <v>157.533624</v>
      </c>
      <c r="G1717" s="27">
        <v>0.82430555555555562</v>
      </c>
      <c r="J1717" s="30">
        <f>IF(G1717&lt;$H$10,$H$16,IF(G1717&gt;$I$10,$H$16,$H$11))*E1717/600</f>
        <v>5.2511208000000004E-2</v>
      </c>
      <c r="L1717" s="32">
        <f>$J1717*($G1717-$G1716)*60*24</f>
        <v>5.2511208000008205E-2</v>
      </c>
    </row>
    <row r="1718" spans="1:12">
      <c r="A1718" s="22">
        <v>40311.824999999997</v>
      </c>
      <c r="E1718" s="26">
        <v>155.373188</v>
      </c>
      <c r="G1718" s="27">
        <v>0.82500000000000007</v>
      </c>
      <c r="J1718" s="30">
        <f>IF(G1718&lt;$H$10,$H$16,IF(G1718&gt;$I$10,$H$16,$H$11))*E1718/600</f>
        <v>5.1791062666666672E-2</v>
      </c>
      <c r="L1718" s="32">
        <f>$J1718*($G1718-$G1717)*60*24</f>
        <v>5.1791062666666485E-2</v>
      </c>
    </row>
    <row r="1719" spans="1:12">
      <c r="A1719" s="22">
        <v>40311.825694444444</v>
      </c>
      <c r="E1719" s="26">
        <v>155.23647600000001</v>
      </c>
      <c r="G1719" s="27">
        <v>0.8256944444444444</v>
      </c>
      <c r="J1719" s="30">
        <f>IF(G1719&lt;$H$10,$H$16,IF(G1719&gt;$I$10,$H$16,$H$11))*E1719/600</f>
        <v>5.1745492000000004E-2</v>
      </c>
      <c r="L1719" s="32">
        <f>$J1719*($G1719-$G1718)*60*24</f>
        <v>5.1745491999991552E-2</v>
      </c>
    </row>
    <row r="1720" spans="1:12">
      <c r="A1720" s="22">
        <v>40311.826388888891</v>
      </c>
      <c r="E1720" s="26">
        <v>155.44872000000001</v>
      </c>
      <c r="G1720" s="27">
        <v>0.82638888888888884</v>
      </c>
      <c r="J1720" s="30">
        <f>IF(G1720&lt;$H$10,$H$16,IF(G1720&gt;$I$10,$H$16,$H$11))*E1720/600</f>
        <v>5.1816240000000006E-2</v>
      </c>
      <c r="L1720" s="32">
        <f>$J1720*($G1720-$G1719)*60*24</f>
        <v>5.1816239999999819E-2</v>
      </c>
    </row>
    <row r="1721" spans="1:12">
      <c r="A1721" s="22">
        <v>40311.82708333333</v>
      </c>
      <c r="E1721" s="26">
        <v>155.52011200000001</v>
      </c>
      <c r="G1721" s="27">
        <v>0.82708333333333339</v>
      </c>
      <c r="J1721" s="30">
        <f>IF(G1721&lt;$H$10,$H$16,IF(G1721&gt;$I$10,$H$16,$H$11))*E1721/600</f>
        <v>5.1840037333333339E-2</v>
      </c>
      <c r="L1721" s="32">
        <f>$J1721*($G1721-$G1720)*60*24</f>
        <v>5.1840037333341443E-2</v>
      </c>
    </row>
    <row r="1722" spans="1:12">
      <c r="A1722" s="22">
        <v>40311.827777777777</v>
      </c>
      <c r="E1722" s="26">
        <v>156.49199999999999</v>
      </c>
      <c r="G1722" s="27">
        <v>0.82777777777777783</v>
      </c>
      <c r="J1722" s="30">
        <f>IF(G1722&lt;$H$10,$H$16,IF(G1722&gt;$I$10,$H$16,$H$11))*E1722/600</f>
        <v>5.2164000000000002E-2</v>
      </c>
      <c r="L1722" s="32">
        <f>$J1722*($G1722-$G1721)*60*24</f>
        <v>5.2163999999999815E-2</v>
      </c>
    </row>
    <row r="1723" spans="1:12">
      <c r="A1723" s="22">
        <v>40311.828472222223</v>
      </c>
      <c r="E1723" s="26">
        <v>154.186296</v>
      </c>
      <c r="G1723" s="27">
        <v>0.82847222222222217</v>
      </c>
      <c r="J1723" s="30">
        <f>IF(G1723&lt;$H$10,$H$16,IF(G1723&gt;$I$10,$H$16,$H$11))*E1723/600</f>
        <v>5.1395432000000005E-2</v>
      </c>
      <c r="L1723" s="32">
        <f>$J1723*($G1723-$G1722)*60*24</f>
        <v>5.1395431999991609E-2</v>
      </c>
    </row>
    <row r="1724" spans="1:12">
      <c r="A1724" s="22">
        <v>40311.82916666667</v>
      </c>
      <c r="E1724" s="26">
        <v>155.29048</v>
      </c>
      <c r="G1724" s="27">
        <v>0.82916666666666661</v>
      </c>
      <c r="J1724" s="30">
        <f>IF(G1724&lt;$H$10,$H$16,IF(G1724&gt;$I$10,$H$16,$H$11))*E1724/600</f>
        <v>5.1763493333333341E-2</v>
      </c>
      <c r="L1724" s="32">
        <f>$J1724*($G1724-$G1723)*60*24</f>
        <v>5.176349333333316E-2</v>
      </c>
    </row>
    <row r="1725" spans="1:12">
      <c r="A1725" s="22">
        <v>40311.829861111109</v>
      </c>
      <c r="E1725" s="26">
        <v>157.16728000000001</v>
      </c>
      <c r="G1725" s="27">
        <v>0.82986111111111116</v>
      </c>
      <c r="J1725" s="30">
        <f>IF(G1725&lt;$H$10,$H$16,IF(G1725&gt;$I$10,$H$16,$H$11))*E1725/600</f>
        <v>5.2389093333333338E-2</v>
      </c>
      <c r="L1725" s="32">
        <f>$J1725*($G1725-$G1724)*60*24</f>
        <v>5.2389093333341519E-2</v>
      </c>
    </row>
    <row r="1726" spans="1:12">
      <c r="A1726" s="22">
        <v>40311.830555555556</v>
      </c>
      <c r="E1726" s="26">
        <v>155.22239999999999</v>
      </c>
      <c r="G1726" s="27">
        <v>0.8305555555555556</v>
      </c>
      <c r="J1726" s="30">
        <f>IF(G1726&lt;$H$10,$H$16,IF(G1726&gt;$I$10,$H$16,$H$11))*E1726/600</f>
        <v>5.1740800000000003E-2</v>
      </c>
      <c r="L1726" s="32">
        <f>$J1726*($G1726-$G1725)*60*24</f>
        <v>5.1740799999999823E-2</v>
      </c>
    </row>
    <row r="1727" spans="1:12">
      <c r="A1727" s="22">
        <v>40311.831250000003</v>
      </c>
      <c r="E1727" s="26">
        <v>155.704848</v>
      </c>
      <c r="G1727" s="27">
        <v>0.83124999999999993</v>
      </c>
      <c r="J1727" s="30">
        <f>IF(G1727&lt;$H$10,$H$16,IF(G1727&gt;$I$10,$H$16,$H$11))*E1727/600</f>
        <v>5.1901616000000005E-2</v>
      </c>
      <c r="L1727" s="32">
        <f>$J1727*($G1727-$G1726)*60*24</f>
        <v>5.1901615999991518E-2</v>
      </c>
    </row>
    <row r="1728" spans="1:12">
      <c r="A1728" s="22">
        <v>40311.831944444442</v>
      </c>
      <c r="E1728" s="26">
        <v>156.72015999999999</v>
      </c>
      <c r="G1728" s="27">
        <v>0.83194444444444438</v>
      </c>
      <c r="J1728" s="30">
        <f>IF(G1728&lt;$H$10,$H$16,IF(G1728&gt;$I$10,$H$16,$H$11))*E1728/600</f>
        <v>5.2240053333333328E-2</v>
      </c>
      <c r="L1728" s="32">
        <f>$J1728*($G1728-$G1727)*60*24</f>
        <v>5.2240053333333134E-2</v>
      </c>
    </row>
    <row r="1729" spans="1:12">
      <c r="A1729" s="22">
        <v>40311.832638888889</v>
      </c>
      <c r="E1729" s="26">
        <v>155.79648</v>
      </c>
      <c r="G1729" s="27">
        <v>0.83263888888888893</v>
      </c>
      <c r="J1729" s="30">
        <f>IF(G1729&lt;$H$10,$H$16,IF(G1729&gt;$I$10,$H$16,$H$11))*E1729/600</f>
        <v>5.1932160000000005E-2</v>
      </c>
      <c r="L1729" s="32">
        <f>$J1729*($G1729-$G1728)*60*24</f>
        <v>5.1932160000008123E-2</v>
      </c>
    </row>
    <row r="1730" spans="1:12">
      <c r="A1730" s="22">
        <v>40311.833333333336</v>
      </c>
      <c r="E1730" s="26">
        <v>155.05266</v>
      </c>
      <c r="G1730" s="27">
        <v>0.83333333333333337</v>
      </c>
      <c r="J1730" s="30">
        <f>IF(G1730&lt;$H$10,$H$16,IF(G1730&gt;$I$10,$H$16,$H$11))*E1730/600</f>
        <v>5.1684220000000003E-2</v>
      </c>
      <c r="L1730" s="32">
        <f>$J1730*($G1730-$G1729)*60*24</f>
        <v>5.1684219999999823E-2</v>
      </c>
    </row>
    <row r="1731" spans="1:12">
      <c r="A1731" s="22">
        <v>40311.834027777775</v>
      </c>
      <c r="E1731" s="26">
        <v>154.78963200000001</v>
      </c>
      <c r="G1731" s="27">
        <v>0.8340277777777777</v>
      </c>
      <c r="J1731" s="30">
        <f>IF(G1731&lt;$H$10,$H$16,IF(G1731&gt;$I$10,$H$16,$H$11))*E1731/600</f>
        <v>5.1596544000000008E-2</v>
      </c>
      <c r="L1731" s="32">
        <f>$J1731*($G1731-$G1730)*60*24</f>
        <v>5.1596543999991577E-2</v>
      </c>
    </row>
    <row r="1732" spans="1:12">
      <c r="A1732" s="22">
        <v>40311.834722222222</v>
      </c>
      <c r="E1732" s="26">
        <v>154.89469600000001</v>
      </c>
      <c r="G1732" s="27">
        <v>0.83472222222222225</v>
      </c>
      <c r="J1732" s="30">
        <f>IF(G1732&lt;$H$10,$H$16,IF(G1732&gt;$I$10,$H$16,$H$11))*E1732/600</f>
        <v>5.1631565333333337E-2</v>
      </c>
      <c r="L1732" s="32">
        <f>$J1732*($G1732-$G1731)*60*24</f>
        <v>5.1631565333341414E-2</v>
      </c>
    </row>
    <row r="1733" spans="1:12">
      <c r="A1733" s="22">
        <v>40311.835416666669</v>
      </c>
      <c r="E1733" s="26">
        <v>156.841048</v>
      </c>
      <c r="G1733" s="27">
        <v>0.8354166666666667</v>
      </c>
      <c r="J1733" s="30">
        <f>IF(G1733&lt;$H$10,$H$16,IF(G1733&gt;$I$10,$H$16,$H$11))*E1733/600</f>
        <v>5.2280349333333337E-2</v>
      </c>
      <c r="L1733" s="32">
        <f>$J1733*($G1733-$G1732)*60*24</f>
        <v>5.2280349333333156E-2</v>
      </c>
    </row>
    <row r="1734" spans="1:12">
      <c r="A1734" s="22">
        <v>40311.836111111108</v>
      </c>
      <c r="E1734" s="26">
        <v>154.621272</v>
      </c>
      <c r="G1734" s="27">
        <v>0.83611111111111114</v>
      </c>
      <c r="J1734" s="30">
        <f>IF(G1734&lt;$H$10,$H$16,IF(G1734&gt;$I$10,$H$16,$H$11))*E1734/600</f>
        <v>5.1540424000000001E-2</v>
      </c>
      <c r="L1734" s="32">
        <f>$J1734*($G1734-$G1733)*60*24</f>
        <v>5.1540423999999807E-2</v>
      </c>
    </row>
    <row r="1735" spans="1:12">
      <c r="A1735" s="22">
        <v>40311.836805555555</v>
      </c>
      <c r="E1735" s="26">
        <v>158.75471999999999</v>
      </c>
      <c r="G1735" s="27">
        <v>0.83680555555555547</v>
      </c>
      <c r="J1735" s="30">
        <f>IF(G1735&lt;$H$10,$H$16,IF(G1735&gt;$I$10,$H$16,$H$11))*E1735/600</f>
        <v>5.2918239999999998E-2</v>
      </c>
      <c r="L1735" s="32">
        <f>$J1735*($G1735-$G1734)*60*24</f>
        <v>5.2918239999991346E-2</v>
      </c>
    </row>
    <row r="1736" spans="1:12">
      <c r="A1736" s="22">
        <v>40311.837500000001</v>
      </c>
      <c r="E1736" s="26">
        <v>160.30224000000001</v>
      </c>
      <c r="G1736" s="27">
        <v>0.83750000000000002</v>
      </c>
      <c r="J1736" s="30">
        <f>IF(G1736&lt;$H$10,$H$16,IF(G1736&gt;$I$10,$H$16,$H$11))*E1736/600</f>
        <v>5.3434080000000002E-2</v>
      </c>
      <c r="L1736" s="32">
        <f>$J1736*($G1736-$G1735)*60*24</f>
        <v>5.3434080000008349E-2</v>
      </c>
    </row>
    <row r="1737" spans="1:12">
      <c r="A1737" s="22">
        <v>40311.838194444441</v>
      </c>
      <c r="E1737" s="26">
        <v>202.78433999999999</v>
      </c>
      <c r="G1737" s="27">
        <v>0.83819444444444446</v>
      </c>
      <c r="J1737" s="30">
        <f>IF(G1737&lt;$H$10,$H$16,IF(G1737&gt;$I$10,$H$16,$H$11))*E1737/600</f>
        <v>6.7594780000000007E-2</v>
      </c>
      <c r="L1737" s="32">
        <f>$J1737*($G1737-$G1736)*60*24</f>
        <v>6.7594779999999771E-2</v>
      </c>
    </row>
    <row r="1738" spans="1:12">
      <c r="A1738" s="22">
        <v>40311.838888888888</v>
      </c>
      <c r="E1738" s="26">
        <v>199.95581000000001</v>
      </c>
      <c r="G1738" s="27">
        <v>0.83888888888888891</v>
      </c>
      <c r="J1738" s="30">
        <f>IF(G1738&lt;$H$10,$H$16,IF(G1738&gt;$I$10,$H$16,$H$11))*E1738/600</f>
        <v>6.6651936666666675E-2</v>
      </c>
      <c r="L1738" s="32">
        <f>$J1738*($G1738-$G1737)*60*24</f>
        <v>6.6651936666666439E-2</v>
      </c>
    </row>
    <row r="1739" spans="1:12">
      <c r="A1739" s="22">
        <v>40311.839583333334</v>
      </c>
      <c r="E1739" s="26">
        <v>158.10372000000001</v>
      </c>
      <c r="G1739" s="27">
        <v>0.83958333333333324</v>
      </c>
      <c r="J1739" s="30">
        <f>IF(G1739&lt;$H$10,$H$16,IF(G1739&gt;$I$10,$H$16,$H$11))*E1739/600</f>
        <v>5.2701240000000003E-2</v>
      </c>
      <c r="L1739" s="32">
        <f>$J1739*($G1739-$G1738)*60*24</f>
        <v>5.2701239999991399E-2</v>
      </c>
    </row>
    <row r="1740" spans="1:12">
      <c r="A1740" s="22">
        <v>40311.840277777781</v>
      </c>
      <c r="E1740" s="26">
        <v>154.98504</v>
      </c>
      <c r="G1740" s="27">
        <v>0.84027777777777779</v>
      </c>
      <c r="J1740" s="30">
        <f>IF(G1740&lt;$H$10,$H$16,IF(G1740&gt;$I$10,$H$16,$H$11))*E1740/600</f>
        <v>5.1661680000000001E-2</v>
      </c>
      <c r="L1740" s="32">
        <f>$J1740*($G1740-$G1739)*60*24</f>
        <v>5.1661680000008085E-2</v>
      </c>
    </row>
    <row r="1741" spans="1:12">
      <c r="A1741" s="22">
        <v>40311.84097222222</v>
      </c>
      <c r="E1741" s="26">
        <v>154.74068800000001</v>
      </c>
      <c r="G1741" s="27">
        <v>0.84097222222222223</v>
      </c>
      <c r="J1741" s="30">
        <f>IF(G1741&lt;$H$10,$H$16,IF(G1741&gt;$I$10,$H$16,$H$11))*E1741/600</f>
        <v>5.1580229333333338E-2</v>
      </c>
      <c r="L1741" s="32">
        <f>$J1741*($G1741-$G1740)*60*24</f>
        <v>5.1580229333333158E-2</v>
      </c>
    </row>
    <row r="1742" spans="1:12">
      <c r="A1742" s="22">
        <v>40311.841666666667</v>
      </c>
      <c r="E1742" s="26">
        <v>154.26928000000001</v>
      </c>
      <c r="G1742" s="27">
        <v>0.84166666666666667</v>
      </c>
      <c r="J1742" s="30">
        <f>IF(G1742&lt;$H$10,$H$16,IF(G1742&gt;$I$10,$H$16,$H$11))*E1742/600</f>
        <v>5.1423093333333343E-2</v>
      </c>
      <c r="L1742" s="32">
        <f>$J1742*($G1742-$G1741)*60*24</f>
        <v>5.1423093333333156E-2</v>
      </c>
    </row>
    <row r="1743" spans="1:12">
      <c r="A1743" s="22">
        <v>40311.842361111114</v>
      </c>
      <c r="E1743" s="26">
        <v>154.273236</v>
      </c>
      <c r="G1743" s="27">
        <v>0.84236111111111101</v>
      </c>
      <c r="J1743" s="30">
        <f>IF(G1743&lt;$H$10,$H$16,IF(G1743&gt;$I$10,$H$16,$H$11))*E1743/600</f>
        <v>5.1424412000000003E-2</v>
      </c>
      <c r="L1743" s="32">
        <f>$J1743*($G1743-$G1742)*60*24</f>
        <v>5.1424411999991593E-2</v>
      </c>
    </row>
    <row r="1744" spans="1:12">
      <c r="A1744" s="22">
        <v>40311.843055555553</v>
      </c>
      <c r="E1744" s="26">
        <v>154.07442399999999</v>
      </c>
      <c r="G1744" s="27">
        <v>0.84305555555555556</v>
      </c>
      <c r="J1744" s="30">
        <f>IF(G1744&lt;$H$10,$H$16,IF(G1744&gt;$I$10,$H$16,$H$11))*E1744/600</f>
        <v>5.1358141333333336E-2</v>
      </c>
      <c r="L1744" s="32">
        <f>$J1744*($G1744-$G1743)*60*24</f>
        <v>5.1358141333341364E-2</v>
      </c>
    </row>
    <row r="1745" spans="1:12">
      <c r="A1745" s="22">
        <v>40311.84375</v>
      </c>
      <c r="E1745" s="26">
        <v>155.595</v>
      </c>
      <c r="G1745" s="27">
        <v>0.84375</v>
      </c>
      <c r="J1745" s="30">
        <f>IF(G1745&lt;$H$10,$H$16,IF(G1745&gt;$I$10,$H$16,$H$11))*E1745/600</f>
        <v>5.1865000000000001E-2</v>
      </c>
      <c r="L1745" s="32">
        <f>$J1745*($G1745-$G1744)*60*24</f>
        <v>5.1864999999999814E-2</v>
      </c>
    </row>
    <row r="1746" spans="1:12">
      <c r="A1746" s="22">
        <v>40311.844444444447</v>
      </c>
      <c r="E1746" s="26">
        <v>154.215</v>
      </c>
      <c r="G1746" s="27">
        <v>0.84444444444444444</v>
      </c>
      <c r="J1746" s="30">
        <f>IF(G1746&lt;$H$10,$H$16,IF(G1746&gt;$I$10,$H$16,$H$11))*E1746/600</f>
        <v>5.1405000000000006E-2</v>
      </c>
      <c r="L1746" s="32">
        <f>$J1746*($G1746-$G1745)*60*24</f>
        <v>5.1404999999999826E-2</v>
      </c>
    </row>
    <row r="1747" spans="1:12">
      <c r="A1747" s="22">
        <v>40311.845138888886</v>
      </c>
      <c r="E1747" s="26">
        <v>155.18081599999999</v>
      </c>
      <c r="G1747" s="27">
        <v>0.84513888888888899</v>
      </c>
      <c r="J1747" s="30">
        <f>IF(G1747&lt;$H$10,$H$16,IF(G1747&gt;$I$10,$H$16,$H$11))*E1747/600</f>
        <v>5.1726938666666666E-2</v>
      </c>
      <c r="L1747" s="32">
        <f>$J1747*($G1747-$G1746)*60*24</f>
        <v>5.1726938666674757E-2</v>
      </c>
    </row>
    <row r="1748" spans="1:12">
      <c r="A1748" s="22">
        <v>40311.845833333333</v>
      </c>
      <c r="E1748" s="26">
        <v>162.12504000000001</v>
      </c>
      <c r="G1748" s="27">
        <v>0.84583333333333333</v>
      </c>
      <c r="J1748" s="30">
        <f>IF(G1748&lt;$H$10,$H$16,IF(G1748&gt;$I$10,$H$16,$H$11))*E1748/600</f>
        <v>5.4041680000000009E-2</v>
      </c>
      <c r="L1748" s="32">
        <f>$J1748*($G1748-$G1747)*60*24</f>
        <v>5.4041679999991168E-2</v>
      </c>
    </row>
    <row r="1749" spans="1:12">
      <c r="A1749" s="22">
        <v>40311.84652777778</v>
      </c>
      <c r="E1749" s="26">
        <v>180.41419999999999</v>
      </c>
      <c r="G1749" s="27">
        <v>0.84652777777777777</v>
      </c>
      <c r="J1749" s="30">
        <f>IF(G1749&lt;$H$10,$H$16,IF(G1749&gt;$I$10,$H$16,$H$11))*E1749/600</f>
        <v>6.0138066666666663E-2</v>
      </c>
      <c r="L1749" s="32">
        <f>$J1749*($G1749-$G1748)*60*24</f>
        <v>6.0138066666666448E-2</v>
      </c>
    </row>
    <row r="1750" spans="1:12">
      <c r="A1750" s="22">
        <v>40311.847222222219</v>
      </c>
      <c r="E1750" s="26">
        <v>179.85706200000001</v>
      </c>
      <c r="G1750" s="27">
        <v>0.84722222222222221</v>
      </c>
      <c r="J1750" s="30">
        <f>IF(G1750&lt;$H$10,$H$16,IF(G1750&gt;$I$10,$H$16,$H$11))*E1750/600</f>
        <v>5.9952354000000006E-2</v>
      </c>
      <c r="L1750" s="32">
        <f>$J1750*($G1750-$G1749)*60*24</f>
        <v>5.9952353999999791E-2</v>
      </c>
    </row>
    <row r="1751" spans="1:12">
      <c r="A1751" s="22">
        <v>40311.847916666666</v>
      </c>
      <c r="E1751" s="26">
        <v>179.40388799999999</v>
      </c>
      <c r="G1751" s="27">
        <v>0.84791666666666676</v>
      </c>
      <c r="J1751" s="30">
        <f>IF(G1751&lt;$H$10,$H$16,IF(G1751&gt;$I$10,$H$16,$H$11))*E1751/600</f>
        <v>5.9801296000000004E-2</v>
      </c>
      <c r="L1751" s="32">
        <f>$J1751*($G1751-$G1750)*60*24</f>
        <v>5.9801296000009357E-2</v>
      </c>
    </row>
    <row r="1752" spans="1:12">
      <c r="A1752" s="22">
        <v>40311.848611111112</v>
      </c>
      <c r="E1752" s="26">
        <v>179.37935400000001</v>
      </c>
      <c r="G1752" s="27">
        <v>0.84861111111111109</v>
      </c>
      <c r="J1752" s="30">
        <f>IF(G1752&lt;$H$10,$H$16,IF(G1752&gt;$I$10,$H$16,$H$11))*E1752/600</f>
        <v>5.9793117999999999E-2</v>
      </c>
      <c r="L1752" s="32">
        <f>$J1752*($G1752-$G1751)*60*24</f>
        <v>5.9793117999990229E-2</v>
      </c>
    </row>
    <row r="1753" spans="1:12">
      <c r="A1753" s="22">
        <v>40311.849305555559</v>
      </c>
      <c r="E1753" s="26">
        <v>179.58653000000001</v>
      </c>
      <c r="G1753" s="27">
        <v>0.84930555555555554</v>
      </c>
      <c r="J1753" s="30">
        <f>IF(G1753&lt;$H$10,$H$16,IF(G1753&gt;$I$10,$H$16,$H$11))*E1753/600</f>
        <v>5.9862176666666669E-2</v>
      </c>
      <c r="L1753" s="32">
        <f>$J1753*($G1753-$G1752)*60*24</f>
        <v>5.9862176666666461E-2</v>
      </c>
    </row>
    <row r="1754" spans="1:12">
      <c r="A1754" s="22">
        <v>40311.85</v>
      </c>
      <c r="E1754" s="26">
        <v>179.192576</v>
      </c>
      <c r="G1754" s="27">
        <v>0.85</v>
      </c>
      <c r="J1754" s="30">
        <f>IF(G1754&lt;$H$10,$H$16,IF(G1754&gt;$I$10,$H$16,$H$11))*E1754/600</f>
        <v>5.9730858666666671E-2</v>
      </c>
      <c r="L1754" s="32">
        <f>$J1754*($G1754-$G1753)*60*24</f>
        <v>5.9730858666666456E-2</v>
      </c>
    </row>
    <row r="1755" spans="1:12">
      <c r="A1755" s="22">
        <v>40311.850694444445</v>
      </c>
      <c r="E1755" s="26">
        <v>179.37935400000001</v>
      </c>
      <c r="G1755" s="27">
        <v>0.85069444444444453</v>
      </c>
      <c r="J1755" s="30">
        <f>IF(G1755&lt;$H$10,$H$16,IF(G1755&gt;$I$10,$H$16,$H$11))*E1755/600</f>
        <v>5.9793117999999999E-2</v>
      </c>
      <c r="L1755" s="32">
        <f>$J1755*($G1755-$G1754)*60*24</f>
        <v>5.9793118000009339E-2</v>
      </c>
    </row>
    <row r="1756" spans="1:12">
      <c r="A1756" s="22">
        <v>40311.851388888892</v>
      </c>
      <c r="E1756" s="26">
        <v>179.82952</v>
      </c>
      <c r="G1756" s="27">
        <v>0.85138888888888886</v>
      </c>
      <c r="J1756" s="30">
        <f>IF(G1756&lt;$H$10,$H$16,IF(G1756&gt;$I$10,$H$16,$H$11))*E1756/600</f>
        <v>5.9943173333333336E-2</v>
      </c>
      <c r="L1756" s="32">
        <f>$J1756*($G1756-$G1755)*60*24</f>
        <v>5.9943173333323538E-2</v>
      </c>
    </row>
    <row r="1757" spans="1:12">
      <c r="A1757" s="22">
        <v>40311.852083333331</v>
      </c>
      <c r="E1757" s="26">
        <v>179.40388799999999</v>
      </c>
      <c r="G1757" s="27">
        <v>0.8520833333333333</v>
      </c>
      <c r="J1757" s="30">
        <f>IF(G1757&lt;$H$10,$H$16,IF(G1757&gt;$I$10,$H$16,$H$11))*E1757/600</f>
        <v>5.9801296000000004E-2</v>
      </c>
      <c r="L1757" s="32">
        <f>$J1757*($G1757-$G1756)*60*24</f>
        <v>5.9801295999999789E-2</v>
      </c>
    </row>
    <row r="1758" spans="1:12">
      <c r="A1758" s="22">
        <v>40311.852777777778</v>
      </c>
      <c r="E1758" s="26">
        <v>180.12186</v>
      </c>
      <c r="G1758" s="27">
        <v>0.85277777777777775</v>
      </c>
      <c r="J1758" s="30">
        <f>IF(G1758&lt;$H$10,$H$16,IF(G1758&gt;$I$10,$H$16,$H$11))*E1758/600</f>
        <v>6.0040619999999996E-2</v>
      </c>
      <c r="L1758" s="32">
        <f>$J1758*($G1758-$G1757)*60*24</f>
        <v>6.0040619999999781E-2</v>
      </c>
    </row>
    <row r="1759" spans="1:12">
      <c r="A1759" s="22">
        <v>40311.853472222225</v>
      </c>
      <c r="E1759" s="26">
        <v>180.81370000000001</v>
      </c>
      <c r="G1759" s="27">
        <v>0.8534722222222223</v>
      </c>
      <c r="J1759" s="30">
        <f>IF(G1759&lt;$H$10,$H$16,IF(G1759&gt;$I$10,$H$16,$H$11))*E1759/600</f>
        <v>6.0271233333333347E-2</v>
      </c>
      <c r="L1759" s="32">
        <f>$J1759*($G1759-$G1758)*60*24</f>
        <v>6.0271233333342777E-2</v>
      </c>
    </row>
    <row r="1760" spans="1:12">
      <c r="A1760" s="22">
        <v>40311.854166666664</v>
      </c>
      <c r="E1760" s="26">
        <v>181.04400000000001</v>
      </c>
      <c r="G1760" s="27">
        <v>0.85416666666666663</v>
      </c>
      <c r="J1760" s="30">
        <f>IF(G1760&lt;$H$10,$H$16,IF(G1760&gt;$I$10,$H$16,$H$11))*E1760/600</f>
        <v>6.0348000000000006E-2</v>
      </c>
      <c r="L1760" s="32">
        <f>$J1760*($G1760-$G1759)*60*24</f>
        <v>6.0347999999990146E-2</v>
      </c>
    </row>
    <row r="1761" spans="1:12">
      <c r="A1761" s="22">
        <v>40311.854861111111</v>
      </c>
      <c r="E1761" s="26">
        <v>180.59138999999999</v>
      </c>
      <c r="G1761" s="27">
        <v>0.85486111111111107</v>
      </c>
      <c r="J1761" s="30">
        <f>IF(G1761&lt;$H$10,$H$16,IF(G1761&gt;$I$10,$H$16,$H$11))*E1761/600</f>
        <v>6.0197129999999995E-2</v>
      </c>
      <c r="L1761" s="32">
        <f>$J1761*($G1761-$G1760)*60*24</f>
        <v>6.0197129999999772E-2</v>
      </c>
    </row>
    <row r="1762" spans="1:12">
      <c r="A1762" s="22">
        <v>40311.855555555558</v>
      </c>
      <c r="E1762" s="26">
        <v>179.59564800000001</v>
      </c>
      <c r="G1762" s="27">
        <v>0.85555555555555562</v>
      </c>
      <c r="J1762" s="30">
        <f>IF(G1762&lt;$H$10,$H$16,IF(G1762&gt;$I$10,$H$16,$H$11))*E1762/600</f>
        <v>5.9865216000000006E-2</v>
      </c>
      <c r="L1762" s="32">
        <f>$J1762*($G1762-$G1761)*60*24</f>
        <v>5.9865216000009359E-2</v>
      </c>
    </row>
    <row r="1763" spans="1:12">
      <c r="A1763" s="22">
        <v>40311.856249999997</v>
      </c>
      <c r="E1763" s="26">
        <v>180.03067999999999</v>
      </c>
      <c r="G1763" s="27">
        <v>0.85625000000000007</v>
      </c>
      <c r="J1763" s="30">
        <f>IF(G1763&lt;$H$10,$H$16,IF(G1763&gt;$I$10,$H$16,$H$11))*E1763/600</f>
        <v>6.0010226666666666E-2</v>
      </c>
      <c r="L1763" s="32">
        <f>$J1763*($G1763-$G1762)*60*24</f>
        <v>6.0010226666666451E-2</v>
      </c>
    </row>
    <row r="1764" spans="1:12">
      <c r="A1764" s="22">
        <v>40311.856944444444</v>
      </c>
      <c r="E1764" s="26">
        <v>179.84822600000001</v>
      </c>
      <c r="G1764" s="27">
        <v>0.8569444444444444</v>
      </c>
      <c r="J1764" s="30">
        <f>IF(G1764&lt;$H$10,$H$16,IF(G1764&gt;$I$10,$H$16,$H$11))*E1764/600</f>
        <v>5.9949408666666669E-2</v>
      </c>
      <c r="L1764" s="32">
        <f>$J1764*($G1764-$G1763)*60*24</f>
        <v>5.9949408666656871E-2</v>
      </c>
    </row>
    <row r="1765" spans="1:12">
      <c r="A1765" s="22">
        <v>40311.857638888891</v>
      </c>
      <c r="E1765" s="26">
        <v>180.28090800000001</v>
      </c>
      <c r="G1765" s="27">
        <v>0.85763888888888884</v>
      </c>
      <c r="J1765" s="30">
        <f>IF(G1765&lt;$H$10,$H$16,IF(G1765&gt;$I$10,$H$16,$H$11))*E1765/600</f>
        <v>6.0093636000000006E-2</v>
      </c>
      <c r="L1765" s="32">
        <f>$J1765*($G1765-$G1764)*60*24</f>
        <v>6.0093635999999791E-2</v>
      </c>
    </row>
    <row r="1766" spans="1:12">
      <c r="A1766" s="22">
        <v>40311.85833333333</v>
      </c>
      <c r="E1766" s="26">
        <v>180.278088</v>
      </c>
      <c r="G1766" s="27">
        <v>0.85833333333333339</v>
      </c>
      <c r="J1766" s="30">
        <f>IF(G1766&lt;$H$10,$H$16,IF(G1766&gt;$I$10,$H$16,$H$11))*E1766/600</f>
        <v>6.0092695999999994E-2</v>
      </c>
      <c r="L1766" s="32">
        <f>$J1766*($G1766-$G1765)*60*24</f>
        <v>6.0092696000009396E-2</v>
      </c>
    </row>
    <row r="1767" spans="1:12">
      <c r="A1767" s="22">
        <v>40311.859027777777</v>
      </c>
      <c r="E1767" s="26">
        <v>158.602293</v>
      </c>
      <c r="G1767" s="27">
        <v>0.85902777777777783</v>
      </c>
      <c r="J1767" s="30">
        <f>IF(G1767&lt;$H$10,$H$16,IF(G1767&gt;$I$10,$H$16,$H$11))*E1767/600</f>
        <v>5.2867430999999999E-2</v>
      </c>
      <c r="L1767" s="32">
        <f>$J1767*($G1767-$G1766)*60*24</f>
        <v>5.2867430999999812E-2</v>
      </c>
    </row>
    <row r="1768" spans="1:12">
      <c r="A1768" s="22">
        <v>40311.859722222223</v>
      </c>
      <c r="E1768" s="26">
        <v>156.51816299999999</v>
      </c>
      <c r="G1768" s="27">
        <v>0.85972222222222217</v>
      </c>
      <c r="J1768" s="30">
        <f>IF(G1768&lt;$H$10,$H$16,IF(G1768&gt;$I$10,$H$16,$H$11))*E1768/600</f>
        <v>5.2172720999999998E-2</v>
      </c>
      <c r="L1768" s="32">
        <f>$J1768*($G1768-$G1767)*60*24</f>
        <v>5.217272099999147E-2</v>
      </c>
    </row>
    <row r="1769" spans="1:12">
      <c r="A1769" s="22">
        <v>40311.86041666667</v>
      </c>
      <c r="E1769" s="26">
        <v>154.84946400000001</v>
      </c>
      <c r="G1769" s="27">
        <v>0.86041666666666661</v>
      </c>
      <c r="J1769" s="30">
        <f>IF(G1769&lt;$H$10,$H$16,IF(G1769&gt;$I$10,$H$16,$H$11))*E1769/600</f>
        <v>5.1616488000000009E-2</v>
      </c>
      <c r="L1769" s="32">
        <f>$J1769*($G1769-$G1768)*60*24</f>
        <v>5.1616487999999822E-2</v>
      </c>
    </row>
    <row r="1770" spans="1:12">
      <c r="A1770" s="22">
        <v>40311.861111111109</v>
      </c>
      <c r="E1770" s="26">
        <v>155.11423500000001</v>
      </c>
      <c r="G1770" s="27">
        <v>0.86111111111111116</v>
      </c>
      <c r="J1770" s="30">
        <f>IF(G1770&lt;$H$10,$H$16,IF(G1770&gt;$I$10,$H$16,$H$11))*E1770/600</f>
        <v>5.1704745000000003E-2</v>
      </c>
      <c r="L1770" s="32">
        <f>$J1770*($G1770-$G1769)*60*24</f>
        <v>5.1704745000008087E-2</v>
      </c>
    </row>
    <row r="1771" spans="1:12">
      <c r="A1771" s="22">
        <v>40311.861805555556</v>
      </c>
      <c r="E1771" s="26">
        <v>155.40913800000001</v>
      </c>
      <c r="G1771" s="27">
        <v>0.8618055555555556</v>
      </c>
      <c r="J1771" s="30">
        <f>IF(G1771&lt;$H$10,$H$16,IF(G1771&gt;$I$10,$H$16,$H$11))*E1771/600</f>
        <v>5.1803046000000005E-2</v>
      </c>
      <c r="L1771" s="32">
        <f>$J1771*($G1771-$G1770)*60*24</f>
        <v>5.1803045999999825E-2</v>
      </c>
    </row>
    <row r="1772" spans="1:12">
      <c r="A1772" s="22">
        <v>40311.862500000003</v>
      </c>
      <c r="E1772" s="26">
        <v>155.125674</v>
      </c>
      <c r="G1772" s="27">
        <v>0.86249999999999993</v>
      </c>
      <c r="J1772" s="30">
        <f>IF(G1772&lt;$H$10,$H$16,IF(G1772&gt;$I$10,$H$16,$H$11))*E1772/600</f>
        <v>5.1708558000000009E-2</v>
      </c>
      <c r="L1772" s="32">
        <f>$J1772*($G1772-$G1771)*60*24</f>
        <v>5.1708557999991564E-2</v>
      </c>
    </row>
    <row r="1773" spans="1:12">
      <c r="A1773" s="22">
        <v>40311.863194444442</v>
      </c>
      <c r="E1773" s="26">
        <v>153.56718000000001</v>
      </c>
      <c r="G1773" s="27">
        <v>0.86319444444444438</v>
      </c>
      <c r="J1773" s="30">
        <f>IF(G1773&lt;$H$10,$H$16,IF(G1773&gt;$I$10,$H$16,$H$11))*E1773/600</f>
        <v>5.1189060000000002E-2</v>
      </c>
      <c r="L1773" s="32">
        <f>$J1773*($G1773-$G1772)*60*24</f>
        <v>5.1189059999999814E-2</v>
      </c>
    </row>
    <row r="1774" spans="1:12">
      <c r="A1774" s="22">
        <v>40311.863888888889</v>
      </c>
      <c r="E1774" s="26">
        <v>153.93397200000001</v>
      </c>
      <c r="G1774" s="27">
        <v>0.86388888888888893</v>
      </c>
      <c r="J1774" s="30">
        <f>IF(G1774&lt;$H$10,$H$16,IF(G1774&gt;$I$10,$H$16,$H$11))*E1774/600</f>
        <v>5.1311324000000005E-2</v>
      </c>
      <c r="L1774" s="32">
        <f>$J1774*($G1774-$G1773)*60*24</f>
        <v>5.131132400000802E-2</v>
      </c>
    </row>
    <row r="1775" spans="1:12">
      <c r="A1775" s="22">
        <v>40311.864583333336</v>
      </c>
      <c r="E1775" s="26">
        <v>162.52866</v>
      </c>
      <c r="G1775" s="27">
        <v>0.86458333333333337</v>
      </c>
      <c r="J1775" s="30">
        <f>IF(G1775&lt;$H$10,$H$16,IF(G1775&gt;$I$10,$H$16,$H$11))*E1775/600</f>
        <v>5.4176220000000004E-2</v>
      </c>
      <c r="L1775" s="32">
        <f>$J1775*($G1775-$G1774)*60*24</f>
        <v>5.4176219999999817E-2</v>
      </c>
    </row>
    <row r="1776" spans="1:12">
      <c r="A1776" s="22">
        <v>40311.865277777775</v>
      </c>
      <c r="E1776" s="26">
        <v>172.272108</v>
      </c>
      <c r="G1776" s="27">
        <v>0.8652777777777777</v>
      </c>
      <c r="J1776" s="30">
        <f>IF(G1776&lt;$H$10,$H$16,IF(G1776&gt;$I$10,$H$16,$H$11))*E1776/600</f>
        <v>5.7424036000000005E-2</v>
      </c>
      <c r="L1776" s="32">
        <f>$J1776*($G1776-$G1775)*60*24</f>
        <v>5.7424035999990623E-2</v>
      </c>
    </row>
    <row r="1777" spans="1:12">
      <c r="A1777" s="22">
        <v>40311.865972222222</v>
      </c>
      <c r="E1777" s="26">
        <v>162.075378</v>
      </c>
      <c r="G1777" s="27">
        <v>0.86597222222222225</v>
      </c>
      <c r="J1777" s="30">
        <f>IF(G1777&lt;$H$10,$H$16,IF(G1777&gt;$I$10,$H$16,$H$11))*E1777/600</f>
        <v>5.4025126E-2</v>
      </c>
      <c r="L1777" s="32">
        <f>$J1777*($G1777-$G1776)*60*24</f>
        <v>5.4025126000008451E-2</v>
      </c>
    </row>
    <row r="1778" spans="1:12">
      <c r="A1778" s="22">
        <v>40311.866666666669</v>
      </c>
      <c r="E1778" s="26">
        <v>153.43943999999999</v>
      </c>
      <c r="G1778" s="27">
        <v>0.8666666666666667</v>
      </c>
      <c r="J1778" s="30">
        <f>IF(G1778&lt;$H$10,$H$16,IF(G1778&gt;$I$10,$H$16,$H$11))*E1778/600</f>
        <v>5.1146480000000001E-2</v>
      </c>
      <c r="L1778" s="32">
        <f>$J1778*($G1778-$G1777)*60*24</f>
        <v>5.1146479999999821E-2</v>
      </c>
    </row>
    <row r="1779" spans="1:12">
      <c r="A1779" s="22">
        <v>40311.867361111108</v>
      </c>
      <c r="E1779" s="26">
        <v>171.02030400000001</v>
      </c>
      <c r="G1779" s="27">
        <v>0.86736111111111114</v>
      </c>
      <c r="J1779" s="30">
        <f>IF(G1779&lt;$H$10,$H$16,IF(G1779&gt;$I$10,$H$16,$H$11))*E1779/600</f>
        <v>5.7006767999999999E-2</v>
      </c>
      <c r="L1779" s="32">
        <f>$J1779*($G1779-$G1778)*60*24</f>
        <v>5.7006767999999798E-2</v>
      </c>
    </row>
    <row r="1780" spans="1:12">
      <c r="A1780" s="22">
        <v>40311.868055555555</v>
      </c>
      <c r="E1780" s="26">
        <v>199.20569</v>
      </c>
      <c r="G1780" s="27">
        <v>0.86805555555555547</v>
      </c>
      <c r="J1780" s="30">
        <f>IF(G1780&lt;$H$10,$H$16,IF(G1780&gt;$I$10,$H$16,$H$11))*E1780/600</f>
        <v>6.6401896666666668E-2</v>
      </c>
      <c r="L1780" s="32">
        <f>$J1780*($G1780-$G1779)*60*24</f>
        <v>6.6401896666655816E-2</v>
      </c>
    </row>
    <row r="1781" spans="1:12">
      <c r="A1781" s="22">
        <v>40311.868750000001</v>
      </c>
      <c r="E1781" s="26">
        <v>195.86377999999999</v>
      </c>
      <c r="G1781" s="27">
        <v>0.86875000000000002</v>
      </c>
      <c r="J1781" s="30">
        <f>IF(G1781&lt;$H$10,$H$16,IF(G1781&gt;$I$10,$H$16,$H$11))*E1781/600</f>
        <v>6.5287926666666662E-2</v>
      </c>
      <c r="L1781" s="32">
        <f>$J1781*($G1781-$G1780)*60*24</f>
        <v>6.5287926666676863E-2</v>
      </c>
    </row>
    <row r="1782" spans="1:12">
      <c r="A1782" s="22">
        <v>40311.869444444441</v>
      </c>
      <c r="E1782" s="26">
        <v>198.82075</v>
      </c>
      <c r="G1782" s="27">
        <v>0.86944444444444446</v>
      </c>
      <c r="J1782" s="30">
        <f>IF(G1782&lt;$H$10,$H$16,IF(G1782&gt;$I$10,$H$16,$H$11))*E1782/600</f>
        <v>6.627358333333333E-2</v>
      </c>
      <c r="L1782" s="32">
        <f>$J1782*($G1782-$G1781)*60*24</f>
        <v>6.6273583333333094E-2</v>
      </c>
    </row>
    <row r="1783" spans="1:12">
      <c r="A1783" s="22">
        <v>40311.870138888888</v>
      </c>
      <c r="E1783" s="26">
        <v>202.43626</v>
      </c>
      <c r="G1783" s="27">
        <v>0.87013888888888891</v>
      </c>
      <c r="J1783" s="30">
        <f>IF(G1783&lt;$H$10,$H$16,IF(G1783&gt;$I$10,$H$16,$H$11))*E1783/600</f>
        <v>6.7478753333333336E-2</v>
      </c>
      <c r="L1783" s="32">
        <f>$J1783*($G1783-$G1782)*60*24</f>
        <v>6.7478753333333086E-2</v>
      </c>
    </row>
    <row r="1784" spans="1:12">
      <c r="A1784" s="22">
        <v>40311.870833333334</v>
      </c>
      <c r="E1784" s="26">
        <v>202.37251499999999</v>
      </c>
      <c r="G1784" s="27">
        <v>0.87083333333333324</v>
      </c>
      <c r="J1784" s="30">
        <f>IF(G1784&lt;$H$10,$H$16,IF(G1784&gt;$I$10,$H$16,$H$11))*E1784/600</f>
        <v>6.7457505000000001E-2</v>
      </c>
      <c r="L1784" s="32">
        <f>$J1784*($G1784-$G1783)*60*24</f>
        <v>6.7457504999988982E-2</v>
      </c>
    </row>
    <row r="1785" spans="1:12">
      <c r="A1785" s="22">
        <v>40311.871527777781</v>
      </c>
      <c r="E1785" s="26">
        <v>201.16174000000001</v>
      </c>
      <c r="G1785" s="27">
        <v>0.87152777777777779</v>
      </c>
      <c r="J1785" s="30">
        <f>IF(G1785&lt;$H$10,$H$16,IF(G1785&gt;$I$10,$H$16,$H$11))*E1785/600</f>
        <v>6.705391333333334E-2</v>
      </c>
      <c r="L1785" s="32">
        <f>$J1785*($G1785-$G1784)*60*24</f>
        <v>6.7053913333343818E-2</v>
      </c>
    </row>
    <row r="1786" spans="1:12">
      <c r="A1786" s="22">
        <v>40311.87222222222</v>
      </c>
      <c r="E1786" s="26">
        <v>198.132475</v>
      </c>
      <c r="G1786" s="27">
        <v>0.87222222222222223</v>
      </c>
      <c r="J1786" s="30">
        <f>IF(G1786&lt;$H$10,$H$16,IF(G1786&gt;$I$10,$H$16,$H$11))*E1786/600</f>
        <v>6.6044158333333339E-2</v>
      </c>
      <c r="L1786" s="32">
        <f>$J1786*($G1786-$G1785)*60*24</f>
        <v>6.6044158333333103E-2</v>
      </c>
    </row>
    <row r="1787" spans="1:12">
      <c r="A1787" s="22">
        <v>40311.872916666667</v>
      </c>
      <c r="E1787" s="26">
        <v>200.05195000000001</v>
      </c>
      <c r="G1787" s="27">
        <v>0.87291666666666667</v>
      </c>
      <c r="J1787" s="30">
        <f>IF(G1787&lt;$H$10,$H$16,IF(G1787&gt;$I$10,$H$16,$H$11))*E1787/600</f>
        <v>6.6683983333333335E-2</v>
      </c>
      <c r="L1787" s="32">
        <f>$J1787*($G1787-$G1786)*60*24</f>
        <v>6.6683983333333086E-2</v>
      </c>
    </row>
    <row r="1788" spans="1:12">
      <c r="A1788" s="22">
        <v>40311.873611111114</v>
      </c>
      <c r="E1788" s="26">
        <v>198.86084</v>
      </c>
      <c r="G1788" s="27">
        <v>0.87361111111111101</v>
      </c>
      <c r="J1788" s="30">
        <f>IF(G1788&lt;$H$10,$H$16,IF(G1788&gt;$I$10,$H$16,$H$11))*E1788/600</f>
        <v>6.6286946666666666E-2</v>
      </c>
      <c r="L1788" s="32">
        <f>$J1788*($G1788-$G1787)*60*24</f>
        <v>6.6286946666655841E-2</v>
      </c>
    </row>
    <row r="1789" spans="1:12">
      <c r="A1789" s="22">
        <v>40311.874305555553</v>
      </c>
      <c r="E1789" s="26">
        <v>198.94254000000001</v>
      </c>
      <c r="G1789" s="27">
        <v>0.87430555555555556</v>
      </c>
      <c r="J1789" s="30">
        <f>IF(G1789&lt;$H$10,$H$16,IF(G1789&gt;$I$10,$H$16,$H$11))*E1789/600</f>
        <v>6.6314180000000014E-2</v>
      </c>
      <c r="L1789" s="32">
        <f>$J1789*($G1789-$G1788)*60*24</f>
        <v>6.6314180000010381E-2</v>
      </c>
    </row>
    <row r="1790" spans="1:12">
      <c r="A1790" s="22">
        <v>40311.875</v>
      </c>
      <c r="E1790" s="26">
        <v>198.10292999999999</v>
      </c>
      <c r="G1790" s="27">
        <v>0.875</v>
      </c>
      <c r="J1790" s="30">
        <f>IF(G1790&lt;$H$10,$H$16,IF(G1790&gt;$I$10,$H$16,$H$11))*E1790/600</f>
        <v>6.6034309999999999E-2</v>
      </c>
      <c r="L1790" s="32">
        <f>$J1790*($G1790-$G1789)*60*24</f>
        <v>6.6034309999999763E-2</v>
      </c>
    </row>
    <row r="1791" spans="1:12">
      <c r="A1791" s="22">
        <v>40311.875694444447</v>
      </c>
      <c r="E1791" s="26">
        <v>197.67828</v>
      </c>
      <c r="G1791" s="27">
        <v>0.87569444444444444</v>
      </c>
      <c r="J1791" s="30">
        <f>IF(G1791&lt;$H$10,$H$16,IF(G1791&gt;$I$10,$H$16,$H$11))*E1791/600</f>
        <v>6.5892760000000009E-2</v>
      </c>
      <c r="L1791" s="32">
        <f>$J1791*($G1791-$G1790)*60*24</f>
        <v>6.5892759999999773E-2</v>
      </c>
    </row>
    <row r="1792" spans="1:12">
      <c r="A1792" s="22">
        <v>40311.876388888886</v>
      </c>
      <c r="E1792" s="26">
        <v>198.60994500000001</v>
      </c>
      <c r="G1792" s="27">
        <v>0.87638888888888899</v>
      </c>
      <c r="J1792" s="30">
        <f>IF(G1792&lt;$H$10,$H$16,IF(G1792&gt;$I$10,$H$16,$H$11))*E1792/600</f>
        <v>6.6203315000000013E-2</v>
      </c>
      <c r="L1792" s="32">
        <f>$J1792*($G1792-$G1791)*60*24</f>
        <v>6.6203315000010352E-2</v>
      </c>
    </row>
    <row r="1793" spans="1:12">
      <c r="A1793" s="22">
        <v>40311.877083333333</v>
      </c>
      <c r="E1793" s="26">
        <v>196.96464</v>
      </c>
      <c r="G1793" s="27">
        <v>0.87708333333333333</v>
      </c>
      <c r="J1793" s="30">
        <f>IF(G1793&lt;$H$10,$H$16,IF(G1793&gt;$I$10,$H$16,$H$11))*E1793/600</f>
        <v>6.5654880000000013E-2</v>
      </c>
      <c r="L1793" s="32">
        <f>$J1793*($G1793-$G1792)*60*24</f>
        <v>6.5654879999989285E-2</v>
      </c>
    </row>
    <row r="1794" spans="1:12">
      <c r="A1794" s="22">
        <v>40311.87777777778</v>
      </c>
      <c r="E1794" s="26">
        <v>197.62413000000001</v>
      </c>
      <c r="G1794" s="27">
        <v>0.87777777777777777</v>
      </c>
      <c r="J1794" s="30">
        <f>IF(G1794&lt;$H$10,$H$16,IF(G1794&gt;$I$10,$H$16,$H$11))*E1794/600</f>
        <v>6.5874710000000003E-2</v>
      </c>
      <c r="L1794" s="32">
        <f>$J1794*($G1794-$G1793)*60*24</f>
        <v>6.5874709999999767E-2</v>
      </c>
    </row>
    <row r="1795" spans="1:12">
      <c r="A1795" s="22">
        <v>40311.878472222219</v>
      </c>
      <c r="E1795" s="26">
        <v>197.11663999999999</v>
      </c>
      <c r="G1795" s="27">
        <v>0.87847222222222221</v>
      </c>
      <c r="J1795" s="30">
        <f>IF(G1795&lt;$H$10,$H$16,IF(G1795&gt;$I$10,$H$16,$H$11))*E1795/600</f>
        <v>6.570554666666667E-2</v>
      </c>
      <c r="L1795" s="32">
        <f>$J1795*($G1795-$G1794)*60*24</f>
        <v>6.5705546666666434E-2</v>
      </c>
    </row>
    <row r="1796" spans="1:12">
      <c r="A1796" s="22">
        <v>40311.879166666666</v>
      </c>
      <c r="E1796" s="26">
        <v>197.86181999999999</v>
      </c>
      <c r="G1796" s="27">
        <v>0.87916666666666676</v>
      </c>
      <c r="J1796" s="30">
        <f>IF(G1796&lt;$H$10,$H$16,IF(G1796&gt;$I$10,$H$16,$H$11))*E1796/600</f>
        <v>6.5953940000000003E-2</v>
      </c>
      <c r="L1796" s="32">
        <f>$J1796*($G1796-$G1795)*60*24</f>
        <v>6.5953940000010314E-2</v>
      </c>
    </row>
    <row r="1797" spans="1:12">
      <c r="A1797" s="22">
        <v>40311.879861111112</v>
      </c>
      <c r="E1797" s="26">
        <v>197.23567499999999</v>
      </c>
      <c r="G1797" s="27">
        <v>0.87986111111111109</v>
      </c>
      <c r="J1797" s="30">
        <f>IF(G1797&lt;$H$10,$H$16,IF(G1797&gt;$I$10,$H$16,$H$11))*E1797/600</f>
        <v>6.5745225000000004E-2</v>
      </c>
      <c r="L1797" s="32">
        <f>$J1797*($G1797-$G1796)*60*24</f>
        <v>6.5745224999989249E-2</v>
      </c>
    </row>
    <row r="1798" spans="1:12">
      <c r="A1798" s="22">
        <v>40311.880555555559</v>
      </c>
      <c r="E1798" s="26">
        <v>199.69152</v>
      </c>
      <c r="G1798" s="27">
        <v>0.88055555555555554</v>
      </c>
      <c r="J1798" s="30">
        <f>IF(G1798&lt;$H$10,$H$16,IF(G1798&gt;$I$10,$H$16,$H$11))*E1798/600</f>
        <v>6.6563839999999999E-2</v>
      </c>
      <c r="L1798" s="32">
        <f>$J1798*($G1798-$G1797)*60*24</f>
        <v>6.6563839999999763E-2</v>
      </c>
    </row>
    <row r="1799" spans="1:12">
      <c r="A1799" s="22">
        <v>40311.881249999999</v>
      </c>
      <c r="E1799" s="26">
        <v>197.85668999999999</v>
      </c>
      <c r="G1799" s="27">
        <v>0.88124999999999998</v>
      </c>
      <c r="J1799" s="30">
        <f>IF(G1799&lt;$H$10,$H$16,IF(G1799&gt;$I$10,$H$16,$H$11))*E1799/600</f>
        <v>6.5952230000000001E-2</v>
      </c>
      <c r="L1799" s="32">
        <f>$J1799*($G1799-$G1798)*60*24</f>
        <v>6.5952229999999765E-2</v>
      </c>
    </row>
    <row r="1800" spans="1:12">
      <c r="A1800" s="22">
        <v>40311.881944444445</v>
      </c>
      <c r="E1800" s="26">
        <v>197.744685</v>
      </c>
      <c r="G1800" s="27">
        <v>0.88194444444444453</v>
      </c>
      <c r="J1800" s="30">
        <f>IF(G1800&lt;$H$10,$H$16,IF(G1800&gt;$I$10,$H$16,$H$11))*E1800/600</f>
        <v>6.5914895000000001E-2</v>
      </c>
      <c r="L1800" s="32">
        <f>$J1800*($G1800-$G1799)*60*24</f>
        <v>6.5914895000010312E-2</v>
      </c>
    </row>
    <row r="1801" spans="1:12">
      <c r="A1801" s="22">
        <v>40311.882638888892</v>
      </c>
      <c r="E1801" s="26">
        <v>197.10884999999999</v>
      </c>
      <c r="G1801" s="27">
        <v>0.88263888888888886</v>
      </c>
      <c r="J1801" s="30">
        <f>IF(G1801&lt;$H$10,$H$16,IF(G1801&gt;$I$10,$H$16,$H$11))*E1801/600</f>
        <v>6.570295000000001E-2</v>
      </c>
      <c r="L1801" s="32">
        <f>$J1801*($G1801-$G1800)*60*24</f>
        <v>6.5702949999989269E-2</v>
      </c>
    </row>
    <row r="1802" spans="1:12">
      <c r="A1802" s="22">
        <v>40311.883333333331</v>
      </c>
      <c r="E1802" s="26">
        <v>197.77945500000001</v>
      </c>
      <c r="G1802" s="27">
        <v>0.8833333333333333</v>
      </c>
      <c r="J1802" s="30">
        <f>IF(G1802&lt;$H$10,$H$16,IF(G1802&gt;$I$10,$H$16,$H$11))*E1802/600</f>
        <v>6.5926485000000007E-2</v>
      </c>
      <c r="L1802" s="32">
        <f>$J1802*($G1802-$G1801)*60*24</f>
        <v>6.5926484999999771E-2</v>
      </c>
    </row>
    <row r="1803" spans="1:12">
      <c r="A1803" s="22">
        <v>40311.884027777778</v>
      </c>
      <c r="E1803" s="26">
        <v>197.15387999999999</v>
      </c>
      <c r="G1803" s="27">
        <v>0.88402777777777775</v>
      </c>
      <c r="J1803" s="30">
        <f>IF(G1803&lt;$H$10,$H$16,IF(G1803&gt;$I$10,$H$16,$H$11))*E1803/600</f>
        <v>6.5717960000000006E-2</v>
      </c>
      <c r="L1803" s="32">
        <f>$J1803*($G1803-$G1802)*60*24</f>
        <v>6.571795999999977E-2</v>
      </c>
    </row>
    <row r="1804" spans="1:12">
      <c r="A1804" s="22">
        <v>40311.884722222225</v>
      </c>
      <c r="E1804" s="26">
        <v>199.62540000000001</v>
      </c>
      <c r="G1804" s="27">
        <v>0.8847222222222223</v>
      </c>
      <c r="J1804" s="30">
        <f>IF(G1804&lt;$H$10,$H$16,IF(G1804&gt;$I$10,$H$16,$H$11))*E1804/600</f>
        <v>6.6541800000000012E-2</v>
      </c>
      <c r="L1804" s="32">
        <f>$J1804*($G1804-$G1803)*60*24</f>
        <v>6.654180000001042E-2</v>
      </c>
    </row>
    <row r="1805" spans="1:12">
      <c r="A1805" s="22">
        <v>40311.885416666664</v>
      </c>
      <c r="E1805" s="26">
        <v>205.96133</v>
      </c>
      <c r="G1805" s="27">
        <v>0.88541666666666663</v>
      </c>
      <c r="J1805" s="30">
        <f>IF(G1805&lt;$H$10,$H$16,IF(G1805&gt;$I$10,$H$16,$H$11))*E1805/600</f>
        <v>6.8653776666666666E-2</v>
      </c>
      <c r="L1805" s="32">
        <f>$J1805*($G1805-$G1804)*60*24</f>
        <v>6.8653776666655453E-2</v>
      </c>
    </row>
    <row r="1806" spans="1:12">
      <c r="A1806" s="22">
        <v>40311.886111111111</v>
      </c>
      <c r="E1806" s="26">
        <v>197.77916999999999</v>
      </c>
      <c r="G1806" s="27">
        <v>0.88611111111111107</v>
      </c>
      <c r="J1806" s="30">
        <f>IF(G1806&lt;$H$10,$H$16,IF(G1806&gt;$I$10,$H$16,$H$11))*E1806/600</f>
        <v>6.5926390000000001E-2</v>
      </c>
      <c r="L1806" s="32">
        <f>$J1806*($G1806-$G1805)*60*24</f>
        <v>6.5926389999999765E-2</v>
      </c>
    </row>
    <row r="1807" spans="1:12">
      <c r="A1807" s="22">
        <v>40311.886805555558</v>
      </c>
      <c r="E1807" s="26">
        <v>196.33536000000001</v>
      </c>
      <c r="G1807" s="27">
        <v>0.88680555555555562</v>
      </c>
      <c r="J1807" s="30">
        <f>IF(G1807&lt;$H$10,$H$16,IF(G1807&gt;$I$10,$H$16,$H$11))*E1807/600</f>
        <v>6.5445120000000009E-2</v>
      </c>
      <c r="L1807" s="32">
        <f>$J1807*($G1807-$G1806)*60*24</f>
        <v>6.5445120000010237E-2</v>
      </c>
    </row>
    <row r="1808" spans="1:12">
      <c r="A1808" s="22">
        <v>40311.887499999997</v>
      </c>
      <c r="E1808" s="26">
        <v>196.16208</v>
      </c>
      <c r="G1808" s="27">
        <v>0.88750000000000007</v>
      </c>
      <c r="J1808" s="30">
        <f>IF(G1808&lt;$H$10,$H$16,IF(G1808&gt;$I$10,$H$16,$H$11))*E1808/600</f>
        <v>6.5387360000000005E-2</v>
      </c>
      <c r="L1808" s="32">
        <f>$J1808*($G1808-$G1807)*60*24</f>
        <v>6.538735999999977E-2</v>
      </c>
    </row>
    <row r="1809" spans="1:12">
      <c r="A1809" s="22">
        <v>40311.888194444444</v>
      </c>
      <c r="E1809" s="26">
        <v>199.82756000000001</v>
      </c>
      <c r="G1809" s="27">
        <v>0.8881944444444444</v>
      </c>
      <c r="J1809" s="30">
        <f>IF(G1809&lt;$H$10,$H$16,IF(G1809&gt;$I$10,$H$16,$H$11))*E1809/600</f>
        <v>6.6609186666666667E-2</v>
      </c>
      <c r="L1809" s="32">
        <f>$J1809*($G1809-$G1808)*60*24</f>
        <v>6.6609186666655773E-2</v>
      </c>
    </row>
    <row r="1810" spans="1:12">
      <c r="A1810" s="22">
        <v>40311.888888888891</v>
      </c>
      <c r="E1810" s="26">
        <v>198.26006000000001</v>
      </c>
      <c r="G1810" s="27">
        <v>0.88888888888888884</v>
      </c>
      <c r="J1810" s="30">
        <f>IF(G1810&lt;$H$10,$H$16,IF(G1810&gt;$I$10,$H$16,$H$11))*E1810/600</f>
        <v>6.6086686666666672E-2</v>
      </c>
      <c r="L1810" s="32">
        <f>$J1810*($G1810-$G1809)*60*24</f>
        <v>6.6086686666666436E-2</v>
      </c>
    </row>
    <row r="1811" spans="1:12">
      <c r="A1811" s="22">
        <v>40311.88958333333</v>
      </c>
      <c r="E1811" s="26">
        <v>197.63790499999999</v>
      </c>
      <c r="G1811" s="27">
        <v>0.88958333333333339</v>
      </c>
      <c r="J1811" s="30">
        <f>IF(G1811&lt;$H$10,$H$16,IF(G1811&gt;$I$10,$H$16,$H$11))*E1811/600</f>
        <v>6.5879301666666668E-2</v>
      </c>
      <c r="L1811" s="32">
        <f>$J1811*($G1811-$G1810)*60*24</f>
        <v>6.5879301666676965E-2</v>
      </c>
    </row>
    <row r="1812" spans="1:12">
      <c r="A1812" s="22">
        <v>40311.890277777777</v>
      </c>
      <c r="E1812" s="26">
        <v>199.89472499999999</v>
      </c>
      <c r="G1812" s="27">
        <v>0.89027777777777783</v>
      </c>
      <c r="J1812" s="30">
        <f>IF(G1812&lt;$H$10,$H$16,IF(G1812&gt;$I$10,$H$16,$H$11))*E1812/600</f>
        <v>6.6631574999999998E-2</v>
      </c>
      <c r="L1812" s="32">
        <f>$J1812*($G1812-$G1811)*60*24</f>
        <v>6.6631574999999763E-2</v>
      </c>
    </row>
    <row r="1813" spans="1:12">
      <c r="A1813" s="22">
        <v>40311.890972222223</v>
      </c>
      <c r="E1813" s="26">
        <v>200.30123</v>
      </c>
      <c r="G1813" s="27">
        <v>0.89097222222222217</v>
      </c>
      <c r="J1813" s="30">
        <f>IF(G1813&lt;$H$10,$H$16,IF(G1813&gt;$I$10,$H$16,$H$11))*E1813/600</f>
        <v>6.6767076666666675E-2</v>
      </c>
      <c r="L1813" s="32">
        <f>$J1813*($G1813-$G1812)*60*24</f>
        <v>6.6767076666655767E-2</v>
      </c>
    </row>
    <row r="1814" spans="1:12">
      <c r="A1814" s="22">
        <v>40311.89166666667</v>
      </c>
      <c r="E1814" s="26">
        <v>197.08510000000001</v>
      </c>
      <c r="G1814" s="27">
        <v>0.89166666666666661</v>
      </c>
      <c r="J1814" s="30">
        <f>IF(G1814&lt;$H$10,$H$16,IF(G1814&gt;$I$10,$H$16,$H$11))*E1814/600</f>
        <v>6.5695033333333347E-2</v>
      </c>
      <c r="L1814" s="32">
        <f>$J1814*($G1814-$G1813)*60*24</f>
        <v>6.5695033333333111E-2</v>
      </c>
    </row>
    <row r="1815" spans="1:12">
      <c r="A1815" s="22">
        <v>40311.892361111109</v>
      </c>
      <c r="E1815" s="26">
        <v>196.01197999999999</v>
      </c>
      <c r="G1815" s="27">
        <v>0.89236111111111116</v>
      </c>
      <c r="J1815" s="30">
        <f>IF(G1815&lt;$H$10,$H$16,IF(G1815&gt;$I$10,$H$16,$H$11))*E1815/600</f>
        <v>6.5337326666666667E-2</v>
      </c>
      <c r="L1815" s="32">
        <f>$J1815*($G1815-$G1814)*60*24</f>
        <v>6.5337326666676881E-2</v>
      </c>
    </row>
    <row r="1816" spans="1:12">
      <c r="A1816" s="22">
        <v>40311.893055555556</v>
      </c>
      <c r="E1816" s="26">
        <v>198.47970000000001</v>
      </c>
      <c r="G1816" s="27">
        <v>0.8930555555555556</v>
      </c>
      <c r="J1816" s="30">
        <f>IF(G1816&lt;$H$10,$H$16,IF(G1816&gt;$I$10,$H$16,$H$11))*E1816/600</f>
        <v>6.6159900000000008E-2</v>
      </c>
      <c r="L1816" s="32">
        <f>$J1816*($G1816-$G1815)*60*24</f>
        <v>6.6159899999999772E-2</v>
      </c>
    </row>
    <row r="1817" spans="1:12">
      <c r="A1817" s="22">
        <v>40311.893750000003</v>
      </c>
      <c r="E1817" s="26">
        <v>196.93338499999999</v>
      </c>
      <c r="G1817" s="27">
        <v>0.89374999999999993</v>
      </c>
      <c r="J1817" s="30">
        <f>IF(G1817&lt;$H$10,$H$16,IF(G1817&gt;$I$10,$H$16,$H$11))*E1817/600</f>
        <v>6.5644461666666667E-2</v>
      </c>
      <c r="L1817" s="32">
        <f>$J1817*($G1817-$G1816)*60*24</f>
        <v>6.564446166665594E-2</v>
      </c>
    </row>
    <row r="1818" spans="1:12">
      <c r="A1818" s="22">
        <v>40311.894444444442</v>
      </c>
      <c r="E1818" s="26">
        <v>196.988675</v>
      </c>
      <c r="G1818" s="27">
        <v>0.89444444444444438</v>
      </c>
      <c r="J1818" s="30">
        <f>IF(G1818&lt;$H$10,$H$16,IF(G1818&gt;$I$10,$H$16,$H$11))*E1818/600</f>
        <v>6.5662891666666667E-2</v>
      </c>
      <c r="L1818" s="32">
        <f>$J1818*($G1818-$G1817)*60*24</f>
        <v>6.5662891666666431E-2</v>
      </c>
    </row>
    <row r="1819" spans="1:12">
      <c r="A1819" s="22">
        <v>40311.895138888889</v>
      </c>
      <c r="E1819" s="26">
        <v>196.00647000000001</v>
      </c>
      <c r="G1819" s="27">
        <v>0.89513888888888893</v>
      </c>
      <c r="J1819" s="30">
        <f>IF(G1819&lt;$H$10,$H$16,IF(G1819&gt;$I$10,$H$16,$H$11))*E1819/600</f>
        <v>6.533549000000001E-2</v>
      </c>
      <c r="L1819" s="32">
        <f>$J1819*($G1819-$G1818)*60*24</f>
        <v>6.5335490000010224E-2</v>
      </c>
    </row>
    <row r="1820" spans="1:12">
      <c r="A1820" s="22">
        <v>40311.895833333336</v>
      </c>
      <c r="E1820" s="26">
        <v>195.04411999999999</v>
      </c>
      <c r="G1820" s="27">
        <v>0.89583333333333337</v>
      </c>
      <c r="J1820" s="30">
        <f>IF(G1820&lt;$H$10,$H$16,IF(G1820&gt;$I$10,$H$16,$H$11))*E1820/600</f>
        <v>6.5014706666666672E-2</v>
      </c>
      <c r="L1820" s="32">
        <f>$J1820*($G1820-$G1819)*60*24</f>
        <v>6.501470666666645E-2</v>
      </c>
    </row>
    <row r="1821" spans="1:12">
      <c r="A1821" s="22">
        <v>40311.896527777775</v>
      </c>
      <c r="E1821" s="26">
        <v>195.25008</v>
      </c>
      <c r="G1821" s="27">
        <v>0.8965277777777777</v>
      </c>
      <c r="J1821" s="30">
        <f>IF(G1821&lt;$H$10,$H$16,IF(G1821&gt;$I$10,$H$16,$H$11))*E1821/600</f>
        <v>6.5083359999999993E-2</v>
      </c>
      <c r="L1821" s="32">
        <f>$J1821*($G1821-$G1820)*60*24</f>
        <v>6.5083359999989349E-2</v>
      </c>
    </row>
    <row r="1822" spans="1:12">
      <c r="A1822" s="22">
        <v>40311.897222222222</v>
      </c>
      <c r="E1822" s="26">
        <v>195.77144000000001</v>
      </c>
      <c r="G1822" s="27">
        <v>0.89722222222222225</v>
      </c>
      <c r="J1822" s="30">
        <f>IF(G1822&lt;$H$10,$H$16,IF(G1822&gt;$I$10,$H$16,$H$11))*E1822/600</f>
        <v>6.5257146666666682E-2</v>
      </c>
      <c r="L1822" s="32">
        <f>$J1822*($G1822-$G1821)*60*24</f>
        <v>6.5257146666676882E-2</v>
      </c>
    </row>
    <row r="1823" spans="1:12">
      <c r="A1823" s="22">
        <v>40311.897916666669</v>
      </c>
      <c r="E1823" s="26">
        <v>196.10156499999999</v>
      </c>
      <c r="G1823" s="27">
        <v>0.8979166666666667</v>
      </c>
      <c r="J1823" s="30">
        <f>IF(G1823&lt;$H$10,$H$16,IF(G1823&gt;$I$10,$H$16,$H$11))*E1823/600</f>
        <v>6.536718833333334E-2</v>
      </c>
      <c r="L1823" s="32">
        <f>$J1823*($G1823-$G1822)*60*24</f>
        <v>6.5367188333333118E-2</v>
      </c>
    </row>
    <row r="1824" spans="1:12">
      <c r="A1824" s="22">
        <v>40311.898611111108</v>
      </c>
      <c r="E1824" s="26">
        <v>195.685655</v>
      </c>
      <c r="G1824" s="27">
        <v>0.89861111111111114</v>
      </c>
      <c r="J1824" s="30">
        <f>IF(G1824&lt;$H$10,$H$16,IF(G1824&gt;$I$10,$H$16,$H$11))*E1824/600</f>
        <v>6.5228551666666676E-2</v>
      </c>
      <c r="L1824" s="32">
        <f>$J1824*($G1824-$G1823)*60*24</f>
        <v>6.522855166666644E-2</v>
      </c>
    </row>
    <row r="1825" spans="1:12">
      <c r="A1825" s="22">
        <v>40311.899305555555</v>
      </c>
      <c r="E1825" s="26">
        <v>195.564055</v>
      </c>
      <c r="G1825" s="27">
        <v>0.89930555555555547</v>
      </c>
      <c r="J1825" s="30">
        <f>IF(G1825&lt;$H$10,$H$16,IF(G1825&gt;$I$10,$H$16,$H$11))*E1825/600</f>
        <v>6.5188018333333334E-2</v>
      </c>
      <c r="L1825" s="32">
        <f>$J1825*($G1825-$G1824)*60*24</f>
        <v>6.5188018333322689E-2</v>
      </c>
    </row>
    <row r="1826" spans="1:12">
      <c r="A1826" s="22">
        <v>40311.9</v>
      </c>
      <c r="E1826" s="26">
        <v>196.78622999999999</v>
      </c>
      <c r="G1826" s="27">
        <v>0.9</v>
      </c>
      <c r="J1826" s="30">
        <f>IF(G1826&lt;$H$10,$H$16,IF(G1826&gt;$I$10,$H$16,$H$11))*E1826/600</f>
        <v>6.5595410000000007E-2</v>
      </c>
      <c r="L1826" s="32">
        <f>$J1826*($G1826-$G1825)*60*24</f>
        <v>6.5595410000010249E-2</v>
      </c>
    </row>
    <row r="1827" spans="1:12">
      <c r="A1827" s="22">
        <v>40311.900694444441</v>
      </c>
      <c r="E1827" s="26">
        <v>197.71019999999999</v>
      </c>
      <c r="G1827" s="27">
        <v>0.90069444444444446</v>
      </c>
      <c r="J1827" s="30">
        <f>IF(G1827&lt;$H$10,$H$16,IF(G1827&gt;$I$10,$H$16,$H$11))*E1827/600</f>
        <v>6.5903400000000001E-2</v>
      </c>
      <c r="L1827" s="32">
        <f>$J1827*($G1827-$G1826)*60*24</f>
        <v>6.5903399999999765E-2</v>
      </c>
    </row>
    <row r="1828" spans="1:12">
      <c r="A1828" s="22">
        <v>40311.901388888888</v>
      </c>
      <c r="E1828" s="26">
        <v>196.96749</v>
      </c>
      <c r="G1828" s="27">
        <v>0.90138888888888891</v>
      </c>
      <c r="J1828" s="30">
        <f>IF(G1828&lt;$H$10,$H$16,IF(G1828&gt;$I$10,$H$16,$H$11))*E1828/600</f>
        <v>6.5655829999999998E-2</v>
      </c>
      <c r="L1828" s="32">
        <f>$J1828*($G1828-$G1827)*60*24</f>
        <v>6.5655829999999762E-2</v>
      </c>
    </row>
    <row r="1829" spans="1:12">
      <c r="A1829" s="22">
        <v>40311.902083333334</v>
      </c>
      <c r="E1829" s="26">
        <v>195.41272000000001</v>
      </c>
      <c r="G1829" s="27">
        <v>0.90208333333333324</v>
      </c>
      <c r="J1829" s="30">
        <f>IF(G1829&lt;$H$10,$H$16,IF(G1829&gt;$I$10,$H$16,$H$11))*E1829/600</f>
        <v>6.5137573333333337E-2</v>
      </c>
      <c r="L1829" s="32">
        <f>$J1829*($G1829-$G1828)*60*24</f>
        <v>6.5137573333322693E-2</v>
      </c>
    </row>
    <row r="1830" spans="1:12">
      <c r="A1830" s="22">
        <v>40311.902777777781</v>
      </c>
      <c r="E1830" s="26">
        <v>197.28953999999999</v>
      </c>
      <c r="G1830" s="27">
        <v>0.90277777777777779</v>
      </c>
      <c r="J1830" s="30">
        <f>IF(G1830&lt;$H$10,$H$16,IF(G1830&gt;$I$10,$H$16,$H$11))*E1830/600</f>
        <v>6.5763180000000004E-2</v>
      </c>
      <c r="L1830" s="32">
        <f>$J1830*($G1830-$G1829)*60*24</f>
        <v>6.5763180000010274E-2</v>
      </c>
    </row>
    <row r="1831" spans="1:12">
      <c r="A1831" s="22">
        <v>40311.90347222222</v>
      </c>
      <c r="E1831" s="26">
        <v>195.95384000000001</v>
      </c>
      <c r="G1831" s="27">
        <v>0.90347222222222223</v>
      </c>
      <c r="J1831" s="30">
        <f>IF(G1831&lt;$H$10,$H$16,IF(G1831&gt;$I$10,$H$16,$H$11))*E1831/600</f>
        <v>6.5317946666666682E-2</v>
      </c>
      <c r="L1831" s="32">
        <f>$J1831*($G1831-$G1830)*60*24</f>
        <v>6.5317946666666446E-2</v>
      </c>
    </row>
    <row r="1832" spans="1:12">
      <c r="A1832" s="22">
        <v>40311.904166666667</v>
      </c>
      <c r="E1832" s="26">
        <v>196.24073999999999</v>
      </c>
      <c r="G1832" s="27">
        <v>0.90416666666666667</v>
      </c>
      <c r="J1832" s="30">
        <f>IF(G1832&lt;$H$10,$H$16,IF(G1832&gt;$I$10,$H$16,$H$11))*E1832/600</f>
        <v>6.5413579999999999E-2</v>
      </c>
      <c r="L1832" s="32">
        <f>$J1832*($G1832-$G1831)*60*24</f>
        <v>6.5413579999999777E-2</v>
      </c>
    </row>
    <row r="1833" spans="1:12">
      <c r="A1833" s="22">
        <v>40311.904861111114</v>
      </c>
      <c r="E1833" s="26">
        <v>196.49020999999999</v>
      </c>
      <c r="G1833" s="27">
        <v>0.90486111111111101</v>
      </c>
      <c r="J1833" s="30">
        <f>IF(G1833&lt;$H$10,$H$16,IF(G1833&gt;$I$10,$H$16,$H$11))*E1833/600</f>
        <v>6.5496736666666666E-2</v>
      </c>
      <c r="L1833" s="32">
        <f>$J1833*($G1833-$G1832)*60*24</f>
        <v>6.5496736666655966E-2</v>
      </c>
    </row>
    <row r="1834" spans="1:12">
      <c r="A1834" s="22">
        <v>40311.905555555553</v>
      </c>
      <c r="E1834" s="26">
        <v>197.34929500000001</v>
      </c>
      <c r="G1834" s="27">
        <v>0.90555555555555556</v>
      </c>
      <c r="J1834" s="30">
        <f>IF(G1834&lt;$H$10,$H$16,IF(G1834&gt;$I$10,$H$16,$H$11))*E1834/600</f>
        <v>6.5783098333333345E-2</v>
      </c>
      <c r="L1834" s="32">
        <f>$J1834*($G1834-$G1833)*60*24</f>
        <v>6.5783098333343629E-2</v>
      </c>
    </row>
    <row r="1835" spans="1:12">
      <c r="A1835" s="22">
        <v>40311.90625</v>
      </c>
      <c r="E1835" s="26">
        <v>197.08699999999999</v>
      </c>
      <c r="G1835" s="27">
        <v>0.90625</v>
      </c>
      <c r="J1835" s="30">
        <f>IF(G1835&lt;$H$10,$H$16,IF(G1835&gt;$I$10,$H$16,$H$11))*E1835/600</f>
        <v>6.5695666666666666E-2</v>
      </c>
      <c r="L1835" s="32">
        <f>$J1835*($G1835-$G1834)*60*24</f>
        <v>6.569566666666643E-2</v>
      </c>
    </row>
    <row r="1836" spans="1:12">
      <c r="A1836" s="22">
        <v>40311.906944444447</v>
      </c>
      <c r="E1836" s="26">
        <v>196.75792000000001</v>
      </c>
      <c r="G1836" s="27">
        <v>0.90694444444444444</v>
      </c>
      <c r="J1836" s="30">
        <f>IF(G1836&lt;$H$10,$H$16,IF(G1836&gt;$I$10,$H$16,$H$11))*E1836/600</f>
        <v>6.5585973333333339E-2</v>
      </c>
      <c r="L1836" s="32">
        <f>$J1836*($G1836-$G1835)*60*24</f>
        <v>6.5585973333333103E-2</v>
      </c>
    </row>
    <row r="1837" spans="1:12">
      <c r="A1837" s="22">
        <v>40311.907638888886</v>
      </c>
      <c r="E1837" s="26">
        <v>196.988675</v>
      </c>
      <c r="G1837" s="27">
        <v>0.90763888888888899</v>
      </c>
      <c r="J1837" s="30">
        <f>IF(G1837&lt;$H$10,$H$16,IF(G1837&gt;$I$10,$H$16,$H$11))*E1837/600</f>
        <v>6.5662891666666667E-2</v>
      </c>
      <c r="L1837" s="32">
        <f>$J1837*($G1837-$G1836)*60*24</f>
        <v>6.5662891666676923E-2</v>
      </c>
    </row>
    <row r="1838" spans="1:12">
      <c r="A1838" s="22">
        <v>40311.908333333333</v>
      </c>
      <c r="E1838" s="26">
        <v>197.50157999999999</v>
      </c>
      <c r="G1838" s="27">
        <v>0.90833333333333333</v>
      </c>
      <c r="J1838" s="30">
        <f>IF(G1838&lt;$H$10,$H$16,IF(G1838&gt;$I$10,$H$16,$H$11))*E1838/600</f>
        <v>6.5833859999999994E-2</v>
      </c>
      <c r="L1838" s="32">
        <f>$J1838*($G1838-$G1837)*60*24</f>
        <v>6.5833859999989225E-2</v>
      </c>
    </row>
    <row r="1839" spans="1:12">
      <c r="A1839" s="22">
        <v>40311.90902777778</v>
      </c>
      <c r="E1839" s="26">
        <v>194.45835</v>
      </c>
      <c r="G1839" s="27">
        <v>0.90902777777777777</v>
      </c>
      <c r="J1839" s="30">
        <f>IF(G1839&lt;$H$10,$H$16,IF(G1839&gt;$I$10,$H$16,$H$11))*E1839/600</f>
        <v>6.4819450000000015E-2</v>
      </c>
      <c r="L1839" s="32">
        <f>$J1839*($G1839-$G1838)*60*24</f>
        <v>6.4819449999999779E-2</v>
      </c>
    </row>
    <row r="1840" spans="1:12">
      <c r="A1840" s="22">
        <v>40311.909722222219</v>
      </c>
      <c r="E1840" s="26">
        <v>194.359455</v>
      </c>
      <c r="G1840" s="27">
        <v>0.90972222222222221</v>
      </c>
      <c r="J1840" s="30">
        <f>IF(G1840&lt;$H$10,$H$16,IF(G1840&gt;$I$10,$H$16,$H$11))*E1840/600</f>
        <v>6.4786485000000005E-2</v>
      </c>
      <c r="L1840" s="32">
        <f>$J1840*($G1840-$G1839)*60*24</f>
        <v>6.4786484999999769E-2</v>
      </c>
    </row>
    <row r="1841" spans="1:12">
      <c r="A1841" s="22">
        <v>40311.910416666666</v>
      </c>
      <c r="E1841" s="26">
        <v>196.75488000000001</v>
      </c>
      <c r="G1841" s="27">
        <v>0.91041666666666676</v>
      </c>
      <c r="J1841" s="30">
        <f>IF(G1841&lt;$H$10,$H$16,IF(G1841&gt;$I$10,$H$16,$H$11))*E1841/600</f>
        <v>6.5584960000000012E-2</v>
      </c>
      <c r="L1841" s="32">
        <f>$J1841*($G1841-$G1840)*60*24</f>
        <v>6.5584960000010253E-2</v>
      </c>
    </row>
    <row r="1842" spans="1:12">
      <c r="A1842" s="22">
        <v>40311.911111111112</v>
      </c>
      <c r="E1842" s="26">
        <v>194.95529500000001</v>
      </c>
      <c r="G1842" s="27">
        <v>0.91111111111111109</v>
      </c>
      <c r="J1842" s="30">
        <f>IF(G1842&lt;$H$10,$H$16,IF(G1842&gt;$I$10,$H$16,$H$11))*E1842/600</f>
        <v>6.4985098333333338E-2</v>
      </c>
      <c r="L1842" s="32">
        <f>$J1842*($G1842-$G1841)*60*24</f>
        <v>6.4985098333322708E-2</v>
      </c>
    </row>
    <row r="1843" spans="1:12">
      <c r="A1843" s="22">
        <v>40311.911805555559</v>
      </c>
      <c r="E1843" s="26">
        <v>195.99412000000001</v>
      </c>
      <c r="G1843" s="27">
        <v>0.91180555555555554</v>
      </c>
      <c r="J1843" s="30">
        <f>IF(G1843&lt;$H$10,$H$16,IF(G1843&gt;$I$10,$H$16,$H$11))*E1843/600</f>
        <v>6.5331373333333331E-2</v>
      </c>
      <c r="L1843" s="32">
        <f>$J1843*($G1843-$G1842)*60*24</f>
        <v>6.5331373333333095E-2</v>
      </c>
    </row>
    <row r="1844" spans="1:12">
      <c r="A1844" s="22">
        <v>40311.912499999999</v>
      </c>
      <c r="E1844" s="26">
        <v>205.13901000000001</v>
      </c>
      <c r="G1844" s="27">
        <v>0.91249999999999998</v>
      </c>
      <c r="J1844" s="30">
        <f>IF(G1844&lt;$H$10,$H$16,IF(G1844&gt;$I$10,$H$16,$H$11))*E1844/600</f>
        <v>6.8379670000000017E-2</v>
      </c>
      <c r="L1844" s="32">
        <f>$J1844*($G1844-$G1843)*60*24</f>
        <v>6.8379669999999781E-2</v>
      </c>
    </row>
    <row r="1845" spans="1:12">
      <c r="A1845" s="22">
        <v>40311.913194444445</v>
      </c>
      <c r="E1845" s="26">
        <v>218.18803199999999</v>
      </c>
      <c r="G1845" s="27">
        <v>0.91319444444444453</v>
      </c>
      <c r="J1845" s="30">
        <f>IF(G1845&lt;$H$10,$H$16,IF(G1845&gt;$I$10,$H$16,$H$11))*E1845/600</f>
        <v>7.2729344000000001E-2</v>
      </c>
      <c r="L1845" s="32">
        <f>$J1845*($G1845-$G1844)*60*24</f>
        <v>7.2729344000011381E-2</v>
      </c>
    </row>
    <row r="1846" spans="1:12">
      <c r="A1846" s="22">
        <v>40311.913888888892</v>
      </c>
      <c r="E1846" s="26">
        <v>205.59387000000001</v>
      </c>
      <c r="G1846" s="27">
        <v>0.91388888888888886</v>
      </c>
      <c r="J1846" s="30">
        <f>IF(G1846&lt;$H$10,$H$16,IF(G1846&gt;$I$10,$H$16,$H$11))*E1846/600</f>
        <v>6.8531290000000009E-2</v>
      </c>
      <c r="L1846" s="32">
        <f>$J1846*($G1846-$G1845)*60*24</f>
        <v>6.8531289999988809E-2</v>
      </c>
    </row>
    <row r="1847" spans="1:12">
      <c r="A1847" s="22">
        <v>40311.914583333331</v>
      </c>
      <c r="E1847" s="26">
        <v>195.240105</v>
      </c>
      <c r="G1847" s="27">
        <v>0.9145833333333333</v>
      </c>
      <c r="J1847" s="30">
        <f>IF(G1847&lt;$H$10,$H$16,IF(G1847&gt;$I$10,$H$16,$H$11))*E1847/600</f>
        <v>6.5080035000000008E-2</v>
      </c>
      <c r="L1847" s="32">
        <f>$J1847*($G1847-$G1846)*60*24</f>
        <v>6.5080034999999772E-2</v>
      </c>
    </row>
    <row r="1848" spans="1:12">
      <c r="A1848" s="22">
        <v>40311.915277777778</v>
      </c>
      <c r="E1848" s="26">
        <v>195.51855</v>
      </c>
      <c r="G1848" s="27">
        <v>0.91527777777777775</v>
      </c>
      <c r="J1848" s="30">
        <f>IF(G1848&lt;$H$10,$H$16,IF(G1848&gt;$I$10,$H$16,$H$11))*E1848/600</f>
        <v>6.5172850000000004E-2</v>
      </c>
      <c r="L1848" s="32">
        <f>$J1848*($G1848-$G1847)*60*24</f>
        <v>6.5172849999999768E-2</v>
      </c>
    </row>
    <row r="1849" spans="1:12">
      <c r="A1849" s="22">
        <v>40311.915972222225</v>
      </c>
      <c r="E1849" s="26">
        <v>197.01384999999999</v>
      </c>
      <c r="G1849" s="27">
        <v>0.9159722222222223</v>
      </c>
      <c r="J1849" s="30">
        <f>IF(G1849&lt;$H$10,$H$16,IF(G1849&gt;$I$10,$H$16,$H$11))*E1849/600</f>
        <v>6.5671283333333344E-2</v>
      </c>
      <c r="L1849" s="32">
        <f>$J1849*($G1849-$G1848)*60*24</f>
        <v>6.56712833333436E-2</v>
      </c>
    </row>
    <row r="1850" spans="1:12">
      <c r="A1850" s="22">
        <v>40311.916666666664</v>
      </c>
      <c r="E1850" s="26">
        <v>195.57383999999999</v>
      </c>
      <c r="G1850" s="27">
        <v>0.91666666666666663</v>
      </c>
      <c r="J1850" s="30">
        <f>IF(G1850&lt;$H$10,$H$16,IF(G1850&gt;$I$10,$H$16,$H$11))*E1850/600</f>
        <v>6.519127999999999E-2</v>
      </c>
      <c r="L1850" s="32">
        <f>$J1850*($G1850-$G1849)*60*24</f>
        <v>6.5191279999989346E-2</v>
      </c>
    </row>
    <row r="1851" spans="1:12">
      <c r="A1851" s="22">
        <v>40311.917361111111</v>
      </c>
      <c r="E1851" s="26">
        <v>195.02122499999999</v>
      </c>
      <c r="G1851" s="27">
        <v>0.91736111111111107</v>
      </c>
      <c r="J1851" s="30">
        <f>IF(G1851&lt;$H$10,$H$16,IF(G1851&gt;$I$10,$H$16,$H$11))*E1851/600</f>
        <v>6.5007074999999997E-2</v>
      </c>
      <c r="L1851" s="32">
        <f>$J1851*($G1851-$G1850)*60*24</f>
        <v>6.5007074999999762E-2</v>
      </c>
    </row>
    <row r="1852" spans="1:12">
      <c r="A1852" s="22">
        <v>40311.918055555558</v>
      </c>
      <c r="E1852" s="26">
        <v>195.07679999999999</v>
      </c>
      <c r="G1852" s="27">
        <v>0.91805555555555562</v>
      </c>
      <c r="J1852" s="30">
        <f>IF(G1852&lt;$H$10,$H$16,IF(G1852&gt;$I$10,$H$16,$H$11))*E1852/600</f>
        <v>6.5025600000000003E-2</v>
      </c>
      <c r="L1852" s="32">
        <f>$J1852*($G1852-$G1851)*60*24</f>
        <v>6.5025600000010161E-2</v>
      </c>
    </row>
    <row r="1853" spans="1:12">
      <c r="A1853" s="22">
        <v>40311.918749999997</v>
      </c>
      <c r="E1853" s="26">
        <v>195.64528000000001</v>
      </c>
      <c r="G1853" s="27">
        <v>0.91875000000000007</v>
      </c>
      <c r="J1853" s="30">
        <f>IF(G1853&lt;$H$10,$H$16,IF(G1853&gt;$I$10,$H$16,$H$11))*E1853/600</f>
        <v>6.5215093333333349E-2</v>
      </c>
      <c r="L1853" s="32">
        <f>$J1853*($G1853-$G1852)*60*24</f>
        <v>6.5215093333333113E-2</v>
      </c>
    </row>
    <row r="1854" spans="1:12">
      <c r="A1854" s="22">
        <v>40311.919444444444</v>
      </c>
      <c r="E1854" s="26">
        <v>195.52187499999999</v>
      </c>
      <c r="G1854" s="27">
        <v>0.9194444444444444</v>
      </c>
      <c r="J1854" s="30">
        <f>IF(G1854&lt;$H$10,$H$16,IF(G1854&gt;$I$10,$H$16,$H$11))*E1854/600</f>
        <v>6.5173958333333337E-2</v>
      </c>
      <c r="L1854" s="32">
        <f>$J1854*($G1854-$G1853)*60*24</f>
        <v>6.5173958333322679E-2</v>
      </c>
    </row>
    <row r="1855" spans="1:12">
      <c r="A1855" s="22">
        <v>40311.920138888891</v>
      </c>
      <c r="E1855" s="26">
        <v>195.87337500000001</v>
      </c>
      <c r="G1855" s="27">
        <v>0.92013888888888884</v>
      </c>
      <c r="J1855" s="30">
        <f>IF(G1855&lt;$H$10,$H$16,IF(G1855&gt;$I$10,$H$16,$H$11))*E1855/600</f>
        <v>6.5291125000000019E-2</v>
      </c>
      <c r="L1855" s="32">
        <f>$J1855*($G1855-$G1854)*60*24</f>
        <v>6.5291124999999783E-2</v>
      </c>
    </row>
    <row r="1856" spans="1:12">
      <c r="A1856" s="22">
        <v>40311.92083333333</v>
      </c>
      <c r="E1856" s="26">
        <v>196.67745500000001</v>
      </c>
      <c r="G1856" s="27">
        <v>0.92083333333333339</v>
      </c>
      <c r="J1856" s="30">
        <f>IF(G1856&lt;$H$10,$H$16,IF(G1856&gt;$I$10,$H$16,$H$11))*E1856/600</f>
        <v>6.5559151666666676E-2</v>
      </c>
      <c r="L1856" s="32">
        <f>$J1856*($G1856-$G1855)*60*24</f>
        <v>6.5559151666676932E-2</v>
      </c>
    </row>
    <row r="1857" spans="1:12">
      <c r="A1857" s="22">
        <v>40311.921527777777</v>
      </c>
      <c r="E1857" s="26">
        <v>197.01575</v>
      </c>
      <c r="G1857" s="27">
        <v>0.92152777777777783</v>
      </c>
      <c r="J1857" s="30">
        <f>IF(G1857&lt;$H$10,$H$16,IF(G1857&gt;$I$10,$H$16,$H$11))*E1857/600</f>
        <v>6.5671916666666677E-2</v>
      </c>
      <c r="L1857" s="32">
        <f>$J1857*($G1857-$G1856)*60*24</f>
        <v>6.5671916666666441E-2</v>
      </c>
    </row>
    <row r="1858" spans="1:12">
      <c r="A1858" s="22">
        <v>40311.922222222223</v>
      </c>
      <c r="E1858" s="26">
        <v>196.48849999999999</v>
      </c>
      <c r="G1858" s="27">
        <v>0.92222222222222217</v>
      </c>
      <c r="J1858" s="30">
        <f>IF(G1858&lt;$H$10,$H$16,IF(G1858&gt;$I$10,$H$16,$H$11))*E1858/600</f>
        <v>6.5496166666666661E-2</v>
      </c>
      <c r="L1858" s="32">
        <f>$J1858*($G1858-$G1857)*60*24</f>
        <v>6.5496166666655961E-2</v>
      </c>
    </row>
    <row r="1859" spans="1:12">
      <c r="A1859" s="22">
        <v>40311.92291666667</v>
      </c>
      <c r="E1859" s="26">
        <v>196.77312000000001</v>
      </c>
      <c r="G1859" s="27">
        <v>0.92291666666666661</v>
      </c>
      <c r="J1859" s="30">
        <f>IF(G1859&lt;$H$10,$H$16,IF(G1859&gt;$I$10,$H$16,$H$11))*E1859/600</f>
        <v>6.5591040000000003E-2</v>
      </c>
      <c r="L1859" s="32">
        <f>$J1859*($G1859-$G1858)*60*24</f>
        <v>6.5591039999999767E-2</v>
      </c>
    </row>
    <row r="1860" spans="1:12">
      <c r="A1860" s="22">
        <v>40311.923611111109</v>
      </c>
      <c r="E1860" s="26">
        <v>196.03269</v>
      </c>
      <c r="G1860" s="27">
        <v>0.92361111111111116</v>
      </c>
      <c r="J1860" s="30">
        <f>IF(G1860&lt;$H$10,$H$16,IF(G1860&gt;$I$10,$H$16,$H$11))*E1860/600</f>
        <v>6.5344230000000003E-2</v>
      </c>
      <c r="L1860" s="32">
        <f>$J1860*($G1860-$G1859)*60*24</f>
        <v>6.5344230000010217E-2</v>
      </c>
    </row>
    <row r="1861" spans="1:12">
      <c r="A1861" s="22">
        <v>40311.924305555556</v>
      </c>
      <c r="E1861" s="26">
        <v>196.33232000000001</v>
      </c>
      <c r="G1861" s="27">
        <v>0.9243055555555556</v>
      </c>
      <c r="J1861" s="30">
        <f>IF(G1861&lt;$H$10,$H$16,IF(G1861&gt;$I$10,$H$16,$H$11))*E1861/600</f>
        <v>6.5444106666666682E-2</v>
      </c>
      <c r="L1861" s="32">
        <f>$J1861*($G1861-$G1860)*60*24</f>
        <v>6.5444106666666446E-2</v>
      </c>
    </row>
    <row r="1862" spans="1:12">
      <c r="A1862" s="22">
        <v>40311.925000000003</v>
      </c>
      <c r="E1862" s="26">
        <v>141.74495999999999</v>
      </c>
      <c r="G1862" s="27">
        <v>0.92499999999999993</v>
      </c>
      <c r="J1862" s="30">
        <f>IF(G1862&lt;$H$10,$H$16,IF(G1862&gt;$I$10,$H$16,$H$11))*E1862/600</f>
        <v>4.7248319999999996E-2</v>
      </c>
      <c r="L1862" s="32">
        <f>$J1862*($G1862-$G1861)*60*24</f>
        <v>4.724831999999228E-2</v>
      </c>
    </row>
    <row r="1863" spans="1:12">
      <c r="A1863" s="22">
        <v>40311.925694444442</v>
      </c>
      <c r="E1863" s="26">
        <v>16.167615999999999</v>
      </c>
      <c r="G1863" s="27">
        <v>0.92569444444444438</v>
      </c>
      <c r="J1863" s="30">
        <f>IF(G1863&lt;$H$10,$H$16,IF(G1863&gt;$I$10,$H$16,$H$11))*E1863/600</f>
        <v>5.3892053333333334E-3</v>
      </c>
      <c r="L1863" s="32">
        <f>$J1863*($G1863-$G1862)*60*24</f>
        <v>5.3892053333333143E-3</v>
      </c>
    </row>
    <row r="1864" spans="1:12">
      <c r="A1864" s="22">
        <v>40311.926388888889</v>
      </c>
      <c r="E1864" s="26">
        <v>16.141860000000001</v>
      </c>
      <c r="G1864" s="27">
        <v>0.92638888888888893</v>
      </c>
      <c r="J1864" s="30">
        <f>IF(G1864&lt;$H$10,$H$16,IF(G1864&gt;$I$10,$H$16,$H$11))*E1864/600</f>
        <v>5.38062E-3</v>
      </c>
      <c r="L1864" s="32">
        <f>$J1864*($G1864-$G1863)*60*24</f>
        <v>5.3806200000008414E-3</v>
      </c>
    </row>
    <row r="1865" spans="1:12">
      <c r="A1865" s="22">
        <v>40311.927083333336</v>
      </c>
      <c r="E1865" s="26">
        <v>15.528575999999999</v>
      </c>
      <c r="G1865" s="27">
        <v>0.92708333333333337</v>
      </c>
      <c r="J1865" s="30">
        <f>IF(G1865&lt;$H$10,$H$16,IF(G1865&gt;$I$10,$H$16,$H$11))*E1865/600</f>
        <v>5.1761920000000005E-3</v>
      </c>
      <c r="L1865" s="32">
        <f>$J1865*($G1865-$G1864)*60*24</f>
        <v>5.1761919999999823E-3</v>
      </c>
    </row>
    <row r="1866" spans="1:12">
      <c r="A1866" s="22">
        <v>40311.927777777775</v>
      </c>
      <c r="E1866" s="26">
        <v>15.296256</v>
      </c>
      <c r="G1866" s="27">
        <v>0.9277777777777777</v>
      </c>
      <c r="J1866" s="30">
        <f>IF(G1866&lt;$H$10,$H$16,IF(G1866&gt;$I$10,$H$16,$H$11))*E1866/600</f>
        <v>5.0987520000000007E-3</v>
      </c>
      <c r="L1866" s="32">
        <f>$J1866*($G1866-$G1865)*60*24</f>
        <v>5.0987519999991671E-3</v>
      </c>
    </row>
    <row r="1867" spans="1:12">
      <c r="A1867" s="22">
        <v>40311.928472222222</v>
      </c>
      <c r="E1867" s="26">
        <v>15.28758</v>
      </c>
      <c r="G1867" s="27">
        <v>0.92847222222222225</v>
      </c>
      <c r="J1867" s="30">
        <f>IF(G1867&lt;$H$10,$H$16,IF(G1867&gt;$I$10,$H$16,$H$11))*E1867/600</f>
        <v>5.0958599999999998E-3</v>
      </c>
      <c r="L1867" s="32">
        <f>$J1867*($G1867-$G1866)*60*24</f>
        <v>5.0958600000007969E-3</v>
      </c>
    </row>
    <row r="1868" spans="1:12">
      <c r="A1868" s="22">
        <v>40311.929166666669</v>
      </c>
      <c r="E1868" s="26">
        <v>15.41925</v>
      </c>
      <c r="G1868" s="27">
        <v>0.9291666666666667</v>
      </c>
      <c r="J1868" s="30">
        <f>IF(G1868&lt;$H$10,$H$16,IF(G1868&gt;$I$10,$H$16,$H$11))*E1868/600</f>
        <v>5.1397500000000002E-3</v>
      </c>
      <c r="L1868" s="32">
        <f>$J1868*($G1868-$G1867)*60*24</f>
        <v>5.139749999999982E-3</v>
      </c>
    </row>
    <row r="1869" spans="1:12">
      <c r="A1869" s="22">
        <v>40311.929861111108</v>
      </c>
      <c r="E1869" s="26">
        <v>15.720319999999999</v>
      </c>
      <c r="G1869" s="27">
        <v>0.92986111111111114</v>
      </c>
      <c r="J1869" s="30">
        <f>IF(G1869&lt;$H$10,$H$16,IF(G1869&gt;$I$10,$H$16,$H$11))*E1869/600</f>
        <v>5.2401066666666668E-3</v>
      </c>
      <c r="L1869" s="32">
        <f>$J1869*($G1869-$G1868)*60*24</f>
        <v>5.2401066666666486E-3</v>
      </c>
    </row>
    <row r="1870" spans="1:12">
      <c r="A1870" s="22">
        <v>40311.930555555555</v>
      </c>
      <c r="E1870" s="26">
        <v>15.755520000000001</v>
      </c>
      <c r="G1870" s="27">
        <v>0.93055555555555547</v>
      </c>
      <c r="J1870" s="30">
        <f>IF(G1870&lt;$H$10,$H$16,IF(G1870&gt;$I$10,$H$16,$H$11))*E1870/600</f>
        <v>5.2518399999999998E-3</v>
      </c>
      <c r="L1870" s="32">
        <f>$J1870*($G1870-$G1869)*60*24</f>
        <v>5.251839999999142E-3</v>
      </c>
    </row>
    <row r="1871" spans="1:12">
      <c r="A1871" s="22">
        <v>40311.931250000001</v>
      </c>
      <c r="E1871" s="26">
        <v>15.566418000000001</v>
      </c>
      <c r="G1871" s="27">
        <v>0.93125000000000002</v>
      </c>
      <c r="J1871" s="30">
        <f>IF(G1871&lt;$H$10,$H$16,IF(G1871&gt;$I$10,$H$16,$H$11))*E1871/600</f>
        <v>5.1888060000000007E-3</v>
      </c>
      <c r="L1871" s="32">
        <f>$J1871*($G1871-$G1870)*60*24</f>
        <v>5.1888060000008117E-3</v>
      </c>
    </row>
    <row r="1872" spans="1:12">
      <c r="A1872" s="22">
        <v>40311.931944444441</v>
      </c>
      <c r="E1872" s="26">
        <v>15.66432</v>
      </c>
      <c r="G1872" s="27">
        <v>0.93194444444444446</v>
      </c>
      <c r="J1872" s="30">
        <f>IF(G1872&lt;$H$10,$H$16,IF(G1872&gt;$I$10,$H$16,$H$11))*E1872/600</f>
        <v>5.2214399999999999E-3</v>
      </c>
      <c r="L1872" s="32">
        <f>$J1872*($G1872-$G1871)*60*24</f>
        <v>5.2214399999999809E-3</v>
      </c>
    </row>
    <row r="1873" spans="1:12">
      <c r="A1873" s="22">
        <v>40311.932638888888</v>
      </c>
      <c r="E1873" s="26">
        <v>15.682048</v>
      </c>
      <c r="G1873" s="27">
        <v>0.93263888888888891</v>
      </c>
      <c r="J1873" s="30">
        <f>IF(G1873&lt;$H$10,$H$16,IF(G1873&gt;$I$10,$H$16,$H$11))*E1873/600</f>
        <v>5.2273493333333341E-3</v>
      </c>
      <c r="L1873" s="32">
        <f>$J1873*($G1873-$G1872)*60*24</f>
        <v>5.2273493333333159E-3</v>
      </c>
    </row>
    <row r="1874" spans="1:12">
      <c r="A1874" s="22">
        <v>40311.933333333334</v>
      </c>
      <c r="E1874" s="26">
        <v>15.678305999999999</v>
      </c>
      <c r="G1874" s="27">
        <v>0.93333333333333324</v>
      </c>
      <c r="J1874" s="30">
        <f>IF(G1874&lt;$H$10,$H$16,IF(G1874&gt;$I$10,$H$16,$H$11))*E1874/600</f>
        <v>5.2261019999999998E-3</v>
      </c>
      <c r="L1874" s="32">
        <f>$J1874*($G1874-$G1873)*60*24</f>
        <v>5.2261019999991455E-3</v>
      </c>
    </row>
    <row r="1875" spans="1:12">
      <c r="A1875" s="22">
        <v>40311.934027777781</v>
      </c>
      <c r="E1875" s="26">
        <v>15.706277999999999</v>
      </c>
      <c r="G1875" s="27">
        <v>0.93402777777777779</v>
      </c>
      <c r="J1875" s="30">
        <f>IF(G1875&lt;$H$10,$H$16,IF(G1875&gt;$I$10,$H$16,$H$11))*E1875/600</f>
        <v>5.2354260000000005E-3</v>
      </c>
      <c r="L1875" s="32">
        <f>$J1875*($G1875-$G1874)*60*24</f>
        <v>5.2354260000008184E-3</v>
      </c>
    </row>
    <row r="1876" spans="1:12">
      <c r="A1876" s="22">
        <v>40311.93472222222</v>
      </c>
      <c r="E1876" s="26">
        <v>15.636348</v>
      </c>
      <c r="G1876" s="27">
        <v>0.93472222222222223</v>
      </c>
      <c r="J1876" s="30">
        <f>IF(G1876&lt;$H$10,$H$16,IF(G1876&gt;$I$10,$H$16,$H$11))*E1876/600</f>
        <v>5.2121160000000001E-3</v>
      </c>
      <c r="L1876" s="32">
        <f>$J1876*($G1876-$G1875)*60*24</f>
        <v>5.2121159999999811E-3</v>
      </c>
    </row>
    <row r="1877" spans="1:12">
      <c r="A1877" s="22">
        <v>40311.935416666667</v>
      </c>
      <c r="E1877" s="26">
        <v>15.657327</v>
      </c>
      <c r="G1877" s="27">
        <v>0.93541666666666667</v>
      </c>
      <c r="J1877" s="30">
        <f>IF(G1877&lt;$H$10,$H$16,IF(G1877&gt;$I$10,$H$16,$H$11))*E1877/600</f>
        <v>5.2191090000000004E-3</v>
      </c>
      <c r="L1877" s="32">
        <f>$J1877*($G1877-$G1876)*60*24</f>
        <v>5.2191089999999822E-3</v>
      </c>
    </row>
    <row r="1878" spans="1:12">
      <c r="A1878" s="22">
        <v>40311.936111111114</v>
      </c>
      <c r="E1878" s="26">
        <v>15.650334000000001</v>
      </c>
      <c r="G1878" s="27">
        <v>0.93611111111111101</v>
      </c>
      <c r="J1878" s="30">
        <f>IF(G1878&lt;$H$10,$H$16,IF(G1878&gt;$I$10,$H$16,$H$11))*E1878/600</f>
        <v>5.216778E-3</v>
      </c>
      <c r="L1878" s="32">
        <f>$J1878*($G1878-$G1877)*60*24</f>
        <v>5.2167779999991483E-3</v>
      </c>
    </row>
    <row r="1879" spans="1:12">
      <c r="A1879" s="22">
        <v>40311.936805555553</v>
      </c>
      <c r="E1879" s="26">
        <v>15.643340999999999</v>
      </c>
      <c r="G1879" s="27">
        <v>0.93680555555555556</v>
      </c>
      <c r="J1879" s="30">
        <f>IF(G1879&lt;$H$10,$H$16,IF(G1879&gt;$I$10,$H$16,$H$11))*E1879/600</f>
        <v>5.2144469999999997E-3</v>
      </c>
      <c r="L1879" s="32">
        <f>$J1879*($G1879-$G1878)*60*24</f>
        <v>5.2144470000008141E-3</v>
      </c>
    </row>
    <row r="1880" spans="1:12">
      <c r="A1880" s="22">
        <v>40311.9375</v>
      </c>
      <c r="E1880" s="26">
        <v>15.443455999999999</v>
      </c>
      <c r="G1880" s="27">
        <v>0.9375</v>
      </c>
      <c r="J1880" s="30">
        <f>IF(G1880&lt;$H$10,$H$16,IF(G1880&gt;$I$10,$H$16,$H$11))*E1880/600</f>
        <v>5.1478186666666665E-3</v>
      </c>
      <c r="L1880" s="32">
        <f>$J1880*($G1880-$G1879)*60*24</f>
        <v>5.1478186666666483E-3</v>
      </c>
    </row>
    <row r="1881" spans="1:12">
      <c r="A1881" s="22">
        <v>40311.938194444447</v>
      </c>
      <c r="E1881" s="26">
        <v>15.48512</v>
      </c>
      <c r="G1881" s="27">
        <v>0.93819444444444444</v>
      </c>
      <c r="J1881" s="30">
        <f>IF(G1881&lt;$H$10,$H$16,IF(G1881&gt;$I$10,$H$16,$H$11))*E1881/600</f>
        <v>5.1617066666666675E-3</v>
      </c>
      <c r="L1881" s="32">
        <f>$J1881*($G1881-$G1880)*60*24</f>
        <v>5.1617066666666492E-3</v>
      </c>
    </row>
    <row r="1882" spans="1:12">
      <c r="A1882" s="22">
        <v>40311.938888888886</v>
      </c>
      <c r="E1882" s="26">
        <v>15.46776</v>
      </c>
      <c r="G1882" s="27">
        <v>0.93888888888888899</v>
      </c>
      <c r="J1882" s="30">
        <f>IF(G1882&lt;$H$10,$H$16,IF(G1882&gt;$I$10,$H$16,$H$11))*E1882/600</f>
        <v>5.1559200000000005E-3</v>
      </c>
      <c r="L1882" s="32">
        <f>$J1882*($G1882-$G1881)*60*24</f>
        <v>5.1559200000008062E-3</v>
      </c>
    </row>
    <row r="1883" spans="1:12">
      <c r="A1883" s="22">
        <v>40311.939583333333</v>
      </c>
      <c r="E1883" s="26">
        <v>15.580404</v>
      </c>
      <c r="G1883" s="27">
        <v>0.93958333333333333</v>
      </c>
      <c r="J1883" s="30">
        <f>IF(G1883&lt;$H$10,$H$16,IF(G1883&gt;$I$10,$H$16,$H$11))*E1883/600</f>
        <v>5.1934680000000006E-3</v>
      </c>
      <c r="L1883" s="32">
        <f>$J1883*($G1883-$G1882)*60*24</f>
        <v>5.1934679999991523E-3</v>
      </c>
    </row>
    <row r="1884" spans="1:12">
      <c r="A1884" s="22">
        <v>40311.94027777778</v>
      </c>
      <c r="E1884" s="26">
        <v>15.608376</v>
      </c>
      <c r="G1884" s="27">
        <v>0.94027777777777777</v>
      </c>
      <c r="J1884" s="30">
        <f>IF(G1884&lt;$H$10,$H$16,IF(G1884&gt;$I$10,$H$16,$H$11))*E1884/600</f>
        <v>5.2027920000000004E-3</v>
      </c>
      <c r="L1884" s="32">
        <f>$J1884*($G1884-$G1883)*60*24</f>
        <v>5.2027919999999821E-3</v>
      </c>
    </row>
    <row r="1885" spans="1:12">
      <c r="A1885" s="22">
        <v>40311.940972222219</v>
      </c>
      <c r="E1885" s="26">
        <v>15.629355</v>
      </c>
      <c r="G1885" s="27">
        <v>0.94097222222222221</v>
      </c>
      <c r="J1885" s="30">
        <f>IF(G1885&lt;$H$10,$H$16,IF(G1885&gt;$I$10,$H$16,$H$11))*E1885/600</f>
        <v>5.2097849999999998E-3</v>
      </c>
      <c r="L1885" s="32">
        <f>$J1885*($G1885-$G1884)*60*24</f>
        <v>5.2097849999999815E-3</v>
      </c>
    </row>
    <row r="1886" spans="1:12">
      <c r="A1886" s="22">
        <v>40311.941666666666</v>
      </c>
      <c r="E1886" s="26">
        <v>15.48326</v>
      </c>
      <c r="G1886" s="27">
        <v>0.94166666666666676</v>
      </c>
      <c r="J1886" s="30">
        <f>IF(G1886&lt;$H$10,$H$16,IF(G1886&gt;$I$10,$H$16,$H$11))*E1886/600</f>
        <v>5.1610866666666668E-3</v>
      </c>
      <c r="L1886" s="32">
        <f>$J1886*($G1886-$G1885)*60*24</f>
        <v>5.1610866666674735E-3</v>
      </c>
    </row>
    <row r="1887" spans="1:12">
      <c r="A1887" s="22">
        <v>40311.942361111112</v>
      </c>
      <c r="E1887" s="26">
        <v>15.4504</v>
      </c>
      <c r="G1887" s="27">
        <v>0.94236111111111109</v>
      </c>
      <c r="J1887" s="30">
        <f>IF(G1887&lt;$H$10,$H$16,IF(G1887&gt;$I$10,$H$16,$H$11))*E1887/600</f>
        <v>5.1501333333333343E-3</v>
      </c>
      <c r="L1887" s="32">
        <f>$J1887*($G1887-$G1886)*60*24</f>
        <v>5.1501333333324921E-3</v>
      </c>
    </row>
    <row r="1888" spans="1:12">
      <c r="A1888" s="22">
        <v>40311.943055555559</v>
      </c>
      <c r="E1888" s="26">
        <v>15.685299000000001</v>
      </c>
      <c r="G1888" s="27">
        <v>0.94305555555555554</v>
      </c>
      <c r="J1888" s="30">
        <f>IF(G1888&lt;$H$10,$H$16,IF(G1888&gt;$I$10,$H$16,$H$11))*E1888/600</f>
        <v>5.2284330000000002E-3</v>
      </c>
      <c r="L1888" s="32">
        <f>$J1888*($G1888-$G1887)*60*24</f>
        <v>5.228432999999982E-3</v>
      </c>
    </row>
    <row r="1889" spans="1:12">
      <c r="A1889" s="22">
        <v>40311.943749999999</v>
      </c>
      <c r="E1889" s="26">
        <v>15.784272</v>
      </c>
      <c r="G1889" s="27">
        <v>0.94374999999999998</v>
      </c>
      <c r="J1889" s="30">
        <f>IF(G1889&lt;$H$10,$H$16,IF(G1889&gt;$I$10,$H$16,$H$11))*E1889/600</f>
        <v>5.2614240000000007E-3</v>
      </c>
      <c r="L1889" s="32">
        <f>$J1889*($G1889-$G1888)*60*24</f>
        <v>5.2614239999999816E-3</v>
      </c>
    </row>
    <row r="1890" spans="1:12">
      <c r="A1890" s="22">
        <v>40311.944444444445</v>
      </c>
      <c r="E1890" s="26">
        <v>15.812495999999999</v>
      </c>
      <c r="G1890" s="27">
        <v>0.94444444444444453</v>
      </c>
      <c r="J1890" s="30">
        <f>IF(G1890&lt;$H$10,$H$16,IF(G1890&gt;$I$10,$H$16,$H$11))*E1890/600</f>
        <v>5.2708320000000005E-3</v>
      </c>
      <c r="L1890" s="32">
        <f>$J1890*($G1890-$G1889)*60*24</f>
        <v>5.2708320000008245E-3</v>
      </c>
    </row>
    <row r="1891" spans="1:12">
      <c r="A1891" s="22">
        <v>40311.945138888892</v>
      </c>
      <c r="E1891" s="26">
        <v>15.748236</v>
      </c>
      <c r="G1891" s="27">
        <v>0.94513888888888886</v>
      </c>
      <c r="J1891" s="30">
        <f>IF(G1891&lt;$H$10,$H$16,IF(G1891&gt;$I$10,$H$16,$H$11))*E1891/600</f>
        <v>5.249412000000001E-3</v>
      </c>
      <c r="L1891" s="32">
        <f>$J1891*($G1891-$G1890)*60*24</f>
        <v>5.2494119999991432E-3</v>
      </c>
    </row>
    <row r="1892" spans="1:12">
      <c r="A1892" s="22">
        <v>40311.945833333331</v>
      </c>
      <c r="E1892" s="26">
        <v>15.910399999999999</v>
      </c>
      <c r="G1892" s="27">
        <v>0.9458333333333333</v>
      </c>
      <c r="J1892" s="30">
        <f>IF(G1892&lt;$H$10,$H$16,IF(G1892&gt;$I$10,$H$16,$H$11))*E1892/600</f>
        <v>5.3034666666666669E-3</v>
      </c>
      <c r="L1892" s="32">
        <f>$J1892*($G1892-$G1891)*60*24</f>
        <v>5.3034666666666478E-3</v>
      </c>
    </row>
    <row r="1893" spans="1:12">
      <c r="A1893" s="22">
        <v>40311.946527777778</v>
      </c>
      <c r="E1893" s="26">
        <v>15.924480000000001</v>
      </c>
      <c r="G1893" s="27">
        <v>0.94652777777777775</v>
      </c>
      <c r="J1893" s="30">
        <f>IF(G1893&lt;$H$10,$H$16,IF(G1893&gt;$I$10,$H$16,$H$11))*E1893/600</f>
        <v>5.3081600000000001E-3</v>
      </c>
      <c r="L1893" s="32">
        <f>$J1893*($G1893-$G1892)*60*24</f>
        <v>5.3081599999999811E-3</v>
      </c>
    </row>
    <row r="1894" spans="1:12">
      <c r="A1894" s="22">
        <v>40311.947222222225</v>
      </c>
      <c r="E1894" s="26">
        <v>16.058240000000001</v>
      </c>
      <c r="G1894" s="27">
        <v>0.9472222222222223</v>
      </c>
      <c r="J1894" s="30">
        <f>IF(G1894&lt;$H$10,$H$16,IF(G1894&gt;$I$10,$H$16,$H$11))*E1894/600</f>
        <v>5.3527466666666674E-3</v>
      </c>
      <c r="L1894" s="32">
        <f>$J1894*($G1894-$G1893)*60*24</f>
        <v>5.3527466666675044E-3</v>
      </c>
    </row>
    <row r="1895" spans="1:12">
      <c r="A1895" s="22">
        <v>40311.947916666664</v>
      </c>
      <c r="E1895" s="26">
        <v>16.121600000000001</v>
      </c>
      <c r="G1895" s="27">
        <v>0.94791666666666663</v>
      </c>
      <c r="J1895" s="30">
        <f>IF(G1895&lt;$H$10,$H$16,IF(G1895&gt;$I$10,$H$16,$H$11))*E1895/600</f>
        <v>5.3738666666666678E-3</v>
      </c>
      <c r="L1895" s="32">
        <f>$J1895*($G1895-$G1894)*60*24</f>
        <v>5.37386666666579E-3</v>
      </c>
    </row>
    <row r="1896" spans="1:12">
      <c r="A1896" s="22">
        <v>40311.948611111111</v>
      </c>
      <c r="E1896" s="26">
        <v>16.072320000000001</v>
      </c>
      <c r="G1896" s="27">
        <v>0.94861111111111107</v>
      </c>
      <c r="J1896" s="30">
        <f>IF(G1896&lt;$H$10,$H$16,IF(G1896&gt;$I$10,$H$16,$H$11))*E1896/600</f>
        <v>5.3574400000000006E-3</v>
      </c>
      <c r="L1896" s="32">
        <f>$J1896*($G1896-$G1895)*60*24</f>
        <v>5.3574399999999816E-3</v>
      </c>
    </row>
    <row r="1897" spans="1:12">
      <c r="A1897" s="22">
        <v>40311.949305555558</v>
      </c>
      <c r="E1897" s="26">
        <v>16.107520000000001</v>
      </c>
      <c r="G1897" s="27">
        <v>0.94930555555555562</v>
      </c>
      <c r="J1897" s="30">
        <f>IF(G1897&lt;$H$10,$H$16,IF(G1897&gt;$I$10,$H$16,$H$11))*E1897/600</f>
        <v>5.3691733333333337E-3</v>
      </c>
      <c r="L1897" s="32">
        <f>$J1897*($G1897-$G1896)*60*24</f>
        <v>5.3691733333341733E-3</v>
      </c>
    </row>
    <row r="1898" spans="1:12">
      <c r="A1898" s="22">
        <v>40311.949999999997</v>
      </c>
      <c r="E1898" s="26">
        <v>15.909075</v>
      </c>
      <c r="G1898" s="27">
        <v>0.95000000000000007</v>
      </c>
      <c r="J1898" s="30">
        <f>IF(G1898&lt;$H$10,$H$16,IF(G1898&gt;$I$10,$H$16,$H$11))*E1898/600</f>
        <v>5.3030250000000003E-3</v>
      </c>
      <c r="L1898" s="32">
        <f>$J1898*($G1898-$G1897)*60*24</f>
        <v>5.3030249999999812E-3</v>
      </c>
    </row>
    <row r="1899" spans="1:12">
      <c r="A1899" s="22">
        <v>40311.950694444444</v>
      </c>
      <c r="E1899" s="26">
        <v>15.825158999999999</v>
      </c>
      <c r="G1899" s="27">
        <v>0.9506944444444444</v>
      </c>
      <c r="J1899" s="30">
        <f>IF(G1899&lt;$H$10,$H$16,IF(G1899&gt;$I$10,$H$16,$H$11))*E1899/600</f>
        <v>5.275053E-3</v>
      </c>
      <c r="L1899" s="32">
        <f>$J1899*($G1899-$G1898)*60*24</f>
        <v>5.2750529999991379E-3</v>
      </c>
    </row>
    <row r="1900" spans="1:12">
      <c r="A1900" s="22">
        <v>40311.951388888891</v>
      </c>
      <c r="E1900" s="26">
        <v>15.988896</v>
      </c>
      <c r="G1900" s="27">
        <v>0.95138888888888884</v>
      </c>
      <c r="J1900" s="30">
        <f>IF(G1900&lt;$H$10,$H$16,IF(G1900&gt;$I$10,$H$16,$H$11))*E1900/600</f>
        <v>5.3296320000000008E-3</v>
      </c>
      <c r="L1900" s="32">
        <f>$J1900*($G1900-$G1899)*60*24</f>
        <v>5.3296319999999817E-3</v>
      </c>
    </row>
    <row r="1901" spans="1:12">
      <c r="A1901" s="22">
        <v>40311.95208333333</v>
      </c>
      <c r="E1901" s="26">
        <v>16.017119999999998</v>
      </c>
      <c r="G1901" s="27">
        <v>0.95208333333333339</v>
      </c>
      <c r="J1901" s="30">
        <f>IF(G1901&lt;$H$10,$H$16,IF(G1901&gt;$I$10,$H$16,$H$11))*E1901/600</f>
        <v>5.3390399999999998E-3</v>
      </c>
      <c r="L1901" s="32">
        <f>$J1901*($G1901-$G1900)*60*24</f>
        <v>5.3390400000008342E-3</v>
      </c>
    </row>
    <row r="1902" spans="1:12">
      <c r="A1902" s="22">
        <v>40311.952777777777</v>
      </c>
      <c r="E1902" s="26">
        <v>16.066511999999999</v>
      </c>
      <c r="G1902" s="27">
        <v>0.95277777777777783</v>
      </c>
      <c r="J1902" s="30">
        <f>IF(G1902&lt;$H$10,$H$16,IF(G1902&gt;$I$10,$H$16,$H$11))*E1902/600</f>
        <v>5.3555039999999996E-3</v>
      </c>
      <c r="L1902" s="32">
        <f>$J1902*($G1902-$G1901)*60*24</f>
        <v>5.3555039999999806E-3</v>
      </c>
    </row>
    <row r="1903" spans="1:12">
      <c r="A1903" s="22">
        <v>40311.953472222223</v>
      </c>
      <c r="E1903" s="26">
        <v>15.819547999999999</v>
      </c>
      <c r="G1903" s="27">
        <v>0.95347222222222217</v>
      </c>
      <c r="J1903" s="30">
        <f>IF(G1903&lt;$H$10,$H$16,IF(G1903&gt;$I$10,$H$16,$H$11))*E1903/600</f>
        <v>5.2731826666666667E-3</v>
      </c>
      <c r="L1903" s="32">
        <f>$J1903*($G1903-$G1902)*60*24</f>
        <v>5.2731826666658054E-3</v>
      </c>
    </row>
    <row r="1904" spans="1:12">
      <c r="A1904" s="22">
        <v>40311.95416666667</v>
      </c>
      <c r="E1904" s="26">
        <v>15.665664</v>
      </c>
      <c r="G1904" s="27">
        <v>0.95416666666666661</v>
      </c>
      <c r="J1904" s="30">
        <f>IF(G1904&lt;$H$10,$H$16,IF(G1904&gt;$I$10,$H$16,$H$11))*E1904/600</f>
        <v>5.2218880000000001E-3</v>
      </c>
      <c r="L1904" s="32">
        <f>$J1904*($G1904-$G1903)*60*24</f>
        <v>5.2218879999999818E-3</v>
      </c>
    </row>
    <row r="1905" spans="1:12">
      <c r="A1905" s="22">
        <v>40311.954861111109</v>
      </c>
      <c r="E1905" s="26">
        <v>15.742482000000001</v>
      </c>
      <c r="G1905" s="27">
        <v>0.95486111111111116</v>
      </c>
      <c r="J1905" s="30">
        <f>IF(G1905&lt;$H$10,$H$16,IF(G1905&gt;$I$10,$H$16,$H$11))*E1905/600</f>
        <v>5.247494000000001E-3</v>
      </c>
      <c r="L1905" s="32">
        <f>$J1905*($G1905-$G1904)*60*24</f>
        <v>5.2474940000008206E-3</v>
      </c>
    </row>
    <row r="1906" spans="1:12">
      <c r="A1906" s="22">
        <v>40311.955555555556</v>
      </c>
      <c r="E1906" s="26">
        <v>15.791524000000001</v>
      </c>
      <c r="G1906" s="27">
        <v>0.9555555555555556</v>
      </c>
      <c r="J1906" s="30">
        <f>IF(G1906&lt;$H$10,$H$16,IF(G1906&gt;$I$10,$H$16,$H$11))*E1906/600</f>
        <v>5.263841333333334E-3</v>
      </c>
      <c r="L1906" s="32">
        <f>$J1906*($G1906-$G1905)*60*24</f>
        <v>5.2638413333333158E-3</v>
      </c>
    </row>
    <row r="1907" spans="1:12">
      <c r="A1907" s="22">
        <v>40311.956250000003</v>
      </c>
      <c r="E1907" s="26">
        <v>16.066511999999999</v>
      </c>
      <c r="G1907" s="27">
        <v>0.95624999999999993</v>
      </c>
      <c r="J1907" s="30">
        <f>IF(G1907&lt;$H$10,$H$16,IF(G1907&gt;$I$10,$H$16,$H$11))*E1907/600</f>
        <v>5.3555039999999996E-3</v>
      </c>
      <c r="L1907" s="32">
        <f>$J1907*($G1907-$G1906)*60*24</f>
        <v>5.3555039999991245E-3</v>
      </c>
    </row>
    <row r="1908" spans="1:12">
      <c r="A1908" s="22">
        <v>40311.956944444442</v>
      </c>
      <c r="E1908" s="26">
        <v>15.979005000000001</v>
      </c>
      <c r="G1908" s="27">
        <v>0.95694444444444438</v>
      </c>
      <c r="J1908" s="30">
        <f>IF(G1908&lt;$H$10,$H$16,IF(G1908&gt;$I$10,$H$16,$H$11))*E1908/600</f>
        <v>5.3263350000000006E-3</v>
      </c>
      <c r="L1908" s="32">
        <f>$J1908*($G1908-$G1907)*60*24</f>
        <v>5.3263349999999824E-3</v>
      </c>
    </row>
    <row r="1909" spans="1:12">
      <c r="A1909" s="22">
        <v>40311.957638888889</v>
      </c>
      <c r="E1909" s="26">
        <v>15.937047</v>
      </c>
      <c r="G1909" s="27">
        <v>0.95763888888888893</v>
      </c>
      <c r="J1909" s="30">
        <f>IF(G1909&lt;$H$10,$H$16,IF(G1909&gt;$I$10,$H$16,$H$11))*E1909/600</f>
        <v>5.3123490000000001E-3</v>
      </c>
      <c r="L1909" s="32">
        <f>$J1909*($G1909-$G1908)*60*24</f>
        <v>5.3123490000008301E-3</v>
      </c>
    </row>
    <row r="1910" spans="1:12">
      <c r="A1910" s="22">
        <v>40311.958333333336</v>
      </c>
      <c r="E1910" s="26">
        <v>15.992991</v>
      </c>
      <c r="G1910" s="27">
        <v>0.95833333333333337</v>
      </c>
      <c r="J1910" s="30">
        <f>IF(G1910&lt;$H$10,$H$16,IF(G1910&gt;$I$10,$H$16,$H$11))*E1910/600</f>
        <v>5.3309970000000005E-3</v>
      </c>
      <c r="L1910" s="32">
        <f>$J1910*($G1910-$G1909)*60*24</f>
        <v>5.3309969999999814E-3</v>
      </c>
    </row>
    <row r="1911" spans="1:12">
      <c r="A1911" s="22">
        <v>40311.959027777775</v>
      </c>
      <c r="E1911" s="26">
        <v>15.797186999999999</v>
      </c>
      <c r="G1911" s="27">
        <v>0.9590277777777777</v>
      </c>
      <c r="J1911" s="30">
        <f>IF(G1911&lt;$H$10,$H$16,IF(G1911&gt;$I$10,$H$16,$H$11))*E1911/600</f>
        <v>5.2657289999999994E-3</v>
      </c>
      <c r="L1911" s="32">
        <f>$J1911*($G1911-$G1910)*60*24</f>
        <v>5.2657289999991381E-3</v>
      </c>
    </row>
    <row r="1912" spans="1:12">
      <c r="A1912" s="22">
        <v>40311.959722222222</v>
      </c>
      <c r="E1912" s="26">
        <v>15.839145</v>
      </c>
      <c r="G1912" s="27">
        <v>0.95972222222222225</v>
      </c>
      <c r="J1912" s="30">
        <f>IF(G1912&lt;$H$10,$H$16,IF(G1912&gt;$I$10,$H$16,$H$11))*E1912/600</f>
        <v>5.2797150000000008E-3</v>
      </c>
      <c r="L1912" s="32">
        <f>$J1912*($G1912-$G1911)*60*24</f>
        <v>5.2797150000008265E-3</v>
      </c>
    </row>
    <row r="1913" spans="1:12">
      <c r="A1913" s="22">
        <v>40311.960416666669</v>
      </c>
      <c r="E1913" s="26">
        <v>16.015999999999998</v>
      </c>
      <c r="G1913" s="27">
        <v>0.9604166666666667</v>
      </c>
      <c r="J1913" s="30">
        <f>IF(G1913&lt;$H$10,$H$16,IF(G1913&gt;$I$10,$H$16,$H$11))*E1913/600</f>
        <v>5.338666666666666E-3</v>
      </c>
      <c r="L1913" s="32">
        <f>$J1913*($G1913-$G1912)*60*24</f>
        <v>5.338666666666647E-3</v>
      </c>
    </row>
    <row r="1914" spans="1:12">
      <c r="A1914" s="22">
        <v>40311.961111111108</v>
      </c>
      <c r="E1914" s="26">
        <v>16.001919999999998</v>
      </c>
      <c r="G1914" s="27">
        <v>0.96111111111111114</v>
      </c>
      <c r="J1914" s="30">
        <f>IF(G1914&lt;$H$10,$H$16,IF(G1914&gt;$I$10,$H$16,$H$11))*E1914/600</f>
        <v>5.3339733333333328E-3</v>
      </c>
      <c r="L1914" s="32">
        <f>$J1914*($G1914-$G1913)*60*24</f>
        <v>5.3339733333333146E-3</v>
      </c>
    </row>
    <row r="1915" spans="1:12">
      <c r="A1915" s="22">
        <v>40311.961805555555</v>
      </c>
      <c r="E1915" s="26">
        <v>15.96672</v>
      </c>
      <c r="G1915" s="27">
        <v>0.96180555555555547</v>
      </c>
      <c r="J1915" s="30">
        <f>IF(G1915&lt;$H$10,$H$16,IF(G1915&gt;$I$10,$H$16,$H$11))*E1915/600</f>
        <v>5.3222400000000007E-3</v>
      </c>
      <c r="L1915" s="32">
        <f>$J1915*($G1915-$G1914)*60*24</f>
        <v>5.3222399999991307E-3</v>
      </c>
    </row>
    <row r="1916" spans="1:12">
      <c r="A1916" s="22">
        <v>40311.962500000001</v>
      </c>
      <c r="E1916" s="26">
        <v>15.877376</v>
      </c>
      <c r="G1916" s="27">
        <v>0.96250000000000002</v>
      </c>
      <c r="J1916" s="30">
        <f>IF(G1916&lt;$H$10,$H$16,IF(G1916&gt;$I$10,$H$16,$H$11))*E1916/600</f>
        <v>5.2924586666666671E-3</v>
      </c>
      <c r="L1916" s="32">
        <f>$J1916*($G1916-$G1915)*60*24</f>
        <v>5.2924586666674945E-3</v>
      </c>
    </row>
    <row r="1917" spans="1:12">
      <c r="A1917" s="22">
        <v>40311.963194444441</v>
      </c>
      <c r="E1917" s="26">
        <v>15.912255999999999</v>
      </c>
      <c r="G1917" s="27">
        <v>0.96319444444444446</v>
      </c>
      <c r="J1917" s="30">
        <f>IF(G1917&lt;$H$10,$H$16,IF(G1917&gt;$I$10,$H$16,$H$11))*E1917/600</f>
        <v>5.3040853333333332E-3</v>
      </c>
      <c r="L1917" s="32">
        <f>$J1917*($G1917-$G1916)*60*24</f>
        <v>5.3040853333333141E-3</v>
      </c>
    </row>
    <row r="1918" spans="1:12">
      <c r="A1918" s="22">
        <v>40311.963888888888</v>
      </c>
      <c r="E1918" s="26">
        <v>15.90732</v>
      </c>
      <c r="G1918" s="27">
        <v>0.96388888888888891</v>
      </c>
      <c r="J1918" s="30">
        <f>IF(G1918&lt;$H$10,$H$16,IF(G1918&gt;$I$10,$H$16,$H$11))*E1918/600</f>
        <v>5.3024400000000003E-3</v>
      </c>
      <c r="L1918" s="32">
        <f>$J1918*($G1918-$G1917)*60*24</f>
        <v>5.3024399999999812E-3</v>
      </c>
    </row>
    <row r="1919" spans="1:12">
      <c r="A1919" s="22">
        <v>40311.964583333334</v>
      </c>
      <c r="E1919" s="26">
        <v>15.92136</v>
      </c>
      <c r="G1919" s="27">
        <v>0.96458333333333324</v>
      </c>
      <c r="J1919" s="30">
        <f>IF(G1919&lt;$H$10,$H$16,IF(G1919&gt;$I$10,$H$16,$H$11))*E1919/600</f>
        <v>5.3071200000000002E-3</v>
      </c>
      <c r="L1919" s="32">
        <f>$J1919*($G1919-$G1918)*60*24</f>
        <v>5.3071199999991329E-3</v>
      </c>
    </row>
    <row r="1920" spans="1:12">
      <c r="A1920" s="22">
        <v>40311.965277777781</v>
      </c>
      <c r="E1920" s="26">
        <v>15.772736</v>
      </c>
      <c r="G1920" s="27">
        <v>0.96527777777777779</v>
      </c>
      <c r="J1920" s="30">
        <f>IF(G1920&lt;$H$10,$H$16,IF(G1920&gt;$I$10,$H$16,$H$11))*E1920/600</f>
        <v>5.2575786666666669E-3</v>
      </c>
      <c r="L1920" s="32">
        <f>$J1920*($G1920-$G1919)*60*24</f>
        <v>5.2575786666674883E-3</v>
      </c>
    </row>
    <row r="1921" spans="1:12">
      <c r="A1921" s="22">
        <v>40311.96597222222</v>
      </c>
      <c r="E1921" s="26">
        <v>15.879239999999999</v>
      </c>
      <c r="G1921" s="27">
        <v>0.96597222222222223</v>
      </c>
      <c r="J1921" s="30">
        <f>IF(G1921&lt;$H$10,$H$16,IF(G1921&gt;$I$10,$H$16,$H$11))*E1921/600</f>
        <v>5.2930800000000004E-3</v>
      </c>
      <c r="L1921" s="32">
        <f>$J1921*($G1921-$G1920)*60*24</f>
        <v>5.2930799999999813E-3</v>
      </c>
    </row>
    <row r="1922" spans="1:12">
      <c r="A1922" s="22">
        <v>40311.966666666667</v>
      </c>
      <c r="E1922" s="26">
        <v>15.97752</v>
      </c>
      <c r="G1922" s="27">
        <v>0.96666666666666667</v>
      </c>
      <c r="J1922" s="30">
        <f>IF(G1922&lt;$H$10,$H$16,IF(G1922&gt;$I$10,$H$16,$H$11))*E1922/600</f>
        <v>5.3258400000000001E-3</v>
      </c>
      <c r="L1922" s="32">
        <f>$J1922*($G1922-$G1921)*60*24</f>
        <v>5.3258399999999819E-3</v>
      </c>
    </row>
    <row r="1923" spans="1:12">
      <c r="A1923" s="22">
        <v>40311.967361111114</v>
      </c>
      <c r="E1923" s="26">
        <v>15.87222</v>
      </c>
      <c r="G1923" s="27">
        <v>0.96736111111111101</v>
      </c>
      <c r="J1923" s="30">
        <f>IF(G1923&lt;$H$10,$H$16,IF(G1923&gt;$I$10,$H$16,$H$11))*E1923/600</f>
        <v>5.2907400000000004E-3</v>
      </c>
      <c r="L1923" s="32">
        <f>$J1923*($G1923-$G1922)*60*24</f>
        <v>5.2907399999991356E-3</v>
      </c>
    </row>
    <row r="1924" spans="1:12">
      <c r="A1924" s="22">
        <v>40311.968055555553</v>
      </c>
      <c r="E1924" s="26">
        <v>15.821567999999999</v>
      </c>
      <c r="G1924" s="27">
        <v>0.96805555555555556</v>
      </c>
      <c r="J1924" s="30">
        <f>IF(G1924&lt;$H$10,$H$16,IF(G1924&gt;$I$10,$H$16,$H$11))*E1924/600</f>
        <v>5.2738559999999995E-3</v>
      </c>
      <c r="L1924" s="32">
        <f>$J1924*($G1924-$G1923)*60*24</f>
        <v>5.2738560000008244E-3</v>
      </c>
    </row>
    <row r="1925" spans="1:12">
      <c r="A1925" s="22">
        <v>40311.96875</v>
      </c>
      <c r="E1925" s="26">
        <v>15.879239999999999</v>
      </c>
      <c r="G1925" s="27">
        <v>0.96875</v>
      </c>
      <c r="J1925" s="30">
        <f>IF(G1925&lt;$H$10,$H$16,IF(G1925&gt;$I$10,$H$16,$H$11))*E1925/600</f>
        <v>5.2930800000000004E-3</v>
      </c>
      <c r="L1925" s="32">
        <f>$J1925*($G1925-$G1924)*60*24</f>
        <v>5.2930799999999813E-3</v>
      </c>
    </row>
    <row r="1926" spans="1:12">
      <c r="A1926" s="22">
        <v>40311.969444444447</v>
      </c>
      <c r="E1926" s="26">
        <v>15.914339999999999</v>
      </c>
      <c r="G1926" s="27">
        <v>0.96944444444444444</v>
      </c>
      <c r="J1926" s="30">
        <f>IF(G1926&lt;$H$10,$H$16,IF(G1926&gt;$I$10,$H$16,$H$11))*E1926/600</f>
        <v>5.3047800000000003E-3</v>
      </c>
      <c r="L1926" s="32">
        <f>$J1926*($G1926-$G1925)*60*24</f>
        <v>5.304779999999982E-3</v>
      </c>
    </row>
    <row r="1927" spans="1:12">
      <c r="A1927" s="22">
        <v>40311.970138888886</v>
      </c>
      <c r="E1927" s="26">
        <v>15.949439999999999</v>
      </c>
      <c r="G1927" s="27">
        <v>0.97013888888888899</v>
      </c>
      <c r="J1927" s="30">
        <f>IF(G1927&lt;$H$10,$H$16,IF(G1927&gt;$I$10,$H$16,$H$11))*E1927/600</f>
        <v>5.3164799999999993E-3</v>
      </c>
      <c r="L1927" s="32">
        <f>$J1927*($G1927-$G1926)*60*24</f>
        <v>5.3164800000008311E-3</v>
      </c>
    </row>
    <row r="1928" spans="1:12">
      <c r="A1928" s="22">
        <v>40311.970833333333</v>
      </c>
      <c r="E1928" s="26">
        <v>15.814591999999999</v>
      </c>
      <c r="G1928" s="27">
        <v>0.97083333333333333</v>
      </c>
      <c r="J1928" s="30">
        <f>IF(G1928&lt;$H$10,$H$16,IF(G1928&gt;$I$10,$H$16,$H$11))*E1928/600</f>
        <v>5.2715306666666671E-3</v>
      </c>
      <c r="L1928" s="32">
        <f>$J1928*($G1928-$G1927)*60*24</f>
        <v>5.2715306666658059E-3</v>
      </c>
    </row>
    <row r="1929" spans="1:12">
      <c r="A1929" s="22">
        <v>40311.97152777778</v>
      </c>
      <c r="E1929" s="26">
        <v>15.793664</v>
      </c>
      <c r="G1929" s="27">
        <v>0.97152777777777777</v>
      </c>
      <c r="J1929" s="30">
        <f>IF(G1929&lt;$H$10,$H$16,IF(G1929&gt;$I$10,$H$16,$H$11))*E1929/600</f>
        <v>5.2645546666666666E-3</v>
      </c>
      <c r="L1929" s="32">
        <f>$J1929*($G1929-$G1928)*60*24</f>
        <v>5.2645546666666475E-3</v>
      </c>
    </row>
    <row r="1930" spans="1:12">
      <c r="A1930" s="22">
        <v>40311.972222222219</v>
      </c>
      <c r="E1930" s="26">
        <v>16.015999999999998</v>
      </c>
      <c r="G1930" s="27">
        <v>0.97222222222222221</v>
      </c>
      <c r="J1930" s="30">
        <f>IF(G1930&lt;$H$10,$H$16,IF(G1930&gt;$I$10,$H$16,$H$11))*E1930/600</f>
        <v>5.338666666666666E-3</v>
      </c>
      <c r="L1930" s="32">
        <f>$J1930*($G1930-$G1929)*60*24</f>
        <v>5.338666666666647E-3</v>
      </c>
    </row>
    <row r="1931" spans="1:12">
      <c r="A1931" s="22">
        <v>40311.972916666666</v>
      </c>
      <c r="E1931" s="26">
        <v>15.592499999999999</v>
      </c>
      <c r="G1931" s="27">
        <v>0.97291666666666676</v>
      </c>
      <c r="J1931" s="30">
        <f>IF(G1931&lt;$H$10,$H$16,IF(G1931&gt;$I$10,$H$16,$H$11))*E1931/600</f>
        <v>5.1974999999999999E-3</v>
      </c>
      <c r="L1931" s="32">
        <f>$J1931*($G1931-$G1930)*60*24</f>
        <v>5.1975000000008126E-3</v>
      </c>
    </row>
    <row r="1932" spans="1:12">
      <c r="A1932" s="22">
        <v>40311.973611111112</v>
      </c>
      <c r="E1932" s="26">
        <v>15.896319999999999</v>
      </c>
      <c r="G1932" s="27">
        <v>0.97361111111111109</v>
      </c>
      <c r="J1932" s="30">
        <f>IF(G1932&lt;$H$10,$H$16,IF(G1932&gt;$I$10,$H$16,$H$11))*E1932/600</f>
        <v>5.2987733333333328E-3</v>
      </c>
      <c r="L1932" s="32">
        <f>$J1932*($G1932-$G1931)*60*24</f>
        <v>5.2987733333324672E-3</v>
      </c>
    </row>
    <row r="1933" spans="1:12">
      <c r="A1933" s="22">
        <v>40311.974305555559</v>
      </c>
      <c r="E1933" s="26">
        <v>15.86112</v>
      </c>
      <c r="G1933" s="27">
        <v>0.97430555555555554</v>
      </c>
      <c r="J1933" s="30">
        <f>IF(G1933&lt;$H$10,$H$16,IF(G1933&gt;$I$10,$H$16,$H$11))*E1933/600</f>
        <v>5.2870399999999998E-3</v>
      </c>
      <c r="L1933" s="32">
        <f>$J1933*($G1933-$G1932)*60*24</f>
        <v>5.2870399999999807E-3</v>
      </c>
    </row>
    <row r="1934" spans="1:12">
      <c r="A1934" s="22">
        <v>40311.974999999999</v>
      </c>
      <c r="E1934" s="26">
        <v>15.709951999999999</v>
      </c>
      <c r="G1934" s="27">
        <v>0.97499999999999998</v>
      </c>
      <c r="J1934" s="30">
        <f>IF(G1934&lt;$H$10,$H$16,IF(G1934&gt;$I$10,$H$16,$H$11))*E1934/600</f>
        <v>5.236650666666667E-3</v>
      </c>
      <c r="L1934" s="32">
        <f>$J1934*($G1934-$G1933)*60*24</f>
        <v>5.2366506666666479E-3</v>
      </c>
    </row>
    <row r="1935" spans="1:12">
      <c r="A1935" s="22">
        <v>40311.975694444445</v>
      </c>
      <c r="E1935" s="26">
        <v>15.744832000000001</v>
      </c>
      <c r="G1935" s="27">
        <v>0.97569444444444453</v>
      </c>
      <c r="J1935" s="30">
        <f>IF(G1935&lt;$H$10,$H$16,IF(G1935&gt;$I$10,$H$16,$H$11))*E1935/600</f>
        <v>5.248277333333334E-3</v>
      </c>
      <c r="L1935" s="32">
        <f>$J1935*($G1935-$G1934)*60*24</f>
        <v>5.2482773333341545E-3</v>
      </c>
    </row>
    <row r="1936" spans="1:12">
      <c r="A1936" s="22">
        <v>40311.976388888892</v>
      </c>
      <c r="E1936" s="26">
        <v>15.723903999999999</v>
      </c>
      <c r="G1936" s="27">
        <v>0.97638888888888886</v>
      </c>
      <c r="J1936" s="30">
        <f>IF(G1936&lt;$H$10,$H$16,IF(G1936&gt;$I$10,$H$16,$H$11))*E1936/600</f>
        <v>5.2413013333333335E-3</v>
      </c>
      <c r="L1936" s="32">
        <f>$J1936*($G1936-$G1935)*60*24</f>
        <v>5.2413013333324765E-3</v>
      </c>
    </row>
    <row r="1937" spans="1:12">
      <c r="A1937" s="22">
        <v>40311.977083333331</v>
      </c>
      <c r="E1937" s="26">
        <v>15.928380000000001</v>
      </c>
      <c r="G1937" s="27">
        <v>0.9770833333333333</v>
      </c>
      <c r="J1937" s="30">
        <f>IF(G1937&lt;$H$10,$H$16,IF(G1937&gt;$I$10,$H$16,$H$11))*E1937/600</f>
        <v>5.3094600000000011E-3</v>
      </c>
      <c r="L1937" s="32">
        <f>$J1937*($G1937-$G1936)*60*24</f>
        <v>5.309459999999982E-3</v>
      </c>
    </row>
    <row r="1938" spans="1:12">
      <c r="A1938" s="22">
        <v>40311.977777777778</v>
      </c>
      <c r="E1938" s="26">
        <v>15.844139999999999</v>
      </c>
      <c r="G1938" s="27">
        <v>0.97777777777777775</v>
      </c>
      <c r="J1938" s="30">
        <f>IF(G1938&lt;$H$10,$H$16,IF(G1938&gt;$I$10,$H$16,$H$11))*E1938/600</f>
        <v>5.2813799999999996E-3</v>
      </c>
      <c r="L1938" s="32">
        <f>$J1938*($G1938-$G1937)*60*24</f>
        <v>5.2813799999999814E-3</v>
      </c>
    </row>
    <row r="1939" spans="1:12">
      <c r="A1939" s="22">
        <v>40311.978472222225</v>
      </c>
      <c r="E1939" s="26">
        <v>15.88626</v>
      </c>
      <c r="G1939" s="27">
        <v>0.9784722222222223</v>
      </c>
      <c r="J1939" s="30">
        <f>IF(G1939&lt;$H$10,$H$16,IF(G1939&gt;$I$10,$H$16,$H$11))*E1939/600</f>
        <v>5.2954200000000003E-3</v>
      </c>
      <c r="L1939" s="32">
        <f>$J1939*($G1939-$G1938)*60*24</f>
        <v>5.2954200000008287E-3</v>
      </c>
    </row>
    <row r="1940" spans="1:12">
      <c r="A1940" s="22">
        <v>40311.979166666664</v>
      </c>
      <c r="E1940" s="26">
        <v>15.914339999999999</v>
      </c>
      <c r="G1940" s="27">
        <v>0.97916666666666663</v>
      </c>
      <c r="J1940" s="30">
        <f>IF(G1940&lt;$H$10,$H$16,IF(G1940&gt;$I$10,$H$16,$H$11))*E1940/600</f>
        <v>5.3047800000000003E-3</v>
      </c>
      <c r="L1940" s="32">
        <f>$J1940*($G1940-$G1939)*60*24</f>
        <v>5.3047799999991338E-3</v>
      </c>
    </row>
    <row r="1941" spans="1:12">
      <c r="A1941" s="22">
        <v>40311.979861111111</v>
      </c>
      <c r="E1941" s="26">
        <v>15.9003</v>
      </c>
      <c r="G1941" s="27">
        <v>0.97986111111111107</v>
      </c>
      <c r="J1941" s="30">
        <f>IF(G1941&lt;$H$10,$H$16,IF(G1941&gt;$I$10,$H$16,$H$11))*E1941/600</f>
        <v>5.3001000000000003E-3</v>
      </c>
      <c r="L1941" s="32">
        <f>$J1941*($G1941-$G1940)*60*24</f>
        <v>5.3000999999999812E-3</v>
      </c>
    </row>
    <row r="1942" spans="1:12">
      <c r="A1942" s="22">
        <v>40311.980555555558</v>
      </c>
      <c r="E1942" s="26">
        <v>15.794805</v>
      </c>
      <c r="G1942" s="27">
        <v>0.98055555555555562</v>
      </c>
      <c r="J1942" s="30">
        <f>IF(G1942&lt;$H$10,$H$16,IF(G1942&gt;$I$10,$H$16,$H$11))*E1942/600</f>
        <v>5.2649350000000001E-3</v>
      </c>
      <c r="L1942" s="32">
        <f>$J1942*($G1942-$G1941)*60*24</f>
        <v>5.2649350000008224E-3</v>
      </c>
    </row>
    <row r="1943" spans="1:12">
      <c r="A1943" s="22">
        <v>40311.981249999997</v>
      </c>
      <c r="E1943" s="26">
        <v>15.88626</v>
      </c>
      <c r="G1943" s="27">
        <v>0.98125000000000007</v>
      </c>
      <c r="J1943" s="30">
        <f>IF(G1943&lt;$H$10,$H$16,IF(G1943&gt;$I$10,$H$16,$H$11))*E1943/600</f>
        <v>5.2954200000000003E-3</v>
      </c>
      <c r="L1943" s="32">
        <f>$J1943*($G1943-$G1942)*60*24</f>
        <v>5.2954199999999813E-3</v>
      </c>
    </row>
    <row r="1944" spans="1:12">
      <c r="A1944" s="22">
        <v>40311.981944444444</v>
      </c>
      <c r="E1944" s="26">
        <v>15.858180000000001</v>
      </c>
      <c r="G1944" s="27">
        <v>0.9819444444444444</v>
      </c>
      <c r="J1944" s="30">
        <f>IF(G1944&lt;$H$10,$H$16,IF(G1944&gt;$I$10,$H$16,$H$11))*E1944/600</f>
        <v>5.2860600000000004E-3</v>
      </c>
      <c r="L1944" s="32">
        <f>$J1944*($G1944-$G1943)*60*24</f>
        <v>5.2860599999991365E-3</v>
      </c>
    </row>
    <row r="1945" spans="1:12">
      <c r="A1945" s="22">
        <v>40311.982638888891</v>
      </c>
      <c r="E1945" s="26">
        <v>15.844139999999999</v>
      </c>
      <c r="G1945" s="27">
        <v>0.98263888888888884</v>
      </c>
      <c r="J1945" s="30">
        <f>IF(G1945&lt;$H$10,$H$16,IF(G1945&gt;$I$10,$H$16,$H$11))*E1945/600</f>
        <v>5.2813799999999996E-3</v>
      </c>
      <c r="L1945" s="32">
        <f>$J1945*($G1945-$G1944)*60*24</f>
        <v>5.2813799999999814E-3</v>
      </c>
    </row>
    <row r="1946" spans="1:12">
      <c r="A1946" s="22">
        <v>40311.98333333333</v>
      </c>
      <c r="E1946" s="26">
        <v>15.822625</v>
      </c>
      <c r="G1946" s="27">
        <v>0.98333333333333339</v>
      </c>
      <c r="J1946" s="30">
        <f>IF(G1946&lt;$H$10,$H$16,IF(G1946&gt;$I$10,$H$16,$H$11))*E1946/600</f>
        <v>5.2742083333333339E-3</v>
      </c>
      <c r="L1946" s="32">
        <f>$J1946*($G1946-$G1945)*60*24</f>
        <v>5.2742083333341579E-3</v>
      </c>
    </row>
    <row r="1947" spans="1:12">
      <c r="A1947" s="22">
        <v>40311.984027777777</v>
      </c>
      <c r="E1947" s="26">
        <v>16.040700000000001</v>
      </c>
      <c r="G1947" s="27">
        <v>0.98402777777777783</v>
      </c>
      <c r="J1947" s="30">
        <f>IF(G1947&lt;$H$10,$H$16,IF(G1947&gt;$I$10,$H$16,$H$11))*E1947/600</f>
        <v>5.3469000000000008E-3</v>
      </c>
      <c r="L1947" s="32">
        <f>$J1947*($G1947-$G1946)*60*24</f>
        <v>5.3468999999999826E-3</v>
      </c>
    </row>
    <row r="1948" spans="1:12">
      <c r="A1948" s="22">
        <v>40311.984722222223</v>
      </c>
      <c r="E1948" s="26">
        <v>15.822625</v>
      </c>
      <c r="G1948" s="27">
        <v>0.98472222222222217</v>
      </c>
      <c r="J1948" s="30">
        <f>IF(G1948&lt;$H$10,$H$16,IF(G1948&gt;$I$10,$H$16,$H$11))*E1948/600</f>
        <v>5.2742083333333339E-3</v>
      </c>
      <c r="L1948" s="32">
        <f>$J1948*($G1948-$G1947)*60*24</f>
        <v>5.2742083333324717E-3</v>
      </c>
    </row>
    <row r="1949" spans="1:12">
      <c r="A1949" s="22">
        <v>40311.98541666667</v>
      </c>
      <c r="E1949" s="26">
        <v>15.970499999999999</v>
      </c>
      <c r="G1949" s="27">
        <v>0.98541666666666661</v>
      </c>
      <c r="J1949" s="30">
        <f>IF(G1949&lt;$H$10,$H$16,IF(G1949&gt;$I$10,$H$16,$H$11))*E1949/600</f>
        <v>5.3235000000000001E-3</v>
      </c>
      <c r="L1949" s="32">
        <f>$J1949*($G1949-$G1948)*60*24</f>
        <v>5.323499999999981E-3</v>
      </c>
    </row>
    <row r="1950" spans="1:12">
      <c r="A1950" s="22">
        <v>40311.986111111109</v>
      </c>
      <c r="E1950" s="26">
        <v>15.914339999999999</v>
      </c>
      <c r="G1950" s="27">
        <v>0.98611111111111116</v>
      </c>
      <c r="J1950" s="30">
        <f>IF(G1950&lt;$H$10,$H$16,IF(G1950&gt;$I$10,$H$16,$H$11))*E1950/600</f>
        <v>5.3047800000000003E-3</v>
      </c>
      <c r="L1950" s="32">
        <f>$J1950*($G1950-$G1949)*60*24</f>
        <v>5.3047800000008295E-3</v>
      </c>
    </row>
    <row r="1951" spans="1:12">
      <c r="A1951" s="22">
        <v>40311.986805555556</v>
      </c>
      <c r="E1951" s="26">
        <v>15.893280000000001</v>
      </c>
      <c r="G1951" s="27">
        <v>0.9868055555555556</v>
      </c>
      <c r="J1951" s="30">
        <f>IF(G1951&lt;$H$10,$H$16,IF(G1951&gt;$I$10,$H$16,$H$11))*E1951/600</f>
        <v>5.2977600000000003E-3</v>
      </c>
      <c r="L1951" s="32">
        <f>$J1951*($G1951-$G1950)*60*24</f>
        <v>5.2977599999999812E-3</v>
      </c>
    </row>
    <row r="1952" spans="1:12">
      <c r="A1952" s="22">
        <v>40311.987500000003</v>
      </c>
      <c r="E1952" s="26">
        <v>15.914339999999999</v>
      </c>
      <c r="G1952" s="27">
        <v>0.98749999999999993</v>
      </c>
      <c r="J1952" s="30">
        <f>IF(G1952&lt;$H$10,$H$16,IF(G1952&gt;$I$10,$H$16,$H$11))*E1952/600</f>
        <v>5.3047800000000003E-3</v>
      </c>
      <c r="L1952" s="32">
        <f>$J1952*($G1952-$G1951)*60*24</f>
        <v>5.3047799999991338E-3</v>
      </c>
    </row>
    <row r="1953" spans="1:12">
      <c r="A1953" s="22">
        <v>40311.988194444442</v>
      </c>
      <c r="E1953" s="26">
        <v>15.914339999999999</v>
      </c>
      <c r="G1953" s="27">
        <v>0.98819444444444438</v>
      </c>
      <c r="J1953" s="30">
        <f>IF(G1953&lt;$H$10,$H$16,IF(G1953&gt;$I$10,$H$16,$H$11))*E1953/600</f>
        <v>5.3047800000000003E-3</v>
      </c>
      <c r="L1953" s="32">
        <f>$J1953*($G1953-$G1952)*60*24</f>
        <v>5.304779999999982E-3</v>
      </c>
    </row>
    <row r="1954" spans="1:12">
      <c r="A1954" s="22">
        <v>40311.988888888889</v>
      </c>
      <c r="E1954" s="26">
        <v>15.837120000000001</v>
      </c>
      <c r="G1954" s="27">
        <v>0.98888888888888893</v>
      </c>
      <c r="J1954" s="30">
        <f>IF(G1954&lt;$H$10,$H$16,IF(G1954&gt;$I$10,$H$16,$H$11))*E1954/600</f>
        <v>5.2790400000000005E-3</v>
      </c>
      <c r="L1954" s="32">
        <f>$J1954*($G1954-$G1953)*60*24</f>
        <v>5.2790400000008262E-3</v>
      </c>
    </row>
    <row r="1955" spans="1:12">
      <c r="A1955" s="22">
        <v>40311.989583333336</v>
      </c>
      <c r="E1955" s="26">
        <v>15.67657</v>
      </c>
      <c r="G1955" s="27">
        <v>0.98958333333333337</v>
      </c>
      <c r="J1955" s="30">
        <f>IF(G1955&lt;$H$10,$H$16,IF(G1955&gt;$I$10,$H$16,$H$11))*E1955/600</f>
        <v>5.2255233333333333E-3</v>
      </c>
      <c r="L1955" s="32">
        <f>$J1955*($G1955-$G1954)*60*24</f>
        <v>5.2255233333333142E-3</v>
      </c>
    </row>
    <row r="1956" spans="1:12">
      <c r="A1956" s="22">
        <v>40311.990277777775</v>
      </c>
      <c r="E1956" s="26">
        <v>16.009554000000001</v>
      </c>
      <c r="G1956" s="27">
        <v>0.9902777777777777</v>
      </c>
      <c r="J1956" s="30">
        <f>IF(G1956&lt;$H$10,$H$16,IF(G1956&gt;$I$10,$H$16,$H$11))*E1956/600</f>
        <v>5.3365180000000002E-3</v>
      </c>
      <c r="L1956" s="32">
        <f>$J1956*($G1956-$G1955)*60*24</f>
        <v>5.3365179999991285E-3</v>
      </c>
    </row>
    <row r="1957" spans="1:12">
      <c r="A1957" s="22">
        <v>40311.990972222222</v>
      </c>
      <c r="E1957" s="26">
        <v>16.037801999999999</v>
      </c>
      <c r="G1957" s="27">
        <v>0.99097222222222225</v>
      </c>
      <c r="J1957" s="30">
        <f>IF(G1957&lt;$H$10,$H$16,IF(G1957&gt;$I$10,$H$16,$H$11))*E1957/600</f>
        <v>5.3459340000000001E-3</v>
      </c>
      <c r="L1957" s="32">
        <f>$J1957*($G1957-$G1956)*60*24</f>
        <v>5.3459340000008362E-3</v>
      </c>
    </row>
    <row r="1958" spans="1:12">
      <c r="A1958" s="22">
        <v>40311.991666666669</v>
      </c>
      <c r="E1958" s="26">
        <v>16.002492</v>
      </c>
      <c r="G1958" s="27">
        <v>0.9916666666666667</v>
      </c>
      <c r="J1958" s="30">
        <f>IF(G1958&lt;$H$10,$H$16,IF(G1958&gt;$I$10,$H$16,$H$11))*E1958/600</f>
        <v>5.3341640000000006E-3</v>
      </c>
      <c r="L1958" s="32">
        <f>$J1958*($G1958-$G1957)*60*24</f>
        <v>5.3341639999999815E-3</v>
      </c>
    </row>
    <row r="1959" spans="1:12">
      <c r="A1959" s="22">
        <v>40311.992361111108</v>
      </c>
      <c r="E1959" s="26">
        <v>16.073111999999998</v>
      </c>
      <c r="G1959" s="27">
        <v>0.99236111111111114</v>
      </c>
      <c r="J1959" s="30">
        <f>IF(G1959&lt;$H$10,$H$16,IF(G1959&gt;$I$10,$H$16,$H$11))*E1959/600</f>
        <v>5.3577039999999996E-3</v>
      </c>
      <c r="L1959" s="32">
        <f>$J1959*($G1959-$G1958)*60*24</f>
        <v>5.3577039999999805E-3</v>
      </c>
    </row>
    <row r="1960" spans="1:12">
      <c r="A1960" s="22">
        <v>40311.993055555555</v>
      </c>
      <c r="E1960" s="26">
        <v>15.92136</v>
      </c>
      <c r="G1960" s="27">
        <v>0.99305555555555547</v>
      </c>
      <c r="J1960" s="30">
        <f>IF(G1960&lt;$H$10,$H$16,IF(G1960&gt;$I$10,$H$16,$H$11))*E1960/600</f>
        <v>5.3071200000000002E-3</v>
      </c>
      <c r="L1960" s="32">
        <f>$J1960*($G1960-$G1959)*60*24</f>
        <v>5.3071199999991329E-3</v>
      </c>
    </row>
    <row r="1961" spans="1:12">
      <c r="A1961" s="22">
        <v>40311.993750000001</v>
      </c>
      <c r="E1961" s="26">
        <v>15.949439999999999</v>
      </c>
      <c r="G1961" s="27">
        <v>0.99375000000000002</v>
      </c>
      <c r="J1961" s="30">
        <f>IF(G1961&lt;$H$10,$H$16,IF(G1961&gt;$I$10,$H$16,$H$11))*E1961/600</f>
        <v>5.3164799999999993E-3</v>
      </c>
      <c r="L1961" s="32">
        <f>$J1961*($G1961-$G1960)*60*24</f>
        <v>5.3164800000008311E-3</v>
      </c>
    </row>
    <row r="1962" spans="1:12">
      <c r="A1962" s="22">
        <v>40311.994444444441</v>
      </c>
      <c r="E1962" s="26">
        <v>15.914339999999999</v>
      </c>
      <c r="G1962" s="27">
        <v>0.99444444444444446</v>
      </c>
      <c r="J1962" s="30">
        <f>IF(G1962&lt;$H$10,$H$16,IF(G1962&gt;$I$10,$H$16,$H$11))*E1962/600</f>
        <v>5.3047800000000003E-3</v>
      </c>
      <c r="L1962" s="32">
        <f>$J1962*($G1962-$G1961)*60*24</f>
        <v>5.304779999999982E-3</v>
      </c>
    </row>
    <row r="1963" spans="1:12">
      <c r="A1963" s="22">
        <v>40311.995138888888</v>
      </c>
      <c r="E1963" s="26">
        <v>15.87222</v>
      </c>
      <c r="G1963" s="27">
        <v>0.99513888888888891</v>
      </c>
      <c r="J1963" s="30">
        <f>IF(G1963&lt;$H$10,$H$16,IF(G1963&gt;$I$10,$H$16,$H$11))*E1963/600</f>
        <v>5.2907400000000004E-3</v>
      </c>
      <c r="L1963" s="32">
        <f>$J1963*($G1963-$G1962)*60*24</f>
        <v>5.2907399999999813E-3</v>
      </c>
    </row>
    <row r="1964" spans="1:12">
      <c r="A1964" s="22">
        <v>40311.995833333334</v>
      </c>
      <c r="E1964" s="26">
        <v>15.9003</v>
      </c>
      <c r="G1964" s="27">
        <v>0.99583333333333324</v>
      </c>
      <c r="J1964" s="30">
        <f>IF(G1964&lt;$H$10,$H$16,IF(G1964&gt;$I$10,$H$16,$H$11))*E1964/600</f>
        <v>5.3001000000000003E-3</v>
      </c>
      <c r="L1964" s="32">
        <f>$J1964*($G1964-$G1963)*60*24</f>
        <v>5.3000999999991338E-3</v>
      </c>
    </row>
    <row r="1965" spans="1:12">
      <c r="A1965" s="22">
        <v>40311.996527777781</v>
      </c>
      <c r="E1965" s="26">
        <v>15.85116</v>
      </c>
      <c r="G1965" s="27">
        <v>0.99652777777777779</v>
      </c>
      <c r="J1965" s="30">
        <f>IF(G1965&lt;$H$10,$H$16,IF(G1965&gt;$I$10,$H$16,$H$11))*E1965/600</f>
        <v>5.2837200000000004E-3</v>
      </c>
      <c r="L1965" s="32">
        <f>$J1965*($G1965-$G1964)*60*24</f>
        <v>5.2837200000008262E-3</v>
      </c>
    </row>
    <row r="1966" spans="1:12">
      <c r="A1966" s="22">
        <v>40311.99722222222</v>
      </c>
      <c r="E1966" s="26">
        <v>15.73221</v>
      </c>
      <c r="G1966" s="27">
        <v>0.99722222222222223</v>
      </c>
      <c r="J1966" s="30">
        <f>IF(G1966&lt;$H$10,$H$16,IF(G1966&gt;$I$10,$H$16,$H$11))*E1966/600</f>
        <v>5.2440700000000008E-3</v>
      </c>
      <c r="L1966" s="32">
        <f>$J1966*($G1966-$G1965)*60*24</f>
        <v>5.2440699999999826E-3</v>
      </c>
    </row>
    <row r="1967" spans="1:12">
      <c r="A1967" s="22">
        <v>40311.997916666667</v>
      </c>
      <c r="E1967" s="26">
        <v>16.080174</v>
      </c>
      <c r="G1967" s="27">
        <v>0.99791666666666667</v>
      </c>
      <c r="J1967" s="30">
        <f>IF(G1967&lt;$H$10,$H$16,IF(G1967&gt;$I$10,$H$16,$H$11))*E1967/600</f>
        <v>5.360058E-3</v>
      </c>
      <c r="L1967" s="32">
        <f>$J1967*($G1967-$G1966)*60*24</f>
        <v>5.3600579999999809E-3</v>
      </c>
    </row>
    <row r="1968" spans="1:12">
      <c r="A1968" s="22">
        <v>40311.998611111114</v>
      </c>
      <c r="E1968" s="26">
        <v>16.023678</v>
      </c>
      <c r="G1968" s="27">
        <v>0.99861111111111101</v>
      </c>
      <c r="J1968" s="30">
        <f>IF(G1968&lt;$H$10,$H$16,IF(G1968&gt;$I$10,$H$16,$H$11))*E1968/600</f>
        <v>5.3412260000000001E-3</v>
      </c>
      <c r="L1968" s="32">
        <f>$J1968*($G1968-$G1967)*60*24</f>
        <v>5.3412259999991276E-3</v>
      </c>
    </row>
    <row r="1969" spans="1:12">
      <c r="A1969" s="22">
        <v>40311.999305555553</v>
      </c>
      <c r="E1969" s="26">
        <v>15.73221</v>
      </c>
      <c r="G1969" s="27">
        <v>0.99930555555555556</v>
      </c>
      <c r="J1969" s="30">
        <f>IF(G1969&lt;$H$10,$H$16,IF(G1969&gt;$I$10,$H$16,$H$11))*E1969/600</f>
        <v>5.2440700000000008E-3</v>
      </c>
      <c r="L1969" s="32">
        <f>$J1969*($G1969-$G1968)*60*24</f>
        <v>5.2440700000008205E-3</v>
      </c>
    </row>
    <row r="1970" spans="1:12">
      <c r="A1970" s="22">
        <v>40312</v>
      </c>
      <c r="E1970" s="26">
        <v>16.016615999999999</v>
      </c>
      <c r="G1970" s="27">
        <v>0</v>
      </c>
      <c r="J1970" s="30">
        <f>IF(G1970&lt;$H$10,$H$16,IF(G1970&gt;$I$10,$H$16,$H$11))*E1970/600</f>
        <v>5.3388719999999997E-3</v>
      </c>
      <c r="L1970" s="32">
        <f>$J1970*($G1970-$G1969)*60*24</f>
        <v>-7.6826368079999998</v>
      </c>
    </row>
    <row r="1971" spans="1:12">
      <c r="A1971" s="22">
        <v>40312.000694444447</v>
      </c>
      <c r="E1971" s="26">
        <v>15.690480000000001</v>
      </c>
      <c r="G1971" s="27">
        <v>6.9444444444444447E-4</v>
      </c>
      <c r="J1971" s="30">
        <f>IF(G1971&lt;$H$10,$H$16,IF(G1971&gt;$I$10,$H$16,$H$11))*E1971/600</f>
        <v>5.2301600000000011E-3</v>
      </c>
      <c r="L1971" s="32">
        <f>$J1971*($G1971-$G1970)*60*24</f>
        <v>5.2301600000000011E-3</v>
      </c>
    </row>
    <row r="1972" spans="1:12">
      <c r="A1972" s="22">
        <v>40312.001388888886</v>
      </c>
      <c r="E1972" s="26">
        <v>15.73884</v>
      </c>
      <c r="G1972" s="27">
        <v>1.3888888888888889E-3</v>
      </c>
      <c r="J1972" s="30">
        <f>IF(G1972&lt;$H$10,$H$16,IF(G1972&gt;$I$10,$H$16,$H$11))*E1972/600</f>
        <v>5.2462799999999999E-3</v>
      </c>
      <c r="L1972" s="32">
        <f>$J1972*($G1972-$G1971)*60*24</f>
        <v>5.2462799999999999E-3</v>
      </c>
    </row>
    <row r="1973" spans="1:12">
      <c r="A1973" s="22">
        <v>40312.002083333333</v>
      </c>
      <c r="E1973" s="26">
        <v>15.669615</v>
      </c>
      <c r="G1973" s="27">
        <v>2.0833333333333333E-3</v>
      </c>
      <c r="J1973" s="30">
        <f>IF(G1973&lt;$H$10,$H$16,IF(G1973&gt;$I$10,$H$16,$H$11))*E1973/600</f>
        <v>5.2232050000000007E-3</v>
      </c>
      <c r="L1973" s="32">
        <f>$J1973*($G1973-$G1972)*60*24</f>
        <v>5.2232049999999999E-3</v>
      </c>
    </row>
    <row r="1974" spans="1:12">
      <c r="A1974" s="22">
        <v>40312.00277777778</v>
      </c>
      <c r="E1974" s="26">
        <v>15.66864</v>
      </c>
      <c r="G1974" s="27">
        <v>2.7777777777777779E-3</v>
      </c>
      <c r="J1974" s="30">
        <f>IF(G1974&lt;$H$10,$H$16,IF(G1974&gt;$I$10,$H$16,$H$11))*E1974/600</f>
        <v>5.2228800000000001E-3</v>
      </c>
      <c r="L1974" s="32">
        <f>$J1974*($G1974-$G1973)*60*24</f>
        <v>5.2228800000000009E-3</v>
      </c>
    </row>
    <row r="1975" spans="1:12">
      <c r="A1975" s="22">
        <v>40312.003472222219</v>
      </c>
      <c r="E1975" s="26">
        <v>15.78096</v>
      </c>
      <c r="G1975" s="27">
        <v>3.472222222222222E-3</v>
      </c>
      <c r="J1975" s="30">
        <f>IF(G1975&lt;$H$10,$H$16,IF(G1975&gt;$I$10,$H$16,$H$11))*E1975/600</f>
        <v>5.2603200000000006E-3</v>
      </c>
      <c r="L1975" s="32">
        <f>$J1975*($G1975-$G1974)*60*24</f>
        <v>5.260319999999998E-3</v>
      </c>
    </row>
    <row r="1976" spans="1:12">
      <c r="A1976" s="22">
        <v>40312.004166666666</v>
      </c>
      <c r="E1976" s="26">
        <v>15.766920000000001</v>
      </c>
      <c r="G1976" s="27">
        <v>4.1666666666666666E-3</v>
      </c>
      <c r="J1976" s="30">
        <f>IF(G1976&lt;$H$10,$H$16,IF(G1976&gt;$I$10,$H$16,$H$11))*E1976/600</f>
        <v>5.2556400000000007E-3</v>
      </c>
      <c r="L1976" s="32">
        <f>$J1976*($G1976-$G1975)*60*24</f>
        <v>5.2556400000000015E-3</v>
      </c>
    </row>
    <row r="1977" spans="1:12">
      <c r="A1977" s="22">
        <v>40312.004861111112</v>
      </c>
      <c r="E1977" s="26">
        <v>15.62093</v>
      </c>
      <c r="G1977" s="27">
        <v>4.8611111111111112E-3</v>
      </c>
      <c r="J1977" s="30">
        <f>IF(G1977&lt;$H$10,$H$16,IF(G1977&gt;$I$10,$H$16,$H$11))*E1977/600</f>
        <v>5.2069766666666666E-3</v>
      </c>
      <c r="L1977" s="32">
        <f>$J1977*($G1977-$G1976)*60*24</f>
        <v>5.2069766666666684E-3</v>
      </c>
    </row>
    <row r="1978" spans="1:12">
      <c r="A1978" s="22">
        <v>40312.005555555559</v>
      </c>
      <c r="E1978" s="26">
        <v>15.717779999999999</v>
      </c>
      <c r="G1978" s="27">
        <v>5.5555555555555558E-3</v>
      </c>
      <c r="J1978" s="30">
        <f>IF(G1978&lt;$H$10,$H$16,IF(G1978&gt;$I$10,$H$16,$H$11))*E1978/600</f>
        <v>5.2392600000000008E-3</v>
      </c>
      <c r="L1978" s="32">
        <f>$J1978*($G1978-$G1977)*60*24</f>
        <v>5.2392600000000025E-3</v>
      </c>
    </row>
    <row r="1979" spans="1:12">
      <c r="A1979" s="22">
        <v>40312.006249999999</v>
      </c>
      <c r="E1979" s="26">
        <v>15.6897</v>
      </c>
      <c r="G1979" s="27">
        <v>6.2499999999999995E-3</v>
      </c>
      <c r="J1979" s="30">
        <f>IF(G1979&lt;$H$10,$H$16,IF(G1979&gt;$I$10,$H$16,$H$11))*E1979/600</f>
        <v>5.2299000000000009E-3</v>
      </c>
      <c r="L1979" s="32">
        <f>$J1979*($G1979-$G1978)*60*24</f>
        <v>5.2298999999999957E-3</v>
      </c>
    </row>
    <row r="1980" spans="1:12">
      <c r="A1980" s="22">
        <v>40312.006944444445</v>
      </c>
      <c r="E1980" s="26">
        <v>15.5792</v>
      </c>
      <c r="G1980" s="27">
        <v>6.9444444444444441E-3</v>
      </c>
      <c r="J1980" s="30">
        <f>IF(G1980&lt;$H$10,$H$16,IF(G1980&gt;$I$10,$H$16,$H$11))*E1980/600</f>
        <v>5.1930666666666677E-3</v>
      </c>
      <c r="L1980" s="32">
        <f>$J1980*($G1980-$G1979)*60*24</f>
        <v>5.1930666666666686E-3</v>
      </c>
    </row>
    <row r="1981" spans="1:12">
      <c r="A1981" s="22">
        <v>40312.007638888892</v>
      </c>
      <c r="E1981" s="26">
        <v>15.66864</v>
      </c>
      <c r="G1981" s="27">
        <v>7.6388888888888886E-3</v>
      </c>
      <c r="J1981" s="30">
        <f>IF(G1981&lt;$H$10,$H$16,IF(G1981&gt;$I$10,$H$16,$H$11))*E1981/600</f>
        <v>5.2228800000000001E-3</v>
      </c>
      <c r="L1981" s="32">
        <f>$J1981*($G1981-$G1980)*60*24</f>
        <v>5.2228800000000009E-3</v>
      </c>
    </row>
    <row r="1982" spans="1:12">
      <c r="A1982" s="22">
        <v>40312.008333333331</v>
      </c>
      <c r="E1982" s="26">
        <v>15.613975</v>
      </c>
      <c r="G1982" s="27">
        <v>8.3333333333333332E-3</v>
      </c>
      <c r="J1982" s="30">
        <f>IF(G1982&lt;$H$10,$H$16,IF(G1982&gt;$I$10,$H$16,$H$11))*E1982/600</f>
        <v>5.2046583333333332E-3</v>
      </c>
      <c r="L1982" s="32">
        <f>$J1982*($G1982-$G1981)*60*24</f>
        <v>5.2046583333333341E-3</v>
      </c>
    </row>
    <row r="1983" spans="1:12">
      <c r="A1983" s="22">
        <v>40312.009027777778</v>
      </c>
      <c r="E1983" s="26">
        <v>15.861252</v>
      </c>
      <c r="G1983" s="27">
        <v>9.0277777777777787E-3</v>
      </c>
      <c r="J1983" s="30">
        <f>IF(G1983&lt;$H$10,$H$16,IF(G1983&gt;$I$10,$H$16,$H$11))*E1983/600</f>
        <v>5.2870840000000001E-3</v>
      </c>
      <c r="L1983" s="32">
        <f>$J1983*($G1983-$G1982)*60*24</f>
        <v>5.2870840000000079E-3</v>
      </c>
    </row>
    <row r="1984" spans="1:12">
      <c r="A1984" s="22">
        <v>40312.009722222225</v>
      </c>
      <c r="E1984" s="26">
        <v>15.593109999999999</v>
      </c>
      <c r="G1984" s="27">
        <v>9.7222222222222224E-3</v>
      </c>
      <c r="J1984" s="30">
        <f>IF(G1984&lt;$H$10,$H$16,IF(G1984&gt;$I$10,$H$16,$H$11))*E1984/600</f>
        <v>5.1977033333333337E-3</v>
      </c>
      <c r="L1984" s="32">
        <f>$J1984*($G1984-$G1983)*60*24</f>
        <v>5.1977033333333277E-3</v>
      </c>
    </row>
    <row r="1985" spans="1:12">
      <c r="A1985" s="22">
        <v>40312.010416666664</v>
      </c>
      <c r="E1985" s="26">
        <v>15.917748</v>
      </c>
      <c r="G1985" s="27">
        <v>1.0416666666666666E-2</v>
      </c>
      <c r="J1985" s="30">
        <f>IF(G1985&lt;$H$10,$H$16,IF(G1985&gt;$I$10,$H$16,$H$11))*E1985/600</f>
        <v>5.3059159999999999E-3</v>
      </c>
      <c r="L1985" s="32">
        <f>$J1985*($G1985-$G1984)*60*24</f>
        <v>5.3059159999999939E-3</v>
      </c>
    </row>
    <row r="1986" spans="1:12">
      <c r="A1986" s="22">
        <v>40312.011111111111</v>
      </c>
      <c r="E1986" s="26">
        <v>15.613975</v>
      </c>
      <c r="G1986" s="27">
        <v>1.1111111111111112E-2</v>
      </c>
      <c r="J1986" s="30">
        <f>IF(G1986&lt;$H$10,$H$16,IF(G1986&gt;$I$10,$H$16,$H$11))*E1986/600</f>
        <v>5.2046583333333332E-3</v>
      </c>
      <c r="L1986" s="32">
        <f>$J1986*($G1986-$G1985)*60*24</f>
        <v>5.204658333333341E-3</v>
      </c>
    </row>
    <row r="1987" spans="1:12">
      <c r="A1987" s="22">
        <v>40312.011805555558</v>
      </c>
      <c r="E1987" s="26">
        <v>15.593109999999999</v>
      </c>
      <c r="G1987" s="27">
        <v>1.1805555555555555E-2</v>
      </c>
      <c r="J1987" s="30">
        <f>IF(G1987&lt;$H$10,$H$16,IF(G1987&gt;$I$10,$H$16,$H$11))*E1987/600</f>
        <v>5.1977033333333337E-3</v>
      </c>
      <c r="L1987" s="32">
        <f>$J1987*($G1987-$G1986)*60*24</f>
        <v>5.1977033333333277E-3</v>
      </c>
    </row>
    <row r="1988" spans="1:12">
      <c r="A1988" s="22">
        <v>40312.012499999997</v>
      </c>
      <c r="E1988" s="26">
        <v>15.62093</v>
      </c>
      <c r="G1988" s="27">
        <v>1.2499999999999999E-2</v>
      </c>
      <c r="J1988" s="30">
        <f>IF(G1988&lt;$H$10,$H$16,IF(G1988&gt;$I$10,$H$16,$H$11))*E1988/600</f>
        <v>5.2069766666666666E-3</v>
      </c>
      <c r="L1988" s="32">
        <f>$J1988*($G1988-$G1987)*60*24</f>
        <v>5.2069766666666614E-3</v>
      </c>
    </row>
    <row r="1989" spans="1:12">
      <c r="A1989" s="22">
        <v>40312.013194444444</v>
      </c>
      <c r="E1989" s="26">
        <v>15.710760000000001</v>
      </c>
      <c r="G1989" s="27">
        <v>1.3194444444444444E-2</v>
      </c>
      <c r="J1989" s="30">
        <f>IF(G1989&lt;$H$10,$H$16,IF(G1989&gt;$I$10,$H$16,$H$11))*E1989/600</f>
        <v>5.2369200000000008E-3</v>
      </c>
      <c r="L1989" s="32">
        <f>$J1989*($G1989-$G1988)*60*24</f>
        <v>5.2369200000000077E-3</v>
      </c>
    </row>
    <row r="1990" spans="1:12">
      <c r="A1990" s="22">
        <v>40312.013888888891</v>
      </c>
      <c r="E1990" s="26">
        <v>15.731820000000001</v>
      </c>
      <c r="G1990" s="27">
        <v>1.3888888888888888E-2</v>
      </c>
      <c r="J1990" s="30">
        <f>IF(G1990&lt;$H$10,$H$16,IF(G1990&gt;$I$10,$H$16,$H$11))*E1990/600</f>
        <v>5.2439399999999999E-3</v>
      </c>
      <c r="L1990" s="32">
        <f>$J1990*($G1990-$G1989)*60*24</f>
        <v>5.2439399999999947E-3</v>
      </c>
    </row>
    <row r="1991" spans="1:12">
      <c r="A1991" s="22">
        <v>40312.01458333333</v>
      </c>
      <c r="E1991" s="26">
        <v>15.7599</v>
      </c>
      <c r="G1991" s="27">
        <v>1.4583333333333332E-2</v>
      </c>
      <c r="J1991" s="30">
        <f>IF(G1991&lt;$H$10,$H$16,IF(G1991&gt;$I$10,$H$16,$H$11))*E1991/600</f>
        <v>5.2532999999999998E-3</v>
      </c>
      <c r="L1991" s="32">
        <f>$J1991*($G1991-$G1990)*60*24</f>
        <v>5.2532999999999937E-3</v>
      </c>
    </row>
    <row r="1992" spans="1:12">
      <c r="A1992" s="22">
        <v>40312.015277777777</v>
      </c>
      <c r="E1992" s="26">
        <v>15.627884999999999</v>
      </c>
      <c r="G1992" s="27">
        <v>1.5277777777777777E-2</v>
      </c>
      <c r="J1992" s="30">
        <f>IF(G1992&lt;$H$10,$H$16,IF(G1992&gt;$I$10,$H$16,$H$11))*E1992/600</f>
        <v>5.2092950000000001E-3</v>
      </c>
      <c r="L1992" s="32">
        <f>$J1992*($G1992-$G1991)*60*24</f>
        <v>5.2092950000000079E-3</v>
      </c>
    </row>
    <row r="1993" spans="1:12">
      <c r="A1993" s="22">
        <v>40312.015972222223</v>
      </c>
      <c r="E1993" s="26">
        <v>15.7599</v>
      </c>
      <c r="G1993" s="27">
        <v>1.5972222222222224E-2</v>
      </c>
      <c r="J1993" s="30">
        <f>IF(G1993&lt;$H$10,$H$16,IF(G1993&gt;$I$10,$H$16,$H$11))*E1993/600</f>
        <v>5.2532999999999998E-3</v>
      </c>
      <c r="L1993" s="32">
        <f>$J1993*($G1993-$G1992)*60*24</f>
        <v>5.2533000000000206E-3</v>
      </c>
    </row>
    <row r="1994" spans="1:12">
      <c r="A1994" s="22">
        <v>40312.01666666667</v>
      </c>
      <c r="E1994" s="26">
        <v>15.7599</v>
      </c>
      <c r="G1994" s="27">
        <v>1.6666666666666666E-2</v>
      </c>
      <c r="J1994" s="30">
        <f>IF(G1994&lt;$H$10,$H$16,IF(G1994&gt;$I$10,$H$16,$H$11))*E1994/600</f>
        <v>5.2532999999999998E-3</v>
      </c>
      <c r="L1994" s="32">
        <f>$J1994*($G1994-$G1993)*60*24</f>
        <v>5.2532999999999816E-3</v>
      </c>
    </row>
    <row r="1995" spans="1:12">
      <c r="A1995" s="22">
        <v>40312.017361111109</v>
      </c>
      <c r="E1995" s="26">
        <v>15.600065000000001</v>
      </c>
      <c r="G1995" s="27">
        <v>1.7361111111111112E-2</v>
      </c>
      <c r="J1995" s="30">
        <f>IF(G1995&lt;$H$10,$H$16,IF(G1995&gt;$I$10,$H$16,$H$11))*E1995/600</f>
        <v>5.2000216666666672E-3</v>
      </c>
      <c r="L1995" s="32">
        <f>$J1995*($G1995-$G1994)*60*24</f>
        <v>5.200021666666675E-3</v>
      </c>
    </row>
    <row r="1996" spans="1:12">
      <c r="A1996" s="22">
        <v>40312.018055555556</v>
      </c>
      <c r="E1996" s="26">
        <v>15.917748</v>
      </c>
      <c r="G1996" s="27">
        <v>1.8055555555555557E-2</v>
      </c>
      <c r="J1996" s="30">
        <f>IF(G1996&lt;$H$10,$H$16,IF(G1996&gt;$I$10,$H$16,$H$11))*E1996/600</f>
        <v>5.3059159999999999E-3</v>
      </c>
      <c r="L1996" s="32">
        <f>$J1996*($G1996-$G1995)*60*24</f>
        <v>5.3059160000000077E-3</v>
      </c>
    </row>
    <row r="1997" spans="1:12">
      <c r="A1997" s="22">
        <v>40312.018750000003</v>
      </c>
      <c r="E1997" s="26">
        <v>15.896561999999999</v>
      </c>
      <c r="G1997" s="27">
        <v>1.8749999999999999E-2</v>
      </c>
      <c r="J1997" s="30">
        <f>IF(G1997&lt;$H$10,$H$16,IF(G1997&gt;$I$10,$H$16,$H$11))*E1997/600</f>
        <v>5.2988540000000004E-3</v>
      </c>
      <c r="L1997" s="32">
        <f>$J1997*($G1997-$G1996)*60*24</f>
        <v>5.2988539999999813E-3</v>
      </c>
    </row>
    <row r="1998" spans="1:12">
      <c r="A1998" s="22">
        <v>40312.019444444442</v>
      </c>
      <c r="E1998" s="26">
        <v>15.727008</v>
      </c>
      <c r="G1998" s="27">
        <v>1.9444444444444445E-2</v>
      </c>
      <c r="J1998" s="30">
        <f>IF(G1998&lt;$H$10,$H$16,IF(G1998&gt;$I$10,$H$16,$H$11))*E1998/600</f>
        <v>5.2423360000000002E-3</v>
      </c>
      <c r="L1998" s="32">
        <f>$J1998*($G1998-$G1997)*60*24</f>
        <v>5.242336000000008E-3</v>
      </c>
    </row>
    <row r="1999" spans="1:12">
      <c r="A1999" s="22">
        <v>40312.020138888889</v>
      </c>
      <c r="E1999" s="26">
        <v>15.67104</v>
      </c>
      <c r="G1999" s="27">
        <v>2.013888888888889E-2</v>
      </c>
      <c r="J1999" s="30">
        <f>IF(G1999&lt;$H$10,$H$16,IF(G1999&gt;$I$10,$H$16,$H$11))*E1999/600</f>
        <v>5.2236800000000005E-3</v>
      </c>
      <c r="L1999" s="32">
        <f>$J1999*($G1999-$G1998)*60*24</f>
        <v>5.2236800000000083E-3</v>
      </c>
    </row>
    <row r="2000" spans="1:12">
      <c r="A2000" s="22">
        <v>40312.020833333336</v>
      </c>
      <c r="E2000" s="26">
        <v>15.706020000000001</v>
      </c>
      <c r="G2000" s="27">
        <v>2.0833333333333332E-2</v>
      </c>
      <c r="J2000" s="30">
        <f>IF(G2000&lt;$H$10,$H$16,IF(G2000&gt;$I$10,$H$16,$H$11))*E2000/600</f>
        <v>5.2353399999999998E-3</v>
      </c>
      <c r="L2000" s="32">
        <f>$J2000*($G2000-$G1999)*60*24</f>
        <v>5.2353399999999807E-3</v>
      </c>
    </row>
    <row r="2001" spans="1:12">
      <c r="A2001" s="22">
        <v>40312.021527777775</v>
      </c>
      <c r="E2001" s="26">
        <v>15.727008</v>
      </c>
      <c r="G2001" s="27">
        <v>2.1527777777777781E-2</v>
      </c>
      <c r="J2001" s="30">
        <f>IF(G2001&lt;$H$10,$H$16,IF(G2001&gt;$I$10,$H$16,$H$11))*E2001/600</f>
        <v>5.2423360000000002E-3</v>
      </c>
      <c r="L2001" s="32">
        <f>$J2001*($G2001-$G2000)*60*24</f>
        <v>5.242336000000034E-3</v>
      </c>
    </row>
    <row r="2002" spans="1:12">
      <c r="A2002" s="22">
        <v>40312.022222222222</v>
      </c>
      <c r="E2002" s="26">
        <v>15.768984</v>
      </c>
      <c r="G2002" s="27">
        <v>2.2222222222222223E-2</v>
      </c>
      <c r="J2002" s="30">
        <f>IF(G2002&lt;$H$10,$H$16,IF(G2002&gt;$I$10,$H$16,$H$11))*E2002/600</f>
        <v>5.2563280000000002E-3</v>
      </c>
      <c r="L2002" s="32">
        <f>$J2002*($G2002-$G2001)*60*24</f>
        <v>5.2563279999999811E-3</v>
      </c>
    </row>
    <row r="2003" spans="1:12">
      <c r="A2003" s="22">
        <v>40312.022916666669</v>
      </c>
      <c r="E2003" s="26">
        <v>15.768984</v>
      </c>
      <c r="G2003" s="27">
        <v>2.2916666666666669E-2</v>
      </c>
      <c r="J2003" s="30">
        <f>IF(G2003&lt;$H$10,$H$16,IF(G2003&gt;$I$10,$H$16,$H$11))*E2003/600</f>
        <v>5.2563280000000002E-3</v>
      </c>
      <c r="L2003" s="32">
        <f>$J2003*($G2003-$G2002)*60*24</f>
        <v>5.256328000000008E-3</v>
      </c>
    </row>
    <row r="2004" spans="1:12">
      <c r="A2004" s="22">
        <v>40312.023611111108</v>
      </c>
      <c r="E2004" s="26">
        <v>15.720012000000001</v>
      </c>
      <c r="G2004" s="27">
        <v>2.361111111111111E-2</v>
      </c>
      <c r="J2004" s="30">
        <f>IF(G2004&lt;$H$10,$H$16,IF(G2004&gt;$I$10,$H$16,$H$11))*E2004/600</f>
        <v>5.2400040000000004E-3</v>
      </c>
      <c r="L2004" s="32">
        <f>$J2004*($G2004-$G2003)*60*24</f>
        <v>5.2400039999999821E-3</v>
      </c>
    </row>
    <row r="2005" spans="1:12">
      <c r="A2005" s="22">
        <v>40312.024305555555</v>
      </c>
      <c r="E2005" s="26">
        <v>15.692028000000001</v>
      </c>
      <c r="G2005" s="27">
        <v>2.4305555555555556E-2</v>
      </c>
      <c r="J2005" s="30">
        <f>IF(G2005&lt;$H$10,$H$16,IF(G2005&gt;$I$10,$H$16,$H$11))*E2005/600</f>
        <v>5.2306760000000009E-3</v>
      </c>
      <c r="L2005" s="32">
        <f>$J2005*($G2005-$G2004)*60*24</f>
        <v>5.2306760000000087E-3</v>
      </c>
    </row>
    <row r="2006" spans="1:12">
      <c r="A2006" s="22">
        <v>40312.025000000001</v>
      </c>
      <c r="E2006" s="26">
        <v>15.825942</v>
      </c>
      <c r="G2006" s="27">
        <v>2.4999999999999998E-2</v>
      </c>
      <c r="J2006" s="30">
        <f>IF(G2006&lt;$H$10,$H$16,IF(G2006&gt;$I$10,$H$16,$H$11))*E2006/600</f>
        <v>5.2753139999999997E-3</v>
      </c>
      <c r="L2006" s="32">
        <f>$J2006*($G2006-$G2005)*60*24</f>
        <v>5.2753139999999806E-3</v>
      </c>
    </row>
    <row r="2007" spans="1:12">
      <c r="A2007" s="22">
        <v>40312.025694444441</v>
      </c>
      <c r="E2007" s="26">
        <v>15.706020000000001</v>
      </c>
      <c r="G2007" s="27">
        <v>2.5694444444444447E-2</v>
      </c>
      <c r="J2007" s="30">
        <f>IF(G2007&lt;$H$10,$H$16,IF(G2007&gt;$I$10,$H$16,$H$11))*E2007/600</f>
        <v>5.2353399999999998E-3</v>
      </c>
      <c r="L2007" s="32">
        <f>$J2007*($G2007-$G2006)*60*24</f>
        <v>5.2353400000000327E-3</v>
      </c>
    </row>
    <row r="2008" spans="1:12">
      <c r="A2008" s="22">
        <v>40312.026388888888</v>
      </c>
      <c r="E2008" s="26">
        <v>15.741</v>
      </c>
      <c r="G2008" s="27">
        <v>2.6388888888888889E-2</v>
      </c>
      <c r="J2008" s="30">
        <f>IF(G2008&lt;$H$10,$H$16,IF(G2008&gt;$I$10,$H$16,$H$11))*E2008/600</f>
        <v>5.2469999999999999E-3</v>
      </c>
      <c r="L2008" s="32">
        <f>$J2008*($G2008-$G2007)*60*24</f>
        <v>5.2469999999999808E-3</v>
      </c>
    </row>
    <row r="2009" spans="1:12">
      <c r="A2009" s="22">
        <v>40312.027083333334</v>
      </c>
      <c r="E2009" s="26">
        <v>15.768984</v>
      </c>
      <c r="G2009" s="27">
        <v>2.7083333333333334E-2</v>
      </c>
      <c r="J2009" s="30">
        <f>IF(G2009&lt;$H$10,$H$16,IF(G2009&gt;$I$10,$H$16,$H$11))*E2009/600</f>
        <v>5.2563280000000002E-3</v>
      </c>
      <c r="L2009" s="32">
        <f>$J2009*($G2009-$G2008)*60*24</f>
        <v>5.256328000000008E-3</v>
      </c>
    </row>
    <row r="2010" spans="1:12">
      <c r="A2010" s="22">
        <v>40312.027777777781</v>
      </c>
      <c r="E2010" s="26">
        <v>15.789972000000001</v>
      </c>
      <c r="G2010" s="27">
        <v>2.7777777777777776E-2</v>
      </c>
      <c r="J2010" s="30">
        <f>IF(G2010&lt;$H$10,$H$16,IF(G2010&gt;$I$10,$H$16,$H$11))*E2010/600</f>
        <v>5.2633240000000006E-3</v>
      </c>
      <c r="L2010" s="32">
        <f>$J2010*($G2010-$G2009)*60*24</f>
        <v>5.2633239999999824E-3</v>
      </c>
    </row>
    <row r="2011" spans="1:12">
      <c r="A2011" s="22">
        <v>40312.02847222222</v>
      </c>
      <c r="E2011" s="26">
        <v>15.789972000000001</v>
      </c>
      <c r="G2011" s="27">
        <v>2.8472222222222222E-2</v>
      </c>
      <c r="J2011" s="30">
        <f>IF(G2011&lt;$H$10,$H$16,IF(G2011&gt;$I$10,$H$16,$H$11))*E2011/600</f>
        <v>5.2633240000000006E-3</v>
      </c>
      <c r="L2011" s="32">
        <f>$J2011*($G2011-$G2010)*60*24</f>
        <v>5.2633240000000085E-3</v>
      </c>
    </row>
    <row r="2012" spans="1:12">
      <c r="A2012" s="22">
        <v>40312.029166666667</v>
      </c>
      <c r="E2012" s="26">
        <v>15.789972000000001</v>
      </c>
      <c r="G2012" s="27">
        <v>2.9166666666666664E-2</v>
      </c>
      <c r="J2012" s="30">
        <f>IF(G2012&lt;$H$10,$H$16,IF(G2012&gt;$I$10,$H$16,$H$11))*E2012/600</f>
        <v>5.2633240000000006E-3</v>
      </c>
      <c r="L2012" s="32">
        <f>$J2012*($G2012-$G2011)*60*24</f>
        <v>5.2633239999999824E-3</v>
      </c>
    </row>
    <row r="2013" spans="1:12">
      <c r="A2013" s="22">
        <v>40312.029861111114</v>
      </c>
      <c r="E2013" s="26">
        <v>15.81096</v>
      </c>
      <c r="G2013" s="27">
        <v>2.9861111111111113E-2</v>
      </c>
      <c r="J2013" s="30">
        <f>IF(G2013&lt;$H$10,$H$16,IF(G2013&gt;$I$10,$H$16,$H$11))*E2013/600</f>
        <v>5.2703200000000002E-3</v>
      </c>
      <c r="L2013" s="32">
        <f>$J2013*($G2013-$G2012)*60*24</f>
        <v>5.2703200000000332E-3</v>
      </c>
    </row>
    <row r="2014" spans="1:12">
      <c r="A2014" s="22">
        <v>40312.030555555553</v>
      </c>
      <c r="E2014" s="26">
        <v>16.078928000000001</v>
      </c>
      <c r="G2014" s="27">
        <v>3.0555555555555555E-2</v>
      </c>
      <c r="J2014" s="30">
        <f>IF(G2014&lt;$H$10,$H$16,IF(G2014&gt;$I$10,$H$16,$H$11))*E2014/600</f>
        <v>5.3596426666666667E-3</v>
      </c>
      <c r="L2014" s="32">
        <f>$J2014*($G2014-$G2013)*60*24</f>
        <v>5.3596426666666485E-3</v>
      </c>
    </row>
    <row r="2015" spans="1:12">
      <c r="A2015" s="22">
        <v>40312.03125</v>
      </c>
      <c r="E2015" s="26">
        <v>15.976485</v>
      </c>
      <c r="G2015" s="27">
        <v>3.125E-2</v>
      </c>
      <c r="J2015" s="30">
        <f>IF(G2015&lt;$H$10,$H$16,IF(G2015&gt;$I$10,$H$16,$H$11))*E2015/600</f>
        <v>5.3254950000000004E-3</v>
      </c>
      <c r="L2015" s="32">
        <f>$J2015*($G2015-$G2014)*60*24</f>
        <v>5.3254950000000082E-3</v>
      </c>
    </row>
    <row r="2016" spans="1:12">
      <c r="A2016" s="22">
        <v>40312.031944444447</v>
      </c>
      <c r="E2016" s="26">
        <v>15.990555000000001</v>
      </c>
      <c r="G2016" s="27">
        <v>3.1944444444444449E-2</v>
      </c>
      <c r="J2016" s="30">
        <f>IF(G2016&lt;$H$10,$H$16,IF(G2016&gt;$I$10,$H$16,$H$11))*E2016/600</f>
        <v>5.3301850000000003E-3</v>
      </c>
      <c r="L2016" s="32">
        <f>$J2016*($G2016-$G2015)*60*24</f>
        <v>5.3301850000000341E-3</v>
      </c>
    </row>
    <row r="2017" spans="1:12">
      <c r="A2017" s="22">
        <v>40312.032638888886</v>
      </c>
      <c r="E2017" s="26">
        <v>15.990555000000001</v>
      </c>
      <c r="G2017" s="27">
        <v>3.2638888888888891E-2</v>
      </c>
      <c r="J2017" s="30">
        <f>IF(G2017&lt;$H$10,$H$16,IF(G2017&gt;$I$10,$H$16,$H$11))*E2017/600</f>
        <v>5.3301850000000003E-3</v>
      </c>
      <c r="L2017" s="32">
        <f>$J2017*($G2017-$G2016)*60*24</f>
        <v>5.3301849999999821E-3</v>
      </c>
    </row>
    <row r="2018" spans="1:12">
      <c r="A2018" s="22">
        <v>40312.033333333333</v>
      </c>
      <c r="E2018" s="26">
        <v>15.894912</v>
      </c>
      <c r="G2018" s="27">
        <v>3.3333333333333333E-2</v>
      </c>
      <c r="J2018" s="30">
        <f>IF(G2018&lt;$H$10,$H$16,IF(G2018&gt;$I$10,$H$16,$H$11))*E2018/600</f>
        <v>5.2983040000000002E-3</v>
      </c>
      <c r="L2018" s="32">
        <f>$J2018*($G2018-$G2017)*60*24</f>
        <v>5.2983039999999811E-3</v>
      </c>
    </row>
    <row r="2019" spans="1:12">
      <c r="A2019" s="22">
        <v>40312.03402777778</v>
      </c>
      <c r="E2019" s="26">
        <v>15.997590000000001</v>
      </c>
      <c r="G2019" s="27">
        <v>3.4027777777777775E-2</v>
      </c>
      <c r="J2019" s="30">
        <f>IF(G2019&lt;$H$10,$H$16,IF(G2019&gt;$I$10,$H$16,$H$11))*E2019/600</f>
        <v>5.3325300000000003E-3</v>
      </c>
      <c r="L2019" s="32">
        <f>$J2019*($G2019-$G2018)*60*24</f>
        <v>5.3325299999999812E-3</v>
      </c>
    </row>
    <row r="2020" spans="1:12">
      <c r="A2020" s="22">
        <v>40312.034722222219</v>
      </c>
      <c r="E2020" s="26">
        <v>16.0398</v>
      </c>
      <c r="G2020" s="27">
        <v>3.4722222222222224E-2</v>
      </c>
      <c r="J2020" s="30">
        <f>IF(G2020&lt;$H$10,$H$16,IF(G2020&gt;$I$10,$H$16,$H$11))*E2020/600</f>
        <v>5.3466E-3</v>
      </c>
      <c r="L2020" s="32">
        <f>$J2020*($G2020-$G2019)*60*24</f>
        <v>5.3466000000000338E-3</v>
      </c>
    </row>
    <row r="2021" spans="1:12">
      <c r="A2021" s="22">
        <v>40312.035416666666</v>
      </c>
      <c r="E2021" s="26">
        <v>16.074974999999998</v>
      </c>
      <c r="G2021" s="27">
        <v>3.5416666666666666E-2</v>
      </c>
      <c r="J2021" s="30">
        <f>IF(G2021&lt;$H$10,$H$16,IF(G2021&gt;$I$10,$H$16,$H$11))*E2021/600</f>
        <v>5.3583249999999997E-3</v>
      </c>
      <c r="L2021" s="32">
        <f>$J2021*($G2021-$G2020)*60*24</f>
        <v>5.3583249999999806E-3</v>
      </c>
    </row>
    <row r="2022" spans="1:12">
      <c r="A2022" s="22">
        <v>40312.036111111112</v>
      </c>
      <c r="E2022" s="26">
        <v>16.0398</v>
      </c>
      <c r="G2022" s="27">
        <v>3.6111111111111115E-2</v>
      </c>
      <c r="J2022" s="30">
        <f>IF(G2022&lt;$H$10,$H$16,IF(G2022&gt;$I$10,$H$16,$H$11))*E2022/600</f>
        <v>5.3466E-3</v>
      </c>
      <c r="L2022" s="32">
        <f>$J2022*($G2022-$G2021)*60*24</f>
        <v>5.3466000000000338E-3</v>
      </c>
    </row>
    <row r="2023" spans="1:12">
      <c r="A2023" s="22">
        <v>40312.036805555559</v>
      </c>
      <c r="E2023" s="26">
        <v>15.96945</v>
      </c>
      <c r="G2023" s="27">
        <v>3.6805555555555557E-2</v>
      </c>
      <c r="J2023" s="30">
        <f>IF(G2023&lt;$H$10,$H$16,IF(G2023&gt;$I$10,$H$16,$H$11))*E2023/600</f>
        <v>5.3231500000000005E-3</v>
      </c>
      <c r="L2023" s="32">
        <f>$J2023*($G2023-$G2022)*60*24</f>
        <v>5.3231499999999814E-3</v>
      </c>
    </row>
    <row r="2024" spans="1:12">
      <c r="A2024" s="22">
        <v>40312.037499999999</v>
      </c>
      <c r="E2024" s="26">
        <v>15.962415</v>
      </c>
      <c r="G2024" s="27">
        <v>3.7499999999999999E-2</v>
      </c>
      <c r="J2024" s="30">
        <f>IF(G2024&lt;$H$10,$H$16,IF(G2024&gt;$I$10,$H$16,$H$11))*E2024/600</f>
        <v>5.3208050000000005E-3</v>
      </c>
      <c r="L2024" s="32">
        <f>$J2024*($G2024-$G2023)*60*24</f>
        <v>5.3208049999999814E-3</v>
      </c>
    </row>
    <row r="2025" spans="1:12">
      <c r="A2025" s="22">
        <v>40312.038194444445</v>
      </c>
      <c r="E2025" s="26">
        <v>15.920204999999999</v>
      </c>
      <c r="G2025" s="27">
        <v>3.8194444444444441E-2</v>
      </c>
      <c r="J2025" s="30">
        <f>IF(G2025&lt;$H$10,$H$16,IF(G2025&gt;$I$10,$H$16,$H$11))*E2025/600</f>
        <v>5.3067349999999999E-3</v>
      </c>
      <c r="L2025" s="32">
        <f>$J2025*($G2025-$G2024)*60*24</f>
        <v>5.3067349999999808E-3</v>
      </c>
    </row>
    <row r="2026" spans="1:12">
      <c r="A2026" s="22">
        <v>40312.038888888892</v>
      </c>
      <c r="E2026" s="26">
        <v>15.927239999999999</v>
      </c>
      <c r="G2026" s="27">
        <v>3.888888888888889E-2</v>
      </c>
      <c r="J2026" s="30">
        <f>IF(G2026&lt;$H$10,$H$16,IF(G2026&gt;$I$10,$H$16,$H$11))*E2026/600</f>
        <v>5.3090799999999999E-3</v>
      </c>
      <c r="L2026" s="32">
        <f>$J2026*($G2026-$G2025)*60*24</f>
        <v>5.3090800000000346E-3</v>
      </c>
    </row>
    <row r="2027" spans="1:12">
      <c r="A2027" s="22">
        <v>40312.039583333331</v>
      </c>
      <c r="E2027" s="26">
        <v>15.831948000000001</v>
      </c>
      <c r="G2027" s="27">
        <v>3.9583333333333331E-2</v>
      </c>
      <c r="J2027" s="30">
        <f>IF(G2027&lt;$H$10,$H$16,IF(G2027&gt;$I$10,$H$16,$H$11))*E2027/600</f>
        <v>5.2773160000000006E-3</v>
      </c>
      <c r="L2027" s="32">
        <f>$J2027*($G2027-$G2026)*60*24</f>
        <v>5.2773159999999824E-3</v>
      </c>
    </row>
    <row r="2028" spans="1:12">
      <c r="A2028" s="22">
        <v>40312.040277777778</v>
      </c>
      <c r="E2028" s="26">
        <v>15.906135000000001</v>
      </c>
      <c r="G2028" s="27">
        <v>4.027777777777778E-2</v>
      </c>
      <c r="J2028" s="30">
        <f>IF(G2028&lt;$H$10,$H$16,IF(G2028&gt;$I$10,$H$16,$H$11))*E2028/600</f>
        <v>5.302045E-3</v>
      </c>
      <c r="L2028" s="32">
        <f>$J2028*($G2028-$G2027)*60*24</f>
        <v>5.3020450000000338E-3</v>
      </c>
    </row>
    <row r="2029" spans="1:12">
      <c r="A2029" s="22">
        <v>40312.040972222225</v>
      </c>
      <c r="E2029" s="26">
        <v>15.59943</v>
      </c>
      <c r="G2029" s="27">
        <v>4.0972222222222222E-2</v>
      </c>
      <c r="J2029" s="30">
        <f>IF(G2029&lt;$H$10,$H$16,IF(G2029&gt;$I$10,$H$16,$H$11))*E2029/600</f>
        <v>5.19981E-3</v>
      </c>
      <c r="L2029" s="32">
        <f>$J2029*($G2029-$G2028)*60*24</f>
        <v>5.1998099999999818E-3</v>
      </c>
    </row>
    <row r="2030" spans="1:12">
      <c r="A2030" s="22">
        <v>40312.041666666664</v>
      </c>
      <c r="E2030" s="26">
        <v>15.741</v>
      </c>
      <c r="G2030" s="27">
        <v>4.1666666666666664E-2</v>
      </c>
      <c r="J2030" s="30">
        <f>IF(G2030&lt;$H$10,$H$16,IF(G2030&gt;$I$10,$H$16,$H$11))*E2030/600</f>
        <v>5.2469999999999999E-3</v>
      </c>
      <c r="L2030" s="32">
        <f>$J2030*($G2030-$G2029)*60*24</f>
        <v>5.2469999999999808E-3</v>
      </c>
    </row>
    <row r="2031" spans="1:12">
      <c r="A2031" s="22">
        <v>40312.042361111111</v>
      </c>
      <c r="E2031" s="26">
        <v>15.88503</v>
      </c>
      <c r="G2031" s="27">
        <v>4.2361111111111106E-2</v>
      </c>
      <c r="J2031" s="30">
        <f>IF(G2031&lt;$H$10,$H$16,IF(G2031&gt;$I$10,$H$16,$H$11))*E2031/600</f>
        <v>5.295010000000001E-3</v>
      </c>
      <c r="L2031" s="32">
        <f>$J2031*($G2031-$G2030)*60*24</f>
        <v>5.295009999999982E-3</v>
      </c>
    </row>
    <row r="2032" spans="1:12">
      <c r="A2032" s="22">
        <v>40312.043055555558</v>
      </c>
      <c r="E2032" s="26">
        <v>16.100234</v>
      </c>
      <c r="G2032" s="27">
        <v>4.3055555555555562E-2</v>
      </c>
      <c r="J2032" s="30">
        <f>IF(G2032&lt;$H$10,$H$16,IF(G2032&gt;$I$10,$H$16,$H$11))*E2032/600</f>
        <v>5.3667446666666677E-3</v>
      </c>
      <c r="L2032" s="32">
        <f>$J2032*($G2032-$G2031)*60*24</f>
        <v>5.3667446666667562E-3</v>
      </c>
    </row>
    <row r="2033" spans="1:12">
      <c r="A2033" s="22">
        <v>40312.043749999997</v>
      </c>
      <c r="E2033" s="26">
        <v>15.96945</v>
      </c>
      <c r="G2033" s="27">
        <v>4.3750000000000004E-2</v>
      </c>
      <c r="J2033" s="30">
        <f>IF(G2033&lt;$H$10,$H$16,IF(G2033&gt;$I$10,$H$16,$H$11))*E2033/600</f>
        <v>5.3231500000000005E-3</v>
      </c>
      <c r="L2033" s="32">
        <f>$J2033*($G2033-$G2032)*60*24</f>
        <v>5.3231499999999814E-3</v>
      </c>
    </row>
    <row r="2034" spans="1:12">
      <c r="A2034" s="22">
        <v>40312.044444444444</v>
      </c>
      <c r="E2034" s="26">
        <v>15.95538</v>
      </c>
      <c r="G2034" s="27">
        <v>4.4444444444444446E-2</v>
      </c>
      <c r="J2034" s="30">
        <f>IF(G2034&lt;$H$10,$H$16,IF(G2034&gt;$I$10,$H$16,$H$11))*E2034/600</f>
        <v>5.3184600000000005E-3</v>
      </c>
      <c r="L2034" s="32">
        <f>$J2034*($G2034-$G2033)*60*24</f>
        <v>5.3184599999999815E-3</v>
      </c>
    </row>
    <row r="2035" spans="1:12">
      <c r="A2035" s="22">
        <v>40312.045138888891</v>
      </c>
      <c r="E2035" s="26">
        <v>15.96945</v>
      </c>
      <c r="G2035" s="27">
        <v>4.5138888888888888E-2</v>
      </c>
      <c r="J2035" s="30">
        <f>IF(G2035&lt;$H$10,$H$16,IF(G2035&gt;$I$10,$H$16,$H$11))*E2035/600</f>
        <v>5.3231500000000005E-3</v>
      </c>
      <c r="L2035" s="32">
        <f>$J2035*($G2035-$G2034)*60*24</f>
        <v>5.3231499999999814E-3</v>
      </c>
    </row>
    <row r="2036" spans="1:12">
      <c r="A2036" s="22">
        <v>40312.04583333333</v>
      </c>
      <c r="E2036" s="26">
        <v>16.032765000000001</v>
      </c>
      <c r="G2036" s="27">
        <v>4.5833333333333337E-2</v>
      </c>
      <c r="J2036" s="30">
        <f>IF(G2036&lt;$H$10,$H$16,IF(G2036&gt;$I$10,$H$16,$H$11))*E2036/600</f>
        <v>5.3442550000000009E-3</v>
      </c>
      <c r="L2036" s="32">
        <f>$J2036*($G2036-$G2035)*60*24</f>
        <v>5.3442550000000347E-3</v>
      </c>
    </row>
    <row r="2037" spans="1:12">
      <c r="A2037" s="22">
        <v>40312.046527777777</v>
      </c>
      <c r="E2037" s="26">
        <v>16.004625000000001</v>
      </c>
      <c r="G2037" s="27">
        <v>4.6527777777777779E-2</v>
      </c>
      <c r="J2037" s="30">
        <f>IF(G2037&lt;$H$10,$H$16,IF(G2037&gt;$I$10,$H$16,$H$11))*E2037/600</f>
        <v>5.3348750000000002E-3</v>
      </c>
      <c r="L2037" s="32">
        <f>$J2037*($G2037-$G2036)*60*24</f>
        <v>5.3348749999999811E-3</v>
      </c>
    </row>
    <row r="2038" spans="1:12">
      <c r="A2038" s="22">
        <v>40312.047222222223</v>
      </c>
      <c r="E2038" s="26">
        <v>15.96945</v>
      </c>
      <c r="G2038" s="27">
        <v>4.7222222222222221E-2</v>
      </c>
      <c r="J2038" s="30">
        <f>IF(G2038&lt;$H$10,$H$16,IF(G2038&gt;$I$10,$H$16,$H$11))*E2038/600</f>
        <v>5.3231500000000005E-3</v>
      </c>
      <c r="L2038" s="32">
        <f>$J2038*($G2038-$G2037)*60*24</f>
        <v>5.3231499999999814E-3</v>
      </c>
    </row>
    <row r="2039" spans="1:12">
      <c r="A2039" s="22">
        <v>40312.04791666667</v>
      </c>
      <c r="E2039" s="26">
        <v>15.96945</v>
      </c>
      <c r="G2039" s="27">
        <v>4.7916666666666663E-2</v>
      </c>
      <c r="J2039" s="30">
        <f>IF(G2039&lt;$H$10,$H$16,IF(G2039&gt;$I$10,$H$16,$H$11))*E2039/600</f>
        <v>5.3231500000000005E-3</v>
      </c>
      <c r="L2039" s="32">
        <f>$J2039*($G2039-$G2038)*60*24</f>
        <v>5.3231499999999814E-3</v>
      </c>
    </row>
    <row r="2040" spans="1:12">
      <c r="A2040" s="22">
        <v>40312.048611111109</v>
      </c>
      <c r="E2040" s="26">
        <v>16.071826000000001</v>
      </c>
      <c r="G2040" s="27">
        <v>4.8611111111111112E-2</v>
      </c>
      <c r="J2040" s="30">
        <f>IF(G2040&lt;$H$10,$H$16,IF(G2040&gt;$I$10,$H$16,$H$11))*E2040/600</f>
        <v>5.3572753333333339E-3</v>
      </c>
      <c r="L2040" s="32">
        <f>$J2040*($G2040-$G2039)*60*24</f>
        <v>5.3572753333333686E-3</v>
      </c>
    </row>
    <row r="2041" spans="1:12">
      <c r="A2041" s="22">
        <v>40312.049305555556</v>
      </c>
      <c r="E2041" s="26">
        <v>15.997590000000001</v>
      </c>
      <c r="G2041" s="27">
        <v>4.9305555555555554E-2</v>
      </c>
      <c r="J2041" s="30">
        <f>IF(G2041&lt;$H$10,$H$16,IF(G2041&gt;$I$10,$H$16,$H$11))*E2041/600</f>
        <v>5.3325300000000003E-3</v>
      </c>
      <c r="L2041" s="32">
        <f>$J2041*($G2041-$G2040)*60*24</f>
        <v>5.3325299999999812E-3</v>
      </c>
    </row>
    <row r="2042" spans="1:12">
      <c r="A2042" s="22">
        <v>40312.050000000003</v>
      </c>
      <c r="E2042" s="26">
        <v>15.997590000000001</v>
      </c>
      <c r="G2042" s="27">
        <v>4.9999999999999996E-2</v>
      </c>
      <c r="J2042" s="30">
        <f>IF(G2042&lt;$H$10,$H$16,IF(G2042&gt;$I$10,$H$16,$H$11))*E2042/600</f>
        <v>5.3325300000000003E-3</v>
      </c>
      <c r="L2042" s="32">
        <f>$J2042*($G2042-$G2041)*60*24</f>
        <v>5.3325299999999812E-3</v>
      </c>
    </row>
    <row r="2043" spans="1:12">
      <c r="A2043" s="22">
        <v>40312.050694444442</v>
      </c>
      <c r="E2043" s="26">
        <v>16.004625000000001</v>
      </c>
      <c r="G2043" s="27">
        <v>5.0694444444444452E-2</v>
      </c>
      <c r="J2043" s="30">
        <f>IF(G2043&lt;$H$10,$H$16,IF(G2043&gt;$I$10,$H$16,$H$11))*E2043/600</f>
        <v>5.3348750000000002E-3</v>
      </c>
      <c r="L2043" s="32">
        <f>$J2043*($G2043-$G2042)*60*24</f>
        <v>5.3348750000000878E-3</v>
      </c>
    </row>
    <row r="2044" spans="1:12">
      <c r="A2044" s="22">
        <v>40312.051388888889</v>
      </c>
      <c r="E2044" s="26">
        <v>15.990555000000001</v>
      </c>
      <c r="G2044" s="27">
        <v>5.1388888888888894E-2</v>
      </c>
      <c r="J2044" s="30">
        <f>IF(G2044&lt;$H$10,$H$16,IF(G2044&gt;$I$10,$H$16,$H$11))*E2044/600</f>
        <v>5.3301850000000003E-3</v>
      </c>
      <c r="L2044" s="32">
        <f>$J2044*($G2044-$G2043)*60*24</f>
        <v>5.3301849999999821E-3</v>
      </c>
    </row>
    <row r="2045" spans="1:12">
      <c r="A2045" s="22">
        <v>40312.052083333336</v>
      </c>
      <c r="E2045" s="26">
        <v>16.018695000000001</v>
      </c>
      <c r="G2045" s="27">
        <v>5.2083333333333336E-2</v>
      </c>
      <c r="J2045" s="30">
        <f>IF(G2045&lt;$H$10,$H$16,IF(G2045&gt;$I$10,$H$16,$H$11))*E2045/600</f>
        <v>5.339565000000001E-3</v>
      </c>
      <c r="L2045" s="32">
        <f>$J2045*($G2045-$G2044)*60*24</f>
        <v>5.3395649999999819E-3</v>
      </c>
    </row>
    <row r="2046" spans="1:12">
      <c r="A2046" s="22">
        <v>40312.052777777775</v>
      </c>
      <c r="E2046" s="26">
        <v>15.990555000000001</v>
      </c>
      <c r="G2046" s="27">
        <v>5.2777777777777778E-2</v>
      </c>
      <c r="J2046" s="30">
        <f>IF(G2046&lt;$H$10,$H$16,IF(G2046&gt;$I$10,$H$16,$H$11))*E2046/600</f>
        <v>5.3301850000000003E-3</v>
      </c>
      <c r="L2046" s="32">
        <f>$J2046*($G2046-$G2045)*60*24</f>
        <v>5.3301849999999821E-3</v>
      </c>
    </row>
    <row r="2047" spans="1:12">
      <c r="A2047" s="22">
        <v>40312.053472222222</v>
      </c>
      <c r="E2047" s="26">
        <v>15.866928</v>
      </c>
      <c r="G2047" s="27">
        <v>5.347222222222222E-2</v>
      </c>
      <c r="J2047" s="30">
        <f>IF(G2047&lt;$H$10,$H$16,IF(G2047&gt;$I$10,$H$16,$H$11))*E2047/600</f>
        <v>5.2889759999999999E-3</v>
      </c>
      <c r="L2047" s="32">
        <f>$J2047*($G2047-$G2046)*60*24</f>
        <v>5.2889759999999808E-3</v>
      </c>
    </row>
    <row r="2048" spans="1:12">
      <c r="A2048" s="22">
        <v>40312.054166666669</v>
      </c>
      <c r="E2048" s="26">
        <v>16.12154</v>
      </c>
      <c r="G2048" s="27">
        <v>5.4166666666666669E-2</v>
      </c>
      <c r="J2048" s="30">
        <f>IF(G2048&lt;$H$10,$H$16,IF(G2048&gt;$I$10,$H$16,$H$11))*E2048/600</f>
        <v>5.373846666666667E-3</v>
      </c>
      <c r="L2048" s="32">
        <f>$J2048*($G2048-$G2047)*60*24</f>
        <v>5.3738466666667026E-3</v>
      </c>
    </row>
    <row r="2049" spans="1:12">
      <c r="A2049" s="22">
        <v>40312.054861111108</v>
      </c>
      <c r="E2049" s="26">
        <v>15.866928</v>
      </c>
      <c r="G2049" s="27">
        <v>5.486111111111111E-2</v>
      </c>
      <c r="J2049" s="30">
        <f>IF(G2049&lt;$H$10,$H$16,IF(G2049&gt;$I$10,$H$16,$H$11))*E2049/600</f>
        <v>5.2889759999999999E-3</v>
      </c>
      <c r="L2049" s="32">
        <f>$J2049*($G2049-$G2048)*60*24</f>
        <v>5.2889759999999808E-3</v>
      </c>
    </row>
    <row r="2050" spans="1:12">
      <c r="A2050" s="22">
        <v>40312.055555555555</v>
      </c>
      <c r="E2050" s="26">
        <v>16.12154</v>
      </c>
      <c r="G2050" s="27">
        <v>5.5555555555555552E-2</v>
      </c>
      <c r="J2050" s="30">
        <f>IF(G2050&lt;$H$10,$H$16,IF(G2050&gt;$I$10,$H$16,$H$11))*E2050/600</f>
        <v>5.373846666666667E-3</v>
      </c>
      <c r="L2050" s="32">
        <f>$J2050*($G2050-$G2049)*60*24</f>
        <v>5.3738466666666479E-3</v>
      </c>
    </row>
    <row r="2051" spans="1:12">
      <c r="A2051" s="22">
        <v>40312.056250000001</v>
      </c>
      <c r="E2051" s="26">
        <v>15.859932000000001</v>
      </c>
      <c r="G2051" s="27">
        <v>5.6250000000000001E-2</v>
      </c>
      <c r="J2051" s="30">
        <f>IF(G2051&lt;$H$10,$H$16,IF(G2051&gt;$I$10,$H$16,$H$11))*E2051/600</f>
        <v>5.2866440000000001E-3</v>
      </c>
      <c r="L2051" s="32">
        <f>$J2051*($G2051-$G2050)*60*24</f>
        <v>5.2866440000000339E-3</v>
      </c>
    </row>
    <row r="2052" spans="1:12">
      <c r="A2052" s="22">
        <v>40312.056944444441</v>
      </c>
      <c r="E2052" s="26">
        <v>15.866928</v>
      </c>
      <c r="G2052" s="27">
        <v>5.6944444444444443E-2</v>
      </c>
      <c r="J2052" s="30">
        <f>IF(G2052&lt;$H$10,$H$16,IF(G2052&gt;$I$10,$H$16,$H$11))*E2052/600</f>
        <v>5.2889759999999999E-3</v>
      </c>
      <c r="L2052" s="32">
        <f>$J2052*($G2052-$G2051)*60*24</f>
        <v>5.2889759999999808E-3</v>
      </c>
    </row>
    <row r="2053" spans="1:12">
      <c r="A2053" s="22">
        <v>40312.057638888888</v>
      </c>
      <c r="E2053" s="26">
        <v>15.81096</v>
      </c>
      <c r="G2053" s="27">
        <v>5.7638888888888885E-2</v>
      </c>
      <c r="J2053" s="30">
        <f>IF(G2053&lt;$H$10,$H$16,IF(G2053&gt;$I$10,$H$16,$H$11))*E2053/600</f>
        <v>5.2703200000000002E-3</v>
      </c>
      <c r="L2053" s="32">
        <f>$J2053*($G2053-$G2052)*60*24</f>
        <v>5.2703199999999811E-3</v>
      </c>
    </row>
    <row r="2054" spans="1:12">
      <c r="A2054" s="22">
        <v>40312.058333333334</v>
      </c>
      <c r="E2054" s="26">
        <v>15.831948000000001</v>
      </c>
      <c r="G2054" s="27">
        <v>5.8333333333333327E-2</v>
      </c>
      <c r="J2054" s="30">
        <f>IF(G2054&lt;$H$10,$H$16,IF(G2054&gt;$I$10,$H$16,$H$11))*E2054/600</f>
        <v>5.2773160000000006E-3</v>
      </c>
      <c r="L2054" s="32">
        <f>$J2054*($G2054-$G2053)*60*24</f>
        <v>5.2773159999999824E-3</v>
      </c>
    </row>
    <row r="2055" spans="1:12">
      <c r="A2055" s="22">
        <v>40312.059027777781</v>
      </c>
      <c r="E2055" s="26">
        <v>15.852936</v>
      </c>
      <c r="G2055" s="27">
        <v>5.9027777777777783E-2</v>
      </c>
      <c r="J2055" s="30">
        <f>IF(G2055&lt;$H$10,$H$16,IF(G2055&gt;$I$10,$H$16,$H$11))*E2055/600</f>
        <v>5.2843120000000002E-3</v>
      </c>
      <c r="L2055" s="32">
        <f>$J2055*($G2055-$G2054)*60*24</f>
        <v>5.2843120000000878E-3</v>
      </c>
    </row>
    <row r="2056" spans="1:12">
      <c r="A2056" s="22">
        <v>40312.05972222222</v>
      </c>
      <c r="E2056" s="26">
        <v>15.887916000000001</v>
      </c>
      <c r="G2056" s="27">
        <v>5.9722222222222225E-2</v>
      </c>
      <c r="J2056" s="30">
        <f>IF(G2056&lt;$H$10,$H$16,IF(G2056&gt;$I$10,$H$16,$H$11))*E2056/600</f>
        <v>5.2959720000000004E-3</v>
      </c>
      <c r="L2056" s="32">
        <f>$J2056*($G2056-$G2055)*60*24</f>
        <v>5.2959719999999821E-3</v>
      </c>
    </row>
    <row r="2057" spans="1:12">
      <c r="A2057" s="22">
        <v>40312.060416666667</v>
      </c>
      <c r="E2057" s="26">
        <v>16.087236000000001</v>
      </c>
      <c r="G2057" s="27">
        <v>6.0416666666666667E-2</v>
      </c>
      <c r="J2057" s="30">
        <f>IF(G2057&lt;$H$10,$H$16,IF(G2057&gt;$I$10,$H$16,$H$11))*E2057/600</f>
        <v>5.3624120000000004E-3</v>
      </c>
      <c r="L2057" s="32">
        <f>$J2057*($G2057-$G2056)*60*24</f>
        <v>5.3624119999999813E-3</v>
      </c>
    </row>
    <row r="2058" spans="1:12">
      <c r="A2058" s="22">
        <v>40312.061111111114</v>
      </c>
      <c r="E2058" s="26">
        <v>16.058987999999999</v>
      </c>
      <c r="G2058" s="27">
        <v>6.1111111111111116E-2</v>
      </c>
      <c r="J2058" s="30">
        <f>IF(G2058&lt;$H$10,$H$16,IF(G2058&gt;$I$10,$H$16,$H$11))*E2058/600</f>
        <v>5.3529960000000005E-3</v>
      </c>
      <c r="L2058" s="32">
        <f>$J2058*($G2058-$G2057)*60*24</f>
        <v>5.3529960000000352E-3</v>
      </c>
    </row>
    <row r="2059" spans="1:12">
      <c r="A2059" s="22">
        <v>40312.061805555553</v>
      </c>
      <c r="E2059" s="26">
        <v>16.058987999999999</v>
      </c>
      <c r="G2059" s="27">
        <v>6.1805555555555558E-2</v>
      </c>
      <c r="J2059" s="30">
        <f>IF(G2059&lt;$H$10,$H$16,IF(G2059&gt;$I$10,$H$16,$H$11))*E2059/600</f>
        <v>5.3529960000000005E-3</v>
      </c>
      <c r="L2059" s="32">
        <f>$J2059*($G2059-$G2058)*60*24</f>
        <v>5.3529959999999814E-3</v>
      </c>
    </row>
    <row r="2060" spans="1:12">
      <c r="A2060" s="22">
        <v>40312.0625</v>
      </c>
      <c r="E2060" s="26">
        <v>16.094297999999998</v>
      </c>
      <c r="G2060" s="27">
        <v>6.25E-2</v>
      </c>
      <c r="J2060" s="30">
        <f>IF(G2060&lt;$H$10,$H$16,IF(G2060&gt;$I$10,$H$16,$H$11))*E2060/600</f>
        <v>5.364766E-3</v>
      </c>
      <c r="L2060" s="32">
        <f>$J2060*($G2060-$G2059)*60*24</f>
        <v>5.3647659999999809E-3</v>
      </c>
    </row>
    <row r="2061" spans="1:12">
      <c r="A2061" s="22">
        <v>40312.063194444447</v>
      </c>
      <c r="E2061" s="26">
        <v>16.136669999999999</v>
      </c>
      <c r="G2061" s="27">
        <v>6.3194444444444442E-2</v>
      </c>
      <c r="J2061" s="30">
        <f>IF(G2061&lt;$H$10,$H$16,IF(G2061&gt;$I$10,$H$16,$H$11))*E2061/600</f>
        <v>5.3788899999999999E-3</v>
      </c>
      <c r="L2061" s="32">
        <f>$J2061*($G2061-$G2060)*60*24</f>
        <v>5.3788899999999808E-3</v>
      </c>
    </row>
    <row r="2062" spans="1:12">
      <c r="A2062" s="22">
        <v>40312.063888888886</v>
      </c>
      <c r="E2062" s="26">
        <v>16.069811999999999</v>
      </c>
      <c r="G2062" s="27">
        <v>6.3888888888888884E-2</v>
      </c>
      <c r="J2062" s="30">
        <f>IF(G2062&lt;$H$10,$H$16,IF(G2062&gt;$I$10,$H$16,$H$11))*E2062/600</f>
        <v>5.3566040000000001E-3</v>
      </c>
      <c r="L2062" s="32">
        <f>$J2062*($G2062-$G2061)*60*24</f>
        <v>5.356603999999981E-3</v>
      </c>
    </row>
    <row r="2063" spans="1:12">
      <c r="A2063" s="22">
        <v>40312.064583333333</v>
      </c>
      <c r="E2063" s="26">
        <v>16.320395999999999</v>
      </c>
      <c r="G2063" s="27">
        <v>6.458333333333334E-2</v>
      </c>
      <c r="J2063" s="30">
        <f>IF(G2063&lt;$H$10,$H$16,IF(G2063&gt;$I$10,$H$16,$H$11))*E2063/600</f>
        <v>5.4401319999999994E-3</v>
      </c>
      <c r="L2063" s="32">
        <f>$J2063*($G2063-$G2062)*60*24</f>
        <v>5.4401320000000888E-3</v>
      </c>
    </row>
    <row r="2064" spans="1:12">
      <c r="A2064" s="22">
        <v>40312.06527777778</v>
      </c>
      <c r="E2064" s="26">
        <v>16.313293999999999</v>
      </c>
      <c r="G2064" s="27">
        <v>6.5277777777777782E-2</v>
      </c>
      <c r="J2064" s="30">
        <f>IF(G2064&lt;$H$10,$H$16,IF(G2064&gt;$I$10,$H$16,$H$11))*E2064/600</f>
        <v>5.4377646666666666E-3</v>
      </c>
      <c r="L2064" s="32">
        <f>$J2064*($G2064-$G2063)*60*24</f>
        <v>5.4377646666666475E-3</v>
      </c>
    </row>
    <row r="2065" spans="1:12">
      <c r="A2065" s="22">
        <v>40312.065972222219</v>
      </c>
      <c r="E2065" s="26">
        <v>16.277784</v>
      </c>
      <c r="G2065" s="27">
        <v>6.5972222222222224E-2</v>
      </c>
      <c r="J2065" s="30">
        <f>IF(G2065&lt;$H$10,$H$16,IF(G2065&gt;$I$10,$H$16,$H$11))*E2065/600</f>
        <v>5.4259280000000009E-3</v>
      </c>
      <c r="L2065" s="32">
        <f>$J2065*($G2065-$G2064)*60*24</f>
        <v>5.4259279999999818E-3</v>
      </c>
    </row>
    <row r="2066" spans="1:12">
      <c r="A2066" s="22">
        <v>40312.066666666666</v>
      </c>
      <c r="E2066" s="26">
        <v>16.284886</v>
      </c>
      <c r="G2066" s="27">
        <v>6.6666666666666666E-2</v>
      </c>
      <c r="J2066" s="30">
        <f>IF(G2066&lt;$H$10,$H$16,IF(G2066&gt;$I$10,$H$16,$H$11))*E2066/600</f>
        <v>5.4282953333333337E-3</v>
      </c>
      <c r="L2066" s="32">
        <f>$J2066*($G2066-$G2065)*60*24</f>
        <v>5.4282953333333146E-3</v>
      </c>
    </row>
    <row r="2067" spans="1:12">
      <c r="A2067" s="22">
        <v>40312.067361111112</v>
      </c>
      <c r="E2067" s="26">
        <v>16.29909</v>
      </c>
      <c r="G2067" s="27">
        <v>6.7361111111111108E-2</v>
      </c>
      <c r="J2067" s="30">
        <f>IF(G2067&lt;$H$10,$H$16,IF(G2067&gt;$I$10,$H$16,$H$11))*E2067/600</f>
        <v>5.4330300000000002E-3</v>
      </c>
      <c r="L2067" s="32">
        <f>$J2067*($G2067-$G2066)*60*24</f>
        <v>5.4330299999999811E-3</v>
      </c>
    </row>
    <row r="2068" spans="1:12">
      <c r="A2068" s="22">
        <v>40312.068055555559</v>
      </c>
      <c r="E2068" s="26">
        <v>16.02084</v>
      </c>
      <c r="G2068" s="27">
        <v>6.805555555555555E-2</v>
      </c>
      <c r="J2068" s="30">
        <f>IF(G2068&lt;$H$10,$H$16,IF(G2068&gt;$I$10,$H$16,$H$11))*E2068/600</f>
        <v>5.3402800000000002E-3</v>
      </c>
      <c r="L2068" s="32">
        <f>$J2068*($G2068-$G2067)*60*24</f>
        <v>5.3402799999999811E-3</v>
      </c>
    </row>
    <row r="2069" spans="1:12">
      <c r="A2069" s="22">
        <v>40312.068749999999</v>
      </c>
      <c r="E2069" s="26">
        <v>16.270682000000001</v>
      </c>
      <c r="G2069" s="27">
        <v>6.8749999999999992E-2</v>
      </c>
      <c r="J2069" s="30">
        <f>IF(G2069&lt;$H$10,$H$16,IF(G2069&gt;$I$10,$H$16,$H$11))*E2069/600</f>
        <v>5.4235606666666672E-3</v>
      </c>
      <c r="L2069" s="32">
        <f>$J2069*($G2069-$G2068)*60*24</f>
        <v>5.4235606666666481E-3</v>
      </c>
    </row>
    <row r="2070" spans="1:12">
      <c r="A2070" s="22">
        <v>40312.069444444445</v>
      </c>
      <c r="E2070" s="26">
        <v>16.284886</v>
      </c>
      <c r="G2070" s="27">
        <v>6.9444444444444434E-2</v>
      </c>
      <c r="J2070" s="30">
        <f>IF(G2070&lt;$H$10,$H$16,IF(G2070&gt;$I$10,$H$16,$H$11))*E2070/600</f>
        <v>5.4282953333333337E-3</v>
      </c>
      <c r="L2070" s="32">
        <f>$J2070*($G2070-$G2069)*60*24</f>
        <v>5.4282953333333146E-3</v>
      </c>
    </row>
    <row r="2071" spans="1:12">
      <c r="A2071" s="22">
        <v>40312.070138888892</v>
      </c>
      <c r="E2071" s="26">
        <v>16.284886</v>
      </c>
      <c r="G2071" s="27">
        <v>7.013888888888889E-2</v>
      </c>
      <c r="J2071" s="30">
        <f>IF(G2071&lt;$H$10,$H$16,IF(G2071&gt;$I$10,$H$16,$H$11))*E2071/600</f>
        <v>5.4282953333333337E-3</v>
      </c>
      <c r="L2071" s="32">
        <f>$J2071*($G2071-$G2070)*60*24</f>
        <v>5.428295333333423E-3</v>
      </c>
    </row>
    <row r="2072" spans="1:12">
      <c r="A2072" s="22">
        <v>40312.070833333331</v>
      </c>
      <c r="E2072" s="26">
        <v>16.263580000000001</v>
      </c>
      <c r="G2072" s="27">
        <v>7.0833333333333331E-2</v>
      </c>
      <c r="J2072" s="30">
        <f>IF(G2072&lt;$H$10,$H$16,IF(G2072&gt;$I$10,$H$16,$H$11))*E2072/600</f>
        <v>5.4211933333333344E-3</v>
      </c>
      <c r="L2072" s="32">
        <f>$J2072*($G2072-$G2071)*60*24</f>
        <v>5.4211933333333153E-3</v>
      </c>
    </row>
    <row r="2073" spans="1:12">
      <c r="A2073" s="22">
        <v>40312.071527777778</v>
      </c>
      <c r="E2073" s="26">
        <v>16.277784</v>
      </c>
      <c r="G2073" s="27">
        <v>7.1527777777777787E-2</v>
      </c>
      <c r="J2073" s="30">
        <f>IF(G2073&lt;$H$10,$H$16,IF(G2073&gt;$I$10,$H$16,$H$11))*E2073/600</f>
        <v>5.4259280000000009E-3</v>
      </c>
      <c r="L2073" s="32">
        <f>$J2073*($G2073-$G2072)*60*24</f>
        <v>5.4259280000000902E-3</v>
      </c>
    </row>
    <row r="2074" spans="1:12">
      <c r="A2074" s="22">
        <v>40312.072222222225</v>
      </c>
      <c r="E2074" s="26">
        <v>16.29909</v>
      </c>
      <c r="G2074" s="27">
        <v>7.2222222222222229E-2</v>
      </c>
      <c r="J2074" s="30">
        <f>IF(G2074&lt;$H$10,$H$16,IF(G2074&gt;$I$10,$H$16,$H$11))*E2074/600</f>
        <v>5.4330300000000002E-3</v>
      </c>
      <c r="L2074" s="32">
        <f>$J2074*($G2074-$G2073)*60*24</f>
        <v>5.4330299999999811E-3</v>
      </c>
    </row>
    <row r="2075" spans="1:12">
      <c r="A2075" s="22">
        <v>40312.072916666664</v>
      </c>
      <c r="E2075" s="26">
        <v>16.320395999999999</v>
      </c>
      <c r="G2075" s="27">
        <v>7.2916666666666671E-2</v>
      </c>
      <c r="J2075" s="30">
        <f>IF(G2075&lt;$H$10,$H$16,IF(G2075&gt;$I$10,$H$16,$H$11))*E2075/600</f>
        <v>5.4401319999999994E-3</v>
      </c>
      <c r="L2075" s="32">
        <f>$J2075*($G2075-$G2074)*60*24</f>
        <v>5.4401319999999795E-3</v>
      </c>
    </row>
    <row r="2076" spans="1:12">
      <c r="A2076" s="22">
        <v>40312.073611111111</v>
      </c>
      <c r="E2076" s="26">
        <v>15.999852000000001</v>
      </c>
      <c r="G2076" s="27">
        <v>7.3611111111111113E-2</v>
      </c>
      <c r="J2076" s="30">
        <f>IF(G2076&lt;$H$10,$H$16,IF(G2076&gt;$I$10,$H$16,$H$11))*E2076/600</f>
        <v>5.3332840000000006E-3</v>
      </c>
      <c r="L2076" s="32">
        <f>$J2076*($G2076-$G2075)*60*24</f>
        <v>5.3332839999999816E-3</v>
      </c>
    </row>
    <row r="2077" spans="1:12">
      <c r="A2077" s="22">
        <v>40312.074305555558</v>
      </c>
      <c r="E2077" s="26">
        <v>16.213865999999999</v>
      </c>
      <c r="G2077" s="27">
        <v>7.4305555555555555E-2</v>
      </c>
      <c r="J2077" s="30">
        <f>IF(G2077&lt;$H$10,$H$16,IF(G2077&gt;$I$10,$H$16,$H$11))*E2077/600</f>
        <v>5.4046220000000004E-3</v>
      </c>
      <c r="L2077" s="32">
        <f>$J2077*($G2077-$G2076)*60*24</f>
        <v>5.4046219999999813E-3</v>
      </c>
    </row>
    <row r="2078" spans="1:12">
      <c r="A2078" s="22">
        <v>40312.074999999997</v>
      </c>
      <c r="E2078" s="26">
        <v>15.922896</v>
      </c>
      <c r="G2078" s="27">
        <v>7.4999999999999997E-2</v>
      </c>
      <c r="J2078" s="30">
        <f>IF(G2078&lt;$H$10,$H$16,IF(G2078&gt;$I$10,$H$16,$H$11))*E2078/600</f>
        <v>5.3076319999999996E-3</v>
      </c>
      <c r="L2078" s="32">
        <f>$J2078*($G2078-$G2077)*60*24</f>
        <v>5.3076319999999805E-3</v>
      </c>
    </row>
    <row r="2079" spans="1:12">
      <c r="A2079" s="22">
        <v>40312.075694444444</v>
      </c>
      <c r="E2079" s="26">
        <v>15.901908000000001</v>
      </c>
      <c r="G2079" s="27">
        <v>7.5694444444444439E-2</v>
      </c>
      <c r="J2079" s="30">
        <f>IF(G2079&lt;$H$10,$H$16,IF(G2079&gt;$I$10,$H$16,$H$11))*E2079/600</f>
        <v>5.3006360000000009E-3</v>
      </c>
      <c r="L2079" s="32">
        <f>$J2079*($G2079-$G2078)*60*24</f>
        <v>5.3006359999999818E-3</v>
      </c>
    </row>
    <row r="2080" spans="1:12">
      <c r="A2080" s="22">
        <v>40312.076388888891</v>
      </c>
      <c r="E2080" s="26">
        <v>15.866928</v>
      </c>
      <c r="G2080" s="27">
        <v>7.6388888888888895E-2</v>
      </c>
      <c r="J2080" s="30">
        <f>IF(G2080&lt;$H$10,$H$16,IF(G2080&gt;$I$10,$H$16,$H$11))*E2080/600</f>
        <v>5.2889759999999999E-3</v>
      </c>
      <c r="L2080" s="32">
        <f>$J2080*($G2080-$G2079)*60*24</f>
        <v>5.2889760000000867E-3</v>
      </c>
    </row>
    <row r="2081" spans="1:12">
      <c r="A2081" s="22">
        <v>40312.07708333333</v>
      </c>
      <c r="E2081" s="26">
        <v>15.887916000000001</v>
      </c>
      <c r="G2081" s="27">
        <v>7.7083333333333337E-2</v>
      </c>
      <c r="J2081" s="30">
        <f>IF(G2081&lt;$H$10,$H$16,IF(G2081&gt;$I$10,$H$16,$H$11))*E2081/600</f>
        <v>5.2959720000000004E-3</v>
      </c>
      <c r="L2081" s="32">
        <f>$J2081*($G2081-$G2080)*60*24</f>
        <v>5.2959719999999821E-3</v>
      </c>
    </row>
    <row r="2082" spans="1:12">
      <c r="A2082" s="22">
        <v>40312.077777777777</v>
      </c>
      <c r="E2082" s="26">
        <v>15.88092</v>
      </c>
      <c r="G2082" s="27">
        <v>7.7777777777777779E-2</v>
      </c>
      <c r="J2082" s="30">
        <f>IF(G2082&lt;$H$10,$H$16,IF(G2082&gt;$I$10,$H$16,$H$11))*E2082/600</f>
        <v>5.2936400000000005E-3</v>
      </c>
      <c r="L2082" s="32">
        <f>$J2082*($G2082-$G2081)*60*24</f>
        <v>5.2936399999999814E-3</v>
      </c>
    </row>
    <row r="2083" spans="1:12">
      <c r="A2083" s="22">
        <v>40312.078472222223</v>
      </c>
      <c r="E2083" s="26">
        <v>15.915900000000001</v>
      </c>
      <c r="G2083" s="27">
        <v>7.8472222222222221E-2</v>
      </c>
      <c r="J2083" s="30">
        <f>IF(G2083&lt;$H$10,$H$16,IF(G2083&gt;$I$10,$H$16,$H$11))*E2083/600</f>
        <v>5.3052999999999998E-3</v>
      </c>
      <c r="L2083" s="32">
        <f>$J2083*($G2083-$G2082)*60*24</f>
        <v>5.3052999999999807E-3</v>
      </c>
    </row>
    <row r="2084" spans="1:12">
      <c r="A2084" s="22">
        <v>40312.07916666667</v>
      </c>
      <c r="E2084" s="26">
        <v>15.964872</v>
      </c>
      <c r="G2084" s="27">
        <v>7.9166666666666663E-2</v>
      </c>
      <c r="J2084" s="30">
        <f>IF(G2084&lt;$H$10,$H$16,IF(G2084&gt;$I$10,$H$16,$H$11))*E2084/600</f>
        <v>5.3216240000000005E-3</v>
      </c>
      <c r="L2084" s="32">
        <f>$J2084*($G2084-$G2083)*60*24</f>
        <v>5.3216239999999814E-3</v>
      </c>
    </row>
    <row r="2085" spans="1:12">
      <c r="A2085" s="22">
        <v>40312.079861111109</v>
      </c>
      <c r="E2085" s="26">
        <v>16.115483999999999</v>
      </c>
      <c r="G2085" s="27">
        <v>7.9861111111111105E-2</v>
      </c>
      <c r="J2085" s="30">
        <f>IF(G2085&lt;$H$10,$H$16,IF(G2085&gt;$I$10,$H$16,$H$11))*E2085/600</f>
        <v>5.3718280000000004E-3</v>
      </c>
      <c r="L2085" s="32">
        <f>$J2085*($G2085-$G2084)*60*24</f>
        <v>5.3718279999999813E-3</v>
      </c>
    </row>
    <row r="2086" spans="1:12">
      <c r="A2086" s="22">
        <v>40312.080555555556</v>
      </c>
      <c r="E2086" s="26">
        <v>15.992856</v>
      </c>
      <c r="G2086" s="27">
        <v>8.0555555555555561E-2</v>
      </c>
      <c r="J2086" s="30">
        <f>IF(G2086&lt;$H$10,$H$16,IF(G2086&gt;$I$10,$H$16,$H$11))*E2086/600</f>
        <v>5.3309519999999999E-3</v>
      </c>
      <c r="L2086" s="32">
        <f>$J2086*($G2086-$G2085)*60*24</f>
        <v>5.3309520000000875E-3</v>
      </c>
    </row>
    <row r="2087" spans="1:12">
      <c r="A2087" s="22">
        <v>40312.081250000003</v>
      </c>
      <c r="E2087" s="26">
        <v>15.922896</v>
      </c>
      <c r="G2087" s="27">
        <v>8.1250000000000003E-2</v>
      </c>
      <c r="J2087" s="30">
        <f>IF(G2087&lt;$H$10,$H$16,IF(G2087&gt;$I$10,$H$16,$H$11))*E2087/600</f>
        <v>5.3076319999999996E-3</v>
      </c>
      <c r="L2087" s="32">
        <f>$J2087*($G2087-$G2086)*60*24</f>
        <v>5.3076319999999805E-3</v>
      </c>
    </row>
    <row r="2088" spans="1:12">
      <c r="A2088" s="22">
        <v>40312.081944444442</v>
      </c>
      <c r="E2088" s="26">
        <v>15.945995999999999</v>
      </c>
      <c r="G2088" s="27">
        <v>8.1944444444444445E-2</v>
      </c>
      <c r="J2088" s="30">
        <f>IF(G2088&lt;$H$10,$H$16,IF(G2088&gt;$I$10,$H$16,$H$11))*E2088/600</f>
        <v>5.3153319999999999E-3</v>
      </c>
      <c r="L2088" s="32">
        <f>$J2088*($G2088-$G2087)*60*24</f>
        <v>5.3153319999999808E-3</v>
      </c>
    </row>
    <row r="2089" spans="1:12">
      <c r="A2089" s="22">
        <v>40312.082638888889</v>
      </c>
      <c r="E2089" s="26">
        <v>15.953058</v>
      </c>
      <c r="G2089" s="27">
        <v>8.2638888888888887E-2</v>
      </c>
      <c r="J2089" s="30">
        <f>IF(G2089&lt;$H$10,$H$16,IF(G2089&gt;$I$10,$H$16,$H$11))*E2089/600</f>
        <v>5.3176860000000012E-3</v>
      </c>
      <c r="L2089" s="32">
        <f>$J2089*($G2089-$G2088)*60*24</f>
        <v>5.3176859999999829E-3</v>
      </c>
    </row>
    <row r="2090" spans="1:12">
      <c r="A2090" s="22">
        <v>40312.083333333336</v>
      </c>
      <c r="E2090" s="26">
        <v>15.766985</v>
      </c>
      <c r="G2090" s="27">
        <v>8.3333333333333329E-2</v>
      </c>
      <c r="J2090" s="30">
        <f>IF(G2090&lt;$H$10,$H$16,IF(G2090&gt;$I$10,$H$16,$H$11))*E2090/600</f>
        <v>5.2556616666666663E-3</v>
      </c>
      <c r="L2090" s="32">
        <f>$J2090*($G2090-$G2089)*60*24</f>
        <v>5.2556616666666472E-3</v>
      </c>
    </row>
    <row r="2091" spans="1:12">
      <c r="A2091" s="22">
        <v>40312.084027777775</v>
      </c>
      <c r="E2091" s="26">
        <v>15.981306</v>
      </c>
      <c r="G2091" s="27">
        <v>8.4027777777777771E-2</v>
      </c>
      <c r="J2091" s="30">
        <f>IF(G2091&lt;$H$10,$H$16,IF(G2091&gt;$I$10,$H$16,$H$11))*E2091/600</f>
        <v>5.3271020000000002E-3</v>
      </c>
      <c r="L2091" s="32">
        <f>$J2091*($G2091-$G2090)*60*24</f>
        <v>5.3271019999999811E-3</v>
      </c>
    </row>
    <row r="2092" spans="1:12">
      <c r="A2092" s="22">
        <v>40312.084722222222</v>
      </c>
      <c r="E2092" s="26">
        <v>15.974244000000001</v>
      </c>
      <c r="G2092" s="27">
        <v>8.4722222222222213E-2</v>
      </c>
      <c r="J2092" s="30">
        <f>IF(G2092&lt;$H$10,$H$16,IF(G2092&gt;$I$10,$H$16,$H$11))*E2092/600</f>
        <v>5.3247480000000007E-3</v>
      </c>
      <c r="L2092" s="32">
        <f>$J2092*($G2092-$G2091)*60*24</f>
        <v>5.3247479999999816E-3</v>
      </c>
    </row>
    <row r="2093" spans="1:12">
      <c r="A2093" s="22">
        <v>40312.085416666669</v>
      </c>
      <c r="E2093" s="26">
        <v>16.030740000000002</v>
      </c>
      <c r="G2093" s="27">
        <v>8.5416666666666655E-2</v>
      </c>
      <c r="J2093" s="30">
        <f>IF(G2093&lt;$H$10,$H$16,IF(G2093&gt;$I$10,$H$16,$H$11))*E2093/600</f>
        <v>5.3435800000000014E-3</v>
      </c>
      <c r="L2093" s="32">
        <f>$J2093*($G2093-$G2092)*60*24</f>
        <v>5.3435799999999823E-3</v>
      </c>
    </row>
    <row r="2094" spans="1:12">
      <c r="A2094" s="22">
        <v>40312.086111111108</v>
      </c>
      <c r="E2094" s="26">
        <v>16.016615999999999</v>
      </c>
      <c r="G2094" s="27">
        <v>8.6111111111111124E-2</v>
      </c>
      <c r="J2094" s="30">
        <f>IF(G2094&lt;$H$10,$H$16,IF(G2094&gt;$I$10,$H$16,$H$11))*E2094/600</f>
        <v>5.3388719999999997E-3</v>
      </c>
      <c r="L2094" s="32">
        <f>$J2094*($G2094-$G2093)*60*24</f>
        <v>5.338872000000194E-3</v>
      </c>
    </row>
    <row r="2095" spans="1:12">
      <c r="A2095" s="22">
        <v>40312.086805555555</v>
      </c>
      <c r="E2095" s="26">
        <v>15.88092</v>
      </c>
      <c r="G2095" s="27">
        <v>8.6805555555555566E-2</v>
      </c>
      <c r="J2095" s="30">
        <f>IF(G2095&lt;$H$10,$H$16,IF(G2095&gt;$I$10,$H$16,$H$11))*E2095/600</f>
        <v>5.2936400000000005E-3</v>
      </c>
      <c r="L2095" s="32">
        <f>$J2095*($G2095-$G2094)*60*24</f>
        <v>5.2936399999999814E-3</v>
      </c>
    </row>
    <row r="2096" spans="1:12">
      <c r="A2096" s="22">
        <v>40312.087500000001</v>
      </c>
      <c r="E2096" s="26">
        <v>16.002492</v>
      </c>
      <c r="G2096" s="27">
        <v>8.7500000000000008E-2</v>
      </c>
      <c r="J2096" s="30">
        <f>IF(G2096&lt;$H$10,$H$16,IF(G2096&gt;$I$10,$H$16,$H$11))*E2096/600</f>
        <v>5.3341640000000006E-3</v>
      </c>
      <c r="L2096" s="32">
        <f>$J2096*($G2096-$G2095)*60*24</f>
        <v>5.3341639999999815E-3</v>
      </c>
    </row>
    <row r="2097" spans="1:12">
      <c r="A2097" s="22">
        <v>40312.088194444441</v>
      </c>
      <c r="E2097" s="26">
        <v>16.023678</v>
      </c>
      <c r="G2097" s="27">
        <v>8.819444444444445E-2</v>
      </c>
      <c r="J2097" s="30">
        <f>IF(G2097&lt;$H$10,$H$16,IF(G2097&gt;$I$10,$H$16,$H$11))*E2097/600</f>
        <v>5.3412260000000001E-3</v>
      </c>
      <c r="L2097" s="32">
        <f>$J2097*($G2097-$G2096)*60*24</f>
        <v>5.3412259999999819E-3</v>
      </c>
    </row>
    <row r="2098" spans="1:12">
      <c r="A2098" s="22">
        <v>40312.088888888888</v>
      </c>
      <c r="E2098" s="26">
        <v>15.887916000000001</v>
      </c>
      <c r="G2098" s="27">
        <v>8.8888888888888892E-2</v>
      </c>
      <c r="J2098" s="30">
        <f>IF(G2098&lt;$H$10,$H$16,IF(G2098&gt;$I$10,$H$16,$H$11))*E2098/600</f>
        <v>5.2959720000000004E-3</v>
      </c>
      <c r="L2098" s="32">
        <f>$J2098*($G2098-$G2097)*60*24</f>
        <v>5.2959719999999821E-3</v>
      </c>
    </row>
    <row r="2099" spans="1:12">
      <c r="A2099" s="22">
        <v>40312.089583333334</v>
      </c>
      <c r="E2099" s="26">
        <v>16.016615999999999</v>
      </c>
      <c r="G2099" s="27">
        <v>8.9583333333333334E-2</v>
      </c>
      <c r="J2099" s="30">
        <f>IF(G2099&lt;$H$10,$H$16,IF(G2099&gt;$I$10,$H$16,$H$11))*E2099/600</f>
        <v>5.3388719999999997E-3</v>
      </c>
      <c r="L2099" s="32">
        <f>$J2099*($G2099-$G2098)*60*24</f>
        <v>5.3388719999999806E-3</v>
      </c>
    </row>
    <row r="2100" spans="1:12">
      <c r="A2100" s="22">
        <v>40312.090277777781</v>
      </c>
      <c r="E2100" s="26">
        <v>16.023678</v>
      </c>
      <c r="G2100" s="27">
        <v>9.0277777777777776E-2</v>
      </c>
      <c r="J2100" s="30">
        <f>IF(G2100&lt;$H$10,$H$16,IF(G2100&gt;$I$10,$H$16,$H$11))*E2100/600</f>
        <v>5.3412260000000001E-3</v>
      </c>
      <c r="L2100" s="32">
        <f>$J2100*($G2100-$G2099)*60*24</f>
        <v>5.3412259999999819E-3</v>
      </c>
    </row>
    <row r="2101" spans="1:12">
      <c r="A2101" s="22">
        <v>40312.09097222222</v>
      </c>
      <c r="E2101" s="26">
        <v>15.845940000000001</v>
      </c>
      <c r="G2101" s="27">
        <v>9.0972222222222218E-2</v>
      </c>
      <c r="J2101" s="30">
        <f>IF(G2101&lt;$H$10,$H$16,IF(G2101&gt;$I$10,$H$16,$H$11))*E2101/600</f>
        <v>5.2819800000000004E-3</v>
      </c>
      <c r="L2101" s="32">
        <f>$J2101*($G2101-$G2100)*60*24</f>
        <v>5.2819799999999821E-3</v>
      </c>
    </row>
    <row r="2102" spans="1:12">
      <c r="A2102" s="22">
        <v>40312.091666666667</v>
      </c>
      <c r="E2102" s="26">
        <v>15.88092</v>
      </c>
      <c r="G2102" s="27">
        <v>9.1666666666666674E-2</v>
      </c>
      <c r="J2102" s="30">
        <f>IF(G2102&lt;$H$10,$H$16,IF(G2102&gt;$I$10,$H$16,$H$11))*E2102/600</f>
        <v>5.2936400000000005E-3</v>
      </c>
      <c r="L2102" s="32">
        <f>$J2102*($G2102-$G2101)*60*24</f>
        <v>5.2936400000000872E-3</v>
      </c>
    </row>
    <row r="2103" spans="1:12">
      <c r="A2103" s="22">
        <v>40312.092361111114</v>
      </c>
      <c r="E2103" s="26">
        <v>15.88092</v>
      </c>
      <c r="G2103" s="27">
        <v>9.2361111111111116E-2</v>
      </c>
      <c r="J2103" s="30">
        <f>IF(G2103&lt;$H$10,$H$16,IF(G2103&gt;$I$10,$H$16,$H$11))*E2103/600</f>
        <v>5.2936400000000005E-3</v>
      </c>
      <c r="L2103" s="32">
        <f>$J2103*($G2103-$G2102)*60*24</f>
        <v>5.2936399999999814E-3</v>
      </c>
    </row>
    <row r="2104" spans="1:12">
      <c r="A2104" s="22">
        <v>40312.093055555553</v>
      </c>
      <c r="E2104" s="26">
        <v>15.901908000000001</v>
      </c>
      <c r="G2104" s="27">
        <v>9.3055555555555558E-2</v>
      </c>
      <c r="J2104" s="30">
        <f>IF(G2104&lt;$H$10,$H$16,IF(G2104&gt;$I$10,$H$16,$H$11))*E2104/600</f>
        <v>5.3006360000000009E-3</v>
      </c>
      <c r="L2104" s="32">
        <f>$J2104*($G2104-$G2103)*60*24</f>
        <v>5.3006359999999818E-3</v>
      </c>
    </row>
    <row r="2105" spans="1:12">
      <c r="A2105" s="22">
        <v>40312.09375</v>
      </c>
      <c r="E2105" s="26">
        <v>15.943884000000001</v>
      </c>
      <c r="G2105" s="27">
        <v>9.375E-2</v>
      </c>
      <c r="J2105" s="30">
        <f>IF(G2105&lt;$H$10,$H$16,IF(G2105&gt;$I$10,$H$16,$H$11))*E2105/600</f>
        <v>5.3146280000000009E-3</v>
      </c>
      <c r="L2105" s="32">
        <f>$J2105*($G2105-$G2104)*60*24</f>
        <v>5.3146279999999827E-3</v>
      </c>
    </row>
    <row r="2106" spans="1:12">
      <c r="A2106" s="22">
        <v>40312.094444444447</v>
      </c>
      <c r="E2106" s="26">
        <v>16.256478000000001</v>
      </c>
      <c r="G2106" s="27">
        <v>9.4444444444444442E-2</v>
      </c>
      <c r="J2106" s="30">
        <f>IF(G2106&lt;$H$10,$H$16,IF(G2106&gt;$I$10,$H$16,$H$11))*E2106/600</f>
        <v>5.4188260000000007E-3</v>
      </c>
      <c r="L2106" s="32">
        <f>$J2106*($G2106-$G2105)*60*24</f>
        <v>5.4188259999999808E-3</v>
      </c>
    </row>
    <row r="2107" spans="1:12">
      <c r="A2107" s="22">
        <v>40312.095138888886</v>
      </c>
      <c r="E2107" s="26">
        <v>16.159395</v>
      </c>
      <c r="G2107" s="27">
        <v>9.5138888888888884E-2</v>
      </c>
      <c r="J2107" s="30">
        <f>IF(G2107&lt;$H$10,$H$16,IF(G2107&gt;$I$10,$H$16,$H$11))*E2107/600</f>
        <v>5.386465E-3</v>
      </c>
      <c r="L2107" s="32">
        <f>$J2107*($G2107-$G2106)*60*24</f>
        <v>5.3864649999999809E-3</v>
      </c>
    </row>
    <row r="2108" spans="1:12">
      <c r="A2108" s="22">
        <v>40312.095833333333</v>
      </c>
      <c r="E2108" s="26">
        <v>16.180499999999999</v>
      </c>
      <c r="G2108" s="27">
        <v>9.5833333333333326E-2</v>
      </c>
      <c r="J2108" s="30">
        <f>IF(G2108&lt;$H$10,$H$16,IF(G2108&gt;$I$10,$H$16,$H$11))*E2108/600</f>
        <v>5.3934999999999999E-3</v>
      </c>
      <c r="L2108" s="32">
        <f>$J2108*($G2108-$G2107)*60*24</f>
        <v>5.3934999999999808E-3</v>
      </c>
    </row>
    <row r="2109" spans="1:12">
      <c r="A2109" s="22">
        <v>40312.09652777778</v>
      </c>
      <c r="E2109" s="26">
        <v>16.145325</v>
      </c>
      <c r="G2109" s="27">
        <v>9.6527777777777768E-2</v>
      </c>
      <c r="J2109" s="30">
        <f>IF(G2109&lt;$H$10,$H$16,IF(G2109&gt;$I$10,$H$16,$H$11))*E2109/600</f>
        <v>5.3817750000000001E-3</v>
      </c>
      <c r="L2109" s="32">
        <f>$J2109*($G2109-$G2108)*60*24</f>
        <v>5.381774999999981E-3</v>
      </c>
    </row>
    <row r="2110" spans="1:12">
      <c r="A2110" s="22">
        <v>40312.097222222219</v>
      </c>
      <c r="E2110" s="26">
        <v>16.117184999999999</v>
      </c>
      <c r="G2110" s="27">
        <v>9.7222222222222224E-2</v>
      </c>
      <c r="J2110" s="30">
        <f>IF(G2110&lt;$H$10,$H$16,IF(G2110&gt;$I$10,$H$16,$H$11))*E2110/600</f>
        <v>5.3723950000000003E-3</v>
      </c>
      <c r="L2110" s="32">
        <f>$J2110*($G2110-$G2109)*60*24</f>
        <v>5.3723950000000888E-3</v>
      </c>
    </row>
    <row r="2111" spans="1:12">
      <c r="A2111" s="22">
        <v>40312.097916666666</v>
      </c>
      <c r="E2111" s="26">
        <v>16.138290000000001</v>
      </c>
      <c r="G2111" s="27">
        <v>9.7916666666666666E-2</v>
      </c>
      <c r="J2111" s="30">
        <f>IF(G2111&lt;$H$10,$H$16,IF(G2111&gt;$I$10,$H$16,$H$11))*E2111/600</f>
        <v>5.379430000000001E-3</v>
      </c>
      <c r="L2111" s="32">
        <f>$J2111*($G2111-$G2110)*60*24</f>
        <v>5.3794299999999819E-3</v>
      </c>
    </row>
    <row r="2112" spans="1:12">
      <c r="A2112" s="22">
        <v>40312.098611111112</v>
      </c>
      <c r="E2112" s="26">
        <v>16.159395</v>
      </c>
      <c r="G2112" s="27">
        <v>9.8611111111111108E-2</v>
      </c>
      <c r="J2112" s="30">
        <f>IF(G2112&lt;$H$10,$H$16,IF(G2112&gt;$I$10,$H$16,$H$11))*E2112/600</f>
        <v>5.386465E-3</v>
      </c>
      <c r="L2112" s="32">
        <f>$J2112*($G2112-$G2111)*60*24</f>
        <v>5.3864649999999809E-3</v>
      </c>
    </row>
    <row r="2113" spans="1:12">
      <c r="A2113" s="22">
        <v>40312.099305555559</v>
      </c>
      <c r="E2113" s="26">
        <v>16.110150000000001</v>
      </c>
      <c r="G2113" s="27">
        <v>9.930555555555555E-2</v>
      </c>
      <c r="J2113" s="30">
        <f>IF(G2113&lt;$H$10,$H$16,IF(G2113&gt;$I$10,$H$16,$H$11))*E2113/600</f>
        <v>5.3700500000000003E-3</v>
      </c>
      <c r="L2113" s="32">
        <f>$J2113*($G2113-$G2112)*60*24</f>
        <v>5.3700499999999813E-3</v>
      </c>
    </row>
    <row r="2114" spans="1:12">
      <c r="A2114" s="22">
        <v>40312.1</v>
      </c>
      <c r="E2114" s="26">
        <v>16.131254999999999</v>
      </c>
      <c r="G2114" s="27">
        <v>9.9999999999999992E-2</v>
      </c>
      <c r="J2114" s="30">
        <f>IF(G2114&lt;$H$10,$H$16,IF(G2114&gt;$I$10,$H$16,$H$11))*E2114/600</f>
        <v>5.3770850000000002E-3</v>
      </c>
      <c r="L2114" s="32">
        <f>$J2114*($G2114-$G2113)*60*24</f>
        <v>5.3770849999999811E-3</v>
      </c>
    </row>
    <row r="2115" spans="1:12">
      <c r="A2115" s="22">
        <v>40312.100694444445</v>
      </c>
      <c r="E2115" s="26">
        <v>16.166429999999998</v>
      </c>
      <c r="G2115" s="27">
        <v>0.10069444444444443</v>
      </c>
      <c r="J2115" s="30">
        <f>IF(G2115&lt;$H$10,$H$16,IF(G2115&gt;$I$10,$H$16,$H$11))*E2115/600</f>
        <v>5.3888099999999991E-3</v>
      </c>
      <c r="L2115" s="32">
        <f>$J2115*($G2115-$G2114)*60*24</f>
        <v>5.38880999999998E-3</v>
      </c>
    </row>
    <row r="2116" spans="1:12">
      <c r="A2116" s="22">
        <v>40312.101388888892</v>
      </c>
      <c r="E2116" s="26">
        <v>16.187535</v>
      </c>
      <c r="G2116" s="27">
        <v>0.1013888888888889</v>
      </c>
      <c r="J2116" s="30">
        <f>IF(G2116&lt;$H$10,$H$16,IF(G2116&gt;$I$10,$H$16,$H$11))*E2116/600</f>
        <v>5.3958450000000007E-3</v>
      </c>
      <c r="L2116" s="32">
        <f>$J2116*($G2116-$G2115)*60*24</f>
        <v>5.3958450000001967E-3</v>
      </c>
    </row>
    <row r="2117" spans="1:12">
      <c r="A2117" s="22">
        <v>40312.102083333331</v>
      </c>
      <c r="E2117" s="26">
        <v>16.180499999999999</v>
      </c>
      <c r="G2117" s="27">
        <v>0.10208333333333335</v>
      </c>
      <c r="J2117" s="30">
        <f>IF(G2117&lt;$H$10,$H$16,IF(G2117&gt;$I$10,$H$16,$H$11))*E2117/600</f>
        <v>5.3934999999999999E-3</v>
      </c>
      <c r="L2117" s="32">
        <f>$J2117*($G2117-$G2116)*60*24</f>
        <v>5.3934999999999808E-3</v>
      </c>
    </row>
    <row r="2118" spans="1:12">
      <c r="A2118" s="22">
        <v>40312.102777777778</v>
      </c>
      <c r="E2118" s="26">
        <v>16.194569999999999</v>
      </c>
      <c r="G2118" s="27">
        <v>0.10277777777777779</v>
      </c>
      <c r="J2118" s="30">
        <f>IF(G2118&lt;$H$10,$H$16,IF(G2118&gt;$I$10,$H$16,$H$11))*E2118/600</f>
        <v>5.3981899999999998E-3</v>
      </c>
      <c r="L2118" s="32">
        <f>$J2118*($G2118-$G2117)*60*24</f>
        <v>5.3981899999999807E-3</v>
      </c>
    </row>
    <row r="2119" spans="1:12">
      <c r="A2119" s="22">
        <v>40312.103472222225</v>
      </c>
      <c r="E2119" s="26">
        <v>16.180499999999999</v>
      </c>
      <c r="G2119" s="27">
        <v>0.10347222222222223</v>
      </c>
      <c r="J2119" s="30">
        <f>IF(G2119&lt;$H$10,$H$16,IF(G2119&gt;$I$10,$H$16,$H$11))*E2119/600</f>
        <v>5.3934999999999999E-3</v>
      </c>
      <c r="L2119" s="32">
        <f>$J2119*($G2119-$G2118)*60*24</f>
        <v>5.3934999999999808E-3</v>
      </c>
    </row>
    <row r="2120" spans="1:12">
      <c r="A2120" s="22">
        <v>40312.104166666664</v>
      </c>
      <c r="E2120" s="26">
        <v>16.145325</v>
      </c>
      <c r="G2120" s="27">
        <v>0.10416666666666667</v>
      </c>
      <c r="J2120" s="30">
        <f>IF(G2120&lt;$H$10,$H$16,IF(G2120&gt;$I$10,$H$16,$H$11))*E2120/600</f>
        <v>5.3817750000000001E-3</v>
      </c>
      <c r="L2120" s="32">
        <f>$J2120*($G2120-$G2119)*60*24</f>
        <v>5.381774999999981E-3</v>
      </c>
    </row>
    <row r="2121" spans="1:12">
      <c r="A2121" s="22">
        <v>40312.104861111111</v>
      </c>
      <c r="E2121" s="26">
        <v>16.249376000000002</v>
      </c>
      <c r="G2121" s="27">
        <v>0.10486111111111111</v>
      </c>
      <c r="J2121" s="30">
        <f>IF(G2121&lt;$H$10,$H$16,IF(G2121&gt;$I$10,$H$16,$H$11))*E2121/600</f>
        <v>5.416458666666667E-3</v>
      </c>
      <c r="L2121" s="32">
        <f>$J2121*($G2121-$G2120)*60*24</f>
        <v>5.416458666666648E-3</v>
      </c>
    </row>
    <row r="2122" spans="1:12">
      <c r="A2122" s="22">
        <v>40312.105555555558</v>
      </c>
      <c r="E2122" s="26">
        <v>16.270682000000001</v>
      </c>
      <c r="G2122" s="27">
        <v>0.10555555555555556</v>
      </c>
      <c r="J2122" s="30">
        <f>IF(G2122&lt;$H$10,$H$16,IF(G2122&gt;$I$10,$H$16,$H$11))*E2122/600</f>
        <v>5.4235606666666672E-3</v>
      </c>
      <c r="L2122" s="32">
        <f>$J2122*($G2122-$G2121)*60*24</f>
        <v>5.4235606666666481E-3</v>
      </c>
    </row>
    <row r="2123" spans="1:12">
      <c r="A2123" s="22">
        <v>40312.106249999997</v>
      </c>
      <c r="E2123" s="26">
        <v>16.355906000000001</v>
      </c>
      <c r="G2123" s="27">
        <v>0.10625</v>
      </c>
      <c r="J2123" s="30">
        <f>IF(G2123&lt;$H$10,$H$16,IF(G2123&gt;$I$10,$H$16,$H$11))*E2123/600</f>
        <v>5.4519686666666678E-3</v>
      </c>
      <c r="L2123" s="32">
        <f>$J2123*($G2123-$G2122)*60*24</f>
        <v>5.4519686666666487E-3</v>
      </c>
    </row>
    <row r="2124" spans="1:12">
      <c r="A2124" s="22">
        <v>40312.106944444444</v>
      </c>
      <c r="E2124" s="26">
        <v>16.187535</v>
      </c>
      <c r="G2124" s="27">
        <v>0.10694444444444444</v>
      </c>
      <c r="J2124" s="30">
        <f>IF(G2124&lt;$H$10,$H$16,IF(G2124&gt;$I$10,$H$16,$H$11))*E2124/600</f>
        <v>5.3958450000000007E-3</v>
      </c>
      <c r="L2124" s="32">
        <f>$J2124*($G2124-$G2123)*60*24</f>
        <v>5.3958449999999816E-3</v>
      </c>
    </row>
    <row r="2125" spans="1:12">
      <c r="A2125" s="22">
        <v>40312.107638888891</v>
      </c>
      <c r="E2125" s="26">
        <v>16.222709999999999</v>
      </c>
      <c r="G2125" s="27">
        <v>0.1076388888888889</v>
      </c>
      <c r="J2125" s="30">
        <f>IF(G2125&lt;$H$10,$H$16,IF(G2125&gt;$I$10,$H$16,$H$11))*E2125/600</f>
        <v>5.4075700000000004E-3</v>
      </c>
      <c r="L2125" s="32">
        <f>$J2125*($G2125-$G2124)*60*24</f>
        <v>5.4075700000000889E-3</v>
      </c>
    </row>
    <row r="2126" spans="1:12">
      <c r="A2126" s="22">
        <v>40312.10833333333</v>
      </c>
      <c r="E2126" s="26">
        <v>16.26492</v>
      </c>
      <c r="G2126" s="27">
        <v>0.10833333333333334</v>
      </c>
      <c r="J2126" s="30">
        <f>IF(G2126&lt;$H$10,$H$16,IF(G2126&gt;$I$10,$H$16,$H$11))*E2126/600</f>
        <v>5.4216400000000001E-3</v>
      </c>
      <c r="L2126" s="32">
        <f>$J2126*($G2126-$G2125)*60*24</f>
        <v>5.4216399999999811E-3</v>
      </c>
    </row>
    <row r="2127" spans="1:12">
      <c r="A2127" s="22">
        <v>40312.109027777777</v>
      </c>
      <c r="E2127" s="26">
        <v>16.257885000000002</v>
      </c>
      <c r="G2127" s="27">
        <v>0.10902777777777778</v>
      </c>
      <c r="J2127" s="30">
        <f>IF(G2127&lt;$H$10,$H$16,IF(G2127&gt;$I$10,$H$16,$H$11))*E2127/600</f>
        <v>5.4192950000000011E-3</v>
      </c>
      <c r="L2127" s="32">
        <f>$J2127*($G2127-$G2126)*60*24</f>
        <v>5.419294999999982E-3</v>
      </c>
    </row>
    <row r="2128" spans="1:12">
      <c r="A2128" s="22">
        <v>40312.109722222223</v>
      </c>
      <c r="E2128" s="26">
        <v>16.271954999999998</v>
      </c>
      <c r="G2128" s="27">
        <v>0.10972222222222222</v>
      </c>
      <c r="J2128" s="30">
        <f>IF(G2128&lt;$H$10,$H$16,IF(G2128&gt;$I$10,$H$16,$H$11))*E2128/600</f>
        <v>5.4239850000000001E-3</v>
      </c>
      <c r="L2128" s="32">
        <f>$J2128*($G2128-$G2127)*60*24</f>
        <v>5.423984999999981E-3</v>
      </c>
    </row>
    <row r="2129" spans="1:12">
      <c r="A2129" s="22">
        <v>40312.11041666667</v>
      </c>
      <c r="E2129" s="26">
        <v>15.82152</v>
      </c>
      <c r="G2129" s="27">
        <v>0.11041666666666666</v>
      </c>
      <c r="J2129" s="30">
        <f>IF(G2129&lt;$H$10,$H$16,IF(G2129&gt;$I$10,$H$16,$H$11))*E2129/600</f>
        <v>5.2738400000000001E-3</v>
      </c>
      <c r="L2129" s="32">
        <f>$J2129*($G2129-$G2128)*60*24</f>
        <v>5.273839999999981E-3</v>
      </c>
    </row>
    <row r="2130" spans="1:12">
      <c r="A2130" s="22">
        <v>40312.111111111109</v>
      </c>
      <c r="E2130" s="26">
        <v>14.923999999999999</v>
      </c>
      <c r="G2130" s="27">
        <v>0.1111111111111111</v>
      </c>
      <c r="J2130" s="30">
        <f>IF(G2130&lt;$H$10,$H$16,IF(G2130&gt;$I$10,$H$16,$H$11))*E2130/600</f>
        <v>4.9746666666666663E-3</v>
      </c>
      <c r="L2130" s="32">
        <f>$J2130*($G2130-$G2129)*60*24</f>
        <v>4.974666666666649E-3</v>
      </c>
    </row>
    <row r="2131" spans="1:12">
      <c r="A2131" s="22">
        <v>40312.111805555556</v>
      </c>
      <c r="E2131" s="26">
        <v>14.9175</v>
      </c>
      <c r="G2131" s="27">
        <v>0.11180555555555556</v>
      </c>
      <c r="J2131" s="30">
        <f>IF(G2131&lt;$H$10,$H$16,IF(G2131&gt;$I$10,$H$16,$H$11))*E2131/600</f>
        <v>4.9725000000000004E-3</v>
      </c>
      <c r="L2131" s="32">
        <f>$J2131*($G2131-$G2130)*60*24</f>
        <v>4.9725000000000819E-3</v>
      </c>
    </row>
    <row r="2132" spans="1:12">
      <c r="A2132" s="22">
        <v>40312.112500000003</v>
      </c>
      <c r="E2132" s="26">
        <v>14.9305</v>
      </c>
      <c r="G2132" s="27">
        <v>0.1125</v>
      </c>
      <c r="J2132" s="30">
        <f>IF(G2132&lt;$H$10,$H$16,IF(G2132&gt;$I$10,$H$16,$H$11))*E2132/600</f>
        <v>4.976833333333334E-3</v>
      </c>
      <c r="L2132" s="32">
        <f>$J2132*($G2132-$G2131)*60*24</f>
        <v>4.9768333333333158E-3</v>
      </c>
    </row>
    <row r="2133" spans="1:12">
      <c r="A2133" s="22">
        <v>40312.113194444442</v>
      </c>
      <c r="E2133" s="26">
        <v>14.904500000000001</v>
      </c>
      <c r="G2133" s="27">
        <v>0.11319444444444444</v>
      </c>
      <c r="J2133" s="30">
        <f>IF(G2133&lt;$H$10,$H$16,IF(G2133&gt;$I$10,$H$16,$H$11))*E2133/600</f>
        <v>4.9681666666666667E-3</v>
      </c>
      <c r="L2133" s="32">
        <f>$J2133*($G2133-$G2132)*60*24</f>
        <v>4.9681666666666485E-3</v>
      </c>
    </row>
    <row r="2134" spans="1:12">
      <c r="A2134" s="22">
        <v>40312.113888888889</v>
      </c>
      <c r="E2134" s="26">
        <v>14.904500000000001</v>
      </c>
      <c r="G2134" s="27">
        <v>0.11388888888888889</v>
      </c>
      <c r="J2134" s="30">
        <f>IF(G2134&lt;$H$10,$H$16,IF(G2134&gt;$I$10,$H$16,$H$11))*E2134/600</f>
        <v>4.9681666666666667E-3</v>
      </c>
      <c r="L2134" s="32">
        <f>$J2134*($G2134-$G2133)*60*24</f>
        <v>4.9681666666666485E-3</v>
      </c>
    </row>
    <row r="2135" spans="1:12">
      <c r="A2135" s="22">
        <v>40312.114583333336</v>
      </c>
      <c r="E2135" s="26">
        <v>14.923999999999999</v>
      </c>
      <c r="G2135" s="27">
        <v>0.11458333333333333</v>
      </c>
      <c r="J2135" s="30">
        <f>IF(G2135&lt;$H$10,$H$16,IF(G2135&gt;$I$10,$H$16,$H$11))*E2135/600</f>
        <v>4.9746666666666663E-3</v>
      </c>
      <c r="L2135" s="32">
        <f>$J2135*($G2135-$G2134)*60*24</f>
        <v>4.974666666666649E-3</v>
      </c>
    </row>
    <row r="2136" spans="1:12">
      <c r="A2136" s="22">
        <v>40312.115277777775</v>
      </c>
      <c r="E2136" s="26">
        <v>14.9175</v>
      </c>
      <c r="G2136" s="27">
        <v>0.11527777777777777</v>
      </c>
      <c r="J2136" s="30">
        <f>IF(G2136&lt;$H$10,$H$16,IF(G2136&gt;$I$10,$H$16,$H$11))*E2136/600</f>
        <v>4.9725000000000004E-3</v>
      </c>
      <c r="L2136" s="32">
        <f>$J2136*($G2136-$G2135)*60*24</f>
        <v>4.9724999999999821E-3</v>
      </c>
    </row>
    <row r="2137" spans="1:12">
      <c r="A2137" s="22">
        <v>40312.115972222222</v>
      </c>
      <c r="E2137" s="26">
        <v>14.898</v>
      </c>
      <c r="G2137" s="27">
        <v>0.11597222222222221</v>
      </c>
      <c r="J2137" s="30">
        <f>IF(G2137&lt;$H$10,$H$16,IF(G2137&gt;$I$10,$H$16,$H$11))*E2137/600</f>
        <v>4.9659999999999999E-3</v>
      </c>
      <c r="L2137" s="32">
        <f>$J2137*($G2137-$G2136)*60*24</f>
        <v>4.9659999999999817E-3</v>
      </c>
    </row>
    <row r="2138" spans="1:12">
      <c r="A2138" s="22">
        <v>40312.116666666669</v>
      </c>
      <c r="E2138" s="26">
        <v>15.173400000000001</v>
      </c>
      <c r="G2138" s="27">
        <v>0.11666666666666665</v>
      </c>
      <c r="J2138" s="30">
        <f>IF(G2138&lt;$H$10,$H$16,IF(G2138&gt;$I$10,$H$16,$H$11))*E2138/600</f>
        <v>5.0578000000000003E-3</v>
      </c>
      <c r="L2138" s="32">
        <f>$J2138*($G2138-$G2137)*60*24</f>
        <v>5.057799999999983E-3</v>
      </c>
    </row>
    <row r="2139" spans="1:12">
      <c r="A2139" s="22">
        <v>40312.117361111108</v>
      </c>
      <c r="E2139" s="26">
        <v>14.9435</v>
      </c>
      <c r="G2139" s="27">
        <v>0.1173611111111111</v>
      </c>
      <c r="J2139" s="30">
        <f>IF(G2139&lt;$H$10,$H$16,IF(G2139&gt;$I$10,$H$16,$H$11))*E2139/600</f>
        <v>4.9811666666666667E-3</v>
      </c>
      <c r="L2139" s="32">
        <f>$J2139*($G2139-$G2138)*60*24</f>
        <v>4.9811666666666494E-3</v>
      </c>
    </row>
    <row r="2140" spans="1:12">
      <c r="A2140" s="22">
        <v>40312.118055555555</v>
      </c>
      <c r="E2140" s="26">
        <v>14.9305</v>
      </c>
      <c r="G2140" s="27">
        <v>0.11805555555555557</v>
      </c>
      <c r="J2140" s="30">
        <f>IF(G2140&lt;$H$10,$H$16,IF(G2140&gt;$I$10,$H$16,$H$11))*E2140/600</f>
        <v>4.976833333333334E-3</v>
      </c>
      <c r="L2140" s="32">
        <f>$J2140*($G2140-$G2139)*60*24</f>
        <v>4.9768333333335153E-3</v>
      </c>
    </row>
    <row r="2141" spans="1:12">
      <c r="A2141" s="22">
        <v>40312.118750000001</v>
      </c>
      <c r="E2141" s="26">
        <v>15.1404</v>
      </c>
      <c r="G2141" s="27">
        <v>0.11875000000000001</v>
      </c>
      <c r="J2141" s="30">
        <f>IF(G2141&lt;$H$10,$H$16,IF(G2141&gt;$I$10,$H$16,$H$11))*E2141/600</f>
        <v>5.0468000000000006E-3</v>
      </c>
      <c r="L2141" s="32">
        <f>$J2141*($G2141-$G2140)*60*24</f>
        <v>5.0467999999999824E-3</v>
      </c>
    </row>
    <row r="2142" spans="1:12">
      <c r="A2142" s="22">
        <v>40312.119444444441</v>
      </c>
      <c r="E2142" s="26">
        <v>15.1074</v>
      </c>
      <c r="G2142" s="27">
        <v>0.11944444444444445</v>
      </c>
      <c r="J2142" s="30">
        <f>IF(G2142&lt;$H$10,$H$16,IF(G2142&gt;$I$10,$H$16,$H$11))*E2142/600</f>
        <v>5.0358000000000009E-3</v>
      </c>
      <c r="L2142" s="32">
        <f>$J2142*($G2142-$G2141)*60*24</f>
        <v>5.0357999999999827E-3</v>
      </c>
    </row>
    <row r="2143" spans="1:12">
      <c r="A2143" s="22">
        <v>40312.120138888888</v>
      </c>
      <c r="E2143" s="26">
        <v>14.826499999999999</v>
      </c>
      <c r="G2143" s="27">
        <v>0.12013888888888889</v>
      </c>
      <c r="J2143" s="30">
        <f>IF(G2143&lt;$H$10,$H$16,IF(G2143&gt;$I$10,$H$16,$H$11))*E2143/600</f>
        <v>4.9421666666666668E-3</v>
      </c>
      <c r="L2143" s="32">
        <f>$J2143*($G2143-$G2142)*60*24</f>
        <v>4.9421666666666485E-3</v>
      </c>
    </row>
    <row r="2144" spans="1:12">
      <c r="A2144" s="22">
        <v>40312.120833333334</v>
      </c>
      <c r="E2144" s="26">
        <v>14.813499999999999</v>
      </c>
      <c r="G2144" s="27">
        <v>0.12083333333333333</v>
      </c>
      <c r="J2144" s="30">
        <f>IF(G2144&lt;$H$10,$H$16,IF(G2144&gt;$I$10,$H$16,$H$11))*E2144/600</f>
        <v>4.9378333333333331E-3</v>
      </c>
      <c r="L2144" s="32">
        <f>$J2144*($G2144-$G2143)*60*24</f>
        <v>4.9378333333333149E-3</v>
      </c>
    </row>
    <row r="2145" spans="1:12">
      <c r="A2145" s="22">
        <v>40312.121527777781</v>
      </c>
      <c r="E2145" s="26">
        <v>14.839499999999999</v>
      </c>
      <c r="G2145" s="27">
        <v>0.12152777777777778</v>
      </c>
      <c r="J2145" s="30">
        <f>IF(G2145&lt;$H$10,$H$16,IF(G2145&gt;$I$10,$H$16,$H$11))*E2145/600</f>
        <v>4.9465000000000004E-3</v>
      </c>
      <c r="L2145" s="32">
        <f>$J2145*($G2145-$G2144)*60*24</f>
        <v>4.9464999999999822E-3</v>
      </c>
    </row>
    <row r="2146" spans="1:12">
      <c r="A2146" s="22">
        <v>40312.12222222222</v>
      </c>
      <c r="E2146" s="26">
        <v>14.852499999999999</v>
      </c>
      <c r="G2146" s="27">
        <v>0.12222222222222223</v>
      </c>
      <c r="J2146" s="30">
        <f>IF(G2146&lt;$H$10,$H$16,IF(G2146&gt;$I$10,$H$16,$H$11))*E2146/600</f>
        <v>4.9508333333333331E-3</v>
      </c>
      <c r="L2146" s="32">
        <f>$J2146*($G2146-$G2145)*60*24</f>
        <v>4.9508333333334147E-3</v>
      </c>
    </row>
    <row r="2147" spans="1:12">
      <c r="A2147" s="22">
        <v>40312.122916666667</v>
      </c>
      <c r="E2147" s="26">
        <v>14.807</v>
      </c>
      <c r="G2147" s="27">
        <v>0.12291666666666667</v>
      </c>
      <c r="J2147" s="30">
        <f>IF(G2147&lt;$H$10,$H$16,IF(G2147&gt;$I$10,$H$16,$H$11))*E2147/600</f>
        <v>4.9356666666666672E-3</v>
      </c>
      <c r="L2147" s="32">
        <f>$J2147*($G2147-$G2146)*60*24</f>
        <v>4.9356666666666498E-3</v>
      </c>
    </row>
    <row r="2148" spans="1:12">
      <c r="A2148" s="22">
        <v>40312.123611111114</v>
      </c>
      <c r="E2148" s="26">
        <v>14.90255</v>
      </c>
      <c r="G2148" s="27">
        <v>0.12361111111111112</v>
      </c>
      <c r="J2148" s="30">
        <f>IF(G2148&lt;$H$10,$H$16,IF(G2148&gt;$I$10,$H$16,$H$11))*E2148/600</f>
        <v>4.9675166666666671E-3</v>
      </c>
      <c r="L2148" s="32">
        <f>$J2148*($G2148-$G2147)*60*24</f>
        <v>4.9675166666666498E-3</v>
      </c>
    </row>
    <row r="2149" spans="1:12">
      <c r="A2149" s="22">
        <v>40312.124305555553</v>
      </c>
      <c r="E2149" s="26">
        <v>14.889419999999999</v>
      </c>
      <c r="G2149" s="27">
        <v>0.12430555555555556</v>
      </c>
      <c r="J2149" s="30">
        <f>IF(G2149&lt;$H$10,$H$16,IF(G2149&gt;$I$10,$H$16,$H$11))*E2149/600</f>
        <v>4.9631399999999996E-3</v>
      </c>
      <c r="L2149" s="32">
        <f>$J2149*($G2149-$G2148)*60*24</f>
        <v>4.9631399999999822E-3</v>
      </c>
    </row>
    <row r="2150" spans="1:12">
      <c r="A2150" s="22">
        <v>40312.125</v>
      </c>
      <c r="E2150" s="26">
        <v>14.781000000000001</v>
      </c>
      <c r="G2150" s="27">
        <v>0.125</v>
      </c>
      <c r="J2150" s="30">
        <f>IF(G2150&lt;$H$10,$H$16,IF(G2150&gt;$I$10,$H$16,$H$11))*E2150/600</f>
        <v>4.9270000000000008E-3</v>
      </c>
      <c r="L2150" s="32">
        <f>$J2150*($G2150-$G2149)*60*24</f>
        <v>4.9269999999999835E-3</v>
      </c>
    </row>
    <row r="2151" spans="1:12">
      <c r="A2151" s="22">
        <v>40312.125694444447</v>
      </c>
      <c r="E2151" s="26">
        <v>14.807</v>
      </c>
      <c r="G2151" s="27">
        <v>0.12569444444444444</v>
      </c>
      <c r="J2151" s="30">
        <f>IF(G2151&lt;$H$10,$H$16,IF(G2151&gt;$I$10,$H$16,$H$11))*E2151/600</f>
        <v>4.9356666666666672E-3</v>
      </c>
      <c r="L2151" s="32">
        <f>$J2151*($G2151-$G2150)*60*24</f>
        <v>4.9356666666666498E-3</v>
      </c>
    </row>
    <row r="2152" spans="1:12">
      <c r="A2152" s="22">
        <v>40312.126388888886</v>
      </c>
      <c r="E2152" s="26">
        <v>14.833</v>
      </c>
      <c r="G2152" s="27">
        <v>0.12638888888888888</v>
      </c>
      <c r="J2152" s="30">
        <f>IF(G2152&lt;$H$10,$H$16,IF(G2152&gt;$I$10,$H$16,$H$11))*E2152/600</f>
        <v>4.9443333333333336E-3</v>
      </c>
      <c r="L2152" s="32">
        <f>$J2152*($G2152-$G2151)*60*24</f>
        <v>4.9443333333333154E-3</v>
      </c>
    </row>
    <row r="2153" spans="1:12">
      <c r="A2153" s="22">
        <v>40312.127083333333</v>
      </c>
      <c r="E2153" s="26">
        <v>14.794</v>
      </c>
      <c r="G2153" s="27">
        <v>0.12708333333333333</v>
      </c>
      <c r="J2153" s="30">
        <f>IF(G2153&lt;$H$10,$H$16,IF(G2153&gt;$I$10,$H$16,$H$11))*E2153/600</f>
        <v>4.9313333333333336E-3</v>
      </c>
      <c r="L2153" s="32">
        <f>$J2153*($G2153-$G2152)*60*24</f>
        <v>4.9313333333333162E-3</v>
      </c>
    </row>
    <row r="2154" spans="1:12">
      <c r="A2154" s="22">
        <v>40312.12777777778</v>
      </c>
      <c r="E2154" s="26">
        <v>14.794</v>
      </c>
      <c r="G2154" s="27">
        <v>0.1277777777777778</v>
      </c>
      <c r="J2154" s="30">
        <f>IF(G2154&lt;$H$10,$H$16,IF(G2154&gt;$I$10,$H$16,$H$11))*E2154/600</f>
        <v>4.9313333333333336E-3</v>
      </c>
      <c r="L2154" s="32">
        <f>$J2154*($G2154-$G2153)*60*24</f>
        <v>4.9313333333335131E-3</v>
      </c>
    </row>
    <row r="2155" spans="1:12">
      <c r="A2155" s="22">
        <v>40312.128472222219</v>
      </c>
      <c r="E2155" s="26">
        <v>15.054600000000001</v>
      </c>
      <c r="G2155" s="27">
        <v>0.12847222222222224</v>
      </c>
      <c r="J2155" s="30">
        <f>IF(G2155&lt;$H$10,$H$16,IF(G2155&gt;$I$10,$H$16,$H$11))*E2155/600</f>
        <v>5.0182000000000004E-3</v>
      </c>
      <c r="L2155" s="32">
        <f>$J2155*($G2155-$G2154)*60*24</f>
        <v>5.0181999999999831E-3</v>
      </c>
    </row>
    <row r="2156" spans="1:12">
      <c r="A2156" s="22">
        <v>40312.129166666666</v>
      </c>
      <c r="E2156" s="26">
        <v>14.99553</v>
      </c>
      <c r="G2156" s="27">
        <v>0.12916666666666668</v>
      </c>
      <c r="J2156" s="30">
        <f>IF(G2156&lt;$H$10,$H$16,IF(G2156&gt;$I$10,$H$16,$H$11))*E2156/600</f>
        <v>4.9985100000000003E-3</v>
      </c>
      <c r="L2156" s="32">
        <f>$J2156*($G2156-$G2155)*60*24</f>
        <v>4.9985099999999821E-3</v>
      </c>
    </row>
    <row r="2157" spans="1:12">
      <c r="A2157" s="22">
        <v>40312.129861111112</v>
      </c>
      <c r="E2157" s="26">
        <v>15.041268000000001</v>
      </c>
      <c r="G2157" s="27">
        <v>0.12986111111111112</v>
      </c>
      <c r="J2157" s="30">
        <f>IF(G2157&lt;$H$10,$H$16,IF(G2157&gt;$I$10,$H$16,$H$11))*E2157/600</f>
        <v>5.0137560000000003E-3</v>
      </c>
      <c r="L2157" s="32">
        <f>$J2157*($G2157-$G2156)*60*24</f>
        <v>5.0137559999999821E-3</v>
      </c>
    </row>
    <row r="2158" spans="1:12">
      <c r="A2158" s="22">
        <v>40312.130555555559</v>
      </c>
      <c r="E2158" s="26">
        <v>15.047802000000001</v>
      </c>
      <c r="G2158" s="27">
        <v>0.13055555555555556</v>
      </c>
      <c r="J2158" s="30">
        <f>IF(G2158&lt;$H$10,$H$16,IF(G2158&gt;$I$10,$H$16,$H$11))*E2158/600</f>
        <v>5.0159340000000005E-3</v>
      </c>
      <c r="L2158" s="32">
        <f>$J2158*($G2158-$G2157)*60*24</f>
        <v>5.0159339999999823E-3</v>
      </c>
    </row>
    <row r="2159" spans="1:12">
      <c r="A2159" s="22">
        <v>40312.131249999999</v>
      </c>
      <c r="E2159" s="26">
        <v>15.0282</v>
      </c>
      <c r="G2159" s="27">
        <v>0.13125000000000001</v>
      </c>
      <c r="J2159" s="30">
        <f>IF(G2159&lt;$H$10,$H$16,IF(G2159&gt;$I$10,$H$16,$H$11))*E2159/600</f>
        <v>5.0093999999999998E-3</v>
      </c>
      <c r="L2159" s="32">
        <f>$J2159*($G2159-$G2158)*60*24</f>
        <v>5.0093999999999824E-3</v>
      </c>
    </row>
    <row r="2160" spans="1:12">
      <c r="A2160" s="22">
        <v>40312.131944444445</v>
      </c>
      <c r="E2160" s="26">
        <v>14.99553</v>
      </c>
      <c r="G2160" s="27">
        <v>0.13194444444444445</v>
      </c>
      <c r="J2160" s="30">
        <f>IF(G2160&lt;$H$10,$H$16,IF(G2160&gt;$I$10,$H$16,$H$11))*E2160/600</f>
        <v>4.9985100000000003E-3</v>
      </c>
      <c r="L2160" s="32">
        <f>$J2160*($G2160-$G2159)*60*24</f>
        <v>4.9985099999999821E-3</v>
      </c>
    </row>
    <row r="2161" spans="1:12">
      <c r="A2161" s="22">
        <v>40312.132638888892</v>
      </c>
      <c r="E2161" s="26">
        <v>14.982462</v>
      </c>
      <c r="G2161" s="27">
        <v>0.13263888888888889</v>
      </c>
      <c r="J2161" s="30">
        <f>IF(G2161&lt;$H$10,$H$16,IF(G2161&gt;$I$10,$H$16,$H$11))*E2161/600</f>
        <v>4.9941540000000006E-3</v>
      </c>
      <c r="L2161" s="32">
        <f>$J2161*($G2161-$G2160)*60*24</f>
        <v>4.9941539999999833E-3</v>
      </c>
    </row>
    <row r="2162" spans="1:12">
      <c r="A2162" s="22">
        <v>40312.133333333331</v>
      </c>
      <c r="E2162" s="26">
        <v>14.962859999999999</v>
      </c>
      <c r="G2162" s="27">
        <v>0.13333333333333333</v>
      </c>
      <c r="J2162" s="30">
        <f>IF(G2162&lt;$H$10,$H$16,IF(G2162&gt;$I$10,$H$16,$H$11))*E2162/600</f>
        <v>4.9876199999999999E-3</v>
      </c>
      <c r="L2162" s="32">
        <f>$J2162*($G2162-$G2161)*60*24</f>
        <v>4.9876199999999826E-3</v>
      </c>
    </row>
    <row r="2163" spans="1:12">
      <c r="A2163" s="22">
        <v>40312.134027777778</v>
      </c>
      <c r="E2163" s="26">
        <v>14.93019</v>
      </c>
      <c r="G2163" s="27">
        <v>0.13402777777777777</v>
      </c>
      <c r="J2163" s="30">
        <f>IF(G2163&lt;$H$10,$H$16,IF(G2163&gt;$I$10,$H$16,$H$11))*E2163/600</f>
        <v>4.9767300000000004E-3</v>
      </c>
      <c r="L2163" s="32">
        <f>$J2163*($G2163-$G2162)*60*24</f>
        <v>4.9767299999999822E-3</v>
      </c>
    </row>
    <row r="2164" spans="1:12">
      <c r="A2164" s="22">
        <v>40312.134722222225</v>
      </c>
      <c r="E2164" s="26">
        <v>14.943258</v>
      </c>
      <c r="G2164" s="27">
        <v>0.13472222222222222</v>
      </c>
      <c r="J2164" s="30">
        <f>IF(G2164&lt;$H$10,$H$16,IF(G2164&gt;$I$10,$H$16,$H$11))*E2164/600</f>
        <v>4.9810860000000009E-3</v>
      </c>
      <c r="L2164" s="32">
        <f>$J2164*($G2164-$G2163)*60*24</f>
        <v>4.9810859999999827E-3</v>
      </c>
    </row>
    <row r="2165" spans="1:12">
      <c r="A2165" s="22">
        <v>40312.135416666664</v>
      </c>
      <c r="E2165" s="26">
        <v>14.956326000000001</v>
      </c>
      <c r="G2165" s="27">
        <v>0.13541666666666666</v>
      </c>
      <c r="J2165" s="30">
        <f>IF(G2165&lt;$H$10,$H$16,IF(G2165&gt;$I$10,$H$16,$H$11))*E2165/600</f>
        <v>4.9854420000000005E-3</v>
      </c>
      <c r="L2165" s="32">
        <f>$J2165*($G2165-$G2164)*60*24</f>
        <v>4.9854419999999832E-3</v>
      </c>
    </row>
    <row r="2166" spans="1:12">
      <c r="A2166" s="22">
        <v>40312.136111111111</v>
      </c>
      <c r="E2166" s="26">
        <v>14.969393999999999</v>
      </c>
      <c r="G2166" s="27">
        <v>0.1361111111111111</v>
      </c>
      <c r="J2166" s="30">
        <f>IF(G2166&lt;$H$10,$H$16,IF(G2166&gt;$I$10,$H$16,$H$11))*E2166/600</f>
        <v>4.9897980000000001E-3</v>
      </c>
      <c r="L2166" s="32">
        <f>$J2166*($G2166-$G2165)*60*24</f>
        <v>4.9897979999999828E-3</v>
      </c>
    </row>
    <row r="2167" spans="1:12">
      <c r="A2167" s="22">
        <v>40312.136805555558</v>
      </c>
      <c r="E2167" s="26">
        <v>14.988996</v>
      </c>
      <c r="G2167" s="27">
        <v>0.13680555555555554</v>
      </c>
      <c r="J2167" s="30">
        <f>IF(G2167&lt;$H$10,$H$16,IF(G2167&gt;$I$10,$H$16,$H$11))*E2167/600</f>
        <v>4.996332E-3</v>
      </c>
      <c r="L2167" s="32">
        <f>$J2167*($G2167-$G2166)*60*24</f>
        <v>4.9963319999999818E-3</v>
      </c>
    </row>
    <row r="2168" spans="1:12">
      <c r="A2168" s="22">
        <v>40312.137499999997</v>
      </c>
      <c r="E2168" s="26">
        <v>15.021666</v>
      </c>
      <c r="G2168" s="27">
        <v>0.13749999999999998</v>
      </c>
      <c r="J2168" s="30">
        <f>IF(G2168&lt;$H$10,$H$16,IF(G2168&gt;$I$10,$H$16,$H$11))*E2168/600</f>
        <v>5.0072220000000004E-3</v>
      </c>
      <c r="L2168" s="32">
        <f>$J2168*($G2168-$G2167)*60*24</f>
        <v>5.0072219999999822E-3</v>
      </c>
    </row>
    <row r="2169" spans="1:12">
      <c r="A2169" s="22">
        <v>40312.138194444444</v>
      </c>
      <c r="E2169" s="26">
        <v>15.034734</v>
      </c>
      <c r="G2169" s="27">
        <v>0.13819444444444443</v>
      </c>
      <c r="J2169" s="30">
        <f>IF(G2169&lt;$H$10,$H$16,IF(G2169&gt;$I$10,$H$16,$H$11))*E2169/600</f>
        <v>5.011578E-3</v>
      </c>
      <c r="L2169" s="32">
        <f>$J2169*($G2169-$G2168)*60*24</f>
        <v>5.0115779999999818E-3</v>
      </c>
    </row>
    <row r="2170" spans="1:12">
      <c r="A2170" s="22">
        <v>40312.138888888891</v>
      </c>
      <c r="E2170" s="26">
        <v>14.99553</v>
      </c>
      <c r="G2170" s="27">
        <v>0.1388888888888889</v>
      </c>
      <c r="J2170" s="30">
        <f>IF(G2170&lt;$H$10,$H$16,IF(G2170&gt;$I$10,$H$16,$H$11))*E2170/600</f>
        <v>4.9985100000000003E-3</v>
      </c>
      <c r="L2170" s="32">
        <f>$J2170*($G2170-$G2169)*60*24</f>
        <v>4.9985100000001824E-3</v>
      </c>
    </row>
    <row r="2171" spans="1:12">
      <c r="A2171" s="22">
        <v>40312.13958333333</v>
      </c>
      <c r="E2171" s="26">
        <v>15.008597999999999</v>
      </c>
      <c r="G2171" s="27">
        <v>0.13958333333333334</v>
      </c>
      <c r="J2171" s="30">
        <f>IF(G2171&lt;$H$10,$H$16,IF(G2171&gt;$I$10,$H$16,$H$11))*E2171/600</f>
        <v>5.0028659999999999E-3</v>
      </c>
      <c r="L2171" s="32">
        <f>$J2171*($G2171-$G2170)*60*24</f>
        <v>5.0028659999999826E-3</v>
      </c>
    </row>
    <row r="2172" spans="1:12">
      <c r="A2172" s="22">
        <v>40312.140277777777</v>
      </c>
      <c r="E2172" s="26">
        <v>15.088668</v>
      </c>
      <c r="G2172" s="27">
        <v>0.14027777777777778</v>
      </c>
      <c r="J2172" s="30">
        <f>IF(G2172&lt;$H$10,$H$16,IF(G2172&gt;$I$10,$H$16,$H$11))*E2172/600</f>
        <v>5.0295560000000001E-3</v>
      </c>
      <c r="L2172" s="32">
        <f>$J2172*($G2172-$G2171)*60*24</f>
        <v>5.0295559999999819E-3</v>
      </c>
    </row>
    <row r="2173" spans="1:12">
      <c r="A2173" s="22">
        <v>40312.140972222223</v>
      </c>
      <c r="E2173" s="26">
        <v>14.869932</v>
      </c>
      <c r="G2173" s="27">
        <v>0.14097222222222222</v>
      </c>
      <c r="J2173" s="30">
        <f>IF(G2173&lt;$H$10,$H$16,IF(G2173&gt;$I$10,$H$16,$H$11))*E2173/600</f>
        <v>4.9566440000000005E-3</v>
      </c>
      <c r="L2173" s="32">
        <f>$J2173*($G2173-$G2172)*60*24</f>
        <v>4.9566439999999823E-3</v>
      </c>
    </row>
    <row r="2174" spans="1:12">
      <c r="A2174" s="22">
        <v>40312.14166666667</v>
      </c>
      <c r="E2174" s="26">
        <v>14.99553</v>
      </c>
      <c r="G2174" s="27">
        <v>0.14166666666666666</v>
      </c>
      <c r="J2174" s="30">
        <f>IF(G2174&lt;$H$10,$H$16,IF(G2174&gt;$I$10,$H$16,$H$11))*E2174/600</f>
        <v>4.9985100000000003E-3</v>
      </c>
      <c r="L2174" s="32">
        <f>$J2174*($G2174-$G2173)*60*24</f>
        <v>4.9985099999999821E-3</v>
      </c>
    </row>
    <row r="2175" spans="1:12">
      <c r="A2175" s="22">
        <v>40312.142361111109</v>
      </c>
      <c r="E2175" s="26">
        <v>14.988996</v>
      </c>
      <c r="G2175" s="27">
        <v>0.1423611111111111</v>
      </c>
      <c r="J2175" s="30">
        <f>IF(G2175&lt;$H$10,$H$16,IF(G2175&gt;$I$10,$H$16,$H$11))*E2175/600</f>
        <v>4.996332E-3</v>
      </c>
      <c r="L2175" s="32">
        <f>$J2175*($G2175-$G2174)*60*24</f>
        <v>4.9963319999999818E-3</v>
      </c>
    </row>
    <row r="2176" spans="1:12">
      <c r="A2176" s="22">
        <v>40312.143055555556</v>
      </c>
      <c r="E2176" s="26">
        <v>14.975928</v>
      </c>
      <c r="G2176" s="27">
        <v>0.14305555555555557</v>
      </c>
      <c r="J2176" s="30">
        <f>IF(G2176&lt;$H$10,$H$16,IF(G2176&gt;$I$10,$H$16,$H$11))*E2176/600</f>
        <v>4.9919760000000004E-3</v>
      </c>
      <c r="L2176" s="32">
        <f>$J2176*($G2176-$G2175)*60*24</f>
        <v>4.9919760000001825E-3</v>
      </c>
    </row>
    <row r="2177" spans="1:12">
      <c r="A2177" s="22">
        <v>40312.143750000003</v>
      </c>
      <c r="E2177" s="26">
        <v>14.982462</v>
      </c>
      <c r="G2177" s="27">
        <v>0.14375000000000002</v>
      </c>
      <c r="J2177" s="30">
        <f>IF(G2177&lt;$H$10,$H$16,IF(G2177&gt;$I$10,$H$16,$H$11))*E2177/600</f>
        <v>4.9941540000000006E-3</v>
      </c>
      <c r="L2177" s="32">
        <f>$J2177*($G2177-$G2176)*60*24</f>
        <v>4.9941539999999833E-3</v>
      </c>
    </row>
    <row r="2178" spans="1:12">
      <c r="A2178" s="22">
        <v>40312.144444444442</v>
      </c>
      <c r="E2178" s="26">
        <v>14.969393999999999</v>
      </c>
      <c r="G2178" s="27">
        <v>0.14444444444444446</v>
      </c>
      <c r="J2178" s="30">
        <f>IF(G2178&lt;$H$10,$H$16,IF(G2178&gt;$I$10,$H$16,$H$11))*E2178/600</f>
        <v>4.9897980000000001E-3</v>
      </c>
      <c r="L2178" s="32">
        <f>$J2178*($G2178-$G2177)*60*24</f>
        <v>4.9897979999999828E-3</v>
      </c>
    </row>
    <row r="2179" spans="1:12">
      <c r="A2179" s="22">
        <v>40312.145138888889</v>
      </c>
      <c r="E2179" s="26">
        <v>14.93019</v>
      </c>
      <c r="G2179" s="27">
        <v>0.1451388888888889</v>
      </c>
      <c r="J2179" s="30">
        <f>IF(G2179&lt;$H$10,$H$16,IF(G2179&gt;$I$10,$H$16,$H$11))*E2179/600</f>
        <v>4.9767300000000004E-3</v>
      </c>
      <c r="L2179" s="32">
        <f>$J2179*($G2179-$G2178)*60*24</f>
        <v>4.9767299999999822E-3</v>
      </c>
    </row>
    <row r="2180" spans="1:12">
      <c r="A2180" s="22">
        <v>40312.145833333336</v>
      </c>
      <c r="E2180" s="26">
        <v>14.975928</v>
      </c>
      <c r="G2180" s="27">
        <v>0.14583333333333334</v>
      </c>
      <c r="J2180" s="30">
        <f>IF(G2180&lt;$H$10,$H$16,IF(G2180&gt;$I$10,$H$16,$H$11))*E2180/600</f>
        <v>4.9919760000000004E-3</v>
      </c>
      <c r="L2180" s="32">
        <f>$J2180*($G2180-$G2179)*60*24</f>
        <v>4.9919759999999822E-3</v>
      </c>
    </row>
    <row r="2181" spans="1:12">
      <c r="A2181" s="22">
        <v>40312.146527777775</v>
      </c>
      <c r="E2181" s="26">
        <v>15.002064000000001</v>
      </c>
      <c r="G2181" s="27">
        <v>0.14652777777777778</v>
      </c>
      <c r="J2181" s="30">
        <f>IF(G2181&lt;$H$10,$H$16,IF(G2181&gt;$I$10,$H$16,$H$11))*E2181/600</f>
        <v>5.0006880000000005E-3</v>
      </c>
      <c r="L2181" s="32">
        <f>$J2181*($G2181-$G2180)*60*24</f>
        <v>5.0006879999999823E-3</v>
      </c>
    </row>
    <row r="2182" spans="1:12">
      <c r="A2182" s="22">
        <v>40312.147222222222</v>
      </c>
      <c r="E2182" s="26">
        <v>15.002064000000001</v>
      </c>
      <c r="G2182" s="27">
        <v>0.14722222222222223</v>
      </c>
      <c r="J2182" s="30">
        <f>IF(G2182&lt;$H$10,$H$16,IF(G2182&gt;$I$10,$H$16,$H$11))*E2182/600</f>
        <v>5.0006880000000005E-3</v>
      </c>
      <c r="L2182" s="32">
        <f>$J2182*($G2182-$G2181)*60*24</f>
        <v>5.0006879999999823E-3</v>
      </c>
    </row>
    <row r="2183" spans="1:12">
      <c r="A2183" s="22">
        <v>40312.147916666669</v>
      </c>
      <c r="E2183" s="26">
        <v>15.0282</v>
      </c>
      <c r="G2183" s="27">
        <v>0.14791666666666667</v>
      </c>
      <c r="J2183" s="30">
        <f>IF(G2183&lt;$H$10,$H$16,IF(G2183&gt;$I$10,$H$16,$H$11))*E2183/600</f>
        <v>5.0093999999999998E-3</v>
      </c>
      <c r="L2183" s="32">
        <f>$J2183*($G2183-$G2182)*60*24</f>
        <v>5.0093999999999824E-3</v>
      </c>
    </row>
    <row r="2184" spans="1:12">
      <c r="A2184" s="22">
        <v>40312.148611111108</v>
      </c>
      <c r="E2184" s="26">
        <v>15.054335999999999</v>
      </c>
      <c r="G2184" s="27">
        <v>0.14861111111111111</v>
      </c>
      <c r="J2184" s="30">
        <f>IF(G2184&lt;$H$10,$H$16,IF(G2184&gt;$I$10,$H$16,$H$11))*E2184/600</f>
        <v>5.0181119999999999E-3</v>
      </c>
      <c r="L2184" s="32">
        <f>$J2184*($G2184-$G2183)*60*24</f>
        <v>5.0181119999999826E-3</v>
      </c>
    </row>
    <row r="2185" spans="1:12">
      <c r="A2185" s="22">
        <v>40312.149305555555</v>
      </c>
      <c r="E2185" s="26">
        <v>14.813370000000001</v>
      </c>
      <c r="G2185" s="27">
        <v>0.14930555555555555</v>
      </c>
      <c r="J2185" s="30">
        <f>IF(G2185&lt;$H$10,$H$16,IF(G2185&gt;$I$10,$H$16,$H$11))*E2185/600</f>
        <v>4.9377900000000001E-3</v>
      </c>
      <c r="L2185" s="32">
        <f>$J2185*($G2185-$G2184)*60*24</f>
        <v>4.9377899999999827E-3</v>
      </c>
    </row>
    <row r="2186" spans="1:12">
      <c r="A2186" s="22">
        <v>40312.15</v>
      </c>
      <c r="E2186" s="26">
        <v>15.041268000000001</v>
      </c>
      <c r="G2186" s="27">
        <v>0.15</v>
      </c>
      <c r="J2186" s="30">
        <f>IF(G2186&lt;$H$10,$H$16,IF(G2186&gt;$I$10,$H$16,$H$11))*E2186/600</f>
        <v>5.0137560000000003E-3</v>
      </c>
      <c r="L2186" s="32">
        <f>$J2186*($G2186-$G2185)*60*24</f>
        <v>5.0137559999999821E-3</v>
      </c>
    </row>
    <row r="2187" spans="1:12">
      <c r="A2187" s="22">
        <v>40312.150694444441</v>
      </c>
      <c r="E2187" s="26">
        <v>15.041268000000001</v>
      </c>
      <c r="G2187" s="27">
        <v>0.15069444444444444</v>
      </c>
      <c r="J2187" s="30">
        <f>IF(G2187&lt;$H$10,$H$16,IF(G2187&gt;$I$10,$H$16,$H$11))*E2187/600</f>
        <v>5.0137560000000003E-3</v>
      </c>
      <c r="L2187" s="32">
        <f>$J2187*($G2187-$G2186)*60*24</f>
        <v>5.0137559999999821E-3</v>
      </c>
    </row>
    <row r="2188" spans="1:12">
      <c r="A2188" s="22">
        <v>40312.151388888888</v>
      </c>
      <c r="E2188" s="26">
        <v>15.067404</v>
      </c>
      <c r="G2188" s="27">
        <v>0.15138888888888888</v>
      </c>
      <c r="J2188" s="30">
        <f>IF(G2188&lt;$H$10,$H$16,IF(G2188&gt;$I$10,$H$16,$H$11))*E2188/600</f>
        <v>5.0224679999999996E-3</v>
      </c>
      <c r="L2188" s="32">
        <f>$J2188*($G2188-$G2187)*60*24</f>
        <v>5.0224679999999813E-3</v>
      </c>
    </row>
    <row r="2189" spans="1:12">
      <c r="A2189" s="22">
        <v>40312.152083333334</v>
      </c>
      <c r="E2189" s="26">
        <v>14.794065</v>
      </c>
      <c r="G2189" s="27">
        <v>0.15208333333333332</v>
      </c>
      <c r="J2189" s="30">
        <f>IF(G2189&lt;$H$10,$H$16,IF(G2189&gt;$I$10,$H$16,$H$11))*E2189/600</f>
        <v>4.9313550000000001E-3</v>
      </c>
      <c r="L2189" s="32">
        <f>$J2189*($G2189-$G2188)*60*24</f>
        <v>4.9313549999999828E-3</v>
      </c>
    </row>
    <row r="2190" spans="1:12">
      <c r="A2190" s="22">
        <v>40312.152777777781</v>
      </c>
      <c r="E2190" s="26">
        <v>14.761889999999999</v>
      </c>
      <c r="G2190" s="27">
        <v>0.15277777777777776</v>
      </c>
      <c r="J2190" s="30">
        <f>IF(G2190&lt;$H$10,$H$16,IF(G2190&gt;$I$10,$H$16,$H$11))*E2190/600</f>
        <v>4.9206299999999996E-3</v>
      </c>
      <c r="L2190" s="32">
        <f>$J2190*($G2190-$G2189)*60*24</f>
        <v>4.9206299999999814E-3</v>
      </c>
    </row>
    <row r="2191" spans="1:12">
      <c r="A2191" s="22">
        <v>40312.15347222222</v>
      </c>
      <c r="E2191" s="26">
        <v>14.839499999999999</v>
      </c>
      <c r="G2191" s="27">
        <v>0.15347222222222223</v>
      </c>
      <c r="J2191" s="30">
        <f>IF(G2191&lt;$H$10,$H$16,IF(G2191&gt;$I$10,$H$16,$H$11))*E2191/600</f>
        <v>4.9465000000000004E-3</v>
      </c>
      <c r="L2191" s="32">
        <f>$J2191*($G2191-$G2190)*60*24</f>
        <v>4.9465000000001808E-3</v>
      </c>
    </row>
    <row r="2192" spans="1:12">
      <c r="A2192" s="22">
        <v>40312.154166666667</v>
      </c>
      <c r="E2192" s="26">
        <v>14.962859999999999</v>
      </c>
      <c r="G2192" s="27">
        <v>0.15416666666666667</v>
      </c>
      <c r="J2192" s="30">
        <f>IF(G2192&lt;$H$10,$H$16,IF(G2192&gt;$I$10,$H$16,$H$11))*E2192/600</f>
        <v>4.9876199999999999E-3</v>
      </c>
      <c r="L2192" s="32">
        <f>$J2192*($G2192-$G2191)*60*24</f>
        <v>4.9876199999999826E-3</v>
      </c>
    </row>
    <row r="2193" spans="1:12">
      <c r="A2193" s="22">
        <v>40312.154861111114</v>
      </c>
      <c r="E2193" s="26">
        <v>14.936724</v>
      </c>
      <c r="G2193" s="27">
        <v>0.15486111111111112</v>
      </c>
      <c r="J2193" s="30">
        <f>IF(G2193&lt;$H$10,$H$16,IF(G2193&gt;$I$10,$H$16,$H$11))*E2193/600</f>
        <v>4.9789080000000006E-3</v>
      </c>
      <c r="L2193" s="32">
        <f>$J2193*($G2193-$G2192)*60*24</f>
        <v>4.9789079999999833E-3</v>
      </c>
    </row>
    <row r="2194" spans="1:12">
      <c r="A2194" s="22">
        <v>40312.155555555553</v>
      </c>
      <c r="E2194" s="26">
        <v>14.878500000000001</v>
      </c>
      <c r="G2194" s="27">
        <v>0.15555555555555556</v>
      </c>
      <c r="J2194" s="30">
        <f>IF(G2194&lt;$H$10,$H$16,IF(G2194&gt;$I$10,$H$16,$H$11))*E2194/600</f>
        <v>4.9595000000000004E-3</v>
      </c>
      <c r="L2194" s="32">
        <f>$J2194*($G2194-$G2193)*60*24</f>
        <v>4.959499999999983E-3</v>
      </c>
    </row>
    <row r="2195" spans="1:12">
      <c r="A2195" s="22">
        <v>40312.15625</v>
      </c>
      <c r="E2195" s="26">
        <v>14.69754</v>
      </c>
      <c r="G2195" s="27">
        <v>0.15625</v>
      </c>
      <c r="J2195" s="30">
        <f>IF(G2195&lt;$H$10,$H$16,IF(G2195&gt;$I$10,$H$16,$H$11))*E2195/600</f>
        <v>4.8991800000000004E-3</v>
      </c>
      <c r="L2195" s="32">
        <f>$J2195*($G2195-$G2194)*60*24</f>
        <v>4.899179999999983E-3</v>
      </c>
    </row>
    <row r="2196" spans="1:12">
      <c r="A2196" s="22">
        <v>40312.156944444447</v>
      </c>
      <c r="E2196" s="26">
        <v>14.8005</v>
      </c>
      <c r="G2196" s="27">
        <v>0.15694444444444444</v>
      </c>
      <c r="J2196" s="30">
        <f>IF(G2196&lt;$H$10,$H$16,IF(G2196&gt;$I$10,$H$16,$H$11))*E2196/600</f>
        <v>4.9335000000000004E-3</v>
      </c>
      <c r="L2196" s="32">
        <f>$J2196*($G2196-$G2195)*60*24</f>
        <v>4.933499999999983E-3</v>
      </c>
    </row>
    <row r="2197" spans="1:12">
      <c r="A2197" s="22">
        <v>40312.157638888886</v>
      </c>
      <c r="E2197" s="26">
        <v>14.671799999999999</v>
      </c>
      <c r="G2197" s="27">
        <v>0.15763888888888888</v>
      </c>
      <c r="J2197" s="30">
        <f>IF(G2197&lt;$H$10,$H$16,IF(G2197&gt;$I$10,$H$16,$H$11))*E2197/600</f>
        <v>4.8906000000000002E-3</v>
      </c>
      <c r="L2197" s="32">
        <f>$J2197*($G2197-$G2196)*60*24</f>
        <v>4.8905999999999828E-3</v>
      </c>
    </row>
    <row r="2198" spans="1:12">
      <c r="A2198" s="22">
        <v>40312.158333333333</v>
      </c>
      <c r="E2198" s="26">
        <v>14.826499999999999</v>
      </c>
      <c r="G2198" s="27">
        <v>0.15833333333333333</v>
      </c>
      <c r="J2198" s="30">
        <f>IF(G2198&lt;$H$10,$H$16,IF(G2198&gt;$I$10,$H$16,$H$11))*E2198/600</f>
        <v>4.9421666666666668E-3</v>
      </c>
      <c r="L2198" s="32">
        <f>$J2198*($G2198-$G2197)*60*24</f>
        <v>4.9421666666666485E-3</v>
      </c>
    </row>
    <row r="2199" spans="1:12">
      <c r="A2199" s="22">
        <v>40312.15902777778</v>
      </c>
      <c r="E2199" s="26">
        <v>14.678235000000001</v>
      </c>
      <c r="G2199" s="27">
        <v>0.15902777777777777</v>
      </c>
      <c r="J2199" s="30">
        <f>IF(G2199&lt;$H$10,$H$16,IF(G2199&gt;$I$10,$H$16,$H$11))*E2199/600</f>
        <v>4.8927450000000004E-3</v>
      </c>
      <c r="L2199" s="32">
        <f>$J2199*($G2199-$G2198)*60*24</f>
        <v>4.8927449999999831E-3</v>
      </c>
    </row>
    <row r="2200" spans="1:12">
      <c r="A2200" s="22">
        <v>40312.159722222219</v>
      </c>
      <c r="E2200" s="26">
        <v>14.82</v>
      </c>
      <c r="G2200" s="27">
        <v>0.15972222222222224</v>
      </c>
      <c r="J2200" s="30">
        <f>IF(G2200&lt;$H$10,$H$16,IF(G2200&gt;$I$10,$H$16,$H$11))*E2200/600</f>
        <v>4.9400000000000008E-3</v>
      </c>
      <c r="L2200" s="32">
        <f>$J2200*($G2200-$G2199)*60*24</f>
        <v>4.9400000000001812E-3</v>
      </c>
    </row>
    <row r="2201" spans="1:12">
      <c r="A2201" s="22">
        <v>40312.160416666666</v>
      </c>
      <c r="E2201" s="26">
        <v>14.846</v>
      </c>
      <c r="G2201" s="27">
        <v>0.16041666666666668</v>
      </c>
      <c r="J2201" s="30">
        <f>IF(G2201&lt;$H$10,$H$16,IF(G2201&gt;$I$10,$H$16,$H$11))*E2201/600</f>
        <v>4.9486666666666672E-3</v>
      </c>
      <c r="L2201" s="32">
        <f>$J2201*($G2201-$G2200)*60*24</f>
        <v>4.948666666666649E-3</v>
      </c>
    </row>
    <row r="2202" spans="1:12">
      <c r="A2202" s="22">
        <v>40312.161111111112</v>
      </c>
      <c r="E2202" s="26">
        <v>14.69754</v>
      </c>
      <c r="G2202" s="27">
        <v>0.16111111111111112</v>
      </c>
      <c r="J2202" s="30">
        <f>IF(G2202&lt;$H$10,$H$16,IF(G2202&gt;$I$10,$H$16,$H$11))*E2202/600</f>
        <v>4.8991800000000004E-3</v>
      </c>
      <c r="L2202" s="32">
        <f>$J2202*($G2202-$G2201)*60*24</f>
        <v>4.899179999999983E-3</v>
      </c>
    </row>
    <row r="2203" spans="1:12">
      <c r="A2203" s="22">
        <v>40312.161805555559</v>
      </c>
      <c r="E2203" s="26">
        <v>14.917122000000001</v>
      </c>
      <c r="G2203" s="27">
        <v>0.16180555555555556</v>
      </c>
      <c r="J2203" s="30">
        <f>IF(G2203&lt;$H$10,$H$16,IF(G2203&gt;$I$10,$H$16,$H$11))*E2203/600</f>
        <v>4.9723740000000008E-3</v>
      </c>
      <c r="L2203" s="32">
        <f>$J2203*($G2203-$G2202)*60*24</f>
        <v>4.9723739999999834E-3</v>
      </c>
    </row>
    <row r="2204" spans="1:12">
      <c r="A2204" s="22">
        <v>40312.162499999999</v>
      </c>
      <c r="E2204" s="26">
        <v>14.684670000000001</v>
      </c>
      <c r="G2204" s="27">
        <v>0.16250000000000001</v>
      </c>
      <c r="J2204" s="30">
        <f>IF(G2204&lt;$H$10,$H$16,IF(G2204&gt;$I$10,$H$16,$H$11))*E2204/600</f>
        <v>4.8948900000000007E-3</v>
      </c>
      <c r="L2204" s="32">
        <f>$J2204*($G2204-$G2203)*60*24</f>
        <v>4.8948899999999834E-3</v>
      </c>
    </row>
    <row r="2205" spans="1:12">
      <c r="A2205" s="22">
        <v>40312.163194444445</v>
      </c>
      <c r="E2205" s="26">
        <v>14.74902</v>
      </c>
      <c r="G2205" s="27">
        <v>0.16319444444444445</v>
      </c>
      <c r="J2205" s="30">
        <f>IF(G2205&lt;$H$10,$H$16,IF(G2205&gt;$I$10,$H$16,$H$11))*E2205/600</f>
        <v>4.9163400000000008E-3</v>
      </c>
      <c r="L2205" s="32">
        <f>$J2205*($G2205-$G2204)*60*24</f>
        <v>4.9163399999999835E-3</v>
      </c>
    </row>
    <row r="2206" spans="1:12">
      <c r="A2206" s="22">
        <v>40312.163888888892</v>
      </c>
      <c r="E2206" s="26">
        <v>14.729715000000001</v>
      </c>
      <c r="G2206" s="27">
        <v>0.16388888888888889</v>
      </c>
      <c r="J2206" s="30">
        <f>IF(G2206&lt;$H$10,$H$16,IF(G2206&gt;$I$10,$H$16,$H$11))*E2206/600</f>
        <v>4.909905E-3</v>
      </c>
      <c r="L2206" s="32">
        <f>$J2206*($G2206-$G2205)*60*24</f>
        <v>4.9099049999999827E-3</v>
      </c>
    </row>
    <row r="2207" spans="1:12">
      <c r="A2207" s="22">
        <v>40312.164583333331</v>
      </c>
      <c r="E2207" s="26">
        <v>14.74902</v>
      </c>
      <c r="G2207" s="27">
        <v>0.16458333333333333</v>
      </c>
      <c r="J2207" s="30">
        <f>IF(G2207&lt;$H$10,$H$16,IF(G2207&gt;$I$10,$H$16,$H$11))*E2207/600</f>
        <v>4.9163400000000008E-3</v>
      </c>
      <c r="L2207" s="32">
        <f>$J2207*($G2207-$G2206)*60*24</f>
        <v>4.9163399999999835E-3</v>
      </c>
    </row>
    <row r="2208" spans="1:12">
      <c r="A2208" s="22">
        <v>40312.165277777778</v>
      </c>
      <c r="E2208" s="26">
        <v>14.943258</v>
      </c>
      <c r="G2208" s="27">
        <v>0.16527777777777777</v>
      </c>
      <c r="J2208" s="30">
        <f>IF(G2208&lt;$H$10,$H$16,IF(G2208&gt;$I$10,$H$16,$H$11))*E2208/600</f>
        <v>4.9810860000000009E-3</v>
      </c>
      <c r="L2208" s="32">
        <f>$J2208*($G2208-$G2207)*60*24</f>
        <v>4.9810859999999827E-3</v>
      </c>
    </row>
    <row r="2209" spans="1:12">
      <c r="A2209" s="22">
        <v>40312.165972222225</v>
      </c>
      <c r="E2209" s="26">
        <v>14.671799999999999</v>
      </c>
      <c r="G2209" s="27">
        <v>0.16597222222222222</v>
      </c>
      <c r="J2209" s="30">
        <f>IF(G2209&lt;$H$10,$H$16,IF(G2209&gt;$I$10,$H$16,$H$11))*E2209/600</f>
        <v>4.8906000000000002E-3</v>
      </c>
      <c r="L2209" s="32">
        <f>$J2209*($G2209-$G2208)*60*24</f>
        <v>4.8905999999999828E-3</v>
      </c>
    </row>
    <row r="2210" spans="1:12">
      <c r="A2210" s="22">
        <v>40312.166666666664</v>
      </c>
      <c r="E2210" s="26">
        <v>14.7875</v>
      </c>
      <c r="G2210" s="27">
        <v>0.16666666666666666</v>
      </c>
      <c r="J2210" s="30">
        <f>IF(G2210&lt;$H$10,$H$16,IF(G2210&gt;$I$10,$H$16,$H$11))*E2210/600</f>
        <v>4.9291666666666668E-3</v>
      </c>
      <c r="L2210" s="32">
        <f>$J2210*($G2210-$G2209)*60*24</f>
        <v>4.9291666666666494E-3</v>
      </c>
    </row>
    <row r="2211" spans="1:12">
      <c r="A2211" s="22">
        <v>40312.167361111111</v>
      </c>
      <c r="E2211" s="26">
        <v>14.768000000000001</v>
      </c>
      <c r="G2211" s="27">
        <v>0.1673611111111111</v>
      </c>
      <c r="J2211" s="30">
        <f>IF(G2211&lt;$H$10,$H$16,IF(G2211&gt;$I$10,$H$16,$H$11))*E2211/600</f>
        <v>4.9226666666666672E-3</v>
      </c>
      <c r="L2211" s="32">
        <f>$J2211*($G2211-$G2210)*60*24</f>
        <v>4.9226666666666499E-3</v>
      </c>
    </row>
    <row r="2212" spans="1:12">
      <c r="A2212" s="22">
        <v>40312.168055555558</v>
      </c>
      <c r="E2212" s="26">
        <v>14.794</v>
      </c>
      <c r="G2212" s="27">
        <v>0.16805555555555554</v>
      </c>
      <c r="J2212" s="30">
        <f>IF(G2212&lt;$H$10,$H$16,IF(G2212&gt;$I$10,$H$16,$H$11))*E2212/600</f>
        <v>4.9313333333333336E-3</v>
      </c>
      <c r="L2212" s="32">
        <f>$J2212*($G2212-$G2211)*60*24</f>
        <v>4.9313333333333162E-3</v>
      </c>
    </row>
    <row r="2213" spans="1:12">
      <c r="A2213" s="22">
        <v>40312.168749999997</v>
      </c>
      <c r="E2213" s="26">
        <v>14.8005</v>
      </c>
      <c r="G2213" s="27">
        <v>0.16874999999999998</v>
      </c>
      <c r="J2213" s="30">
        <f>IF(G2213&lt;$H$10,$H$16,IF(G2213&gt;$I$10,$H$16,$H$11))*E2213/600</f>
        <v>4.9335000000000004E-3</v>
      </c>
      <c r="L2213" s="32">
        <f>$J2213*($G2213-$G2212)*60*24</f>
        <v>4.933499999999983E-3</v>
      </c>
    </row>
    <row r="2214" spans="1:12">
      <c r="A2214" s="22">
        <v>40312.169444444444</v>
      </c>
      <c r="E2214" s="26">
        <v>14.826499999999999</v>
      </c>
      <c r="G2214" s="27">
        <v>0.16944444444444443</v>
      </c>
      <c r="J2214" s="30">
        <f>IF(G2214&lt;$H$10,$H$16,IF(G2214&gt;$I$10,$H$16,$H$11))*E2214/600</f>
        <v>4.9421666666666668E-3</v>
      </c>
      <c r="L2214" s="32">
        <f>$J2214*($G2214-$G2213)*60*24</f>
        <v>4.9421666666666485E-3</v>
      </c>
    </row>
    <row r="2215" spans="1:12">
      <c r="A2215" s="22">
        <v>40312.170138888891</v>
      </c>
      <c r="E2215" s="26">
        <v>14.742585</v>
      </c>
      <c r="G2215" s="27">
        <v>0.17013888888888887</v>
      </c>
      <c r="J2215" s="30">
        <f>IF(G2215&lt;$H$10,$H$16,IF(G2215&gt;$I$10,$H$16,$H$11))*E2215/600</f>
        <v>4.9141950000000005E-3</v>
      </c>
      <c r="L2215" s="32">
        <f>$J2215*($G2215-$G2214)*60*24</f>
        <v>4.9141949999999832E-3</v>
      </c>
    </row>
    <row r="2216" spans="1:12">
      <c r="A2216" s="22">
        <v>40312.17083333333</v>
      </c>
      <c r="E2216" s="26">
        <v>14.975928</v>
      </c>
      <c r="G2216" s="27">
        <v>0.17083333333333331</v>
      </c>
      <c r="J2216" s="30">
        <f>IF(G2216&lt;$H$10,$H$16,IF(G2216&gt;$I$10,$H$16,$H$11))*E2216/600</f>
        <v>4.9919760000000004E-3</v>
      </c>
      <c r="L2216" s="32">
        <f>$J2216*($G2216-$G2215)*60*24</f>
        <v>4.9919759999999822E-3</v>
      </c>
    </row>
    <row r="2217" spans="1:12">
      <c r="A2217" s="22">
        <v>40312.171527777777</v>
      </c>
      <c r="E2217" s="26">
        <v>14.723280000000001</v>
      </c>
      <c r="G2217" s="27">
        <v>0.17152777777777775</v>
      </c>
      <c r="J2217" s="30">
        <f>IF(G2217&lt;$H$10,$H$16,IF(G2217&gt;$I$10,$H$16,$H$11))*E2217/600</f>
        <v>4.9077600000000006E-3</v>
      </c>
      <c r="L2217" s="32">
        <f>$J2217*($G2217-$G2216)*60*24</f>
        <v>4.9077599999999832E-3</v>
      </c>
    </row>
    <row r="2218" spans="1:12">
      <c r="A2218" s="22">
        <v>40312.172222222223</v>
      </c>
      <c r="E2218" s="26">
        <v>14.859</v>
      </c>
      <c r="G2218" s="27">
        <v>0.17222222222222225</v>
      </c>
      <c r="J2218" s="30">
        <f>IF(G2218&lt;$H$10,$H$16,IF(G2218&gt;$I$10,$H$16,$H$11))*E2218/600</f>
        <v>4.9529999999999999E-3</v>
      </c>
      <c r="L2218" s="32">
        <f>$J2218*($G2218-$G2217)*60*24</f>
        <v>4.9530000000003781E-3</v>
      </c>
    </row>
    <row r="2219" spans="1:12">
      <c r="A2219" s="22">
        <v>40312.17291666667</v>
      </c>
      <c r="E2219" s="26">
        <v>14.859</v>
      </c>
      <c r="G2219" s="27">
        <v>0.17291666666666669</v>
      </c>
      <c r="J2219" s="30">
        <f>IF(G2219&lt;$H$10,$H$16,IF(G2219&gt;$I$10,$H$16,$H$11))*E2219/600</f>
        <v>4.9529999999999999E-3</v>
      </c>
      <c r="L2219" s="32">
        <f>$J2219*($G2219-$G2218)*60*24</f>
        <v>4.9529999999999817E-3</v>
      </c>
    </row>
    <row r="2220" spans="1:12">
      <c r="A2220" s="22">
        <v>40312.173611111109</v>
      </c>
      <c r="E2220" s="26">
        <v>14.878500000000001</v>
      </c>
      <c r="G2220" s="27">
        <v>0.17361111111111113</v>
      </c>
      <c r="J2220" s="30">
        <f>IF(G2220&lt;$H$10,$H$16,IF(G2220&gt;$I$10,$H$16,$H$11))*E2220/600</f>
        <v>4.9595000000000004E-3</v>
      </c>
      <c r="L2220" s="32">
        <f>$J2220*($G2220-$G2219)*60*24</f>
        <v>4.959499999999983E-3</v>
      </c>
    </row>
    <row r="2221" spans="1:12">
      <c r="A2221" s="22">
        <v>40312.174305555556</v>
      </c>
      <c r="E2221" s="26">
        <v>14.885</v>
      </c>
      <c r="G2221" s="27">
        <v>0.17430555555555557</v>
      </c>
      <c r="J2221" s="30">
        <f>IF(G2221&lt;$H$10,$H$16,IF(G2221&gt;$I$10,$H$16,$H$11))*E2221/600</f>
        <v>4.9616666666666672E-3</v>
      </c>
      <c r="L2221" s="32">
        <f>$J2221*($G2221-$G2220)*60*24</f>
        <v>4.961666666666649E-3</v>
      </c>
    </row>
    <row r="2222" spans="1:12">
      <c r="A2222" s="22">
        <v>40312.175000000003</v>
      </c>
      <c r="E2222" s="26">
        <v>14.865500000000001</v>
      </c>
      <c r="G2222" s="27">
        <v>0.17500000000000002</v>
      </c>
      <c r="J2222" s="30">
        <f>IF(G2222&lt;$H$10,$H$16,IF(G2222&gt;$I$10,$H$16,$H$11))*E2222/600</f>
        <v>4.9551666666666676E-3</v>
      </c>
      <c r="L2222" s="32">
        <f>$J2222*($G2222-$G2221)*60*24</f>
        <v>4.9551666666666494E-3</v>
      </c>
    </row>
    <row r="2223" spans="1:12">
      <c r="A2223" s="22">
        <v>40312.175694444442</v>
      </c>
      <c r="E2223" s="26">
        <v>14.852499999999999</v>
      </c>
      <c r="G2223" s="27">
        <v>0.17569444444444446</v>
      </c>
      <c r="J2223" s="30">
        <f>IF(G2223&lt;$H$10,$H$16,IF(G2223&gt;$I$10,$H$16,$H$11))*E2223/600</f>
        <v>4.9508333333333331E-3</v>
      </c>
      <c r="L2223" s="32">
        <f>$J2223*($G2223-$G2222)*60*24</f>
        <v>4.9508333333333158E-3</v>
      </c>
    </row>
    <row r="2224" spans="1:12">
      <c r="A2224" s="22">
        <v>40312.176388888889</v>
      </c>
      <c r="E2224" s="26">
        <v>14.839499999999999</v>
      </c>
      <c r="G2224" s="27">
        <v>0.1763888888888889</v>
      </c>
      <c r="J2224" s="30">
        <f>IF(G2224&lt;$H$10,$H$16,IF(G2224&gt;$I$10,$H$16,$H$11))*E2224/600</f>
        <v>4.9465000000000004E-3</v>
      </c>
      <c r="L2224" s="32">
        <f>$J2224*($G2224-$G2223)*60*24</f>
        <v>4.9464999999999822E-3</v>
      </c>
    </row>
    <row r="2225" spans="1:12">
      <c r="A2225" s="22">
        <v>40312.177083333336</v>
      </c>
      <c r="E2225" s="26">
        <v>14.852499999999999</v>
      </c>
      <c r="G2225" s="27">
        <v>0.17708333333333334</v>
      </c>
      <c r="J2225" s="30">
        <f>IF(G2225&lt;$H$10,$H$16,IF(G2225&gt;$I$10,$H$16,$H$11))*E2225/600</f>
        <v>4.9508333333333331E-3</v>
      </c>
      <c r="L2225" s="32">
        <f>$J2225*($G2225-$G2224)*60*24</f>
        <v>4.9508333333333158E-3</v>
      </c>
    </row>
    <row r="2226" spans="1:12">
      <c r="A2226" s="22">
        <v>40312.177777777775</v>
      </c>
      <c r="E2226" s="26">
        <v>14.826499999999999</v>
      </c>
      <c r="G2226" s="27">
        <v>0.17777777777777778</v>
      </c>
      <c r="J2226" s="30">
        <f>IF(G2226&lt;$H$10,$H$16,IF(G2226&gt;$I$10,$H$16,$H$11))*E2226/600</f>
        <v>4.9421666666666668E-3</v>
      </c>
      <c r="L2226" s="32">
        <f>$J2226*($G2226-$G2225)*60*24</f>
        <v>4.9421666666666485E-3</v>
      </c>
    </row>
    <row r="2227" spans="1:12">
      <c r="A2227" s="22">
        <v>40312.178472222222</v>
      </c>
      <c r="E2227" s="26">
        <v>14.794</v>
      </c>
      <c r="G2227" s="27">
        <v>0.17847222222222223</v>
      </c>
      <c r="J2227" s="30">
        <f>IF(G2227&lt;$H$10,$H$16,IF(G2227&gt;$I$10,$H$16,$H$11))*E2227/600</f>
        <v>4.9313333333333336E-3</v>
      </c>
      <c r="L2227" s="32">
        <f>$J2227*($G2227-$G2226)*60*24</f>
        <v>4.9313333333333162E-3</v>
      </c>
    </row>
    <row r="2228" spans="1:12">
      <c r="A2228" s="22">
        <v>40312.179166666669</v>
      </c>
      <c r="E2228" s="26">
        <v>14.7745</v>
      </c>
      <c r="G2228" s="27">
        <v>0.17916666666666667</v>
      </c>
      <c r="J2228" s="30">
        <f>IF(G2228&lt;$H$10,$H$16,IF(G2228&gt;$I$10,$H$16,$H$11))*E2228/600</f>
        <v>4.924833333333334E-3</v>
      </c>
      <c r="L2228" s="32">
        <f>$J2228*($G2228-$G2227)*60*24</f>
        <v>4.9248333333333158E-3</v>
      </c>
    </row>
    <row r="2229" spans="1:12">
      <c r="A2229" s="22">
        <v>40312.179861111108</v>
      </c>
      <c r="E2229" s="26">
        <v>14.794</v>
      </c>
      <c r="G2229" s="27">
        <v>0.17986111111111111</v>
      </c>
      <c r="J2229" s="30">
        <f>IF(G2229&lt;$H$10,$H$16,IF(G2229&gt;$I$10,$H$16,$H$11))*E2229/600</f>
        <v>4.9313333333333336E-3</v>
      </c>
      <c r="L2229" s="32">
        <f>$J2229*($G2229-$G2228)*60*24</f>
        <v>4.9313333333333162E-3</v>
      </c>
    </row>
    <row r="2230" spans="1:12">
      <c r="A2230" s="22">
        <v>40312.180555555555</v>
      </c>
      <c r="E2230" s="26">
        <v>14.846</v>
      </c>
      <c r="G2230" s="27">
        <v>0.18055555555555555</v>
      </c>
      <c r="J2230" s="30">
        <f>IF(G2230&lt;$H$10,$H$16,IF(G2230&gt;$I$10,$H$16,$H$11))*E2230/600</f>
        <v>4.9486666666666672E-3</v>
      </c>
      <c r="L2230" s="32">
        <f>$J2230*($G2230-$G2229)*60*24</f>
        <v>4.948666666666649E-3</v>
      </c>
    </row>
    <row r="2231" spans="1:12">
      <c r="A2231" s="22">
        <v>40312.181250000001</v>
      </c>
      <c r="E2231" s="26">
        <v>14.93019</v>
      </c>
      <c r="G2231" s="27">
        <v>0.18124999999999999</v>
      </c>
      <c r="J2231" s="30">
        <f>IF(G2231&lt;$H$10,$H$16,IF(G2231&gt;$I$10,$H$16,$H$11))*E2231/600</f>
        <v>4.9767300000000004E-3</v>
      </c>
      <c r="L2231" s="32">
        <f>$J2231*($G2231-$G2230)*60*24</f>
        <v>4.9767299999999822E-3</v>
      </c>
    </row>
    <row r="2232" spans="1:12">
      <c r="A2232" s="22">
        <v>40312.181944444441</v>
      </c>
      <c r="E2232" s="26">
        <v>14.865500000000001</v>
      </c>
      <c r="G2232" s="27">
        <v>0.18194444444444444</v>
      </c>
      <c r="J2232" s="30">
        <f>IF(G2232&lt;$H$10,$H$16,IF(G2232&gt;$I$10,$H$16,$H$11))*E2232/600</f>
        <v>4.9551666666666676E-3</v>
      </c>
      <c r="L2232" s="32">
        <f>$J2232*($G2232-$G2231)*60*24</f>
        <v>4.9551666666666494E-3</v>
      </c>
    </row>
    <row r="2233" spans="1:12">
      <c r="A2233" s="22">
        <v>40312.182638888888</v>
      </c>
      <c r="E2233" s="26">
        <v>14.872</v>
      </c>
      <c r="G2233" s="27">
        <v>0.18263888888888891</v>
      </c>
      <c r="J2233" s="30">
        <f>IF(G2233&lt;$H$10,$H$16,IF(G2233&gt;$I$10,$H$16,$H$11))*E2233/600</f>
        <v>4.9573333333333336E-3</v>
      </c>
      <c r="L2233" s="32">
        <f>$J2233*($G2233-$G2232)*60*24</f>
        <v>4.957333333333514E-3</v>
      </c>
    </row>
    <row r="2234" spans="1:12">
      <c r="A2234" s="22">
        <v>40312.183333333334</v>
      </c>
      <c r="E2234" s="26">
        <v>14.898</v>
      </c>
      <c r="G2234" s="27">
        <v>0.18333333333333335</v>
      </c>
      <c r="J2234" s="30">
        <f>IF(G2234&lt;$H$10,$H$16,IF(G2234&gt;$I$10,$H$16,$H$11))*E2234/600</f>
        <v>4.9659999999999999E-3</v>
      </c>
      <c r="L2234" s="32">
        <f>$J2234*($G2234-$G2233)*60*24</f>
        <v>4.9659999999999817E-3</v>
      </c>
    </row>
    <row r="2235" spans="1:12">
      <c r="A2235" s="22">
        <v>40312.184027777781</v>
      </c>
      <c r="E2235" s="26">
        <v>14.885</v>
      </c>
      <c r="G2235" s="27">
        <v>0.18402777777777779</v>
      </c>
      <c r="J2235" s="30">
        <f>IF(G2235&lt;$H$10,$H$16,IF(G2235&gt;$I$10,$H$16,$H$11))*E2235/600</f>
        <v>4.9616666666666672E-3</v>
      </c>
      <c r="L2235" s="32">
        <f>$J2235*($G2235-$G2234)*60*24</f>
        <v>4.961666666666649E-3</v>
      </c>
    </row>
    <row r="2236" spans="1:12">
      <c r="A2236" s="22">
        <v>40312.18472222222</v>
      </c>
      <c r="E2236" s="26">
        <v>14.891500000000001</v>
      </c>
      <c r="G2236" s="27">
        <v>0.18472222222222223</v>
      </c>
      <c r="J2236" s="30">
        <f>IF(G2236&lt;$H$10,$H$16,IF(G2236&gt;$I$10,$H$16,$H$11))*E2236/600</f>
        <v>4.963833333333334E-3</v>
      </c>
      <c r="L2236" s="32">
        <f>$J2236*($G2236-$G2235)*60*24</f>
        <v>4.9638333333333166E-3</v>
      </c>
    </row>
    <row r="2237" spans="1:12">
      <c r="A2237" s="22">
        <v>40312.185416666667</v>
      </c>
      <c r="E2237" s="26">
        <v>14.911</v>
      </c>
      <c r="G2237" s="27">
        <v>0.18541666666666667</v>
      </c>
      <c r="J2237" s="30">
        <f>IF(G2237&lt;$H$10,$H$16,IF(G2237&gt;$I$10,$H$16,$H$11))*E2237/600</f>
        <v>4.9703333333333335E-3</v>
      </c>
      <c r="L2237" s="32">
        <f>$J2237*($G2237-$G2236)*60*24</f>
        <v>4.9703333333333153E-3</v>
      </c>
    </row>
    <row r="2238" spans="1:12">
      <c r="A2238" s="22">
        <v>40312.186111111114</v>
      </c>
      <c r="E2238" s="26">
        <v>14.911</v>
      </c>
      <c r="G2238" s="27">
        <v>0.18611111111111112</v>
      </c>
      <c r="J2238" s="30">
        <f>IF(G2238&lt;$H$10,$H$16,IF(G2238&gt;$I$10,$H$16,$H$11))*E2238/600</f>
        <v>4.9703333333333335E-3</v>
      </c>
      <c r="L2238" s="32">
        <f>$J2238*($G2238-$G2237)*60*24</f>
        <v>4.9703333333333153E-3</v>
      </c>
    </row>
    <row r="2239" spans="1:12">
      <c r="A2239" s="22">
        <v>40312.186805555553</v>
      </c>
      <c r="E2239" s="26">
        <v>14.898</v>
      </c>
      <c r="G2239" s="27">
        <v>0.18680555555555556</v>
      </c>
      <c r="J2239" s="30">
        <f>IF(G2239&lt;$H$10,$H$16,IF(G2239&gt;$I$10,$H$16,$H$11))*E2239/600</f>
        <v>4.9659999999999999E-3</v>
      </c>
      <c r="L2239" s="32">
        <f>$J2239*($G2239-$G2238)*60*24</f>
        <v>4.9659999999999817E-3</v>
      </c>
    </row>
    <row r="2240" spans="1:12">
      <c r="A2240" s="22">
        <v>40312.1875</v>
      </c>
      <c r="E2240" s="26">
        <v>14.82624</v>
      </c>
      <c r="G2240" s="27">
        <v>0.1875</v>
      </c>
      <c r="J2240" s="30">
        <f>IF(G2240&lt;$H$10,$H$16,IF(G2240&gt;$I$10,$H$16,$H$11))*E2240/600</f>
        <v>4.9420800000000006E-3</v>
      </c>
      <c r="L2240" s="32">
        <f>$J2240*($G2240-$G2239)*60*24</f>
        <v>4.9420799999999824E-3</v>
      </c>
    </row>
    <row r="2241" spans="1:12">
      <c r="A2241" s="22">
        <v>40312.188194444447</v>
      </c>
      <c r="E2241" s="26">
        <v>14.819805000000001</v>
      </c>
      <c r="G2241" s="27">
        <v>0.18819444444444444</v>
      </c>
      <c r="J2241" s="30">
        <f>IF(G2241&lt;$H$10,$H$16,IF(G2241&gt;$I$10,$H$16,$H$11))*E2241/600</f>
        <v>4.9399350000000003E-3</v>
      </c>
      <c r="L2241" s="32">
        <f>$J2241*($G2241-$G2240)*60*24</f>
        <v>4.939934999999983E-3</v>
      </c>
    </row>
    <row r="2242" spans="1:12">
      <c r="A2242" s="22">
        <v>40312.188888888886</v>
      </c>
      <c r="E2242" s="26">
        <v>14.8005</v>
      </c>
      <c r="G2242" s="27">
        <v>0.18888888888888888</v>
      </c>
      <c r="J2242" s="30">
        <f>IF(G2242&lt;$H$10,$H$16,IF(G2242&gt;$I$10,$H$16,$H$11))*E2242/600</f>
        <v>4.9335000000000004E-3</v>
      </c>
      <c r="L2242" s="32">
        <f>$J2242*($G2242-$G2241)*60*24</f>
        <v>4.933499999999983E-3</v>
      </c>
    </row>
    <row r="2243" spans="1:12">
      <c r="A2243" s="22">
        <v>40312.189583333333</v>
      </c>
      <c r="E2243" s="26">
        <v>14.755455</v>
      </c>
      <c r="G2243" s="27">
        <v>0.18958333333333333</v>
      </c>
      <c r="J2243" s="30">
        <f>IF(G2243&lt;$H$10,$H$16,IF(G2243&gt;$I$10,$H$16,$H$11))*E2243/600</f>
        <v>4.9184850000000002E-3</v>
      </c>
      <c r="L2243" s="32">
        <f>$J2243*($G2243-$G2242)*60*24</f>
        <v>4.9184849999999829E-3</v>
      </c>
    </row>
    <row r="2244" spans="1:12">
      <c r="A2244" s="22">
        <v>40312.19027777778</v>
      </c>
      <c r="E2244" s="26">
        <v>14.982462</v>
      </c>
      <c r="G2244" s="27">
        <v>0.19027777777777777</v>
      </c>
      <c r="J2244" s="30">
        <f>IF(G2244&lt;$H$10,$H$16,IF(G2244&gt;$I$10,$H$16,$H$11))*E2244/600</f>
        <v>4.9941540000000006E-3</v>
      </c>
      <c r="L2244" s="32">
        <f>$J2244*($G2244-$G2243)*60*24</f>
        <v>4.9941539999999833E-3</v>
      </c>
    </row>
    <row r="2245" spans="1:12">
      <c r="A2245" s="22">
        <v>40312.190972222219</v>
      </c>
      <c r="E2245" s="26">
        <v>14.956326000000001</v>
      </c>
      <c r="G2245" s="27">
        <v>0.19097222222222221</v>
      </c>
      <c r="J2245" s="30">
        <f>IF(G2245&lt;$H$10,$H$16,IF(G2245&gt;$I$10,$H$16,$H$11))*E2245/600</f>
        <v>4.9854420000000005E-3</v>
      </c>
      <c r="L2245" s="32">
        <f>$J2245*($G2245-$G2244)*60*24</f>
        <v>4.9854419999999832E-3</v>
      </c>
    </row>
    <row r="2246" spans="1:12">
      <c r="A2246" s="22">
        <v>40312.191666666666</v>
      </c>
      <c r="E2246" s="26">
        <v>14.962859999999999</v>
      </c>
      <c r="G2246" s="27">
        <v>0.19166666666666665</v>
      </c>
      <c r="J2246" s="30">
        <f>IF(G2246&lt;$H$10,$H$16,IF(G2246&gt;$I$10,$H$16,$H$11))*E2246/600</f>
        <v>4.9876199999999999E-3</v>
      </c>
      <c r="L2246" s="32">
        <f>$J2246*($G2246-$G2245)*60*24</f>
        <v>4.9876199999999826E-3</v>
      </c>
    </row>
    <row r="2247" spans="1:12">
      <c r="A2247" s="22">
        <v>40312.192361111112</v>
      </c>
      <c r="E2247" s="26">
        <v>14.723280000000001</v>
      </c>
      <c r="G2247" s="27">
        <v>0.19236111111111112</v>
      </c>
      <c r="J2247" s="30">
        <f>IF(G2247&lt;$H$10,$H$16,IF(G2247&gt;$I$10,$H$16,$H$11))*E2247/600</f>
        <v>4.9077600000000006E-3</v>
      </c>
      <c r="L2247" s="32">
        <f>$J2247*($G2247-$G2246)*60*24</f>
        <v>4.9077600000001793E-3</v>
      </c>
    </row>
    <row r="2248" spans="1:12">
      <c r="A2248" s="22">
        <v>40312.193055555559</v>
      </c>
      <c r="E2248" s="26">
        <v>14.65893</v>
      </c>
      <c r="G2248" s="27">
        <v>0.19305555555555554</v>
      </c>
      <c r="J2248" s="30">
        <f>IF(G2248&lt;$H$10,$H$16,IF(G2248&gt;$I$10,$H$16,$H$11))*E2248/600</f>
        <v>4.8863100000000005E-3</v>
      </c>
      <c r="L2248" s="32">
        <f>$J2248*($G2248-$G2247)*60*24</f>
        <v>4.886309999999788E-3</v>
      </c>
    </row>
    <row r="2249" spans="1:12">
      <c r="A2249" s="22">
        <v>40312.193749999999</v>
      </c>
      <c r="E2249" s="26">
        <v>14.768000000000001</v>
      </c>
      <c r="G2249" s="27">
        <v>0.19375000000000001</v>
      </c>
      <c r="J2249" s="30">
        <f>IF(G2249&lt;$H$10,$H$16,IF(G2249&gt;$I$10,$H$16,$H$11))*E2249/600</f>
        <v>4.9226666666666672E-3</v>
      </c>
      <c r="L2249" s="32">
        <f>$J2249*($G2249-$G2248)*60*24</f>
        <v>4.9226666666668467E-3</v>
      </c>
    </row>
    <row r="2250" spans="1:12">
      <c r="A2250" s="22">
        <v>40312.194444444445</v>
      </c>
      <c r="E2250" s="26">
        <v>14.768000000000001</v>
      </c>
      <c r="G2250" s="27">
        <v>0.19444444444444445</v>
      </c>
      <c r="J2250" s="30">
        <f>IF(G2250&lt;$H$10,$H$16,IF(G2250&gt;$I$10,$H$16,$H$11))*E2250/600</f>
        <v>4.9226666666666672E-3</v>
      </c>
      <c r="L2250" s="32">
        <f>$J2250*($G2250-$G2249)*60*24</f>
        <v>4.9226666666666499E-3</v>
      </c>
    </row>
    <row r="2251" spans="1:12">
      <c r="A2251" s="22">
        <v>40312.195138888892</v>
      </c>
      <c r="E2251" s="26">
        <v>14.6835</v>
      </c>
      <c r="G2251" s="27">
        <v>0.19513888888888889</v>
      </c>
      <c r="J2251" s="30">
        <f>IF(G2251&lt;$H$10,$H$16,IF(G2251&gt;$I$10,$H$16,$H$11))*E2251/600</f>
        <v>4.8945000000000004E-3</v>
      </c>
      <c r="L2251" s="32">
        <f>$J2251*($G2251-$G2250)*60*24</f>
        <v>4.8944999999999831E-3</v>
      </c>
    </row>
    <row r="2252" spans="1:12">
      <c r="A2252" s="22">
        <v>40312.195833333331</v>
      </c>
      <c r="E2252" s="26">
        <v>14.856595</v>
      </c>
      <c r="G2252" s="27">
        <v>0.19583333333333333</v>
      </c>
      <c r="J2252" s="30">
        <f>IF(G2252&lt;$H$10,$H$16,IF(G2252&gt;$I$10,$H$16,$H$11))*E2252/600</f>
        <v>4.9521983333333337E-3</v>
      </c>
      <c r="L2252" s="32">
        <f>$J2252*($G2252-$G2251)*60*24</f>
        <v>4.9521983333333163E-3</v>
      </c>
    </row>
    <row r="2253" spans="1:12">
      <c r="A2253" s="22">
        <v>40312.196527777778</v>
      </c>
      <c r="E2253" s="26">
        <v>14.7355</v>
      </c>
      <c r="G2253" s="27">
        <v>0.19652777777777777</v>
      </c>
      <c r="J2253" s="30">
        <f>IF(G2253&lt;$H$10,$H$16,IF(G2253&gt;$I$10,$H$16,$H$11))*E2253/600</f>
        <v>4.911833333333334E-3</v>
      </c>
      <c r="L2253" s="32">
        <f>$J2253*($G2253-$G2252)*60*24</f>
        <v>4.9118333333333167E-3</v>
      </c>
    </row>
    <row r="2254" spans="1:12">
      <c r="A2254" s="22">
        <v>40312.197222222225</v>
      </c>
      <c r="E2254" s="26">
        <v>14.7095</v>
      </c>
      <c r="G2254" s="27">
        <v>0.19722222222222222</v>
      </c>
      <c r="J2254" s="30">
        <f>IF(G2254&lt;$H$10,$H$16,IF(G2254&gt;$I$10,$H$16,$H$11))*E2254/600</f>
        <v>4.9031666666666677E-3</v>
      </c>
      <c r="L2254" s="32">
        <f>$J2254*($G2254-$G2253)*60*24</f>
        <v>4.9031666666666503E-3</v>
      </c>
    </row>
    <row r="2255" spans="1:12">
      <c r="A2255" s="22">
        <v>40312.197916666664</v>
      </c>
      <c r="E2255" s="26">
        <v>14.742000000000001</v>
      </c>
      <c r="G2255" s="27">
        <v>0.19791666666666666</v>
      </c>
      <c r="J2255" s="30">
        <f>IF(G2255&lt;$H$10,$H$16,IF(G2255&gt;$I$10,$H$16,$H$11))*E2255/600</f>
        <v>4.9140000000000008E-3</v>
      </c>
      <c r="L2255" s="32">
        <f>$J2255*($G2255-$G2254)*60*24</f>
        <v>4.9139999999999835E-3</v>
      </c>
    </row>
    <row r="2256" spans="1:12">
      <c r="A2256" s="22">
        <v>40312.198611111111</v>
      </c>
      <c r="E2256" s="26">
        <v>14.728999999999999</v>
      </c>
      <c r="G2256" s="27">
        <v>0.1986111111111111</v>
      </c>
      <c r="J2256" s="30">
        <f>IF(G2256&lt;$H$10,$H$16,IF(G2256&gt;$I$10,$H$16,$H$11))*E2256/600</f>
        <v>4.9096666666666672E-3</v>
      </c>
      <c r="L2256" s="32">
        <f>$J2256*($G2256-$G2255)*60*24</f>
        <v>4.9096666666666499E-3</v>
      </c>
    </row>
    <row r="2257" spans="1:12">
      <c r="A2257" s="22">
        <v>40312.199305555558</v>
      </c>
      <c r="E2257" s="26">
        <v>14.742000000000001</v>
      </c>
      <c r="G2257" s="27">
        <v>0.19930555555555554</v>
      </c>
      <c r="J2257" s="30">
        <f>IF(G2257&lt;$H$10,$H$16,IF(G2257&gt;$I$10,$H$16,$H$11))*E2257/600</f>
        <v>4.9140000000000008E-3</v>
      </c>
      <c r="L2257" s="32">
        <f>$J2257*($G2257-$G2256)*60*24</f>
        <v>4.9139999999999835E-3</v>
      </c>
    </row>
    <row r="2258" spans="1:12">
      <c r="A2258" s="22">
        <v>40312.199999999997</v>
      </c>
      <c r="E2258" s="26">
        <v>14.7095</v>
      </c>
      <c r="G2258" s="27">
        <v>0.19999999999999998</v>
      </c>
      <c r="J2258" s="30">
        <f>IF(G2258&lt;$H$10,$H$16,IF(G2258&gt;$I$10,$H$16,$H$11))*E2258/600</f>
        <v>4.9031666666666677E-3</v>
      </c>
      <c r="L2258" s="32">
        <f>$J2258*($G2258-$G2257)*60*24</f>
        <v>4.9031666666666503E-3</v>
      </c>
    </row>
    <row r="2259" spans="1:12">
      <c r="A2259" s="22">
        <v>40312.200694444444</v>
      </c>
      <c r="E2259" s="26">
        <v>14.7355</v>
      </c>
      <c r="G2259" s="27">
        <v>0.20069444444444443</v>
      </c>
      <c r="J2259" s="30">
        <f>IF(G2259&lt;$H$10,$H$16,IF(G2259&gt;$I$10,$H$16,$H$11))*E2259/600</f>
        <v>4.911833333333334E-3</v>
      </c>
      <c r="L2259" s="32">
        <f>$J2259*($G2259-$G2258)*60*24</f>
        <v>4.9118333333333167E-3</v>
      </c>
    </row>
    <row r="2260" spans="1:12">
      <c r="A2260" s="22">
        <v>40312.201388888891</v>
      </c>
      <c r="E2260" s="26">
        <v>14.7615</v>
      </c>
      <c r="G2260" s="27">
        <v>0.20138888888888887</v>
      </c>
      <c r="J2260" s="30">
        <f>IF(G2260&lt;$H$10,$H$16,IF(G2260&gt;$I$10,$H$16,$H$11))*E2260/600</f>
        <v>4.9205000000000004E-3</v>
      </c>
      <c r="L2260" s="32">
        <f>$J2260*($G2260-$G2259)*60*24</f>
        <v>4.9204999999999822E-3</v>
      </c>
    </row>
    <row r="2261" spans="1:12">
      <c r="A2261" s="22">
        <v>40312.20208333333</v>
      </c>
      <c r="E2261" s="26">
        <v>14.807</v>
      </c>
      <c r="G2261" s="27">
        <v>0.20208333333333331</v>
      </c>
      <c r="J2261" s="30">
        <f>IF(G2261&lt;$H$10,$H$16,IF(G2261&gt;$I$10,$H$16,$H$11))*E2261/600</f>
        <v>4.9356666666666672E-3</v>
      </c>
      <c r="L2261" s="32">
        <f>$J2261*($G2261-$G2260)*60*24</f>
        <v>4.9356666666666498E-3</v>
      </c>
    </row>
    <row r="2262" spans="1:12">
      <c r="A2262" s="22">
        <v>40312.202777777777</v>
      </c>
      <c r="E2262" s="26">
        <v>14.8005</v>
      </c>
      <c r="G2262" s="27">
        <v>0.20277777777777781</v>
      </c>
      <c r="J2262" s="30">
        <f>IF(G2262&lt;$H$10,$H$16,IF(G2262&gt;$I$10,$H$16,$H$11))*E2262/600</f>
        <v>4.9335000000000004E-3</v>
      </c>
      <c r="L2262" s="32">
        <f>$J2262*($G2262-$G2261)*60*24</f>
        <v>4.9335000000003777E-3</v>
      </c>
    </row>
    <row r="2263" spans="1:12">
      <c r="A2263" s="22">
        <v>40312.203472222223</v>
      </c>
      <c r="E2263" s="26">
        <v>14.813499999999999</v>
      </c>
      <c r="G2263" s="27">
        <v>0.20347222222222219</v>
      </c>
      <c r="J2263" s="30">
        <f>IF(G2263&lt;$H$10,$H$16,IF(G2263&gt;$I$10,$H$16,$H$11))*E2263/600</f>
        <v>4.9378333333333331E-3</v>
      </c>
      <c r="L2263" s="32">
        <f>$J2263*($G2263-$G2262)*60*24</f>
        <v>4.9378333333329211E-3</v>
      </c>
    </row>
    <row r="2264" spans="1:12">
      <c r="A2264" s="22">
        <v>40312.20416666667</v>
      </c>
      <c r="E2264" s="26">
        <v>14.846</v>
      </c>
      <c r="G2264" s="27">
        <v>0.20416666666666669</v>
      </c>
      <c r="J2264" s="30">
        <f>IF(G2264&lt;$H$10,$H$16,IF(G2264&gt;$I$10,$H$16,$H$11))*E2264/600</f>
        <v>4.9486666666666672E-3</v>
      </c>
      <c r="L2264" s="32">
        <f>$J2264*($G2264-$G2263)*60*24</f>
        <v>4.9486666666670454E-3</v>
      </c>
    </row>
    <row r="2265" spans="1:12">
      <c r="A2265" s="22">
        <v>40312.204861111109</v>
      </c>
      <c r="E2265" s="26">
        <v>14.852499999999999</v>
      </c>
      <c r="G2265" s="27">
        <v>0.20486111111111113</v>
      </c>
      <c r="J2265" s="30">
        <f>IF(G2265&lt;$H$10,$H$16,IF(G2265&gt;$I$10,$H$16,$H$11))*E2265/600</f>
        <v>4.9508333333333331E-3</v>
      </c>
      <c r="L2265" s="32">
        <f>$J2265*($G2265-$G2264)*60*24</f>
        <v>4.9508333333333158E-3</v>
      </c>
    </row>
    <row r="2266" spans="1:12">
      <c r="A2266" s="22">
        <v>40312.205555555556</v>
      </c>
      <c r="E2266" s="26">
        <v>14.833</v>
      </c>
      <c r="G2266" s="27">
        <v>0.20555555555555557</v>
      </c>
      <c r="J2266" s="30">
        <f>IF(G2266&lt;$H$10,$H$16,IF(G2266&gt;$I$10,$H$16,$H$11))*E2266/600</f>
        <v>4.9443333333333336E-3</v>
      </c>
      <c r="L2266" s="32">
        <f>$J2266*($G2266-$G2265)*60*24</f>
        <v>4.9443333333333154E-3</v>
      </c>
    </row>
    <row r="2267" spans="1:12">
      <c r="A2267" s="22">
        <v>40312.206250000003</v>
      </c>
      <c r="E2267" s="26">
        <v>14.826499999999999</v>
      </c>
      <c r="G2267" s="27">
        <v>0.20625000000000002</v>
      </c>
      <c r="J2267" s="30">
        <f>IF(G2267&lt;$H$10,$H$16,IF(G2267&gt;$I$10,$H$16,$H$11))*E2267/600</f>
        <v>4.9421666666666668E-3</v>
      </c>
      <c r="L2267" s="32">
        <f>$J2267*($G2267-$G2266)*60*24</f>
        <v>4.9421666666666485E-3</v>
      </c>
    </row>
    <row r="2268" spans="1:12">
      <c r="A2268" s="22">
        <v>40312.206944444442</v>
      </c>
      <c r="E2268" s="26">
        <v>14.82</v>
      </c>
      <c r="G2268" s="27">
        <v>0.20694444444444446</v>
      </c>
      <c r="J2268" s="30">
        <f>IF(G2268&lt;$H$10,$H$16,IF(G2268&gt;$I$10,$H$16,$H$11))*E2268/600</f>
        <v>4.9400000000000008E-3</v>
      </c>
      <c r="L2268" s="32">
        <f>$J2268*($G2268-$G2267)*60*24</f>
        <v>4.9399999999999835E-3</v>
      </c>
    </row>
    <row r="2269" spans="1:12">
      <c r="A2269" s="22">
        <v>40312.207638888889</v>
      </c>
      <c r="E2269" s="26">
        <v>14.826499999999999</v>
      </c>
      <c r="G2269" s="27">
        <v>0.2076388888888889</v>
      </c>
      <c r="J2269" s="30">
        <f>IF(G2269&lt;$H$10,$H$16,IF(G2269&gt;$I$10,$H$16,$H$11))*E2269/600</f>
        <v>4.9421666666666668E-3</v>
      </c>
      <c r="L2269" s="32">
        <f>$J2269*($G2269-$G2268)*60*24</f>
        <v>4.9421666666666485E-3</v>
      </c>
    </row>
    <row r="2270" spans="1:12">
      <c r="A2270" s="22">
        <v>40312.208333333336</v>
      </c>
      <c r="E2270" s="26">
        <v>14.826499999999999</v>
      </c>
      <c r="G2270" s="27">
        <v>0.20833333333333334</v>
      </c>
      <c r="J2270" s="30">
        <f>IF(G2270&lt;$H$10,$H$16,IF(G2270&gt;$I$10,$H$16,$H$11))*E2270/600</f>
        <v>4.9421666666666668E-3</v>
      </c>
      <c r="L2270" s="32">
        <f>$J2270*($G2270-$G2269)*60*24</f>
        <v>4.9421666666666485E-3</v>
      </c>
    </row>
    <row r="2271" spans="1:12">
      <c r="A2271" s="22">
        <v>40312.209027777775</v>
      </c>
      <c r="E2271" s="26">
        <v>14.833</v>
      </c>
      <c r="G2271" s="27">
        <v>0.20902777777777778</v>
      </c>
      <c r="J2271" s="30">
        <f>IF(G2271&lt;$H$10,$H$16,IF(G2271&gt;$I$10,$H$16,$H$11))*E2271/600</f>
        <v>4.9443333333333336E-3</v>
      </c>
      <c r="L2271" s="32">
        <f>$J2271*($G2271-$G2270)*60*24</f>
        <v>4.9443333333333154E-3</v>
      </c>
    </row>
    <row r="2272" spans="1:12">
      <c r="A2272" s="22">
        <v>40312.209722222222</v>
      </c>
      <c r="E2272" s="26">
        <v>14.807</v>
      </c>
      <c r="G2272" s="27">
        <v>0.20972222222222223</v>
      </c>
      <c r="J2272" s="30">
        <f>IF(G2272&lt;$H$10,$H$16,IF(G2272&gt;$I$10,$H$16,$H$11))*E2272/600</f>
        <v>4.9356666666666672E-3</v>
      </c>
      <c r="L2272" s="32">
        <f>$J2272*($G2272-$G2271)*60*24</f>
        <v>4.9356666666666498E-3</v>
      </c>
    </row>
    <row r="2273" spans="1:12">
      <c r="A2273" s="22">
        <v>40312.210416666669</v>
      </c>
      <c r="E2273" s="26">
        <v>14.833</v>
      </c>
      <c r="G2273" s="27">
        <v>0.21041666666666667</v>
      </c>
      <c r="J2273" s="30">
        <f>IF(G2273&lt;$H$10,$H$16,IF(G2273&gt;$I$10,$H$16,$H$11))*E2273/600</f>
        <v>4.9443333333333336E-3</v>
      </c>
      <c r="L2273" s="32">
        <f>$J2273*($G2273-$G2272)*60*24</f>
        <v>4.9443333333333154E-3</v>
      </c>
    </row>
    <row r="2274" spans="1:12">
      <c r="A2274" s="22">
        <v>40312.211111111108</v>
      </c>
      <c r="E2274" s="26">
        <v>14.91568</v>
      </c>
      <c r="G2274" s="27">
        <v>0.21111111111111111</v>
      </c>
      <c r="J2274" s="30">
        <f>IF(G2274&lt;$H$10,$H$16,IF(G2274&gt;$I$10,$H$16,$H$11))*E2274/600</f>
        <v>4.971893333333333E-3</v>
      </c>
      <c r="L2274" s="32">
        <f>$J2274*($G2274-$G2273)*60*24</f>
        <v>4.9718933333333156E-3</v>
      </c>
    </row>
    <row r="2275" spans="1:12">
      <c r="A2275" s="22">
        <v>40312.211805555555</v>
      </c>
      <c r="E2275" s="26">
        <v>14.895985</v>
      </c>
      <c r="G2275" s="27">
        <v>0.21180555555555555</v>
      </c>
      <c r="J2275" s="30">
        <f>IF(G2275&lt;$H$10,$H$16,IF(G2275&gt;$I$10,$H$16,$H$11))*E2275/600</f>
        <v>4.9653283333333338E-3</v>
      </c>
      <c r="L2275" s="32">
        <f>$J2275*($G2275-$G2274)*60*24</f>
        <v>4.9653283333333164E-3</v>
      </c>
    </row>
    <row r="2276" spans="1:12">
      <c r="A2276" s="22">
        <v>40312.212500000001</v>
      </c>
      <c r="E2276" s="26">
        <v>14.7875</v>
      </c>
      <c r="G2276" s="27">
        <v>0.21249999999999999</v>
      </c>
      <c r="J2276" s="30">
        <f>IF(G2276&lt;$H$10,$H$16,IF(G2276&gt;$I$10,$H$16,$H$11))*E2276/600</f>
        <v>4.9291666666666668E-3</v>
      </c>
      <c r="L2276" s="32">
        <f>$J2276*($G2276-$G2275)*60*24</f>
        <v>4.9291666666666494E-3</v>
      </c>
    </row>
    <row r="2277" spans="1:12">
      <c r="A2277" s="22">
        <v>40312.213194444441</v>
      </c>
      <c r="E2277" s="26">
        <v>14.807</v>
      </c>
      <c r="G2277" s="27">
        <v>0.21319444444444444</v>
      </c>
      <c r="J2277" s="30">
        <f>IF(G2277&lt;$H$10,$H$16,IF(G2277&gt;$I$10,$H$16,$H$11))*E2277/600</f>
        <v>4.9356666666666672E-3</v>
      </c>
      <c r="L2277" s="32">
        <f>$J2277*($G2277-$G2276)*60*24</f>
        <v>4.9356666666666498E-3</v>
      </c>
    </row>
    <row r="2278" spans="1:12">
      <c r="A2278" s="22">
        <v>40312.213888888888</v>
      </c>
      <c r="E2278" s="26">
        <v>14.909115</v>
      </c>
      <c r="G2278" s="27">
        <v>0.21388888888888891</v>
      </c>
      <c r="J2278" s="30">
        <f>IF(G2278&lt;$H$10,$H$16,IF(G2278&gt;$I$10,$H$16,$H$11))*E2278/600</f>
        <v>4.9697050000000005E-3</v>
      </c>
      <c r="L2278" s="32">
        <f>$J2278*($G2278-$G2277)*60*24</f>
        <v>4.9697050000001818E-3</v>
      </c>
    </row>
    <row r="2279" spans="1:12">
      <c r="A2279" s="22">
        <v>40312.214583333334</v>
      </c>
      <c r="E2279" s="26">
        <v>14.856595</v>
      </c>
      <c r="G2279" s="27">
        <v>0.21458333333333335</v>
      </c>
      <c r="J2279" s="30">
        <f>IF(G2279&lt;$H$10,$H$16,IF(G2279&gt;$I$10,$H$16,$H$11))*E2279/600</f>
        <v>4.9521983333333337E-3</v>
      </c>
      <c r="L2279" s="32">
        <f>$J2279*($G2279-$G2278)*60*24</f>
        <v>4.9521983333333163E-3</v>
      </c>
    </row>
    <row r="2280" spans="1:12">
      <c r="A2280" s="22">
        <v>40312.215277777781</v>
      </c>
      <c r="E2280" s="26">
        <v>14.922245</v>
      </c>
      <c r="G2280" s="27">
        <v>0.21527777777777779</v>
      </c>
      <c r="J2280" s="30">
        <f>IF(G2280&lt;$H$10,$H$16,IF(G2280&gt;$I$10,$H$16,$H$11))*E2280/600</f>
        <v>4.9740816666666672E-3</v>
      </c>
      <c r="L2280" s="32">
        <f>$J2280*($G2280-$G2279)*60*24</f>
        <v>4.9740816666666498E-3</v>
      </c>
    </row>
    <row r="2281" spans="1:12">
      <c r="A2281" s="22">
        <v>40312.21597222222</v>
      </c>
      <c r="E2281" s="26">
        <v>14.82</v>
      </c>
      <c r="G2281" s="27">
        <v>0.21597222222222223</v>
      </c>
      <c r="J2281" s="30">
        <f>IF(G2281&lt;$H$10,$H$16,IF(G2281&gt;$I$10,$H$16,$H$11))*E2281/600</f>
        <v>4.9400000000000008E-3</v>
      </c>
      <c r="L2281" s="32">
        <f>$J2281*($G2281-$G2280)*60*24</f>
        <v>4.9399999999999835E-3</v>
      </c>
    </row>
    <row r="2282" spans="1:12">
      <c r="A2282" s="22">
        <v>40312.216666666667</v>
      </c>
      <c r="E2282" s="26">
        <v>14.92881</v>
      </c>
      <c r="G2282" s="27">
        <v>0.21666666666666667</v>
      </c>
      <c r="J2282" s="30">
        <f>IF(G2282&lt;$H$10,$H$16,IF(G2282&gt;$I$10,$H$16,$H$11))*E2282/600</f>
        <v>4.9762700000000005E-3</v>
      </c>
      <c r="L2282" s="32">
        <f>$J2282*($G2282-$G2281)*60*24</f>
        <v>4.9762699999999832E-3</v>
      </c>
    </row>
    <row r="2283" spans="1:12">
      <c r="A2283" s="22">
        <v>40312.217361111114</v>
      </c>
      <c r="E2283" s="26">
        <v>14.941940000000001</v>
      </c>
      <c r="G2283" s="27">
        <v>0.21736111111111112</v>
      </c>
      <c r="J2283" s="30">
        <f>IF(G2283&lt;$H$10,$H$16,IF(G2283&gt;$I$10,$H$16,$H$11))*E2283/600</f>
        <v>4.9806466666666672E-3</v>
      </c>
      <c r="L2283" s="32">
        <f>$J2283*($G2283-$G2282)*60*24</f>
        <v>4.980646666666649E-3</v>
      </c>
    </row>
    <row r="2284" spans="1:12">
      <c r="A2284" s="22">
        <v>40312.218055555553</v>
      </c>
      <c r="E2284" s="26">
        <v>14.721966</v>
      </c>
      <c r="G2284" s="27">
        <v>0.21805555555555556</v>
      </c>
      <c r="J2284" s="30">
        <f>IF(G2284&lt;$H$10,$H$16,IF(G2284&gt;$I$10,$H$16,$H$11))*E2284/600</f>
        <v>4.9073220000000004E-3</v>
      </c>
      <c r="L2284" s="32">
        <f>$J2284*($G2284-$G2283)*60*24</f>
        <v>4.9073219999999831E-3</v>
      </c>
    </row>
    <row r="2285" spans="1:12">
      <c r="A2285" s="22">
        <v>40312.21875</v>
      </c>
      <c r="E2285" s="26">
        <v>14.747669999999999</v>
      </c>
      <c r="G2285" s="27">
        <v>0.21875</v>
      </c>
      <c r="J2285" s="30">
        <f>IF(G2285&lt;$H$10,$H$16,IF(G2285&gt;$I$10,$H$16,$H$11))*E2285/600</f>
        <v>4.91589E-3</v>
      </c>
      <c r="L2285" s="32">
        <f>$J2285*($G2285-$G2284)*60*24</f>
        <v>4.9158899999999827E-3</v>
      </c>
    </row>
    <row r="2286" spans="1:12">
      <c r="A2286" s="22">
        <v>40312.219444444447</v>
      </c>
      <c r="E2286" s="26">
        <v>14.721966</v>
      </c>
      <c r="G2286" s="27">
        <v>0.21944444444444444</v>
      </c>
      <c r="J2286" s="30">
        <f>IF(G2286&lt;$H$10,$H$16,IF(G2286&gt;$I$10,$H$16,$H$11))*E2286/600</f>
        <v>4.9073220000000004E-3</v>
      </c>
      <c r="L2286" s="32">
        <f>$J2286*($G2286-$G2285)*60*24</f>
        <v>4.9073219999999831E-3</v>
      </c>
    </row>
    <row r="2287" spans="1:12">
      <c r="A2287" s="22">
        <v>40312.220138888886</v>
      </c>
      <c r="E2287" s="26">
        <v>14.577633000000001</v>
      </c>
      <c r="G2287" s="27">
        <v>0.22013888888888888</v>
      </c>
      <c r="J2287" s="30">
        <f>IF(G2287&lt;$H$10,$H$16,IF(G2287&gt;$I$10,$H$16,$H$11))*E2287/600</f>
        <v>4.8592110000000004E-3</v>
      </c>
      <c r="L2287" s="32">
        <f>$J2287*($G2287-$G2286)*60*24</f>
        <v>4.859210999999984E-3</v>
      </c>
    </row>
    <row r="2288" spans="1:12">
      <c r="A2288" s="22">
        <v>40312.220833333333</v>
      </c>
      <c r="E2288" s="26">
        <v>14.609448</v>
      </c>
      <c r="G2288" s="27">
        <v>0.22083333333333333</v>
      </c>
      <c r="J2288" s="30">
        <f>IF(G2288&lt;$H$10,$H$16,IF(G2288&gt;$I$10,$H$16,$H$11))*E2288/600</f>
        <v>4.8698159999999999E-3</v>
      </c>
      <c r="L2288" s="32">
        <f>$J2288*($G2288-$G2287)*60*24</f>
        <v>4.8698159999999826E-3</v>
      </c>
    </row>
    <row r="2289" spans="1:12">
      <c r="A2289" s="22">
        <v>40312.22152777778</v>
      </c>
      <c r="E2289" s="26">
        <v>14.609448</v>
      </c>
      <c r="G2289" s="27">
        <v>0.22152777777777777</v>
      </c>
      <c r="J2289" s="30">
        <f>IF(G2289&lt;$H$10,$H$16,IF(G2289&gt;$I$10,$H$16,$H$11))*E2289/600</f>
        <v>4.8698159999999999E-3</v>
      </c>
      <c r="L2289" s="32">
        <f>$J2289*($G2289-$G2288)*60*24</f>
        <v>4.8698159999999826E-3</v>
      </c>
    </row>
    <row r="2290" spans="1:12">
      <c r="A2290" s="22">
        <v>40312.222222222219</v>
      </c>
      <c r="E2290" s="26">
        <v>14.754096000000001</v>
      </c>
      <c r="G2290" s="27">
        <v>0.22222222222222221</v>
      </c>
      <c r="J2290" s="30">
        <f>IF(G2290&lt;$H$10,$H$16,IF(G2290&gt;$I$10,$H$16,$H$11))*E2290/600</f>
        <v>4.9180320000000001E-3</v>
      </c>
      <c r="L2290" s="32">
        <f>$J2290*($G2290-$G2289)*60*24</f>
        <v>4.9180319999999828E-3</v>
      </c>
    </row>
    <row r="2291" spans="1:12">
      <c r="A2291" s="22">
        <v>40312.222916666666</v>
      </c>
      <c r="E2291" s="26">
        <v>14.615811000000001</v>
      </c>
      <c r="G2291" s="27">
        <v>0.22291666666666665</v>
      </c>
      <c r="J2291" s="30">
        <f>IF(G2291&lt;$H$10,$H$16,IF(G2291&gt;$I$10,$H$16,$H$11))*E2291/600</f>
        <v>4.8719370000000007E-3</v>
      </c>
      <c r="L2291" s="32">
        <f>$J2291*($G2291-$G2290)*60*24</f>
        <v>4.8719369999999833E-3</v>
      </c>
    </row>
    <row r="2292" spans="1:12">
      <c r="A2292" s="22">
        <v>40312.223611111112</v>
      </c>
      <c r="E2292" s="26">
        <v>14.609448</v>
      </c>
      <c r="G2292" s="27">
        <v>0.22361111111111109</v>
      </c>
      <c r="J2292" s="30">
        <f>IF(G2292&lt;$H$10,$H$16,IF(G2292&gt;$I$10,$H$16,$H$11))*E2292/600</f>
        <v>4.8698159999999999E-3</v>
      </c>
      <c r="L2292" s="32">
        <f>$J2292*($G2292-$G2291)*60*24</f>
        <v>4.8698159999999826E-3</v>
      </c>
    </row>
    <row r="2293" spans="1:12">
      <c r="A2293" s="22">
        <v>40312.224305555559</v>
      </c>
      <c r="E2293" s="26">
        <v>14.709114</v>
      </c>
      <c r="G2293" s="27">
        <v>0.22430555555555556</v>
      </c>
      <c r="J2293" s="30">
        <f>IF(G2293&lt;$H$10,$H$16,IF(G2293&gt;$I$10,$H$16,$H$11))*E2293/600</f>
        <v>4.9030380000000002E-3</v>
      </c>
      <c r="L2293" s="32">
        <f>$J2293*($G2293-$G2292)*60*24</f>
        <v>4.9030380000001789E-3</v>
      </c>
    </row>
    <row r="2294" spans="1:12">
      <c r="A2294" s="22">
        <v>40312.224999999999</v>
      </c>
      <c r="E2294" s="26">
        <v>14.721966</v>
      </c>
      <c r="G2294" s="27">
        <v>0.22500000000000001</v>
      </c>
      <c r="J2294" s="30">
        <f>IF(G2294&lt;$H$10,$H$16,IF(G2294&gt;$I$10,$H$16,$H$11))*E2294/600</f>
        <v>4.9073220000000004E-3</v>
      </c>
      <c r="L2294" s="32">
        <f>$J2294*($G2294-$G2293)*60*24</f>
        <v>4.9073219999999831E-3</v>
      </c>
    </row>
    <row r="2295" spans="1:12">
      <c r="A2295" s="22">
        <v>40312.225694444445</v>
      </c>
      <c r="E2295" s="26">
        <v>14.741244</v>
      </c>
      <c r="G2295" s="27">
        <v>0.22569444444444445</v>
      </c>
      <c r="J2295" s="30">
        <f>IF(G2295&lt;$H$10,$H$16,IF(G2295&gt;$I$10,$H$16,$H$11))*E2295/600</f>
        <v>4.9137479999999999E-3</v>
      </c>
      <c r="L2295" s="32">
        <f>$J2295*($G2295-$G2294)*60*24</f>
        <v>4.9137479999999817E-3</v>
      </c>
    </row>
    <row r="2296" spans="1:12">
      <c r="A2296" s="22">
        <v>40312.226388888892</v>
      </c>
      <c r="E2296" s="26">
        <v>14.734818000000001</v>
      </c>
      <c r="G2296" s="27">
        <v>0.22638888888888889</v>
      </c>
      <c r="J2296" s="30">
        <f>IF(G2296&lt;$H$10,$H$16,IF(G2296&gt;$I$10,$H$16,$H$11))*E2296/600</f>
        <v>4.9116059999999998E-3</v>
      </c>
      <c r="L2296" s="32">
        <f>$J2296*($G2296-$G2295)*60*24</f>
        <v>4.9116059999999824E-3</v>
      </c>
    </row>
    <row r="2297" spans="1:12">
      <c r="A2297" s="22">
        <v>40312.227083333331</v>
      </c>
      <c r="E2297" s="26">
        <v>14.564907</v>
      </c>
      <c r="G2297" s="27">
        <v>0.22708333333333333</v>
      </c>
      <c r="J2297" s="30">
        <f>IF(G2297&lt;$H$10,$H$16,IF(G2297&gt;$I$10,$H$16,$H$11))*E2297/600</f>
        <v>4.8549689999999998E-3</v>
      </c>
      <c r="L2297" s="32">
        <f>$J2297*($G2297-$G2296)*60*24</f>
        <v>4.8549689999999824E-3</v>
      </c>
    </row>
    <row r="2298" spans="1:12">
      <c r="A2298" s="22">
        <v>40312.227777777778</v>
      </c>
      <c r="E2298" s="26">
        <v>14.754096000000001</v>
      </c>
      <c r="G2298" s="27">
        <v>0.22777777777777777</v>
      </c>
      <c r="J2298" s="30">
        <f>IF(G2298&lt;$H$10,$H$16,IF(G2298&gt;$I$10,$H$16,$H$11))*E2298/600</f>
        <v>4.9180320000000001E-3</v>
      </c>
      <c r="L2298" s="32">
        <f>$J2298*($G2298-$G2297)*60*24</f>
        <v>4.9180319999999828E-3</v>
      </c>
    </row>
    <row r="2299" spans="1:12">
      <c r="A2299" s="22">
        <v>40312.228472222225</v>
      </c>
      <c r="E2299" s="26">
        <v>14.760522</v>
      </c>
      <c r="G2299" s="27">
        <v>0.22847222222222222</v>
      </c>
      <c r="J2299" s="30">
        <f>IF(G2299&lt;$H$10,$H$16,IF(G2299&gt;$I$10,$H$16,$H$11))*E2299/600</f>
        <v>4.9201740000000002E-3</v>
      </c>
      <c r="L2299" s="32">
        <f>$J2299*($G2299-$G2298)*60*24</f>
        <v>4.9201739999999829E-3</v>
      </c>
    </row>
    <row r="2300" spans="1:12">
      <c r="A2300" s="22">
        <v>40312.229166666664</v>
      </c>
      <c r="E2300" s="26">
        <v>14.564907</v>
      </c>
      <c r="G2300" s="27">
        <v>0.22916666666666666</v>
      </c>
      <c r="J2300" s="30">
        <f>IF(G2300&lt;$H$10,$H$16,IF(G2300&gt;$I$10,$H$16,$H$11))*E2300/600</f>
        <v>4.8549689999999998E-3</v>
      </c>
      <c r="L2300" s="32">
        <f>$J2300*($G2300-$G2299)*60*24</f>
        <v>4.8549689999999824E-3</v>
      </c>
    </row>
    <row r="2301" spans="1:12">
      <c r="A2301" s="22">
        <v>40312.229861111111</v>
      </c>
      <c r="E2301" s="26">
        <v>14.815488</v>
      </c>
      <c r="G2301" s="27">
        <v>0.2298611111111111</v>
      </c>
      <c r="J2301" s="30">
        <f>IF(G2301&lt;$H$10,$H$16,IF(G2301&gt;$I$10,$H$16,$H$11))*E2301/600</f>
        <v>4.9384960000000006E-3</v>
      </c>
      <c r="L2301" s="32">
        <f>$J2301*($G2301-$G2300)*60*24</f>
        <v>4.9384959999999832E-3</v>
      </c>
    </row>
    <row r="2302" spans="1:12">
      <c r="A2302" s="22">
        <v>40312.230555555558</v>
      </c>
      <c r="E2302" s="26">
        <v>14.809024000000001</v>
      </c>
      <c r="G2302" s="27">
        <v>0.23055555555555554</v>
      </c>
      <c r="J2302" s="30">
        <f>IF(G2302&lt;$H$10,$H$16,IF(G2302&gt;$I$10,$H$16,$H$11))*E2302/600</f>
        <v>4.9363413333333335E-3</v>
      </c>
      <c r="L2302" s="32">
        <f>$J2302*($G2302-$G2301)*60*24</f>
        <v>4.9363413333333162E-3</v>
      </c>
    </row>
    <row r="2303" spans="1:12">
      <c r="A2303" s="22">
        <v>40312.231249999997</v>
      </c>
      <c r="E2303" s="26">
        <v>14.776704000000001</v>
      </c>
      <c r="G2303" s="27">
        <v>0.23124999999999998</v>
      </c>
      <c r="J2303" s="30">
        <f>IF(G2303&lt;$H$10,$H$16,IF(G2303&gt;$I$10,$H$16,$H$11))*E2303/600</f>
        <v>4.925568E-3</v>
      </c>
      <c r="L2303" s="32">
        <f>$J2303*($G2303-$G2302)*60*24</f>
        <v>4.9255679999999826E-3</v>
      </c>
    </row>
    <row r="2304" spans="1:12">
      <c r="A2304" s="22">
        <v>40312.231944444444</v>
      </c>
      <c r="E2304" s="26">
        <v>14.783168</v>
      </c>
      <c r="G2304" s="27">
        <v>0.23194444444444443</v>
      </c>
      <c r="J2304" s="30">
        <f>IF(G2304&lt;$H$10,$H$16,IF(G2304&gt;$I$10,$H$16,$H$11))*E2304/600</f>
        <v>4.927722666666667E-3</v>
      </c>
      <c r="L2304" s="32">
        <f>$J2304*($G2304-$G2303)*60*24</f>
        <v>4.9277226666666497E-3</v>
      </c>
    </row>
    <row r="2305" spans="1:12">
      <c r="A2305" s="22">
        <v>40312.232638888891</v>
      </c>
      <c r="E2305" s="26">
        <v>14.696262000000001</v>
      </c>
      <c r="G2305" s="27">
        <v>0.23263888888888887</v>
      </c>
      <c r="J2305" s="30">
        <f>IF(G2305&lt;$H$10,$H$16,IF(G2305&gt;$I$10,$H$16,$H$11))*E2305/600</f>
        <v>4.8987540000000008E-3</v>
      </c>
      <c r="L2305" s="32">
        <f>$J2305*($G2305-$G2304)*60*24</f>
        <v>4.8987539999999835E-3</v>
      </c>
    </row>
    <row r="2306" spans="1:12">
      <c r="A2306" s="22">
        <v>40312.23333333333</v>
      </c>
      <c r="E2306" s="26">
        <v>14.760522</v>
      </c>
      <c r="G2306" s="27">
        <v>0.23333333333333331</v>
      </c>
      <c r="J2306" s="30">
        <f>IF(G2306&lt;$H$10,$H$16,IF(G2306&gt;$I$10,$H$16,$H$11))*E2306/600</f>
        <v>4.9201740000000002E-3</v>
      </c>
      <c r="L2306" s="32">
        <f>$J2306*($G2306-$G2305)*60*24</f>
        <v>4.9201739999999829E-3</v>
      </c>
    </row>
    <row r="2307" spans="1:12">
      <c r="A2307" s="22">
        <v>40312.234027777777</v>
      </c>
      <c r="E2307" s="26">
        <v>14.715540000000001</v>
      </c>
      <c r="G2307" s="27">
        <v>0.23402777777777781</v>
      </c>
      <c r="J2307" s="30">
        <f>IF(G2307&lt;$H$10,$H$16,IF(G2307&gt;$I$10,$H$16,$H$11))*E2307/600</f>
        <v>4.9051800000000012E-3</v>
      </c>
      <c r="L2307" s="32">
        <f>$J2307*($G2307-$G2306)*60*24</f>
        <v>4.905180000000375E-3</v>
      </c>
    </row>
    <row r="2308" spans="1:12">
      <c r="A2308" s="22">
        <v>40312.234722222223</v>
      </c>
      <c r="E2308" s="26">
        <v>14.632002</v>
      </c>
      <c r="G2308" s="27">
        <v>0.23472222222222219</v>
      </c>
      <c r="J2308" s="30">
        <f>IF(G2308&lt;$H$10,$H$16,IF(G2308&gt;$I$10,$H$16,$H$11))*E2308/600</f>
        <v>4.8773340000000005E-3</v>
      </c>
      <c r="L2308" s="32">
        <f>$J2308*($G2308-$G2307)*60*24</f>
        <v>4.8773339999995937E-3</v>
      </c>
    </row>
    <row r="2309" spans="1:12">
      <c r="A2309" s="22">
        <v>40312.23541666667</v>
      </c>
      <c r="E2309" s="26">
        <v>14.801409</v>
      </c>
      <c r="G2309" s="27">
        <v>0.23541666666666669</v>
      </c>
      <c r="J2309" s="30">
        <f>IF(G2309&lt;$H$10,$H$16,IF(G2309&gt;$I$10,$H$16,$H$11))*E2309/600</f>
        <v>4.9338030000000005E-3</v>
      </c>
      <c r="L2309" s="32">
        <f>$J2309*($G2309-$G2308)*60*24</f>
        <v>4.9338030000003778E-3</v>
      </c>
    </row>
    <row r="2310" spans="1:12">
      <c r="A2310" s="22">
        <v>40312.236111111109</v>
      </c>
      <c r="E2310" s="26">
        <v>14.85981</v>
      </c>
      <c r="G2310" s="27">
        <v>0.23611111111111113</v>
      </c>
      <c r="J2310" s="30">
        <f>IF(G2310&lt;$H$10,$H$16,IF(G2310&gt;$I$10,$H$16,$H$11))*E2310/600</f>
        <v>4.9532700000000001E-3</v>
      </c>
      <c r="L2310" s="32">
        <f>$J2310*($G2310-$G2309)*60*24</f>
        <v>4.9532699999999827E-3</v>
      </c>
    </row>
    <row r="2311" spans="1:12">
      <c r="A2311" s="22">
        <v>40312.236805555556</v>
      </c>
      <c r="E2311" s="26">
        <v>14.876189999999999</v>
      </c>
      <c r="G2311" s="27">
        <v>0.23680555555555557</v>
      </c>
      <c r="J2311" s="30">
        <f>IF(G2311&lt;$H$10,$H$16,IF(G2311&gt;$I$10,$H$16,$H$11))*E2311/600</f>
        <v>4.9587299999999997E-3</v>
      </c>
      <c r="L2311" s="32">
        <f>$J2311*($G2311-$G2310)*60*24</f>
        <v>4.9587299999999824E-3</v>
      </c>
    </row>
    <row r="2312" spans="1:12">
      <c r="A2312" s="22">
        <v>40312.237500000003</v>
      </c>
      <c r="E2312" s="26">
        <v>14.876189999999999</v>
      </c>
      <c r="G2312" s="27">
        <v>0.23750000000000002</v>
      </c>
      <c r="J2312" s="30">
        <f>IF(G2312&lt;$H$10,$H$16,IF(G2312&gt;$I$10,$H$16,$H$11))*E2312/600</f>
        <v>4.9587299999999997E-3</v>
      </c>
      <c r="L2312" s="32">
        <f>$J2312*($G2312-$G2311)*60*24</f>
        <v>4.9587299999999824E-3</v>
      </c>
    </row>
    <row r="2313" spans="1:12">
      <c r="A2313" s="22">
        <v>40312.238194444442</v>
      </c>
      <c r="E2313" s="26">
        <v>14.844060000000001</v>
      </c>
      <c r="G2313" s="27">
        <v>0.23819444444444446</v>
      </c>
      <c r="J2313" s="30">
        <f>IF(G2313&lt;$H$10,$H$16,IF(G2313&gt;$I$10,$H$16,$H$11))*E2313/600</f>
        <v>4.94802E-3</v>
      </c>
      <c r="L2313" s="32">
        <f>$J2313*($G2313-$G2312)*60*24</f>
        <v>4.9480199999999827E-3</v>
      </c>
    </row>
    <row r="2314" spans="1:12">
      <c r="A2314" s="22">
        <v>40312.238888888889</v>
      </c>
      <c r="E2314" s="26">
        <v>14.996079</v>
      </c>
      <c r="G2314" s="27">
        <v>0.2388888888888889</v>
      </c>
      <c r="J2314" s="30">
        <f>IF(G2314&lt;$H$10,$H$16,IF(G2314&gt;$I$10,$H$16,$H$11))*E2314/600</f>
        <v>4.9986930000000002E-3</v>
      </c>
      <c r="L2314" s="32">
        <f>$J2314*($G2314-$G2313)*60*24</f>
        <v>4.9986929999999829E-3</v>
      </c>
    </row>
    <row r="2315" spans="1:12">
      <c r="A2315" s="22">
        <v>40312.239583333336</v>
      </c>
      <c r="E2315" s="26">
        <v>14.970122999999999</v>
      </c>
      <c r="G2315" s="27">
        <v>0.23958333333333334</v>
      </c>
      <c r="J2315" s="30">
        <f>IF(G2315&lt;$H$10,$H$16,IF(G2315&gt;$I$10,$H$16,$H$11))*E2315/600</f>
        <v>4.9900409999999997E-3</v>
      </c>
      <c r="L2315" s="32">
        <f>$J2315*($G2315-$G2314)*60*24</f>
        <v>4.9900409999999815E-3</v>
      </c>
    </row>
    <row r="2316" spans="1:12">
      <c r="A2316" s="22">
        <v>40312.240277777775</v>
      </c>
      <c r="E2316" s="26">
        <v>14.879277</v>
      </c>
      <c r="G2316" s="27">
        <v>0.24027777777777778</v>
      </c>
      <c r="J2316" s="30">
        <f>IF(G2316&lt;$H$10,$H$16,IF(G2316&gt;$I$10,$H$16,$H$11))*E2316/600</f>
        <v>4.9597590000000002E-3</v>
      </c>
      <c r="L2316" s="32">
        <f>$J2316*($G2316-$G2315)*60*24</f>
        <v>4.9597589999999829E-3</v>
      </c>
    </row>
    <row r="2317" spans="1:12">
      <c r="A2317" s="22">
        <v>40312.240972222222</v>
      </c>
      <c r="E2317" s="26">
        <v>14.85981</v>
      </c>
      <c r="G2317" s="27">
        <v>0.24097222222222223</v>
      </c>
      <c r="J2317" s="30">
        <f>IF(G2317&lt;$H$10,$H$16,IF(G2317&gt;$I$10,$H$16,$H$11))*E2317/600</f>
        <v>4.9532700000000001E-3</v>
      </c>
      <c r="L2317" s="32">
        <f>$J2317*($G2317-$G2316)*60*24</f>
        <v>4.9532699999999827E-3</v>
      </c>
    </row>
    <row r="2318" spans="1:12">
      <c r="A2318" s="22">
        <v>40312.241666666669</v>
      </c>
      <c r="E2318" s="26">
        <v>14.788430999999999</v>
      </c>
      <c r="G2318" s="27">
        <v>0.24166666666666667</v>
      </c>
      <c r="J2318" s="30">
        <f>IF(G2318&lt;$H$10,$H$16,IF(G2318&gt;$I$10,$H$16,$H$11))*E2318/600</f>
        <v>4.9294769999999998E-3</v>
      </c>
      <c r="L2318" s="32">
        <f>$J2318*($G2318-$G2317)*60*24</f>
        <v>4.9294769999999825E-3</v>
      </c>
    </row>
    <row r="2319" spans="1:12">
      <c r="A2319" s="22">
        <v>40312.242361111108</v>
      </c>
      <c r="E2319" s="26">
        <v>14.755986</v>
      </c>
      <c r="G2319" s="27">
        <v>0.24236111111111111</v>
      </c>
      <c r="J2319" s="30">
        <f>IF(G2319&lt;$H$10,$H$16,IF(G2319&gt;$I$10,$H$16,$H$11))*E2319/600</f>
        <v>4.9186620000000007E-3</v>
      </c>
      <c r="L2319" s="32">
        <f>$J2319*($G2319-$G2318)*60*24</f>
        <v>4.9186619999999834E-3</v>
      </c>
    </row>
    <row r="2320" spans="1:12">
      <c r="A2320" s="22">
        <v>40312.243055555555</v>
      </c>
      <c r="E2320" s="26">
        <v>14.755986</v>
      </c>
      <c r="G2320" s="27">
        <v>0.24305555555555555</v>
      </c>
      <c r="J2320" s="30">
        <f>IF(G2320&lt;$H$10,$H$16,IF(G2320&gt;$I$10,$H$16,$H$11))*E2320/600</f>
        <v>4.9186620000000007E-3</v>
      </c>
      <c r="L2320" s="32">
        <f>$J2320*($G2320-$G2319)*60*24</f>
        <v>4.9186619999999834E-3</v>
      </c>
    </row>
    <row r="2321" spans="1:12">
      <c r="A2321" s="22">
        <v>40312.243750000001</v>
      </c>
      <c r="E2321" s="26">
        <v>14.768964</v>
      </c>
      <c r="G2321" s="27">
        <v>0.24374999999999999</v>
      </c>
      <c r="J2321" s="30">
        <f>IF(G2321&lt;$H$10,$H$16,IF(G2321&gt;$I$10,$H$16,$H$11))*E2321/600</f>
        <v>4.9229880000000005E-3</v>
      </c>
      <c r="L2321" s="32">
        <f>$J2321*($G2321-$G2320)*60*24</f>
        <v>4.9229879999999832E-3</v>
      </c>
    </row>
    <row r="2322" spans="1:12">
      <c r="A2322" s="22">
        <v>40312.244444444441</v>
      </c>
      <c r="E2322" s="26">
        <v>14.566466</v>
      </c>
      <c r="G2322" s="27">
        <v>0.24444444444444446</v>
      </c>
      <c r="J2322" s="30">
        <f>IF(G2322&lt;$H$10,$H$16,IF(G2322&gt;$I$10,$H$16,$H$11))*E2322/600</f>
        <v>4.855488666666667E-3</v>
      </c>
      <c r="L2322" s="32">
        <f>$J2322*($G2322-$G2321)*60*24</f>
        <v>4.8554886666668448E-3</v>
      </c>
    </row>
    <row r="2323" spans="1:12">
      <c r="A2323" s="22">
        <v>40312.245138888888</v>
      </c>
      <c r="E2323" s="26">
        <v>14.710563</v>
      </c>
      <c r="G2323" s="27">
        <v>0.24513888888888888</v>
      </c>
      <c r="J2323" s="30">
        <f>IF(G2323&lt;$H$10,$H$16,IF(G2323&gt;$I$10,$H$16,$H$11))*E2323/600</f>
        <v>4.9035210000000001E-3</v>
      </c>
      <c r="L2323" s="32">
        <f>$J2323*($G2323-$G2322)*60*24</f>
        <v>4.9035209999997867E-3</v>
      </c>
    </row>
    <row r="2324" spans="1:12">
      <c r="A2324" s="22">
        <v>40312.245833333334</v>
      </c>
      <c r="E2324" s="26">
        <v>14.684607</v>
      </c>
      <c r="G2324" s="27">
        <v>0.24583333333333335</v>
      </c>
      <c r="J2324" s="30">
        <f>IF(G2324&lt;$H$10,$H$16,IF(G2324&gt;$I$10,$H$16,$H$11))*E2324/600</f>
        <v>4.8948690000000005E-3</v>
      </c>
      <c r="L2324" s="32">
        <f>$J2324*($G2324-$G2323)*60*24</f>
        <v>4.8948690000001792E-3</v>
      </c>
    </row>
    <row r="2325" spans="1:12">
      <c r="A2325" s="22">
        <v>40312.246527777781</v>
      </c>
      <c r="E2325" s="26">
        <v>14.567742000000001</v>
      </c>
      <c r="G2325" s="27">
        <v>0.24652777777777779</v>
      </c>
      <c r="J2325" s="30">
        <f>IF(G2325&lt;$H$10,$H$16,IF(G2325&gt;$I$10,$H$16,$H$11))*E2325/600</f>
        <v>4.8559140000000002E-3</v>
      </c>
      <c r="L2325" s="32">
        <f>$J2325*($G2325-$G2324)*60*24</f>
        <v>4.8559139999999829E-3</v>
      </c>
    </row>
    <row r="2326" spans="1:12">
      <c r="A2326" s="22">
        <v>40312.24722222222</v>
      </c>
      <c r="E2326" s="26">
        <v>14.704074</v>
      </c>
      <c r="G2326" s="27">
        <v>0.24722222222222223</v>
      </c>
      <c r="J2326" s="30">
        <f>IF(G2326&lt;$H$10,$H$16,IF(G2326&gt;$I$10,$H$16,$H$11))*E2326/600</f>
        <v>4.9013579999999998E-3</v>
      </c>
      <c r="L2326" s="32">
        <f>$J2326*($G2326-$G2325)*60*24</f>
        <v>4.9013579999999824E-3</v>
      </c>
    </row>
    <row r="2327" spans="1:12">
      <c r="A2327" s="22">
        <v>40312.247916666667</v>
      </c>
      <c r="E2327" s="26">
        <v>14.788430999999999</v>
      </c>
      <c r="G2327" s="27">
        <v>0.24791666666666667</v>
      </c>
      <c r="J2327" s="30">
        <f>IF(G2327&lt;$H$10,$H$16,IF(G2327&gt;$I$10,$H$16,$H$11))*E2327/600</f>
        <v>4.9294769999999998E-3</v>
      </c>
      <c r="L2327" s="32">
        <f>$J2327*($G2327-$G2326)*60*24</f>
        <v>4.9294769999999825E-3</v>
      </c>
    </row>
    <row r="2328" spans="1:12">
      <c r="A2328" s="22">
        <v>40312.248611111114</v>
      </c>
      <c r="E2328" s="26">
        <v>14.65128</v>
      </c>
      <c r="G2328" s="27">
        <v>0.24861111111111112</v>
      </c>
      <c r="J2328" s="30">
        <f>IF(G2328&lt;$H$10,$H$16,IF(G2328&gt;$I$10,$H$16,$H$11))*E2328/600</f>
        <v>4.88376E-3</v>
      </c>
      <c r="L2328" s="32">
        <f>$J2328*($G2328-$G2327)*60*24</f>
        <v>4.8837599999999818E-3</v>
      </c>
    </row>
    <row r="2329" spans="1:12">
      <c r="A2329" s="22">
        <v>40312.249305555553</v>
      </c>
      <c r="E2329" s="26">
        <v>14.696262000000001</v>
      </c>
      <c r="G2329" s="27">
        <v>0.24930555555555556</v>
      </c>
      <c r="J2329" s="30">
        <f>IF(G2329&lt;$H$10,$H$16,IF(G2329&gt;$I$10,$H$16,$H$11))*E2329/600</f>
        <v>4.8987540000000008E-3</v>
      </c>
      <c r="L2329" s="32">
        <f>$J2329*($G2329-$G2328)*60*24</f>
        <v>4.8987539999999835E-3</v>
      </c>
    </row>
    <row r="2330" spans="1:12">
      <c r="A2330" s="22">
        <v>40312.25</v>
      </c>
      <c r="E2330" s="26">
        <v>14.644854</v>
      </c>
      <c r="G2330" s="27">
        <v>0.25</v>
      </c>
      <c r="J2330" s="30">
        <f>IF(G2330&lt;$H$10,$H$16,IF(G2330&gt;$I$10,$H$16,$H$11))*E2330/600</f>
        <v>4.8816179999999999E-3</v>
      </c>
      <c r="L2330" s="32">
        <f>$J2330*($G2330-$G2329)*60*24</f>
        <v>4.8816179999999825E-3</v>
      </c>
    </row>
    <row r="2331" spans="1:12">
      <c r="A2331" s="22">
        <v>40312.250694444447</v>
      </c>
      <c r="E2331" s="26">
        <v>14.702688</v>
      </c>
      <c r="G2331" s="27">
        <v>0.25069444444444444</v>
      </c>
      <c r="J2331" s="30">
        <f>IF(G2331&lt;$H$10,$H$16,IF(G2331&gt;$I$10,$H$16,$H$11))*E2331/600</f>
        <v>4.9008960000000009E-3</v>
      </c>
      <c r="L2331" s="32">
        <f>$J2331*($G2331-$G2330)*60*24</f>
        <v>4.9008959999999836E-3</v>
      </c>
    </row>
    <row r="2332" spans="1:12">
      <c r="A2332" s="22">
        <v>40312.251388888886</v>
      </c>
      <c r="E2332" s="26">
        <v>14.854272</v>
      </c>
      <c r="G2332" s="27">
        <v>0.25138888888888888</v>
      </c>
      <c r="J2332" s="30">
        <f>IF(G2332&lt;$H$10,$H$16,IF(G2332&gt;$I$10,$H$16,$H$11))*E2332/600</f>
        <v>4.9514240000000003E-3</v>
      </c>
      <c r="L2332" s="32">
        <f>$J2332*($G2332-$G2331)*60*24</f>
        <v>4.9514239999999829E-3</v>
      </c>
    </row>
    <row r="2333" spans="1:12">
      <c r="A2333" s="22">
        <v>40312.252083333333</v>
      </c>
      <c r="E2333" s="26">
        <v>14.847808000000001</v>
      </c>
      <c r="G2333" s="27">
        <v>0.25208333333333333</v>
      </c>
      <c r="J2333" s="30">
        <f>IF(G2333&lt;$H$10,$H$16,IF(G2333&gt;$I$10,$H$16,$H$11))*E2333/600</f>
        <v>4.9492693333333341E-3</v>
      </c>
      <c r="L2333" s="32">
        <f>$J2333*($G2333-$G2332)*60*24</f>
        <v>4.9492693333333167E-3</v>
      </c>
    </row>
    <row r="2334" spans="1:12">
      <c r="A2334" s="22">
        <v>40312.25277777778</v>
      </c>
      <c r="E2334" s="26">
        <v>14.880127999999999</v>
      </c>
      <c r="G2334" s="27">
        <v>0.25277777777777777</v>
      </c>
      <c r="J2334" s="30">
        <f>IF(G2334&lt;$H$10,$H$16,IF(G2334&gt;$I$10,$H$16,$H$11))*E2334/600</f>
        <v>4.9600426666666668E-3</v>
      </c>
      <c r="L2334" s="32">
        <f>$J2334*($G2334-$G2333)*60*24</f>
        <v>4.9600426666666494E-3</v>
      </c>
    </row>
    <row r="2335" spans="1:12">
      <c r="A2335" s="22">
        <v>40312.253472222219</v>
      </c>
      <c r="E2335" s="26">
        <v>14.764799999999999</v>
      </c>
      <c r="G2335" s="27">
        <v>0.25347222222222221</v>
      </c>
      <c r="J2335" s="30">
        <f>IF(G2335&lt;$H$10,$H$16,IF(G2335&gt;$I$10,$H$16,$H$11))*E2335/600</f>
        <v>4.9215999999999999E-3</v>
      </c>
      <c r="L2335" s="32">
        <f>$J2335*($G2335-$G2334)*60*24</f>
        <v>4.9215999999999817E-3</v>
      </c>
    </row>
    <row r="2336" spans="1:12">
      <c r="A2336" s="22">
        <v>40312.254166666666</v>
      </c>
      <c r="E2336" s="26">
        <v>14.847808000000001</v>
      </c>
      <c r="G2336" s="27">
        <v>0.25416666666666665</v>
      </c>
      <c r="J2336" s="30">
        <f>IF(G2336&lt;$H$10,$H$16,IF(G2336&gt;$I$10,$H$16,$H$11))*E2336/600</f>
        <v>4.9492693333333341E-3</v>
      </c>
      <c r="L2336" s="32">
        <f>$J2336*($G2336-$G2335)*60*24</f>
        <v>4.9492693333333167E-3</v>
      </c>
    </row>
    <row r="2337" spans="1:12">
      <c r="A2337" s="22">
        <v>40312.254861111112</v>
      </c>
      <c r="E2337" s="26">
        <v>14.80256</v>
      </c>
      <c r="G2337" s="27">
        <v>0.25486111111111109</v>
      </c>
      <c r="J2337" s="30">
        <f>IF(G2337&lt;$H$10,$H$16,IF(G2337&gt;$I$10,$H$16,$H$11))*E2337/600</f>
        <v>4.9341866666666664E-3</v>
      </c>
      <c r="L2337" s="32">
        <f>$J2337*($G2337-$G2336)*60*24</f>
        <v>4.9341866666666491E-3</v>
      </c>
    </row>
    <row r="2338" spans="1:12">
      <c r="A2338" s="22">
        <v>40312.255555555559</v>
      </c>
      <c r="E2338" s="26">
        <v>14.796096</v>
      </c>
      <c r="G2338" s="27">
        <v>0.25555555555555559</v>
      </c>
      <c r="J2338" s="30">
        <f>IF(G2338&lt;$H$10,$H$16,IF(G2338&gt;$I$10,$H$16,$H$11))*E2338/600</f>
        <v>4.9320320000000003E-3</v>
      </c>
      <c r="L2338" s="32">
        <f>$J2338*($G2338-$G2337)*60*24</f>
        <v>4.9320320000003767E-3</v>
      </c>
    </row>
    <row r="2339" spans="1:12">
      <c r="A2339" s="22">
        <v>40312.256249999999</v>
      </c>
      <c r="E2339" s="26">
        <v>14.783168</v>
      </c>
      <c r="G2339" s="27">
        <v>0.25625000000000003</v>
      </c>
      <c r="J2339" s="30">
        <f>IF(G2339&lt;$H$10,$H$16,IF(G2339&gt;$I$10,$H$16,$H$11))*E2339/600</f>
        <v>4.927722666666667E-3</v>
      </c>
      <c r="L2339" s="32">
        <f>$J2339*($G2339-$G2338)*60*24</f>
        <v>4.9277226666666497E-3</v>
      </c>
    </row>
    <row r="2340" spans="1:12">
      <c r="A2340" s="22">
        <v>40312.256944444445</v>
      </c>
      <c r="E2340" s="26">
        <v>14.873664</v>
      </c>
      <c r="G2340" s="27">
        <v>0.25694444444444448</v>
      </c>
      <c r="J2340" s="30">
        <f>IF(G2340&lt;$H$10,$H$16,IF(G2340&gt;$I$10,$H$16,$H$11))*E2340/600</f>
        <v>4.9578879999999997E-3</v>
      </c>
      <c r="L2340" s="32">
        <f>$J2340*($G2340-$G2339)*60*24</f>
        <v>4.9578879999999824E-3</v>
      </c>
    </row>
    <row r="2341" spans="1:12">
      <c r="A2341" s="22">
        <v>40312.257638888892</v>
      </c>
      <c r="E2341" s="26">
        <v>14.912447999999999</v>
      </c>
      <c r="G2341" s="27">
        <v>0.25763888888888892</v>
      </c>
      <c r="J2341" s="30">
        <f>IF(G2341&lt;$H$10,$H$16,IF(G2341&gt;$I$10,$H$16,$H$11))*E2341/600</f>
        <v>4.9708160000000003E-3</v>
      </c>
      <c r="L2341" s="32">
        <f>$J2341*($G2341-$G2340)*60*24</f>
        <v>4.9708159999999821E-3</v>
      </c>
    </row>
    <row r="2342" spans="1:12">
      <c r="A2342" s="22">
        <v>40312.258333333331</v>
      </c>
      <c r="E2342" s="26">
        <v>14.893056</v>
      </c>
      <c r="G2342" s="27">
        <v>0.25833333333333336</v>
      </c>
      <c r="J2342" s="30">
        <f>IF(G2342&lt;$H$10,$H$16,IF(G2342&gt;$I$10,$H$16,$H$11))*E2342/600</f>
        <v>4.964352E-3</v>
      </c>
      <c r="L2342" s="32">
        <f>$J2342*($G2342-$G2341)*60*24</f>
        <v>4.9643519999999818E-3</v>
      </c>
    </row>
    <row r="2343" spans="1:12">
      <c r="A2343" s="22">
        <v>40312.259027777778</v>
      </c>
      <c r="E2343" s="26">
        <v>14.689836</v>
      </c>
      <c r="G2343" s="27">
        <v>0.2590277777777778</v>
      </c>
      <c r="J2343" s="30">
        <f>IF(G2343&lt;$H$10,$H$16,IF(G2343&gt;$I$10,$H$16,$H$11))*E2343/600</f>
        <v>4.8966119999999998E-3</v>
      </c>
      <c r="L2343" s="32">
        <f>$J2343*($G2343-$G2342)*60*24</f>
        <v>4.8966119999999825E-3</v>
      </c>
    </row>
    <row r="2344" spans="1:12">
      <c r="A2344" s="22">
        <v>40312.259722222225</v>
      </c>
      <c r="E2344" s="26">
        <v>14.721966</v>
      </c>
      <c r="G2344" s="27">
        <v>0.25972222222222224</v>
      </c>
      <c r="J2344" s="30">
        <f>IF(G2344&lt;$H$10,$H$16,IF(G2344&gt;$I$10,$H$16,$H$11))*E2344/600</f>
        <v>4.9073220000000004E-3</v>
      </c>
      <c r="L2344" s="32">
        <f>$J2344*($G2344-$G2343)*60*24</f>
        <v>4.9073219999999831E-3</v>
      </c>
    </row>
    <row r="2345" spans="1:12">
      <c r="A2345" s="22">
        <v>40312.260416666664</v>
      </c>
      <c r="E2345" s="26">
        <v>14.796096</v>
      </c>
      <c r="G2345" s="27">
        <v>0.26041666666666669</v>
      </c>
      <c r="J2345" s="30">
        <f>IF(G2345&lt;$H$10,$H$16,IF(G2345&gt;$I$10,$H$16,$H$11))*E2345/600</f>
        <v>4.9320320000000003E-3</v>
      </c>
      <c r="L2345" s="32">
        <f>$J2345*($G2345-$G2344)*60*24</f>
        <v>4.9320319999999829E-3</v>
      </c>
    </row>
    <row r="2346" spans="1:12">
      <c r="A2346" s="22">
        <v>40312.261111111111</v>
      </c>
      <c r="E2346" s="26">
        <v>14.796096</v>
      </c>
      <c r="G2346" s="27">
        <v>0.26111111111111113</v>
      </c>
      <c r="J2346" s="30">
        <f>IF(G2346&lt;$H$10,$H$16,IF(G2346&gt;$I$10,$H$16,$H$11))*E2346/600</f>
        <v>4.9320320000000003E-3</v>
      </c>
      <c r="L2346" s="32">
        <f>$J2346*($G2346-$G2345)*60*24</f>
        <v>4.9320319999999829E-3</v>
      </c>
    </row>
    <row r="2347" spans="1:12">
      <c r="A2347" s="22">
        <v>40312.261805555558</v>
      </c>
      <c r="E2347" s="26">
        <v>14.763776</v>
      </c>
      <c r="G2347" s="27">
        <v>0.26180555555555557</v>
      </c>
      <c r="J2347" s="30">
        <f>IF(G2347&lt;$H$10,$H$16,IF(G2347&gt;$I$10,$H$16,$H$11))*E2347/600</f>
        <v>4.9212586666666676E-3</v>
      </c>
      <c r="L2347" s="32">
        <f>$J2347*($G2347-$G2346)*60*24</f>
        <v>4.9212586666666502E-3</v>
      </c>
    </row>
    <row r="2348" spans="1:12">
      <c r="A2348" s="22">
        <v>40312.262499999997</v>
      </c>
      <c r="E2348" s="26">
        <v>14.890368</v>
      </c>
      <c r="G2348" s="27">
        <v>0.26250000000000001</v>
      </c>
      <c r="J2348" s="30">
        <f>IF(G2348&lt;$H$10,$H$16,IF(G2348&gt;$I$10,$H$16,$H$11))*E2348/600</f>
        <v>4.9634559999999998E-3</v>
      </c>
      <c r="L2348" s="32">
        <f>$J2348*($G2348-$G2347)*60*24</f>
        <v>4.9634559999999824E-3</v>
      </c>
    </row>
    <row r="2349" spans="1:12">
      <c r="A2349" s="22">
        <v>40312.263194444444</v>
      </c>
      <c r="E2349" s="26">
        <v>14.580594</v>
      </c>
      <c r="G2349" s="27">
        <v>0.26319444444444445</v>
      </c>
      <c r="J2349" s="30">
        <f>IF(G2349&lt;$H$10,$H$16,IF(G2349&gt;$I$10,$H$16,$H$11))*E2349/600</f>
        <v>4.8601979999999996E-3</v>
      </c>
      <c r="L2349" s="32">
        <f>$J2349*($G2349-$G2348)*60*24</f>
        <v>4.8601979999999823E-3</v>
      </c>
    </row>
    <row r="2350" spans="1:12">
      <c r="A2350" s="22">
        <v>40312.263888888891</v>
      </c>
      <c r="E2350" s="26">
        <v>14.639184</v>
      </c>
      <c r="G2350" s="27">
        <v>0.2638888888888889</v>
      </c>
      <c r="J2350" s="30">
        <f>IF(G2350&lt;$H$10,$H$16,IF(G2350&gt;$I$10,$H$16,$H$11))*E2350/600</f>
        <v>4.8797279999999998E-3</v>
      </c>
      <c r="L2350" s="32">
        <f>$J2350*($G2350-$G2349)*60*24</f>
        <v>4.8797279999999825E-3</v>
      </c>
    </row>
    <row r="2351" spans="1:12">
      <c r="A2351" s="22">
        <v>40312.26458333333</v>
      </c>
      <c r="E2351" s="26">
        <v>14.730029999999999</v>
      </c>
      <c r="G2351" s="27">
        <v>0.26458333333333334</v>
      </c>
      <c r="J2351" s="30">
        <f>IF(G2351&lt;$H$10,$H$16,IF(G2351&gt;$I$10,$H$16,$H$11))*E2351/600</f>
        <v>4.9100100000000002E-3</v>
      </c>
      <c r="L2351" s="32">
        <f>$J2351*($G2351-$G2350)*60*24</f>
        <v>4.910009999999982E-3</v>
      </c>
    </row>
    <row r="2352" spans="1:12">
      <c r="A2352" s="22">
        <v>40312.265277777777</v>
      </c>
      <c r="E2352" s="26">
        <v>14.762475</v>
      </c>
      <c r="G2352" s="27">
        <v>0.26527777777777778</v>
      </c>
      <c r="J2352" s="30">
        <f>IF(G2352&lt;$H$10,$H$16,IF(G2352&gt;$I$10,$H$16,$H$11))*E2352/600</f>
        <v>4.9208250000000002E-3</v>
      </c>
      <c r="L2352" s="32">
        <f>$J2352*($G2352-$G2351)*60*24</f>
        <v>4.9208249999999829E-3</v>
      </c>
    </row>
    <row r="2353" spans="1:12">
      <c r="A2353" s="22">
        <v>40312.265972222223</v>
      </c>
      <c r="E2353" s="26">
        <v>14.762475</v>
      </c>
      <c r="G2353" s="27">
        <v>0.26597222222222222</v>
      </c>
      <c r="J2353" s="30">
        <f>IF(G2353&lt;$H$10,$H$16,IF(G2353&gt;$I$10,$H$16,$H$11))*E2353/600</f>
        <v>4.9208250000000002E-3</v>
      </c>
      <c r="L2353" s="32">
        <f>$J2353*($G2353-$G2352)*60*24</f>
        <v>4.9208249999999829E-3</v>
      </c>
    </row>
    <row r="2354" spans="1:12">
      <c r="A2354" s="22">
        <v>40312.26666666667</v>
      </c>
      <c r="E2354" s="26">
        <v>14.762475</v>
      </c>
      <c r="G2354" s="27">
        <v>0.26666666666666666</v>
      </c>
      <c r="J2354" s="30">
        <f>IF(G2354&lt;$H$10,$H$16,IF(G2354&gt;$I$10,$H$16,$H$11))*E2354/600</f>
        <v>4.9208250000000002E-3</v>
      </c>
      <c r="L2354" s="32">
        <f>$J2354*($G2354-$G2353)*60*24</f>
        <v>4.9208249999999829E-3</v>
      </c>
    </row>
    <row r="2355" spans="1:12">
      <c r="A2355" s="22">
        <v>40312.267361111109</v>
      </c>
      <c r="E2355" s="26">
        <v>14.775453000000001</v>
      </c>
      <c r="G2355" s="27">
        <v>0.2673611111111111</v>
      </c>
      <c r="J2355" s="30">
        <f>IF(G2355&lt;$H$10,$H$16,IF(G2355&gt;$I$10,$H$16,$H$11))*E2355/600</f>
        <v>4.925151E-3</v>
      </c>
      <c r="L2355" s="32">
        <f>$J2355*($G2355-$G2354)*60*24</f>
        <v>4.9251509999999827E-3</v>
      </c>
    </row>
    <row r="2356" spans="1:12">
      <c r="A2356" s="22">
        <v>40312.268055555556</v>
      </c>
      <c r="E2356" s="26">
        <v>14.885766</v>
      </c>
      <c r="G2356" s="27">
        <v>0.26805555555555555</v>
      </c>
      <c r="J2356" s="30">
        <f>IF(G2356&lt;$H$10,$H$16,IF(G2356&gt;$I$10,$H$16,$H$11))*E2356/600</f>
        <v>4.9619219999999997E-3</v>
      </c>
      <c r="L2356" s="32">
        <f>$J2356*($G2356-$G2355)*60*24</f>
        <v>4.9619219999999815E-3</v>
      </c>
    </row>
    <row r="2357" spans="1:12">
      <c r="A2357" s="22">
        <v>40312.268750000003</v>
      </c>
      <c r="E2357" s="26">
        <v>14.675648000000001</v>
      </c>
      <c r="G2357" s="27">
        <v>0.26874999999999999</v>
      </c>
      <c r="J2357" s="30">
        <f>IF(G2357&lt;$H$10,$H$16,IF(G2357&gt;$I$10,$H$16,$H$11))*E2357/600</f>
        <v>4.8918826666666674E-3</v>
      </c>
      <c r="L2357" s="32">
        <f>$J2357*($G2357-$G2356)*60*24</f>
        <v>4.8918826666666491E-3</v>
      </c>
    </row>
    <row r="2358" spans="1:12">
      <c r="A2358" s="22">
        <v>40312.269444444442</v>
      </c>
      <c r="E2358" s="26">
        <v>14.83629</v>
      </c>
      <c r="G2358" s="27">
        <v>0.26944444444444443</v>
      </c>
      <c r="J2358" s="30">
        <f>IF(G2358&lt;$H$10,$H$16,IF(G2358&gt;$I$10,$H$16,$H$11))*E2358/600</f>
        <v>4.9454300000000007E-3</v>
      </c>
      <c r="L2358" s="32">
        <f>$J2358*($G2358-$G2357)*60*24</f>
        <v>4.9454299999999833E-3</v>
      </c>
    </row>
    <row r="2359" spans="1:12">
      <c r="A2359" s="22">
        <v>40312.270138888889</v>
      </c>
      <c r="E2359" s="26">
        <v>14.811056000000001</v>
      </c>
      <c r="G2359" s="27">
        <v>0.27013888888888887</v>
      </c>
      <c r="J2359" s="30">
        <f>IF(G2359&lt;$H$10,$H$16,IF(G2359&gt;$I$10,$H$16,$H$11))*E2359/600</f>
        <v>4.9370186666666677E-3</v>
      </c>
      <c r="L2359" s="32">
        <f>$J2359*($G2359-$G2358)*60*24</f>
        <v>4.9370186666666495E-3</v>
      </c>
    </row>
    <row r="2360" spans="1:12">
      <c r="A2360" s="22">
        <v>40312.270833333336</v>
      </c>
      <c r="E2360" s="26">
        <v>14.87304</v>
      </c>
      <c r="G2360" s="27">
        <v>0.27083333333333331</v>
      </c>
      <c r="J2360" s="30">
        <f>IF(G2360&lt;$H$10,$H$16,IF(G2360&gt;$I$10,$H$16,$H$11))*E2360/600</f>
        <v>4.9576799999999999E-3</v>
      </c>
      <c r="L2360" s="32">
        <f>$J2360*($G2360-$G2359)*60*24</f>
        <v>4.9576799999999826E-3</v>
      </c>
    </row>
    <row r="2361" spans="1:12">
      <c r="A2361" s="22">
        <v>40312.271527777775</v>
      </c>
      <c r="E2361" s="26">
        <v>14.85981</v>
      </c>
      <c r="G2361" s="27">
        <v>0.27152777777777776</v>
      </c>
      <c r="J2361" s="30">
        <f>IF(G2361&lt;$H$10,$H$16,IF(G2361&gt;$I$10,$H$16,$H$11))*E2361/600</f>
        <v>4.9532700000000001E-3</v>
      </c>
      <c r="L2361" s="32">
        <f>$J2361*($G2361-$G2360)*60*24</f>
        <v>4.9532699999999827E-3</v>
      </c>
    </row>
    <row r="2362" spans="1:12">
      <c r="A2362" s="22">
        <v>40312.272222222222</v>
      </c>
      <c r="E2362" s="26">
        <v>14.944167</v>
      </c>
      <c r="G2362" s="27">
        <v>0.2722222222222222</v>
      </c>
      <c r="J2362" s="30">
        <f>IF(G2362&lt;$H$10,$H$16,IF(G2362&gt;$I$10,$H$16,$H$11))*E2362/600</f>
        <v>4.9813890000000001E-3</v>
      </c>
      <c r="L2362" s="32">
        <f>$J2362*($G2362-$G2361)*60*24</f>
        <v>4.9813889999999828E-3</v>
      </c>
    </row>
    <row r="2363" spans="1:12">
      <c r="A2363" s="22">
        <v>40312.272916666669</v>
      </c>
      <c r="E2363" s="26">
        <v>14.831208</v>
      </c>
      <c r="G2363" s="27">
        <v>0.27291666666666664</v>
      </c>
      <c r="J2363" s="30">
        <f>IF(G2363&lt;$H$10,$H$16,IF(G2363&gt;$I$10,$H$16,$H$11))*E2363/600</f>
        <v>4.9437359999999998E-3</v>
      </c>
      <c r="L2363" s="32">
        <f>$J2363*($G2363-$G2362)*60*24</f>
        <v>4.9437359999999816E-3</v>
      </c>
    </row>
    <row r="2364" spans="1:12">
      <c r="A2364" s="22">
        <v>40312.273611111108</v>
      </c>
      <c r="E2364" s="26">
        <v>14.918210999999999</v>
      </c>
      <c r="G2364" s="27">
        <v>0.27361111111111108</v>
      </c>
      <c r="J2364" s="30">
        <f>IF(G2364&lt;$H$10,$H$16,IF(G2364&gt;$I$10,$H$16,$H$11))*E2364/600</f>
        <v>4.9727370000000005E-3</v>
      </c>
      <c r="L2364" s="32">
        <f>$J2364*($G2364-$G2363)*60*24</f>
        <v>4.9727369999999832E-3</v>
      </c>
    </row>
    <row r="2365" spans="1:12">
      <c r="A2365" s="22">
        <v>40312.274305555555</v>
      </c>
      <c r="E2365" s="26">
        <v>14.79072</v>
      </c>
      <c r="G2365" s="27">
        <v>0.27430555555555552</v>
      </c>
      <c r="J2365" s="30">
        <f>IF(G2365&lt;$H$10,$H$16,IF(G2365&gt;$I$10,$H$16,$H$11))*E2365/600</f>
        <v>4.9302400000000007E-3</v>
      </c>
      <c r="L2365" s="32">
        <f>$J2365*($G2365-$G2364)*60*24</f>
        <v>4.9302399999999824E-3</v>
      </c>
    </row>
    <row r="2366" spans="1:12">
      <c r="A2366" s="22">
        <v>40312.275000000001</v>
      </c>
      <c r="E2366" s="26">
        <v>14.668642</v>
      </c>
      <c r="G2366" s="27">
        <v>0.27499999999999997</v>
      </c>
      <c r="J2366" s="30">
        <f>IF(G2366&lt;$H$10,$H$16,IF(G2366&gt;$I$10,$H$16,$H$11))*E2366/600</f>
        <v>4.8895473333333333E-3</v>
      </c>
      <c r="L2366" s="32">
        <f>$J2366*($G2366-$G2365)*60*24</f>
        <v>4.8895473333333151E-3</v>
      </c>
    </row>
    <row r="2367" spans="1:12">
      <c r="A2367" s="22">
        <v>40312.275694444441</v>
      </c>
      <c r="E2367" s="26">
        <v>14.937678</v>
      </c>
      <c r="G2367" s="27">
        <v>0.27569444444444446</v>
      </c>
      <c r="J2367" s="30">
        <f>IF(G2367&lt;$H$10,$H$16,IF(G2367&gt;$I$10,$H$16,$H$11))*E2367/600</f>
        <v>4.9792260000000007E-3</v>
      </c>
      <c r="L2367" s="32">
        <f>$J2367*($G2367-$G2366)*60*24</f>
        <v>4.9792260000003806E-3</v>
      </c>
    </row>
    <row r="2368" spans="1:12">
      <c r="A2368" s="22">
        <v>40312.276388888888</v>
      </c>
      <c r="E2368" s="26">
        <v>14.720784</v>
      </c>
      <c r="G2368" s="27">
        <v>0.27638888888888885</v>
      </c>
      <c r="J2368" s="30">
        <f>IF(G2368&lt;$H$10,$H$16,IF(G2368&gt;$I$10,$H$16,$H$11))*E2368/600</f>
        <v>4.9069279999999996E-3</v>
      </c>
      <c r="L2368" s="32">
        <f>$J2368*($G2368-$G2367)*60*24</f>
        <v>4.9069279999995902E-3</v>
      </c>
    </row>
    <row r="2369" spans="1:12">
      <c r="A2369" s="22">
        <v>40312.277083333334</v>
      </c>
      <c r="E2369" s="26">
        <v>14.898744000000001</v>
      </c>
      <c r="G2369" s="27">
        <v>0.27708333333333335</v>
      </c>
      <c r="J2369" s="30">
        <f>IF(G2369&lt;$H$10,$H$16,IF(G2369&gt;$I$10,$H$16,$H$11))*E2369/600</f>
        <v>4.9662480000000004E-3</v>
      </c>
      <c r="L2369" s="32">
        <f>$J2369*($G2369-$G2368)*60*24</f>
        <v>4.9662480000003803E-3</v>
      </c>
    </row>
    <row r="2370" spans="1:12">
      <c r="A2370" s="22">
        <v>40312.277777777781</v>
      </c>
      <c r="E2370" s="26">
        <v>14.781942000000001</v>
      </c>
      <c r="G2370" s="27">
        <v>0.27777777777777779</v>
      </c>
      <c r="J2370" s="30">
        <f>IF(G2370&lt;$H$10,$H$16,IF(G2370&gt;$I$10,$H$16,$H$11))*E2370/600</f>
        <v>4.9273140000000003E-3</v>
      </c>
      <c r="L2370" s="32">
        <f>$J2370*($G2370-$G2369)*60*24</f>
        <v>4.927313999999983E-3</v>
      </c>
    </row>
    <row r="2371" spans="1:12">
      <c r="A2371" s="22">
        <v>40312.27847222222</v>
      </c>
      <c r="E2371" s="26">
        <v>14.743008</v>
      </c>
      <c r="G2371" s="27">
        <v>0.27847222222222223</v>
      </c>
      <c r="J2371" s="30">
        <f>IF(G2371&lt;$H$10,$H$16,IF(G2371&gt;$I$10,$H$16,$H$11))*E2371/600</f>
        <v>4.9143360000000001E-3</v>
      </c>
      <c r="L2371" s="32">
        <f>$J2371*($G2371-$G2370)*60*24</f>
        <v>4.9143359999999827E-3</v>
      </c>
    </row>
    <row r="2372" spans="1:12">
      <c r="A2372" s="22">
        <v>40312.279166666667</v>
      </c>
      <c r="E2372" s="26">
        <v>14.7798</v>
      </c>
      <c r="G2372" s="27">
        <v>0.27916666666666667</v>
      </c>
      <c r="J2372" s="30">
        <f>IF(G2372&lt;$H$10,$H$16,IF(G2372&gt;$I$10,$H$16,$H$11))*E2372/600</f>
        <v>4.9266000000000006E-3</v>
      </c>
      <c r="L2372" s="32">
        <f>$J2372*($G2372-$G2371)*60*24</f>
        <v>4.9265999999999824E-3</v>
      </c>
    </row>
    <row r="2373" spans="1:12">
      <c r="A2373" s="22">
        <v>40312.279861111114</v>
      </c>
      <c r="E2373" s="26">
        <v>14.898744000000001</v>
      </c>
      <c r="G2373" s="27">
        <v>0.27986111111111112</v>
      </c>
      <c r="J2373" s="30">
        <f>IF(G2373&lt;$H$10,$H$16,IF(G2373&gt;$I$10,$H$16,$H$11))*E2373/600</f>
        <v>4.9662480000000004E-3</v>
      </c>
      <c r="L2373" s="32">
        <f>$J2373*($G2373-$G2372)*60*24</f>
        <v>4.9662479999999821E-3</v>
      </c>
    </row>
    <row r="2374" spans="1:12">
      <c r="A2374" s="22">
        <v>40312.280555555553</v>
      </c>
      <c r="E2374" s="26">
        <v>14.944167</v>
      </c>
      <c r="G2374" s="27">
        <v>0.28055555555555556</v>
      </c>
      <c r="J2374" s="30">
        <f>IF(G2374&lt;$H$10,$H$16,IF(G2374&gt;$I$10,$H$16,$H$11))*E2374/600</f>
        <v>4.9813890000000001E-3</v>
      </c>
      <c r="L2374" s="32">
        <f>$J2374*($G2374-$G2373)*60*24</f>
        <v>4.9813889999999828E-3</v>
      </c>
    </row>
    <row r="2375" spans="1:12">
      <c r="A2375" s="22">
        <v>40312.28125</v>
      </c>
      <c r="E2375" s="26">
        <v>14.892255</v>
      </c>
      <c r="G2375" s="27">
        <v>0.28125</v>
      </c>
      <c r="J2375" s="30">
        <f>IF(G2375&lt;$H$10,$H$16,IF(G2375&gt;$I$10,$H$16,$H$11))*E2375/600</f>
        <v>4.964085E-3</v>
      </c>
      <c r="L2375" s="32">
        <f>$J2375*($G2375-$G2374)*60*24</f>
        <v>4.9640849999999818E-3</v>
      </c>
    </row>
    <row r="2376" spans="1:12">
      <c r="A2376" s="22">
        <v>40312.281944444447</v>
      </c>
      <c r="E2376" s="26">
        <v>14.560079999999999</v>
      </c>
      <c r="G2376" s="27">
        <v>0.28194444444444444</v>
      </c>
      <c r="J2376" s="30">
        <f>IF(G2376&lt;$H$10,$H$16,IF(G2376&gt;$I$10,$H$16,$H$11))*E2376/600</f>
        <v>4.8533600000000001E-3</v>
      </c>
      <c r="L2376" s="32">
        <f>$J2376*($G2376-$G2375)*60*24</f>
        <v>4.8533599999999837E-3</v>
      </c>
    </row>
    <row r="2377" spans="1:12">
      <c r="A2377" s="22">
        <v>40312.282638888886</v>
      </c>
      <c r="E2377" s="26">
        <v>14.827365</v>
      </c>
      <c r="G2377" s="27">
        <v>0.28263888888888888</v>
      </c>
      <c r="J2377" s="30">
        <f>IF(G2377&lt;$H$10,$H$16,IF(G2377&gt;$I$10,$H$16,$H$11))*E2377/600</f>
        <v>4.9424550000000001E-3</v>
      </c>
      <c r="L2377" s="32">
        <f>$J2377*($G2377-$G2376)*60*24</f>
        <v>4.9424549999999828E-3</v>
      </c>
    </row>
    <row r="2378" spans="1:12">
      <c r="A2378" s="22">
        <v>40312.283333333333</v>
      </c>
      <c r="E2378" s="26">
        <v>14.483447999999999</v>
      </c>
      <c r="G2378" s="27">
        <v>0.28333333333333333</v>
      </c>
      <c r="J2378" s="30">
        <f>IF(G2378&lt;$H$10,$H$16,IF(G2378&gt;$I$10,$H$16,$H$11))*E2378/600</f>
        <v>4.8278160000000004E-3</v>
      </c>
      <c r="L2378" s="32">
        <f>$J2378*($G2378-$G2377)*60*24</f>
        <v>4.8278159999999831E-3</v>
      </c>
    </row>
    <row r="2379" spans="1:12">
      <c r="A2379" s="22">
        <v>40312.28402777778</v>
      </c>
      <c r="E2379" s="26">
        <v>14.457903999999999</v>
      </c>
      <c r="G2379" s="27">
        <v>0.28402777777777777</v>
      </c>
      <c r="J2379" s="30">
        <f>IF(G2379&lt;$H$10,$H$16,IF(G2379&gt;$I$10,$H$16,$H$11))*E2379/600</f>
        <v>4.819301333333333E-3</v>
      </c>
      <c r="L2379" s="32">
        <f>$J2379*($G2379-$G2378)*60*24</f>
        <v>4.8193013333333156E-3</v>
      </c>
    </row>
    <row r="2380" spans="1:12">
      <c r="A2380" s="22">
        <v>40312.284722222219</v>
      </c>
      <c r="E2380" s="26">
        <v>14.807898</v>
      </c>
      <c r="G2380" s="27">
        <v>0.28472222222222221</v>
      </c>
      <c r="J2380" s="30">
        <f>IF(G2380&lt;$H$10,$H$16,IF(G2380&gt;$I$10,$H$16,$H$11))*E2380/600</f>
        <v>4.9359660000000008E-3</v>
      </c>
      <c r="L2380" s="32">
        <f>$J2380*($G2380-$G2379)*60*24</f>
        <v>4.9359659999999835E-3</v>
      </c>
    </row>
    <row r="2381" spans="1:12">
      <c r="A2381" s="22">
        <v>40312.285416666666</v>
      </c>
      <c r="E2381" s="26">
        <v>14.728391999999999</v>
      </c>
      <c r="G2381" s="27">
        <v>0.28541666666666665</v>
      </c>
      <c r="J2381" s="30">
        <f>IF(G2381&lt;$H$10,$H$16,IF(G2381&gt;$I$10,$H$16,$H$11))*E2381/600</f>
        <v>4.9094640000000005E-3</v>
      </c>
      <c r="L2381" s="32">
        <f>$J2381*($G2381-$G2380)*60*24</f>
        <v>4.9094639999999832E-3</v>
      </c>
    </row>
    <row r="2382" spans="1:12">
      <c r="A2382" s="22">
        <v>40312.286111111112</v>
      </c>
      <c r="E2382" s="26">
        <v>15.060096</v>
      </c>
      <c r="G2382" s="27">
        <v>0.28611111111111115</v>
      </c>
      <c r="J2382" s="30">
        <f>IF(G2382&lt;$H$10,$H$16,IF(G2382&gt;$I$10,$H$16,$H$11))*E2382/600</f>
        <v>5.0200319999999998E-3</v>
      </c>
      <c r="L2382" s="32">
        <f>$J2382*($G2382-$G2381)*60*24</f>
        <v>5.0200320000003832E-3</v>
      </c>
    </row>
    <row r="2383" spans="1:12">
      <c r="A2383" s="22">
        <v>40312.286805555559</v>
      </c>
      <c r="E2383" s="26">
        <v>15.061120000000001</v>
      </c>
      <c r="G2383" s="27">
        <v>0.28680555555555554</v>
      </c>
      <c r="J2383" s="30">
        <f>IF(G2383&lt;$H$10,$H$16,IF(G2383&gt;$I$10,$H$16,$H$11))*E2383/600</f>
        <v>5.0203733333333339E-3</v>
      </c>
      <c r="L2383" s="32">
        <f>$J2383*($G2383-$G2382)*60*24</f>
        <v>5.0203733333329149E-3</v>
      </c>
    </row>
    <row r="2384" spans="1:12">
      <c r="A2384" s="22">
        <v>40312.287499999999</v>
      </c>
      <c r="E2384" s="26">
        <v>15.035264</v>
      </c>
      <c r="G2384" s="27">
        <v>0.28750000000000003</v>
      </c>
      <c r="J2384" s="30">
        <f>IF(G2384&lt;$H$10,$H$16,IF(G2384&gt;$I$10,$H$16,$H$11))*E2384/600</f>
        <v>5.0117546666666674E-3</v>
      </c>
      <c r="L2384" s="32">
        <f>$J2384*($G2384-$G2383)*60*24</f>
        <v>5.0117546666670499E-3</v>
      </c>
    </row>
    <row r="2385" spans="1:12">
      <c r="A2385" s="22">
        <v>40312.288194444445</v>
      </c>
      <c r="E2385" s="26">
        <v>15.054656</v>
      </c>
      <c r="G2385" s="27">
        <v>0.28819444444444448</v>
      </c>
      <c r="J2385" s="30">
        <f>IF(G2385&lt;$H$10,$H$16,IF(G2385&gt;$I$10,$H$16,$H$11))*E2385/600</f>
        <v>5.0182186666666668E-3</v>
      </c>
      <c r="L2385" s="32">
        <f>$J2385*($G2385-$G2384)*60*24</f>
        <v>5.0182186666666486E-3</v>
      </c>
    </row>
    <row r="2386" spans="1:12">
      <c r="A2386" s="22">
        <v>40312.288888888892</v>
      </c>
      <c r="E2386" s="26">
        <v>15.15808</v>
      </c>
      <c r="G2386" s="27">
        <v>0.28888888888888892</v>
      </c>
      <c r="J2386" s="30">
        <f>IF(G2386&lt;$H$10,$H$16,IF(G2386&gt;$I$10,$H$16,$H$11))*E2386/600</f>
        <v>5.0526933333333336E-3</v>
      </c>
      <c r="L2386" s="32">
        <f>$J2386*($G2386-$G2385)*60*24</f>
        <v>5.0526933333333154E-3</v>
      </c>
    </row>
    <row r="2387" spans="1:12">
      <c r="A2387" s="22">
        <v>40312.289583333331</v>
      </c>
      <c r="E2387" s="26">
        <v>15.282048</v>
      </c>
      <c r="G2387" s="27">
        <v>0.28958333333333336</v>
      </c>
      <c r="J2387" s="30">
        <f>IF(G2387&lt;$H$10,$H$16,IF(G2387&gt;$I$10,$H$16,$H$11))*E2387/600</f>
        <v>5.0940160000000007E-3</v>
      </c>
      <c r="L2387" s="32">
        <f>$J2387*($G2387-$G2386)*60*24</f>
        <v>5.0940159999999825E-3</v>
      </c>
    </row>
    <row r="2388" spans="1:12">
      <c r="A2388" s="22">
        <v>40312.290277777778</v>
      </c>
      <c r="E2388" s="26">
        <v>15.112831999999999</v>
      </c>
      <c r="G2388" s="27">
        <v>0.2902777777777778</v>
      </c>
      <c r="J2388" s="30">
        <f>IF(G2388&lt;$H$10,$H$16,IF(G2388&gt;$I$10,$H$16,$H$11))*E2388/600</f>
        <v>5.0376106666666668E-3</v>
      </c>
      <c r="L2388" s="32">
        <f>$J2388*($G2388-$G2387)*60*24</f>
        <v>5.0376106666666486E-3</v>
      </c>
    </row>
    <row r="2389" spans="1:12">
      <c r="A2389" s="22">
        <v>40312.290972222225</v>
      </c>
      <c r="E2389" s="26">
        <v>14.539455</v>
      </c>
      <c r="G2389" s="27">
        <v>0.29097222222222224</v>
      </c>
      <c r="J2389" s="30">
        <f>IF(G2389&lt;$H$10,$H$16,IF(G2389&gt;$I$10,$H$16,$H$11))*E2389/600</f>
        <v>4.8464850000000002E-3</v>
      </c>
      <c r="L2389" s="32">
        <f>$J2389*($G2389-$G2388)*60*24</f>
        <v>4.8464849999999829E-3</v>
      </c>
    </row>
    <row r="2390" spans="1:12">
      <c r="A2390" s="22">
        <v>40312.291666666664</v>
      </c>
      <c r="E2390" s="26">
        <v>14.574168</v>
      </c>
      <c r="G2390" s="27">
        <v>0.29166666666666669</v>
      </c>
      <c r="J2390" s="30">
        <f>IF(G2390&lt;$H$10,$H$16,IF(G2390&gt;$I$10,$H$16,$H$11))*E2390/600</f>
        <v>4.8580560000000004E-3</v>
      </c>
      <c r="L2390" s="32">
        <f>$J2390*($G2390-$G2389)*60*24</f>
        <v>4.8580559999999839E-3</v>
      </c>
    </row>
    <row r="2391" spans="1:12">
      <c r="A2391" s="22">
        <v>40312.292361111111</v>
      </c>
      <c r="E2391" s="26">
        <v>15.092736</v>
      </c>
      <c r="G2391" s="27">
        <v>0.29236111111111113</v>
      </c>
      <c r="J2391" s="30">
        <f>IF(G2391&lt;$H$10,$H$16,IF(G2391&gt;$I$10,$H$16,$H$11))*E2391/600</f>
        <v>5.0309120000000011E-3</v>
      </c>
      <c r="L2391" s="32">
        <f>$J2391*($G2391-$G2390)*60*24</f>
        <v>5.0309119999999838E-3</v>
      </c>
    </row>
    <row r="2392" spans="1:12">
      <c r="A2392" s="22">
        <v>40312.293055555558</v>
      </c>
      <c r="E2392" s="26">
        <v>15.132224000000001</v>
      </c>
      <c r="G2392" s="27">
        <v>0.29305555555555557</v>
      </c>
      <c r="J2392" s="30">
        <f>IF(G2392&lt;$H$10,$H$16,IF(G2392&gt;$I$10,$H$16,$H$11))*E2392/600</f>
        <v>5.0440746666666671E-3</v>
      </c>
      <c r="L2392" s="32">
        <f>$J2392*($G2392-$G2391)*60*24</f>
        <v>5.0440746666666489E-3</v>
      </c>
    </row>
    <row r="2393" spans="1:12">
      <c r="A2393" s="22">
        <v>40312.293749999997</v>
      </c>
      <c r="E2393" s="26">
        <v>15.37344</v>
      </c>
      <c r="G2393" s="27">
        <v>0.29375000000000001</v>
      </c>
      <c r="J2393" s="30">
        <f>IF(G2393&lt;$H$10,$H$16,IF(G2393&gt;$I$10,$H$16,$H$11))*E2393/600</f>
        <v>5.1244799999999998E-3</v>
      </c>
      <c r="L2393" s="32">
        <f>$J2393*($G2393-$G2392)*60*24</f>
        <v>5.1244799999999816E-3</v>
      </c>
    </row>
    <row r="2394" spans="1:12">
      <c r="A2394" s="22">
        <v>40312.294444444444</v>
      </c>
      <c r="E2394" s="26">
        <v>15.074047999999999</v>
      </c>
      <c r="G2394" s="27">
        <v>0.29444444444444445</v>
      </c>
      <c r="J2394" s="30">
        <f>IF(G2394&lt;$H$10,$H$16,IF(G2394&gt;$I$10,$H$16,$H$11))*E2394/600</f>
        <v>5.0246826666666662E-3</v>
      </c>
      <c r="L2394" s="32">
        <f>$J2394*($G2394-$G2393)*60*24</f>
        <v>5.0246826666666489E-3</v>
      </c>
    </row>
    <row r="2395" spans="1:12">
      <c r="A2395" s="22">
        <v>40312.295138888891</v>
      </c>
      <c r="E2395" s="26">
        <v>14.664132</v>
      </c>
      <c r="G2395" s="27">
        <v>0.2951388888888889</v>
      </c>
      <c r="J2395" s="30">
        <f>IF(G2395&lt;$H$10,$H$16,IF(G2395&gt;$I$10,$H$16,$H$11))*E2395/600</f>
        <v>4.8880440000000002E-3</v>
      </c>
      <c r="L2395" s="32">
        <f>$J2395*($G2395-$G2394)*60*24</f>
        <v>4.8880439999999829E-3</v>
      </c>
    </row>
    <row r="2396" spans="1:12">
      <c r="A2396" s="22">
        <v>40312.29583333333</v>
      </c>
      <c r="E2396" s="26">
        <v>15.821718000000001</v>
      </c>
      <c r="G2396" s="27">
        <v>0.29583333333333334</v>
      </c>
      <c r="J2396" s="30">
        <f>IF(G2396&lt;$H$10,$H$16,IF(G2396&gt;$I$10,$H$16,$H$11))*E2396/600</f>
        <v>5.2739060000000009E-3</v>
      </c>
      <c r="L2396" s="32">
        <f>$J2396*($G2396-$G2395)*60*24</f>
        <v>5.2739059999999827E-3</v>
      </c>
    </row>
    <row r="2397" spans="1:12">
      <c r="A2397" s="22">
        <v>40312.296527777777</v>
      </c>
      <c r="E2397" s="26">
        <v>169.79078999999999</v>
      </c>
      <c r="G2397" s="27">
        <v>0.29652777777777778</v>
      </c>
      <c r="J2397" s="30">
        <f>IF(G2397&lt;$H$10,$H$16,IF(G2397&gt;$I$10,$H$16,$H$11))*E2397/600</f>
        <v>5.6596929999999997E-2</v>
      </c>
      <c r="L2397" s="32">
        <f>$J2397*($G2397-$G2396)*60*24</f>
        <v>5.6596929999999795E-2</v>
      </c>
    </row>
    <row r="2398" spans="1:12">
      <c r="A2398" s="22">
        <v>40312.297222222223</v>
      </c>
      <c r="E2398" s="26">
        <v>165.83536799999999</v>
      </c>
      <c r="G2398" s="27">
        <v>0.29722222222222222</v>
      </c>
      <c r="J2398" s="30">
        <f>IF(G2398&lt;$H$10,$H$16,IF(G2398&gt;$I$10,$H$16,$H$11))*E2398/600</f>
        <v>5.5278456000000004E-2</v>
      </c>
      <c r="L2398" s="32">
        <f>$J2398*($G2398-$G2397)*60*24</f>
        <v>5.5278455999999809E-2</v>
      </c>
    </row>
    <row r="2399" spans="1:12">
      <c r="A2399" s="22">
        <v>40312.29791666667</v>
      </c>
      <c r="E2399" s="26">
        <v>162.646432</v>
      </c>
      <c r="G2399" s="27">
        <v>0.29791666666666666</v>
      </c>
      <c r="J2399" s="30">
        <f>IF(G2399&lt;$H$10,$H$16,IF(G2399&gt;$I$10,$H$16,$H$11))*E2399/600</f>
        <v>5.4215477333333338E-2</v>
      </c>
      <c r="L2399" s="32">
        <f>$J2399*($G2399-$G2398)*60*24</f>
        <v>5.4215477333333151E-2</v>
      </c>
    </row>
    <row r="2400" spans="1:12">
      <c r="A2400" s="22">
        <v>40312.298611111109</v>
      </c>
      <c r="E2400" s="26">
        <v>163.00339199999999</v>
      </c>
      <c r="G2400" s="27">
        <v>0.2986111111111111</v>
      </c>
      <c r="J2400" s="30">
        <f>IF(G2400&lt;$H$10,$H$16,IF(G2400&gt;$I$10,$H$16,$H$11))*E2400/600</f>
        <v>5.4334463999999999E-2</v>
      </c>
      <c r="L2400" s="32">
        <f>$J2400*($G2400-$G2399)*60*24</f>
        <v>5.4334463999999798E-2</v>
      </c>
    </row>
    <row r="2401" spans="1:12">
      <c r="A2401" s="22">
        <v>40312.299305555556</v>
      </c>
      <c r="E2401" s="26">
        <v>174.75555600000001</v>
      </c>
      <c r="G2401" s="27">
        <v>0.29930555555555555</v>
      </c>
      <c r="J2401" s="30">
        <f>IF(G2401&lt;$H$10,$H$16,IF(G2401&gt;$I$10,$H$16,$H$11))*E2401/600</f>
        <v>5.8251852000000014E-2</v>
      </c>
      <c r="L2401" s="32">
        <f>$J2401*($G2401-$G2400)*60*24</f>
        <v>5.8251851999999799E-2</v>
      </c>
    </row>
    <row r="2402" spans="1:12">
      <c r="A2402" s="22">
        <v>40312.300000000003</v>
      </c>
      <c r="E2402" s="26">
        <v>163.74454399999999</v>
      </c>
      <c r="G2402" s="27">
        <v>0.3</v>
      </c>
      <c r="J2402" s="30">
        <f>IF(G2402&lt;$H$10,$H$16,IF(G2402&gt;$I$10,$H$16,$H$11))*E2402/600</f>
        <v>5.4581514666666671E-2</v>
      </c>
      <c r="L2402" s="32">
        <f>$J2402*($G2402-$G2401)*60*24</f>
        <v>5.4581514666666484E-2</v>
      </c>
    </row>
    <row r="2403" spans="1:12">
      <c r="A2403" s="22">
        <v>40312.300694444442</v>
      </c>
      <c r="E2403" s="26">
        <v>156.62521599999999</v>
      </c>
      <c r="G2403" s="27">
        <v>0.30069444444444443</v>
      </c>
      <c r="J2403" s="30">
        <f>IF(G2403&lt;$H$10,$H$16,IF(G2403&gt;$I$10,$H$16,$H$11))*E2403/600</f>
        <v>5.2208405333333333E-2</v>
      </c>
      <c r="L2403" s="32">
        <f>$J2403*($G2403-$G2402)*60*24</f>
        <v>5.2208405333333152E-2</v>
      </c>
    </row>
    <row r="2404" spans="1:12">
      <c r="A2404" s="22">
        <v>40312.301388888889</v>
      </c>
      <c r="E2404" s="26">
        <v>154.23699199999999</v>
      </c>
      <c r="G2404" s="27">
        <v>0.30138888888888887</v>
      </c>
      <c r="J2404" s="30">
        <f>IF(G2404&lt;$H$10,$H$16,IF(G2404&gt;$I$10,$H$16,$H$11))*E2404/600</f>
        <v>5.1412330666666665E-2</v>
      </c>
      <c r="L2404" s="32">
        <f>$J2404*($G2404-$G2403)*60*24</f>
        <v>5.1412330666666492E-2</v>
      </c>
    </row>
    <row r="2405" spans="1:12">
      <c r="A2405" s="22">
        <v>40312.302083333336</v>
      </c>
      <c r="E2405" s="26">
        <v>155.37696</v>
      </c>
      <c r="G2405" s="27">
        <v>0.30208333333333331</v>
      </c>
      <c r="J2405" s="30">
        <f>IF(G2405&lt;$H$10,$H$16,IF(G2405&gt;$I$10,$H$16,$H$11))*E2405/600</f>
        <v>5.1792320000000003E-2</v>
      </c>
      <c r="L2405" s="32">
        <f>$J2405*($G2405-$G2404)*60*24</f>
        <v>5.1792319999999822E-2</v>
      </c>
    </row>
    <row r="2406" spans="1:12">
      <c r="A2406" s="22">
        <v>40312.302777777775</v>
      </c>
      <c r="E2406" s="26">
        <v>155.406768</v>
      </c>
      <c r="G2406" s="27">
        <v>0.30277777777777776</v>
      </c>
      <c r="J2406" s="30">
        <f>IF(G2406&lt;$H$10,$H$16,IF(G2406&gt;$I$10,$H$16,$H$11))*E2406/600</f>
        <v>5.1802255999999998E-2</v>
      </c>
      <c r="L2406" s="32">
        <f>$J2406*($G2406-$G2405)*60*24</f>
        <v>5.1802255999999811E-2</v>
      </c>
    </row>
    <row r="2407" spans="1:12">
      <c r="A2407" s="22">
        <v>40312.303472222222</v>
      </c>
      <c r="E2407" s="26">
        <v>155.52600000000001</v>
      </c>
      <c r="G2407" s="27">
        <v>0.3034722222222222</v>
      </c>
      <c r="J2407" s="30">
        <f>IF(G2407&lt;$H$10,$H$16,IF(G2407&gt;$I$10,$H$16,$H$11))*E2407/600</f>
        <v>5.1842000000000006E-2</v>
      </c>
      <c r="L2407" s="32">
        <f>$J2407*($G2407-$G2406)*60*24</f>
        <v>5.1841999999999819E-2</v>
      </c>
    </row>
    <row r="2408" spans="1:12">
      <c r="A2408" s="22">
        <v>40312.304166666669</v>
      </c>
      <c r="E2408" s="26">
        <v>155.73759999999999</v>
      </c>
      <c r="G2408" s="27">
        <v>0.30416666666666664</v>
      </c>
      <c r="J2408" s="30">
        <f>IF(G2408&lt;$H$10,$H$16,IF(G2408&gt;$I$10,$H$16,$H$11))*E2408/600</f>
        <v>5.1912533333333337E-2</v>
      </c>
      <c r="L2408" s="32">
        <f>$J2408*($G2408-$G2407)*60*24</f>
        <v>5.191253333333315E-2</v>
      </c>
    </row>
    <row r="2409" spans="1:12">
      <c r="A2409" s="22">
        <v>40312.304861111108</v>
      </c>
      <c r="E2409" s="26">
        <v>155.72886</v>
      </c>
      <c r="G2409" s="27">
        <v>0.30486111111111108</v>
      </c>
      <c r="J2409" s="30">
        <f>IF(G2409&lt;$H$10,$H$16,IF(G2409&gt;$I$10,$H$16,$H$11))*E2409/600</f>
        <v>5.1909620000000004E-2</v>
      </c>
      <c r="L2409" s="32">
        <f>$J2409*($G2409-$G2408)*60*24</f>
        <v>5.1909619999999816E-2</v>
      </c>
    </row>
    <row r="2410" spans="1:12">
      <c r="A2410" s="22">
        <v>40312.305555555555</v>
      </c>
      <c r="E2410" s="26">
        <v>153.70746299999999</v>
      </c>
      <c r="G2410" s="27">
        <v>0.30555555555555552</v>
      </c>
      <c r="J2410" s="30">
        <f>IF(G2410&lt;$H$10,$H$16,IF(G2410&gt;$I$10,$H$16,$H$11))*E2410/600</f>
        <v>5.1235821000000001E-2</v>
      </c>
      <c r="L2410" s="32">
        <f>$J2410*($G2410-$G2409)*60*24</f>
        <v>5.123582099999982E-2</v>
      </c>
    </row>
    <row r="2411" spans="1:12">
      <c r="A2411" s="22">
        <v>40312.306250000001</v>
      </c>
      <c r="E2411" s="26">
        <v>159.81504000000001</v>
      </c>
      <c r="G2411" s="27">
        <v>0.30624999999999997</v>
      </c>
      <c r="J2411" s="30">
        <f>IF(G2411&lt;$H$10,$H$16,IF(G2411&gt;$I$10,$H$16,$H$11))*E2411/600</f>
        <v>5.3271680000000002E-2</v>
      </c>
      <c r="L2411" s="32">
        <f>$J2411*($G2411-$G2410)*60*24</f>
        <v>5.3271679999999814E-2</v>
      </c>
    </row>
    <row r="2412" spans="1:12">
      <c r="A2412" s="22">
        <v>40312.306944444441</v>
      </c>
      <c r="E2412" s="26">
        <v>179.96839199999999</v>
      </c>
      <c r="G2412" s="27">
        <v>0.30694444444444441</v>
      </c>
      <c r="J2412" s="30">
        <f>IF(G2412&lt;$H$10,$H$16,IF(G2412&gt;$I$10,$H$16,$H$11))*E2412/600</f>
        <v>5.9989463999999999E-2</v>
      </c>
      <c r="L2412" s="32">
        <f>$J2412*($G2412-$G2411)*60*24</f>
        <v>5.9989463999999784E-2</v>
      </c>
    </row>
    <row r="2413" spans="1:12">
      <c r="A2413" s="22">
        <v>40312.307638888888</v>
      </c>
      <c r="E2413" s="26">
        <v>178.936464</v>
      </c>
      <c r="G2413" s="27">
        <v>0.30763888888888891</v>
      </c>
      <c r="J2413" s="30">
        <f>IF(G2413&lt;$H$10,$H$16,IF(G2413&gt;$I$10,$H$16,$H$11))*E2413/600</f>
        <v>5.9645488000000003E-2</v>
      </c>
      <c r="L2413" s="32">
        <f>$J2413*($G2413-$G2412)*60*24</f>
        <v>5.9645488000004562E-2</v>
      </c>
    </row>
    <row r="2414" spans="1:12">
      <c r="A2414" s="22">
        <v>40312.308333333334</v>
      </c>
      <c r="E2414" s="26">
        <v>178.29588000000001</v>
      </c>
      <c r="G2414" s="27">
        <v>0.30833333333333335</v>
      </c>
      <c r="J2414" s="30">
        <f>IF(G2414&lt;$H$10,$H$16,IF(G2414&gt;$I$10,$H$16,$H$11))*E2414/600</f>
        <v>5.9431960000000006E-2</v>
      </c>
      <c r="L2414" s="32">
        <f>$J2414*($G2414-$G2413)*60*24</f>
        <v>5.9431959999999798E-2</v>
      </c>
    </row>
    <row r="2415" spans="1:12">
      <c r="A2415" s="22">
        <v>40312.309027777781</v>
      </c>
      <c r="E2415" s="26">
        <v>179.59788</v>
      </c>
      <c r="G2415" s="27">
        <v>0.30902777777777779</v>
      </c>
      <c r="J2415" s="30">
        <f>IF(G2415&lt;$H$10,$H$16,IF(G2415&gt;$I$10,$H$16,$H$11))*E2415/600</f>
        <v>5.9865959999999996E-2</v>
      </c>
      <c r="L2415" s="32">
        <f>$J2415*($G2415-$G2414)*60*24</f>
        <v>5.9865959999999788E-2</v>
      </c>
    </row>
    <row r="2416" spans="1:12">
      <c r="A2416" s="22">
        <v>40312.30972222222</v>
      </c>
      <c r="E2416" s="26">
        <v>180.00410400000001</v>
      </c>
      <c r="G2416" s="27">
        <v>0.30972222222222223</v>
      </c>
      <c r="J2416" s="30">
        <f>IF(G2416&lt;$H$10,$H$16,IF(G2416&gt;$I$10,$H$16,$H$11))*E2416/600</f>
        <v>6.0001368000000013E-2</v>
      </c>
      <c r="L2416" s="32">
        <f>$J2416*($G2416-$G2415)*60*24</f>
        <v>6.0001367999999805E-2</v>
      </c>
    </row>
    <row r="2417" spans="1:12">
      <c r="A2417" s="22">
        <v>40312.310416666667</v>
      </c>
      <c r="E2417" s="26">
        <v>180.984882</v>
      </c>
      <c r="G2417" s="27">
        <v>0.31041666666666667</v>
      </c>
      <c r="J2417" s="30">
        <f>IF(G2417&lt;$H$10,$H$16,IF(G2417&gt;$I$10,$H$16,$H$11))*E2417/600</f>
        <v>6.0328294000000005E-2</v>
      </c>
      <c r="L2417" s="32">
        <f>$J2417*($G2417-$G2416)*60*24</f>
        <v>6.0328293999999782E-2</v>
      </c>
    </row>
    <row r="2418" spans="1:12">
      <c r="A2418" s="22">
        <v>40312.311111111114</v>
      </c>
      <c r="E2418" s="26">
        <v>181.08104399999999</v>
      </c>
      <c r="G2418" s="27">
        <v>0.31111111111111112</v>
      </c>
      <c r="J2418" s="30">
        <f>IF(G2418&lt;$H$10,$H$16,IF(G2418&gt;$I$10,$H$16,$H$11))*E2418/600</f>
        <v>6.0360347999999994E-2</v>
      </c>
      <c r="L2418" s="32">
        <f>$J2418*($G2418-$G2417)*60*24</f>
        <v>6.0360347999999786E-2</v>
      </c>
    </row>
    <row r="2419" spans="1:12">
      <c r="A2419" s="22">
        <v>40312.311805555553</v>
      </c>
      <c r="E2419" s="26">
        <v>179.09633099999999</v>
      </c>
      <c r="G2419" s="27">
        <v>0.31180555555555556</v>
      </c>
      <c r="J2419" s="30">
        <f>IF(G2419&lt;$H$10,$H$16,IF(G2419&gt;$I$10,$H$16,$H$11))*E2419/600</f>
        <v>5.9698777000000001E-2</v>
      </c>
      <c r="L2419" s="32">
        <f>$J2419*($G2419-$G2418)*60*24</f>
        <v>5.9698776999999786E-2</v>
      </c>
    </row>
    <row r="2420" spans="1:12">
      <c r="A2420" s="22">
        <v>40312.3125</v>
      </c>
      <c r="E2420" s="26">
        <v>170.69220000000001</v>
      </c>
      <c r="G2420" s="27">
        <v>0.3125</v>
      </c>
      <c r="J2420" s="30">
        <f>IF(G2420&lt;$H$10,$H$16,IF(G2420&gt;$I$10,$H$16,$H$11))*E2420/600</f>
        <v>5.6897400000000008E-2</v>
      </c>
      <c r="L2420" s="32">
        <f>$J2420*($G2420-$G2419)*60*24</f>
        <v>5.6897399999999806E-2</v>
      </c>
    </row>
    <row r="2421" spans="1:12">
      <c r="A2421" s="22">
        <v>40312.313194444447</v>
      </c>
      <c r="E2421" s="26">
        <v>156.49834200000001</v>
      </c>
      <c r="G2421" s="27">
        <v>0.31319444444444444</v>
      </c>
      <c r="J2421" s="30">
        <f>IF(G2421&lt;$H$10,$H$16,IF(G2421&gt;$I$10,$H$16,$H$11))*E2421/600</f>
        <v>5.2166114E-2</v>
      </c>
      <c r="L2421" s="32">
        <f>$J2421*($G2421-$G2420)*60*24</f>
        <v>5.2166113999999819E-2</v>
      </c>
    </row>
    <row r="2422" spans="1:12">
      <c r="A2422" s="22">
        <v>40312.313888888886</v>
      </c>
      <c r="E2422" s="26">
        <v>153.69244800000001</v>
      </c>
      <c r="G2422" s="27">
        <v>0.31388888888888888</v>
      </c>
      <c r="J2422" s="30">
        <f>IF(G2422&lt;$H$10,$H$16,IF(G2422&gt;$I$10,$H$16,$H$11))*E2422/600</f>
        <v>5.1230816000000005E-2</v>
      </c>
      <c r="L2422" s="32">
        <f>$J2422*($G2422-$G2421)*60*24</f>
        <v>5.1230815999999818E-2</v>
      </c>
    </row>
    <row r="2423" spans="1:12">
      <c r="A2423" s="22">
        <v>40312.314583333333</v>
      </c>
      <c r="E2423" s="26">
        <v>154.18703300000001</v>
      </c>
      <c r="G2423" s="27">
        <v>0.31458333333333333</v>
      </c>
      <c r="J2423" s="30">
        <f>IF(G2423&lt;$H$10,$H$16,IF(G2423&gt;$I$10,$H$16,$H$11))*E2423/600</f>
        <v>5.1395677666666674E-2</v>
      </c>
      <c r="L2423" s="32">
        <f>$J2423*($G2423-$G2422)*60*24</f>
        <v>5.1395677666666487E-2</v>
      </c>
    </row>
    <row r="2424" spans="1:12">
      <c r="A2424" s="22">
        <v>40312.31527777778</v>
      </c>
      <c r="E2424" s="26">
        <v>154.085204</v>
      </c>
      <c r="G2424" s="27">
        <v>0.31527777777777777</v>
      </c>
      <c r="J2424" s="30">
        <f>IF(G2424&lt;$H$10,$H$16,IF(G2424&gt;$I$10,$H$16,$H$11))*E2424/600</f>
        <v>5.1361734666666665E-2</v>
      </c>
      <c r="L2424" s="32">
        <f>$J2424*($G2424-$G2423)*60*24</f>
        <v>5.1361734666666485E-2</v>
      </c>
    </row>
    <row r="2425" spans="1:12">
      <c r="A2425" s="22">
        <v>40312.315972222219</v>
      </c>
      <c r="E2425" s="26">
        <v>155.3006</v>
      </c>
      <c r="G2425" s="27">
        <v>0.31597222222222221</v>
      </c>
      <c r="J2425" s="30">
        <f>IF(G2425&lt;$H$10,$H$16,IF(G2425&gt;$I$10,$H$16,$H$11))*E2425/600</f>
        <v>5.1766866666666668E-2</v>
      </c>
      <c r="L2425" s="32">
        <f>$J2425*($G2425-$G2424)*60*24</f>
        <v>5.1766866666666481E-2</v>
      </c>
    </row>
    <row r="2426" spans="1:12">
      <c r="A2426" s="22">
        <v>40312.316666666666</v>
      </c>
      <c r="E2426" s="26">
        <v>153.84166400000001</v>
      </c>
      <c r="G2426" s="27">
        <v>0.31666666666666665</v>
      </c>
      <c r="J2426" s="30">
        <f>IF(G2426&lt;$H$10,$H$16,IF(G2426&gt;$I$10,$H$16,$H$11))*E2426/600</f>
        <v>5.1280554666666672E-2</v>
      </c>
      <c r="L2426" s="32">
        <f>$J2426*($G2426-$G2425)*60*24</f>
        <v>5.1280554666666492E-2</v>
      </c>
    </row>
    <row r="2427" spans="1:12">
      <c r="A2427" s="22">
        <v>40312.317361111112</v>
      </c>
      <c r="E2427" s="26">
        <v>152.95826</v>
      </c>
      <c r="G2427" s="27">
        <v>0.31736111111111115</v>
      </c>
      <c r="J2427" s="30">
        <f>IF(G2427&lt;$H$10,$H$16,IF(G2427&gt;$I$10,$H$16,$H$11))*E2427/600</f>
        <v>5.0986086666666666E-2</v>
      </c>
      <c r="L2427" s="32">
        <f>$J2427*($G2427-$G2426)*60*24</f>
        <v>5.0986086666670566E-2</v>
      </c>
    </row>
    <row r="2428" spans="1:12">
      <c r="A2428" s="22">
        <v>40312.318055555559</v>
      </c>
      <c r="E2428" s="26">
        <v>152.83222499999999</v>
      </c>
      <c r="G2428" s="27">
        <v>0.31805555555555554</v>
      </c>
      <c r="J2428" s="30">
        <f>IF(G2428&lt;$H$10,$H$16,IF(G2428&gt;$I$10,$H$16,$H$11))*E2428/600</f>
        <v>5.0944075000000005E-2</v>
      </c>
      <c r="L2428" s="32">
        <f>$J2428*($G2428-$G2427)*60*24</f>
        <v>5.0944074999995745E-2</v>
      </c>
    </row>
    <row r="2429" spans="1:12">
      <c r="A2429" s="22">
        <v>40312.318749999999</v>
      </c>
      <c r="E2429" s="26">
        <v>153.865712</v>
      </c>
      <c r="G2429" s="27">
        <v>0.31875000000000003</v>
      </c>
      <c r="J2429" s="30">
        <f>IF(G2429&lt;$H$10,$H$16,IF(G2429&gt;$I$10,$H$16,$H$11))*E2429/600</f>
        <v>5.1288570666666672E-2</v>
      </c>
      <c r="L2429" s="32">
        <f>$J2429*($G2429-$G2428)*60*24</f>
        <v>5.1288570666670585E-2</v>
      </c>
    </row>
    <row r="2430" spans="1:12">
      <c r="A2430" s="22">
        <v>40312.319444444445</v>
      </c>
      <c r="E2430" s="26">
        <v>156.71437599999999</v>
      </c>
      <c r="G2430" s="27">
        <v>0.31944444444444448</v>
      </c>
      <c r="J2430" s="30">
        <f>IF(G2430&lt;$H$10,$H$16,IF(G2430&gt;$I$10,$H$16,$H$11))*E2430/600</f>
        <v>5.223812533333333E-2</v>
      </c>
      <c r="L2430" s="32">
        <f>$J2430*($G2430-$G2429)*60*24</f>
        <v>5.2238125333333149E-2</v>
      </c>
    </row>
    <row r="2431" spans="1:12">
      <c r="A2431" s="22">
        <v>40312.320138888892</v>
      </c>
      <c r="E2431" s="26">
        <v>155.522412</v>
      </c>
      <c r="G2431" s="27">
        <v>0.32013888888888892</v>
      </c>
      <c r="J2431" s="30">
        <f>IF(G2431&lt;$H$10,$H$16,IF(G2431&gt;$I$10,$H$16,$H$11))*E2431/600</f>
        <v>5.1840804000000004E-2</v>
      </c>
      <c r="L2431" s="32">
        <f>$J2431*($G2431-$G2430)*60*24</f>
        <v>5.1840803999999817E-2</v>
      </c>
    </row>
    <row r="2432" spans="1:12">
      <c r="A2432" s="22">
        <v>40312.320833333331</v>
      </c>
      <c r="E2432" s="26">
        <v>156.76385999999999</v>
      </c>
      <c r="G2432" s="27">
        <v>0.32083333333333336</v>
      </c>
      <c r="J2432" s="30">
        <f>IF(G2432&lt;$H$10,$H$16,IF(G2432&gt;$I$10,$H$16,$H$11))*E2432/600</f>
        <v>5.2254620000000002E-2</v>
      </c>
      <c r="L2432" s="32">
        <f>$J2432*($G2432-$G2431)*60*24</f>
        <v>5.2254619999999821E-2</v>
      </c>
    </row>
    <row r="2433" spans="1:12">
      <c r="A2433" s="22">
        <v>40312.321527777778</v>
      </c>
      <c r="E2433" s="26">
        <v>160.42500000000001</v>
      </c>
      <c r="G2433" s="27">
        <v>0.3215277777777778</v>
      </c>
      <c r="J2433" s="30">
        <f>IF(G2433&lt;$H$10,$H$16,IF(G2433&gt;$I$10,$H$16,$H$11))*E2433/600</f>
        <v>5.3475000000000002E-2</v>
      </c>
      <c r="L2433" s="32">
        <f>$J2433*($G2433-$G2432)*60*24</f>
        <v>5.3474999999999814E-2</v>
      </c>
    </row>
    <row r="2434" spans="1:12">
      <c r="A2434" s="22">
        <v>40312.322222222225</v>
      </c>
      <c r="E2434" s="26">
        <v>159.45513600000001</v>
      </c>
      <c r="G2434" s="27">
        <v>0.32222222222222224</v>
      </c>
      <c r="J2434" s="30">
        <f>IF(G2434&lt;$H$10,$H$16,IF(G2434&gt;$I$10,$H$16,$H$11))*E2434/600</f>
        <v>5.3151712000000004E-2</v>
      </c>
      <c r="L2434" s="32">
        <f>$J2434*($G2434-$G2433)*60*24</f>
        <v>5.3151711999999809E-2</v>
      </c>
    </row>
    <row r="2435" spans="1:12">
      <c r="A2435" s="22">
        <v>40312.322916666664</v>
      </c>
      <c r="E2435" s="26">
        <v>155.828496</v>
      </c>
      <c r="G2435" s="27">
        <v>0.32291666666666669</v>
      </c>
      <c r="J2435" s="30">
        <f>IF(G2435&lt;$H$10,$H$16,IF(G2435&gt;$I$10,$H$16,$H$11))*E2435/600</f>
        <v>5.1942832000000001E-2</v>
      </c>
      <c r="L2435" s="32">
        <f>$J2435*($G2435-$G2434)*60*24</f>
        <v>5.1942831999999814E-2</v>
      </c>
    </row>
    <row r="2436" spans="1:12">
      <c r="A2436" s="22">
        <v>40312.323611111111</v>
      </c>
      <c r="E2436" s="26">
        <v>155.41394399999999</v>
      </c>
      <c r="G2436" s="27">
        <v>0.32361111111111113</v>
      </c>
      <c r="J2436" s="30">
        <f>IF(G2436&lt;$H$10,$H$16,IF(G2436&gt;$I$10,$H$16,$H$11))*E2436/600</f>
        <v>5.1804648000000002E-2</v>
      </c>
      <c r="L2436" s="32">
        <f>$J2436*($G2436-$G2435)*60*24</f>
        <v>5.1804647999999821E-2</v>
      </c>
    </row>
    <row r="2437" spans="1:12">
      <c r="A2437" s="22">
        <v>40312.324305555558</v>
      </c>
      <c r="E2437" s="26">
        <v>152.40406999999999</v>
      </c>
      <c r="G2437" s="27">
        <v>0.32430555555555557</v>
      </c>
      <c r="J2437" s="30">
        <f>IF(G2437&lt;$H$10,$H$16,IF(G2437&gt;$I$10,$H$16,$H$11))*E2437/600</f>
        <v>5.0801356666666665E-2</v>
      </c>
      <c r="L2437" s="32">
        <f>$J2437*($G2437-$G2436)*60*24</f>
        <v>5.0801356666666492E-2</v>
      </c>
    </row>
    <row r="2438" spans="1:12">
      <c r="A2438" s="22">
        <v>40312.324999999997</v>
      </c>
      <c r="E2438" s="26">
        <v>152.72712000000001</v>
      </c>
      <c r="G2438" s="27">
        <v>0.32500000000000001</v>
      </c>
      <c r="J2438" s="30">
        <f>IF(G2438&lt;$H$10,$H$16,IF(G2438&gt;$I$10,$H$16,$H$11))*E2438/600</f>
        <v>5.090904000000001E-2</v>
      </c>
      <c r="L2438" s="32">
        <f>$J2438*($G2438-$G2437)*60*24</f>
        <v>5.0909039999999836E-2</v>
      </c>
    </row>
    <row r="2439" spans="1:12">
      <c r="A2439" s="22">
        <v>40312.325694444444</v>
      </c>
      <c r="E2439" s="26">
        <v>153.01504399999999</v>
      </c>
      <c r="G2439" s="27">
        <v>0.32569444444444445</v>
      </c>
      <c r="J2439" s="30">
        <f>IF(G2439&lt;$H$10,$H$16,IF(G2439&gt;$I$10,$H$16,$H$11))*E2439/600</f>
        <v>5.1005014666666661E-2</v>
      </c>
      <c r="L2439" s="32">
        <f>$J2439*($G2439-$G2438)*60*24</f>
        <v>5.100501466666648E-2</v>
      </c>
    </row>
    <row r="2440" spans="1:12">
      <c r="A2440" s="22">
        <v>40312.326388888891</v>
      </c>
      <c r="E2440" s="26">
        <v>153.67524900000001</v>
      </c>
      <c r="G2440" s="27">
        <v>0.3263888888888889</v>
      </c>
      <c r="J2440" s="30">
        <f>IF(G2440&lt;$H$10,$H$16,IF(G2440&gt;$I$10,$H$16,$H$11))*E2440/600</f>
        <v>5.1225083000000005E-2</v>
      </c>
      <c r="L2440" s="32">
        <f>$J2440*($G2440-$G2439)*60*24</f>
        <v>5.1225082999999831E-2</v>
      </c>
    </row>
    <row r="2441" spans="1:12">
      <c r="A2441" s="22">
        <v>40312.32708333333</v>
      </c>
      <c r="E2441" s="26">
        <v>153.4169</v>
      </c>
      <c r="G2441" s="27">
        <v>0.32708333333333334</v>
      </c>
      <c r="J2441" s="30">
        <f>IF(G2441&lt;$H$10,$H$16,IF(G2441&gt;$I$10,$H$16,$H$11))*E2441/600</f>
        <v>5.1138966666666667E-2</v>
      </c>
      <c r="L2441" s="32">
        <f>$J2441*($G2441-$G2440)*60*24</f>
        <v>5.113896666666648E-2</v>
      </c>
    </row>
    <row r="2442" spans="1:12">
      <c r="A2442" s="22">
        <v>40312.327777777777</v>
      </c>
      <c r="E2442" s="26">
        <v>153.1985</v>
      </c>
      <c r="G2442" s="27">
        <v>0.32777777777777778</v>
      </c>
      <c r="J2442" s="30">
        <f>IF(G2442&lt;$H$10,$H$16,IF(G2442&gt;$I$10,$H$16,$H$11))*E2442/600</f>
        <v>5.1066166666666669E-2</v>
      </c>
      <c r="L2442" s="32">
        <f>$J2442*($G2442-$G2441)*60*24</f>
        <v>5.1066166666666482E-2</v>
      </c>
    </row>
    <row r="2443" spans="1:12">
      <c r="A2443" s="22">
        <v>40312.328472222223</v>
      </c>
      <c r="E2443" s="26">
        <v>153.13134199999999</v>
      </c>
      <c r="G2443" s="27">
        <v>0.32847222222222222</v>
      </c>
      <c r="J2443" s="30">
        <f>IF(G2443&lt;$H$10,$H$16,IF(G2443&gt;$I$10,$H$16,$H$11))*E2443/600</f>
        <v>5.104378066666667E-2</v>
      </c>
      <c r="L2443" s="32">
        <f>$J2443*($G2443-$G2442)*60*24</f>
        <v>5.1043780666666483E-2</v>
      </c>
    </row>
    <row r="2444" spans="1:12">
      <c r="A2444" s="22">
        <v>40312.32916666667</v>
      </c>
      <c r="E2444" s="26">
        <v>152.437376</v>
      </c>
      <c r="G2444" s="27">
        <v>0.32916666666666666</v>
      </c>
      <c r="J2444" s="30">
        <f>IF(G2444&lt;$H$10,$H$16,IF(G2444&gt;$I$10,$H$16,$H$11))*E2444/600</f>
        <v>5.0812458666666671E-2</v>
      </c>
      <c r="L2444" s="32">
        <f>$J2444*($G2444-$G2443)*60*24</f>
        <v>5.0812458666666491E-2</v>
      </c>
    </row>
    <row r="2445" spans="1:12">
      <c r="A2445" s="22">
        <v>40312.329861111109</v>
      </c>
      <c r="E2445" s="26">
        <v>152.84569300000001</v>
      </c>
      <c r="G2445" s="27">
        <v>0.3298611111111111</v>
      </c>
      <c r="J2445" s="30">
        <f>IF(G2445&lt;$H$10,$H$16,IF(G2445&gt;$I$10,$H$16,$H$11))*E2445/600</f>
        <v>5.0948564333333335E-2</v>
      </c>
      <c r="L2445" s="32">
        <f>$J2445*($G2445-$G2444)*60*24</f>
        <v>5.0948564333333148E-2</v>
      </c>
    </row>
    <row r="2446" spans="1:12">
      <c r="A2446" s="22">
        <v>40312.330555555556</v>
      </c>
      <c r="E2446" s="26">
        <v>152.23025999999999</v>
      </c>
      <c r="G2446" s="27">
        <v>0.33055555555555555</v>
      </c>
      <c r="J2446" s="30">
        <f>IF(G2446&lt;$H$10,$H$16,IF(G2446&gt;$I$10,$H$16,$H$11))*E2446/600</f>
        <v>5.0743419999999997E-2</v>
      </c>
      <c r="L2446" s="32">
        <f>$J2446*($G2446-$G2445)*60*24</f>
        <v>5.0743419999999817E-2</v>
      </c>
    </row>
    <row r="2447" spans="1:12">
      <c r="A2447" s="22">
        <v>40312.331250000003</v>
      </c>
      <c r="E2447" s="26">
        <v>152.47486799999999</v>
      </c>
      <c r="G2447" s="27">
        <v>0.33124999999999999</v>
      </c>
      <c r="J2447" s="30">
        <f>IF(G2447&lt;$H$10,$H$16,IF(G2447&gt;$I$10,$H$16,$H$11))*E2447/600</f>
        <v>5.0824955999999998E-2</v>
      </c>
      <c r="L2447" s="32">
        <f>$J2447*($G2447-$G2446)*60*24</f>
        <v>5.0824955999999817E-2</v>
      </c>
    </row>
    <row r="2448" spans="1:12">
      <c r="A2448" s="22">
        <v>40312.331944444442</v>
      </c>
      <c r="E2448" s="26">
        <v>152.44329099999999</v>
      </c>
      <c r="G2448" s="27">
        <v>0.33194444444444443</v>
      </c>
      <c r="J2448" s="30">
        <f>IF(G2448&lt;$H$10,$H$16,IF(G2448&gt;$I$10,$H$16,$H$11))*E2448/600</f>
        <v>5.0814430333333334E-2</v>
      </c>
      <c r="L2448" s="32">
        <f>$J2448*($G2448-$G2447)*60*24</f>
        <v>5.0814430333333147E-2</v>
      </c>
    </row>
    <row r="2449" spans="1:12">
      <c r="A2449" s="22">
        <v>40312.332638888889</v>
      </c>
      <c r="E2449" s="26">
        <v>153.27066300000001</v>
      </c>
      <c r="G2449" s="27">
        <v>0.33263888888888887</v>
      </c>
      <c r="J2449" s="30">
        <f>IF(G2449&lt;$H$10,$H$16,IF(G2449&gt;$I$10,$H$16,$H$11))*E2449/600</f>
        <v>5.1090221000000005E-2</v>
      </c>
      <c r="L2449" s="32">
        <f>$J2449*($G2449-$G2448)*60*24</f>
        <v>5.1090220999999825E-2</v>
      </c>
    </row>
    <row r="2450" spans="1:12">
      <c r="A2450" s="22">
        <v>40312.333333333336</v>
      </c>
      <c r="E2450" s="26">
        <v>162.6353</v>
      </c>
      <c r="G2450" s="27">
        <v>0.33333333333333331</v>
      </c>
      <c r="J2450" s="30">
        <f>IF(G2450&lt;$H$10,$H$16,IF(G2450&gt;$I$10,$H$16,$H$11))*E2450/600</f>
        <v>5.4211766666666668E-2</v>
      </c>
      <c r="L2450" s="32">
        <f>$J2450*($G2450-$G2449)*60*24</f>
        <v>5.4211766666666467E-2</v>
      </c>
    </row>
    <row r="2451" spans="1:12">
      <c r="A2451" s="22">
        <v>40312.334027777775</v>
      </c>
      <c r="E2451" s="26">
        <v>155.14344299999999</v>
      </c>
      <c r="G2451" s="27">
        <v>0.33402777777777781</v>
      </c>
      <c r="J2451" s="30">
        <f>IF(G2451&lt;$H$10,$H$16,IF(G2451&gt;$I$10,$H$16,$H$11))*E2451/600</f>
        <v>5.1714481E-2</v>
      </c>
      <c r="L2451" s="32">
        <f>$J2451*($G2451-$G2450)*60*24</f>
        <v>5.1714481000003941E-2</v>
      </c>
    </row>
    <row r="2452" spans="1:12">
      <c r="A2452" s="22">
        <v>40312.334722222222</v>
      </c>
      <c r="E2452" s="26">
        <v>154.23817500000001</v>
      </c>
      <c r="G2452" s="27">
        <v>0.3347222222222222</v>
      </c>
      <c r="J2452" s="30">
        <f>IF(G2452&lt;$H$10,$H$16,IF(G2452&gt;$I$10,$H$16,$H$11))*E2452/600</f>
        <v>5.1412725000000006E-2</v>
      </c>
      <c r="L2452" s="32">
        <f>$J2452*($G2452-$G2451)*60*24</f>
        <v>5.1412724999995718E-2</v>
      </c>
    </row>
    <row r="2453" spans="1:12">
      <c r="A2453" s="22">
        <v>40312.335416666669</v>
      </c>
      <c r="E2453" s="26">
        <v>153.46394699999999</v>
      </c>
      <c r="G2453" s="27">
        <v>0.3354166666666667</v>
      </c>
      <c r="J2453" s="30">
        <f>IF(G2453&lt;$H$10,$H$16,IF(G2453&gt;$I$10,$H$16,$H$11))*E2453/600</f>
        <v>5.1154648999999996E-2</v>
      </c>
      <c r="L2453" s="32">
        <f>$J2453*($G2453-$G2452)*60*24</f>
        <v>5.1154649000003896E-2</v>
      </c>
    </row>
    <row r="2454" spans="1:12">
      <c r="A2454" s="22">
        <v>40312.336111111108</v>
      </c>
      <c r="E2454" s="26">
        <v>152.49780000000001</v>
      </c>
      <c r="G2454" s="27">
        <v>0.33611111111111108</v>
      </c>
      <c r="J2454" s="30">
        <f>IF(G2454&lt;$H$10,$H$16,IF(G2454&gt;$I$10,$H$16,$H$11))*E2454/600</f>
        <v>5.0832600000000006E-2</v>
      </c>
      <c r="L2454" s="32">
        <f>$J2454*($G2454-$G2453)*60*24</f>
        <v>5.0832599999995759E-2</v>
      </c>
    </row>
    <row r="2455" spans="1:12">
      <c r="A2455" s="22">
        <v>40312.336805555555</v>
      </c>
      <c r="E2455" s="26">
        <v>152.83222499999999</v>
      </c>
      <c r="G2455" s="27">
        <v>0.33680555555555558</v>
      </c>
      <c r="J2455" s="30">
        <f>IF(G2455&lt;$H$10,$H$16,IF(G2455&gt;$I$10,$H$16,$H$11))*E2455/600</f>
        <v>5.0944075000000005E-2</v>
      </c>
      <c r="L2455" s="32">
        <f>$J2455*($G2455-$G2454)*60*24</f>
        <v>5.0944075000003898E-2</v>
      </c>
    </row>
    <row r="2456" spans="1:12">
      <c r="A2456" s="22">
        <v>40312.337500000001</v>
      </c>
      <c r="E2456" s="26">
        <v>152.61646400000001</v>
      </c>
      <c r="G2456" s="27">
        <v>0.33749999999999997</v>
      </c>
      <c r="J2456" s="30">
        <f>IF(G2456&lt;$H$10,$H$16,IF(G2456&gt;$I$10,$H$16,$H$11))*E2456/600</f>
        <v>5.0872154666666676E-2</v>
      </c>
      <c r="L2456" s="32">
        <f>$J2456*($G2456-$G2455)*60*24</f>
        <v>5.0872154666662429E-2</v>
      </c>
    </row>
    <row r="2457" spans="1:12">
      <c r="A2457" s="22">
        <v>40312.338194444441</v>
      </c>
      <c r="E2457" s="26">
        <v>152.834136</v>
      </c>
      <c r="G2457" s="27">
        <v>0.33819444444444446</v>
      </c>
      <c r="J2457" s="30">
        <f>IF(G2457&lt;$H$10,$H$16,IF(G2457&gt;$I$10,$H$16,$H$11))*E2457/600</f>
        <v>5.0944712000000003E-2</v>
      </c>
      <c r="L2457" s="32">
        <f>$J2457*($G2457-$G2456)*60*24</f>
        <v>5.0944712000003896E-2</v>
      </c>
    </row>
    <row r="2458" spans="1:12">
      <c r="A2458" s="22">
        <v>40312.338888888888</v>
      </c>
      <c r="E2458" s="26">
        <v>153.54066</v>
      </c>
      <c r="G2458" s="27">
        <v>0.33888888888888885</v>
      </c>
      <c r="J2458" s="30">
        <f>IF(G2458&lt;$H$10,$H$16,IF(G2458&gt;$I$10,$H$16,$H$11))*E2458/600</f>
        <v>5.1180220000000005E-2</v>
      </c>
      <c r="L2458" s="32">
        <f>$J2458*($G2458-$G2457)*60*24</f>
        <v>5.1180219999995724E-2</v>
      </c>
    </row>
    <row r="2459" spans="1:12">
      <c r="A2459" s="22">
        <v>40312.339583333334</v>
      </c>
      <c r="E2459" s="26">
        <v>152.608092</v>
      </c>
      <c r="G2459" s="27">
        <v>0.33958333333333335</v>
      </c>
      <c r="J2459" s="30">
        <f>IF(G2459&lt;$H$10,$H$16,IF(G2459&gt;$I$10,$H$16,$H$11))*E2459/600</f>
        <v>5.0869364E-2</v>
      </c>
      <c r="L2459" s="32">
        <f>$J2459*($G2459-$G2458)*60*24</f>
        <v>5.0869364000003886E-2</v>
      </c>
    </row>
    <row r="2460" spans="1:12">
      <c r="A2460" s="22">
        <v>40312.340277777781</v>
      </c>
      <c r="E2460" s="26">
        <v>153.36730499999999</v>
      </c>
      <c r="G2460" s="27">
        <v>0.34027777777777773</v>
      </c>
      <c r="J2460" s="30">
        <f>IF(G2460&lt;$H$10,$H$16,IF(G2460&gt;$I$10,$H$16,$H$11))*E2460/600</f>
        <v>5.1122435000000001E-2</v>
      </c>
      <c r="L2460" s="32">
        <f>$J2460*($G2460-$G2459)*60*24</f>
        <v>5.1122434999995733E-2</v>
      </c>
    </row>
    <row r="2461" spans="1:12">
      <c r="A2461" s="22">
        <v>40312.34097222222</v>
      </c>
      <c r="E2461" s="26">
        <v>153.523188</v>
      </c>
      <c r="G2461" s="27">
        <v>0.34097222222222223</v>
      </c>
      <c r="J2461" s="30">
        <f>IF(G2461&lt;$H$10,$H$16,IF(G2461&gt;$I$10,$H$16,$H$11))*E2461/600</f>
        <v>5.1174396000000004E-2</v>
      </c>
      <c r="L2461" s="32">
        <f>$J2461*($G2461-$G2460)*60*24</f>
        <v>5.1174396000003911E-2</v>
      </c>
    </row>
    <row r="2462" spans="1:12">
      <c r="A2462" s="22">
        <v>40312.341666666667</v>
      </c>
      <c r="E2462" s="26">
        <v>153.67524900000001</v>
      </c>
      <c r="G2462" s="27">
        <v>0.34166666666666662</v>
      </c>
      <c r="J2462" s="30">
        <f>IF(G2462&lt;$H$10,$H$16,IF(G2462&gt;$I$10,$H$16,$H$11))*E2462/600</f>
        <v>5.1225083000000005E-2</v>
      </c>
      <c r="L2462" s="32">
        <f>$J2462*($G2462-$G2461)*60*24</f>
        <v>5.122508299999573E-2</v>
      </c>
    </row>
    <row r="2463" spans="1:12">
      <c r="A2463" s="22">
        <v>40312.342361111114</v>
      </c>
      <c r="E2463" s="26">
        <v>153.75578400000001</v>
      </c>
      <c r="G2463" s="27">
        <v>0.34236111111111112</v>
      </c>
      <c r="J2463" s="30">
        <f>IF(G2463&lt;$H$10,$H$16,IF(G2463&gt;$I$10,$H$16,$H$11))*E2463/600</f>
        <v>5.1251928000000009E-2</v>
      </c>
      <c r="L2463" s="32">
        <f>$J2463*($G2463-$G2462)*60*24</f>
        <v>5.125192800000393E-2</v>
      </c>
    </row>
    <row r="2464" spans="1:12">
      <c r="A2464" s="22">
        <v>40312.343055555553</v>
      </c>
      <c r="E2464" s="26">
        <v>153.11396099999999</v>
      </c>
      <c r="G2464" s="27">
        <v>0.3430555555555555</v>
      </c>
      <c r="J2464" s="30">
        <f>IF(G2464&lt;$H$10,$H$16,IF(G2464&gt;$I$10,$H$16,$H$11))*E2464/600</f>
        <v>5.1037987E-2</v>
      </c>
      <c r="L2464" s="32">
        <f>$J2464*($G2464-$G2463)*60*24</f>
        <v>5.1037986999995733E-2</v>
      </c>
    </row>
    <row r="2465" spans="1:12">
      <c r="A2465" s="22">
        <v>40312.34375</v>
      </c>
      <c r="E2465" s="26">
        <v>152.89911000000001</v>
      </c>
      <c r="G2465" s="27">
        <v>0.34375</v>
      </c>
      <c r="J2465" s="30">
        <f>IF(G2465&lt;$H$10,$H$16,IF(G2465&gt;$I$10,$H$16,$H$11))*E2465/600</f>
        <v>5.0966370000000004E-2</v>
      </c>
      <c r="L2465" s="32">
        <f>$J2465*($G2465-$G2464)*60*24</f>
        <v>5.0966370000003897E-2</v>
      </c>
    </row>
    <row r="2466" spans="1:12">
      <c r="A2466" s="22">
        <v>40312.344444444447</v>
      </c>
      <c r="E2466" s="26">
        <v>153.79879199999999</v>
      </c>
      <c r="G2466" s="27">
        <v>0.3444444444444445</v>
      </c>
      <c r="J2466" s="30">
        <f>IF(G2466&lt;$H$10,$H$16,IF(G2466&gt;$I$10,$H$16,$H$11))*E2466/600</f>
        <v>5.1266263999999999E-2</v>
      </c>
      <c r="L2466" s="32">
        <f>$J2466*($G2466-$G2465)*60*24</f>
        <v>5.1266264000003919E-2</v>
      </c>
    </row>
    <row r="2467" spans="1:12">
      <c r="A2467" s="22">
        <v>40312.345138888886</v>
      </c>
      <c r="E2467" s="26">
        <v>153.93955199999999</v>
      </c>
      <c r="G2467" s="27">
        <v>0.34513888888888888</v>
      </c>
      <c r="J2467" s="30">
        <f>IF(G2467&lt;$H$10,$H$16,IF(G2467&gt;$I$10,$H$16,$H$11))*E2467/600</f>
        <v>5.1313184000000005E-2</v>
      </c>
      <c r="L2467" s="32">
        <f>$J2467*($G2467-$G2466)*60*24</f>
        <v>5.1313183999995716E-2</v>
      </c>
    </row>
    <row r="2468" spans="1:12">
      <c r="A2468" s="22">
        <v>40312.345833333333</v>
      </c>
      <c r="E2468" s="26">
        <v>154.62789599999999</v>
      </c>
      <c r="G2468" s="27">
        <v>0.34583333333333338</v>
      </c>
      <c r="J2468" s="30">
        <f>IF(G2468&lt;$H$10,$H$16,IF(G2468&gt;$I$10,$H$16,$H$11))*E2468/600</f>
        <v>5.1542632000000005E-2</v>
      </c>
      <c r="L2468" s="32">
        <f>$J2468*($G2468-$G2467)*60*24</f>
        <v>5.1542632000003932E-2</v>
      </c>
    </row>
    <row r="2469" spans="1:12">
      <c r="A2469" s="22">
        <v>40312.34652777778</v>
      </c>
      <c r="E2469" s="26">
        <v>153.80376000000001</v>
      </c>
      <c r="G2469" s="27">
        <v>0.34652777777777777</v>
      </c>
      <c r="J2469" s="30">
        <f>IF(G2469&lt;$H$10,$H$16,IF(G2469&gt;$I$10,$H$16,$H$11))*E2469/600</f>
        <v>5.1267920000000008E-2</v>
      </c>
      <c r="L2469" s="32">
        <f>$J2469*($G2469-$G2468)*60*24</f>
        <v>5.1267919999995727E-2</v>
      </c>
    </row>
    <row r="2470" spans="1:12">
      <c r="A2470" s="22">
        <v>40312.347222222219</v>
      </c>
      <c r="E2470" s="26">
        <v>153.66226399999999</v>
      </c>
      <c r="G2470" s="27">
        <v>0.34722222222222227</v>
      </c>
      <c r="J2470" s="30">
        <f>IF(G2470&lt;$H$10,$H$16,IF(G2470&gt;$I$10,$H$16,$H$11))*E2470/600</f>
        <v>5.1220754666666667E-2</v>
      </c>
      <c r="L2470" s="32">
        <f>$J2470*($G2470-$G2469)*60*24</f>
        <v>5.122075466667058E-2</v>
      </c>
    </row>
    <row r="2471" spans="1:12">
      <c r="A2471" s="22">
        <v>40312.347916666666</v>
      </c>
      <c r="E2471" s="26">
        <v>154.35391999999999</v>
      </c>
      <c r="G2471" s="27">
        <v>0.34791666666666665</v>
      </c>
      <c r="J2471" s="30">
        <f>IF(G2471&lt;$H$10,$H$16,IF(G2471&gt;$I$10,$H$16,$H$11))*E2471/600</f>
        <v>5.1451306666666669E-2</v>
      </c>
      <c r="L2471" s="32">
        <f>$J2471*($G2471-$G2470)*60*24</f>
        <v>5.145130666666238E-2</v>
      </c>
    </row>
    <row r="2472" spans="1:12">
      <c r="A2472" s="22">
        <v>40312.348611111112</v>
      </c>
      <c r="E2472" s="26">
        <v>153.93697599999999</v>
      </c>
      <c r="G2472" s="27">
        <v>0.34861111111111115</v>
      </c>
      <c r="J2472" s="30">
        <f>IF(G2472&lt;$H$10,$H$16,IF(G2472&gt;$I$10,$H$16,$H$11))*E2472/600</f>
        <v>5.1312325333333332E-2</v>
      </c>
      <c r="L2472" s="32">
        <f>$J2472*($G2472-$G2471)*60*24</f>
        <v>5.1312325333337253E-2</v>
      </c>
    </row>
    <row r="2473" spans="1:12">
      <c r="A2473" s="22">
        <v>40312.349305555559</v>
      </c>
      <c r="E2473" s="26">
        <v>153.11099999999999</v>
      </c>
      <c r="G2473" s="27">
        <v>0.34930555555555554</v>
      </c>
      <c r="J2473" s="30">
        <f>IF(G2473&lt;$H$10,$H$16,IF(G2473&gt;$I$10,$H$16,$H$11))*E2473/600</f>
        <v>5.1036999999999999E-2</v>
      </c>
      <c r="L2473" s="32">
        <f>$J2473*($G2473-$G2472)*60*24</f>
        <v>5.1036999999995739E-2</v>
      </c>
    </row>
    <row r="2474" spans="1:12">
      <c r="A2474" s="22">
        <v>40312.35</v>
      </c>
      <c r="E2474" s="26">
        <v>153.98288400000001</v>
      </c>
      <c r="G2474" s="27">
        <v>0.35000000000000003</v>
      </c>
      <c r="J2474" s="30">
        <f>IF(G2474&lt;$H$10,$H$16,IF(G2474&gt;$I$10,$H$16,$H$11))*E2474/600</f>
        <v>5.1327628000000007E-2</v>
      </c>
      <c r="L2474" s="32">
        <f>$J2474*($G2474-$G2473)*60*24</f>
        <v>5.1327628000003928E-2</v>
      </c>
    </row>
    <row r="2475" spans="1:12">
      <c r="A2475" s="22">
        <v>40312.350694444445</v>
      </c>
      <c r="E2475" s="26">
        <v>155.89878400000001</v>
      </c>
      <c r="G2475" s="27">
        <v>0.35069444444444442</v>
      </c>
      <c r="J2475" s="30">
        <f>IF(G2475&lt;$H$10,$H$16,IF(G2475&gt;$I$10,$H$16,$H$11))*E2475/600</f>
        <v>5.196626133333334E-2</v>
      </c>
      <c r="L2475" s="32">
        <f>$J2475*($G2475-$G2474)*60*24</f>
        <v>5.196626133332901E-2</v>
      </c>
    </row>
    <row r="2476" spans="1:12">
      <c r="A2476" s="22">
        <v>40312.351388888892</v>
      </c>
      <c r="E2476" s="26">
        <v>153.16454400000001</v>
      </c>
      <c r="G2476" s="27">
        <v>0.35138888888888892</v>
      </c>
      <c r="J2476" s="30">
        <f>IF(G2476&lt;$H$10,$H$16,IF(G2476&gt;$I$10,$H$16,$H$11))*E2476/600</f>
        <v>5.1054848000000007E-2</v>
      </c>
      <c r="L2476" s="32">
        <f>$J2476*($G2476-$G2475)*60*24</f>
        <v>5.10548480000039E-2</v>
      </c>
    </row>
    <row r="2477" spans="1:12">
      <c r="A2477" s="22">
        <v>40312.352083333331</v>
      </c>
      <c r="E2477" s="26">
        <v>153.048348</v>
      </c>
      <c r="G2477" s="27">
        <v>0.3520833333333333</v>
      </c>
      <c r="J2477" s="30">
        <f>IF(G2477&lt;$H$10,$H$16,IF(G2477&gt;$I$10,$H$16,$H$11))*E2477/600</f>
        <v>5.1016116000000007E-2</v>
      </c>
      <c r="L2477" s="32">
        <f>$J2477*($G2477-$G2476)*60*24</f>
        <v>5.1016115999995747E-2</v>
      </c>
    </row>
    <row r="2478" spans="1:12">
      <c r="A2478" s="22">
        <v>40312.352777777778</v>
      </c>
      <c r="E2478" s="26">
        <v>153.50659999999999</v>
      </c>
      <c r="G2478" s="27">
        <v>0.3527777777777778</v>
      </c>
      <c r="J2478" s="30">
        <f>IF(G2478&lt;$H$10,$H$16,IF(G2478&gt;$I$10,$H$16,$H$11))*E2478/600</f>
        <v>5.1168866666666667E-2</v>
      </c>
      <c r="L2478" s="32">
        <f>$J2478*($G2478-$G2477)*60*24</f>
        <v>5.116886666667058E-2</v>
      </c>
    </row>
    <row r="2479" spans="1:12">
      <c r="A2479" s="22">
        <v>40312.353472222225</v>
      </c>
      <c r="E2479" s="26">
        <v>154.35300000000001</v>
      </c>
      <c r="G2479" s="27">
        <v>0.35347222222222219</v>
      </c>
      <c r="J2479" s="30">
        <f>IF(G2479&lt;$H$10,$H$16,IF(G2479&gt;$I$10,$H$16,$H$11))*E2479/600</f>
        <v>5.1451000000000004E-2</v>
      </c>
      <c r="L2479" s="32">
        <f>$J2479*($G2479-$G2478)*60*24</f>
        <v>5.1450999999995702E-2</v>
      </c>
    </row>
    <row r="2480" spans="1:12">
      <c r="A2480" s="22">
        <v>40312.354166666664</v>
      </c>
      <c r="E2480" s="26">
        <v>153.87303600000001</v>
      </c>
      <c r="G2480" s="27">
        <v>0.35416666666666669</v>
      </c>
      <c r="J2480" s="30">
        <f>IF(G2480&lt;$H$10,$H$16,IF(G2480&gt;$I$10,$H$16,$H$11))*E2480/600</f>
        <v>5.6420113200000004E-2</v>
      </c>
      <c r="L2480" s="32">
        <f>$J2480*($G2480-$G2479)*60*24</f>
        <v>5.6420113200004306E-2</v>
      </c>
    </row>
    <row r="2481" spans="1:12">
      <c r="A2481" s="22">
        <v>40312.354861111111</v>
      </c>
      <c r="E2481" s="26">
        <v>153.322048</v>
      </c>
      <c r="G2481" s="27">
        <v>0.35486111111111113</v>
      </c>
      <c r="J2481" s="30">
        <f>IF(G2481&lt;$H$10,$H$16,IF(G2481&gt;$I$10,$H$16,$H$11))*E2481/600</f>
        <v>5.6218084266666669E-2</v>
      </c>
      <c r="L2481" s="32">
        <f>$J2481*($G2481-$G2480)*60*24</f>
        <v>5.6218084266666468E-2</v>
      </c>
    </row>
    <row r="2482" spans="1:12">
      <c r="A2482" s="22">
        <v>40312.355555555558</v>
      </c>
      <c r="E2482" s="26">
        <v>153.184416</v>
      </c>
      <c r="G2482" s="27">
        <v>0.35555555555555557</v>
      </c>
      <c r="J2482" s="30">
        <f>IF(G2482&lt;$H$10,$H$16,IF(G2482&gt;$I$10,$H$16,$H$11))*E2482/600</f>
        <v>5.6167619199999998E-2</v>
      </c>
      <c r="L2482" s="32">
        <f>$J2482*($G2482-$G2481)*60*24</f>
        <v>5.6167619199999796E-2</v>
      </c>
    </row>
    <row r="2483" spans="1:12">
      <c r="A2483" s="22">
        <v>40312.356249999997</v>
      </c>
      <c r="E2483" s="26">
        <v>153.39196799999999</v>
      </c>
      <c r="G2483" s="27">
        <v>0.35625000000000001</v>
      </c>
      <c r="J2483" s="30">
        <f>IF(G2483&lt;$H$10,$H$16,IF(G2483&gt;$I$10,$H$16,$H$11))*E2483/600</f>
        <v>5.6243721599999998E-2</v>
      </c>
      <c r="L2483" s="32">
        <f>$J2483*($G2483-$G2482)*60*24</f>
        <v>5.6243721599999796E-2</v>
      </c>
    </row>
    <row r="2484" spans="1:12">
      <c r="A2484" s="22">
        <v>40312.356944444444</v>
      </c>
      <c r="E2484" s="26">
        <v>153.3203</v>
      </c>
      <c r="G2484" s="27">
        <v>0.35694444444444445</v>
      </c>
      <c r="J2484" s="30">
        <f>IF(G2484&lt;$H$10,$H$16,IF(G2484&gt;$I$10,$H$16,$H$11))*E2484/600</f>
        <v>5.6217443333333332E-2</v>
      </c>
      <c r="L2484" s="32">
        <f>$J2484*($G2484-$G2483)*60*24</f>
        <v>5.6217443333333131E-2</v>
      </c>
    </row>
    <row r="2485" spans="1:12">
      <c r="A2485" s="22">
        <v>40312.357638888891</v>
      </c>
      <c r="E2485" s="26">
        <v>154.01020800000001</v>
      </c>
      <c r="G2485" s="27">
        <v>0.3576388888888889</v>
      </c>
      <c r="J2485" s="30">
        <f>IF(G2485&lt;$H$10,$H$16,IF(G2485&gt;$I$10,$H$16,$H$11))*E2485/600</f>
        <v>5.6470409600000007E-2</v>
      </c>
      <c r="L2485" s="32">
        <f>$J2485*($G2485-$G2484)*60*24</f>
        <v>5.6470409599999806E-2</v>
      </c>
    </row>
    <row r="2486" spans="1:12">
      <c r="A2486" s="22">
        <v>40312.35833333333</v>
      </c>
      <c r="E2486" s="26">
        <v>153.73052799999999</v>
      </c>
      <c r="G2486" s="27">
        <v>0.35833333333333334</v>
      </c>
      <c r="J2486" s="30">
        <f>IF(G2486&lt;$H$10,$H$16,IF(G2486&gt;$I$10,$H$16,$H$11))*E2486/600</f>
        <v>5.636786026666666E-2</v>
      </c>
      <c r="L2486" s="32">
        <f>$J2486*($G2486-$G2485)*60*24</f>
        <v>5.6367860266666459E-2</v>
      </c>
    </row>
    <row r="2487" spans="1:12">
      <c r="A2487" s="22">
        <v>40312.359027777777</v>
      </c>
      <c r="E2487" s="26">
        <v>153.664288</v>
      </c>
      <c r="G2487" s="27">
        <v>0.35902777777777778</v>
      </c>
      <c r="J2487" s="30">
        <f>IF(G2487&lt;$H$10,$H$16,IF(G2487&gt;$I$10,$H$16,$H$11))*E2487/600</f>
        <v>5.6343572266666669E-2</v>
      </c>
      <c r="L2487" s="32">
        <f>$J2487*($G2487-$G2486)*60*24</f>
        <v>5.6343572266666468E-2</v>
      </c>
    </row>
    <row r="2488" spans="1:12">
      <c r="A2488" s="22">
        <v>40312.359722222223</v>
      </c>
      <c r="E2488" s="26">
        <v>154.35208</v>
      </c>
      <c r="G2488" s="27">
        <v>0.35972222222222222</v>
      </c>
      <c r="J2488" s="30">
        <f>IF(G2488&lt;$H$10,$H$16,IF(G2488&gt;$I$10,$H$16,$H$11))*E2488/600</f>
        <v>5.659576266666666E-2</v>
      </c>
      <c r="L2488" s="32">
        <f>$J2488*($G2488-$G2487)*60*24</f>
        <v>5.6595762666666466E-2</v>
      </c>
    </row>
    <row r="2489" spans="1:12">
      <c r="A2489" s="22">
        <v>40312.36041666667</v>
      </c>
      <c r="E2489" s="26">
        <v>154.006068</v>
      </c>
      <c r="G2489" s="27">
        <v>0.36041666666666666</v>
      </c>
      <c r="J2489" s="30">
        <f>IF(G2489&lt;$H$10,$H$16,IF(G2489&gt;$I$10,$H$16,$H$11))*E2489/600</f>
        <v>5.6468891599999994E-2</v>
      </c>
      <c r="L2489" s="32">
        <f>$J2489*($G2489-$G2488)*60*24</f>
        <v>5.6468891599999793E-2</v>
      </c>
    </row>
    <row r="2490" spans="1:12">
      <c r="A2490" s="22">
        <v>40312.361111111109</v>
      </c>
      <c r="E2490" s="26">
        <v>152.32308</v>
      </c>
      <c r="G2490" s="27">
        <v>0.3611111111111111</v>
      </c>
      <c r="J2490" s="30">
        <f>IF(G2490&lt;$H$10,$H$16,IF(G2490&gt;$I$10,$H$16,$H$11))*E2490/600</f>
        <v>5.5851796000000002E-2</v>
      </c>
      <c r="L2490" s="32">
        <f>$J2490*($G2490-$G2489)*60*24</f>
        <v>5.5851795999999801E-2</v>
      </c>
    </row>
    <row r="2491" spans="1:12">
      <c r="A2491" s="22">
        <v>40312.361805555556</v>
      </c>
      <c r="E2491" s="26">
        <v>154.00800000000001</v>
      </c>
      <c r="G2491" s="27">
        <v>0.36180555555555555</v>
      </c>
      <c r="J2491" s="30">
        <f>IF(G2491&lt;$H$10,$H$16,IF(G2491&gt;$I$10,$H$16,$H$11))*E2491/600</f>
        <v>5.6469600000000002E-2</v>
      </c>
      <c r="L2491" s="32">
        <f>$J2491*($G2491-$G2490)*60*24</f>
        <v>5.6469599999999801E-2</v>
      </c>
    </row>
    <row r="2492" spans="1:12">
      <c r="A2492" s="22">
        <v>40312.362500000003</v>
      </c>
      <c r="E2492" s="26">
        <v>153.86080000000001</v>
      </c>
      <c r="G2492" s="27">
        <v>0.36249999999999999</v>
      </c>
      <c r="J2492" s="30">
        <f>IF(G2492&lt;$H$10,$H$16,IF(G2492&gt;$I$10,$H$16,$H$11))*E2492/600</f>
        <v>5.6415626666666663E-2</v>
      </c>
      <c r="L2492" s="32">
        <f>$J2492*($G2492-$G2491)*60*24</f>
        <v>5.6415626666666462E-2</v>
      </c>
    </row>
    <row r="2493" spans="1:12">
      <c r="A2493" s="22">
        <v>40312.363194444442</v>
      </c>
      <c r="E2493" s="26">
        <v>153.72463999999999</v>
      </c>
      <c r="G2493" s="27">
        <v>0.36319444444444443</v>
      </c>
      <c r="J2493" s="30">
        <f>IF(G2493&lt;$H$10,$H$16,IF(G2493&gt;$I$10,$H$16,$H$11))*E2493/600</f>
        <v>5.6365701333333323E-2</v>
      </c>
      <c r="L2493" s="32">
        <f>$J2493*($G2493-$G2492)*60*24</f>
        <v>5.6365701333333115E-2</v>
      </c>
    </row>
    <row r="2494" spans="1:12">
      <c r="A2494" s="22">
        <v>40312.363888888889</v>
      </c>
      <c r="E2494" s="26">
        <v>152.57132799999999</v>
      </c>
      <c r="G2494" s="27">
        <v>0.36388888888888887</v>
      </c>
      <c r="J2494" s="30">
        <f>IF(G2494&lt;$H$10,$H$16,IF(G2494&gt;$I$10,$H$16,$H$11))*E2494/600</f>
        <v>5.5942820266666665E-2</v>
      </c>
      <c r="L2494" s="32">
        <f>$J2494*($G2494-$G2493)*60*24</f>
        <v>5.5942820266666471E-2</v>
      </c>
    </row>
    <row r="2495" spans="1:12">
      <c r="A2495" s="22">
        <v>40312.364583333336</v>
      </c>
      <c r="E2495" s="26">
        <v>153.73522</v>
      </c>
      <c r="G2495" s="27">
        <v>0.36458333333333331</v>
      </c>
      <c r="J2495" s="30">
        <f>IF(G2495&lt;$H$10,$H$16,IF(G2495&gt;$I$10,$H$16,$H$11))*E2495/600</f>
        <v>5.6369580666666662E-2</v>
      </c>
      <c r="L2495" s="32">
        <f>$J2495*($G2495-$G2494)*60*24</f>
        <v>5.6369580666666468E-2</v>
      </c>
    </row>
    <row r="2496" spans="1:12">
      <c r="A2496" s="22">
        <v>40312.365277777775</v>
      </c>
      <c r="E2496" s="26">
        <v>154.07920799999999</v>
      </c>
      <c r="G2496" s="27">
        <v>0.36527777777777781</v>
      </c>
      <c r="J2496" s="30">
        <f>IF(G2496&lt;$H$10,$H$16,IF(G2496&gt;$I$10,$H$16,$H$11))*E2496/600</f>
        <v>5.6495709599999992E-2</v>
      </c>
      <c r="L2496" s="32">
        <f>$J2496*($G2496-$G2495)*60*24</f>
        <v>5.6495709600004308E-2</v>
      </c>
    </row>
    <row r="2497" spans="1:12">
      <c r="A2497" s="22">
        <v>40312.365972222222</v>
      </c>
      <c r="E2497" s="26">
        <v>153.94084000000001</v>
      </c>
      <c r="G2497" s="27">
        <v>0.3659722222222222</v>
      </c>
      <c r="J2497" s="30">
        <f>IF(G2497&lt;$H$10,$H$16,IF(G2497&gt;$I$10,$H$16,$H$11))*E2497/600</f>
        <v>5.6444974666666675E-2</v>
      </c>
      <c r="L2497" s="32">
        <f>$J2497*($G2497-$G2496)*60*24</f>
        <v>5.6444974666661964E-2</v>
      </c>
    </row>
    <row r="2498" spans="1:12">
      <c r="A2498" s="22">
        <v>40312.366666666669</v>
      </c>
      <c r="E2498" s="26">
        <v>154.55880400000001</v>
      </c>
      <c r="G2498" s="27">
        <v>0.3666666666666667</v>
      </c>
      <c r="J2498" s="30">
        <f>IF(G2498&lt;$H$10,$H$16,IF(G2498&gt;$I$10,$H$16,$H$11))*E2498/600</f>
        <v>5.6671561466666666E-2</v>
      </c>
      <c r="L2498" s="32">
        <f>$J2498*($G2498-$G2497)*60*24</f>
        <v>5.6671561466670996E-2</v>
      </c>
    </row>
    <row r="2499" spans="1:12">
      <c r="A2499" s="22">
        <v>40312.367361111108</v>
      </c>
      <c r="E2499" s="26">
        <v>154.48455999999999</v>
      </c>
      <c r="G2499" s="27">
        <v>0.36736111111111108</v>
      </c>
      <c r="J2499" s="30">
        <f>IF(G2499&lt;$H$10,$H$16,IF(G2499&gt;$I$10,$H$16,$H$11))*E2499/600</f>
        <v>5.6644338666666662E-2</v>
      </c>
      <c r="L2499" s="32">
        <f>$J2499*($G2499-$G2498)*60*24</f>
        <v>5.6644338666661936E-2</v>
      </c>
    </row>
    <row r="2500" spans="1:12">
      <c r="A2500" s="22">
        <v>40312.368055555555</v>
      </c>
      <c r="E2500" s="26">
        <v>154.216104</v>
      </c>
      <c r="G2500" s="27">
        <v>0.36805555555555558</v>
      </c>
      <c r="J2500" s="30">
        <f>IF(G2500&lt;$H$10,$H$16,IF(G2500&gt;$I$10,$H$16,$H$11))*E2500/600</f>
        <v>5.6545904799999998E-2</v>
      </c>
      <c r="L2500" s="32">
        <f>$J2500*($G2500-$G2499)*60*24</f>
        <v>5.6545904800004321E-2</v>
      </c>
    </row>
    <row r="2501" spans="1:12">
      <c r="A2501" s="22">
        <v>40312.368750000001</v>
      </c>
      <c r="E2501" s="26">
        <v>154.55770000000001</v>
      </c>
      <c r="G2501" s="27">
        <v>0.36874999999999997</v>
      </c>
      <c r="J2501" s="30">
        <f>IF(G2501&lt;$H$10,$H$16,IF(G2501&gt;$I$10,$H$16,$H$11))*E2501/600</f>
        <v>5.6671156666666674E-2</v>
      </c>
      <c r="L2501" s="32">
        <f>$J2501*($G2501-$G2500)*60*24</f>
        <v>5.6671156666661941E-2</v>
      </c>
    </row>
    <row r="2502" spans="1:12">
      <c r="A2502" s="22">
        <v>40312.369444444441</v>
      </c>
      <c r="E2502" s="26">
        <v>154.079024</v>
      </c>
      <c r="G2502" s="27">
        <v>0.36944444444444446</v>
      </c>
      <c r="J2502" s="30">
        <f>IF(G2502&lt;$H$10,$H$16,IF(G2502&gt;$I$10,$H$16,$H$11))*E2502/600</f>
        <v>5.6495642133333336E-2</v>
      </c>
      <c r="L2502" s="32">
        <f>$J2502*($G2502-$G2501)*60*24</f>
        <v>5.6495642133337659E-2</v>
      </c>
    </row>
    <row r="2503" spans="1:12">
      <c r="A2503" s="22">
        <v>40312.370138888888</v>
      </c>
      <c r="E2503" s="26">
        <v>153.22305600000001</v>
      </c>
      <c r="G2503" s="27">
        <v>0.37013888888888885</v>
      </c>
      <c r="J2503" s="30">
        <f>IF(G2503&lt;$H$10,$H$16,IF(G2503&gt;$I$10,$H$16,$H$11))*E2503/600</f>
        <v>5.6181787200000007E-2</v>
      </c>
      <c r="L2503" s="32">
        <f>$J2503*($G2503-$G2502)*60*24</f>
        <v>5.6181787199995316E-2</v>
      </c>
    </row>
    <row r="2504" spans="1:12">
      <c r="A2504" s="22">
        <v>40312.370833333334</v>
      </c>
      <c r="E2504" s="26">
        <v>153.519296</v>
      </c>
      <c r="G2504" s="27">
        <v>0.37083333333333335</v>
      </c>
      <c r="J2504" s="30">
        <f>IF(G2504&lt;$H$10,$H$16,IF(G2504&gt;$I$10,$H$16,$H$11))*E2504/600</f>
        <v>5.6290408533333329E-2</v>
      </c>
      <c r="L2504" s="32">
        <f>$J2504*($G2504-$G2503)*60*24</f>
        <v>5.6290408533337624E-2</v>
      </c>
    </row>
    <row r="2505" spans="1:12">
      <c r="A2505" s="22">
        <v>40312.371527777781</v>
      </c>
      <c r="E2505" s="26">
        <v>153.18</v>
      </c>
      <c r="G2505" s="27">
        <v>0.37152777777777773</v>
      </c>
      <c r="J2505" s="30">
        <f>IF(G2505&lt;$H$10,$H$16,IF(G2505&gt;$I$10,$H$16,$H$11))*E2505/600</f>
        <v>5.6166000000000008E-2</v>
      </c>
      <c r="L2505" s="32">
        <f>$J2505*($G2505-$G2504)*60*24</f>
        <v>5.6165999999995324E-2</v>
      </c>
    </row>
    <row r="2506" spans="1:12">
      <c r="A2506" s="22">
        <v>40312.37222222222</v>
      </c>
      <c r="E2506" s="26">
        <v>153.06297599999999</v>
      </c>
      <c r="G2506" s="27">
        <v>0.37222222222222223</v>
      </c>
      <c r="J2506" s="30">
        <f>IF(G2506&lt;$H$10,$H$16,IF(G2506&gt;$I$10,$H$16,$H$11))*E2506/600</f>
        <v>5.6123091200000003E-2</v>
      </c>
      <c r="L2506" s="32">
        <f>$J2506*($G2506-$G2505)*60*24</f>
        <v>5.6123091200004291E-2</v>
      </c>
    </row>
    <row r="2507" spans="1:12">
      <c r="A2507" s="22">
        <v>40312.372916666667</v>
      </c>
      <c r="E2507" s="26">
        <v>152.73619199999999</v>
      </c>
      <c r="G2507" s="27">
        <v>0.37291666666666662</v>
      </c>
      <c r="J2507" s="30">
        <f>IF(G2507&lt;$H$10,$H$16,IF(G2507&gt;$I$10,$H$16,$H$11))*E2507/600</f>
        <v>5.6003270399999999E-2</v>
      </c>
      <c r="L2507" s="32">
        <f>$J2507*($G2507-$G2506)*60*24</f>
        <v>5.6003270399995322E-2</v>
      </c>
    </row>
    <row r="2508" spans="1:12">
      <c r="A2508" s="22">
        <v>40312.373611111114</v>
      </c>
      <c r="E2508" s="26">
        <v>153.779472</v>
      </c>
      <c r="G2508" s="27">
        <v>0.37361111111111112</v>
      </c>
      <c r="J2508" s="30">
        <f>IF(G2508&lt;$H$10,$H$16,IF(G2508&gt;$I$10,$H$16,$H$11))*E2508/600</f>
        <v>5.6385806399999995E-2</v>
      </c>
      <c r="L2508" s="32">
        <f>$J2508*($G2508-$G2507)*60*24</f>
        <v>5.6385806400004304E-2</v>
      </c>
    </row>
    <row r="2509" spans="1:12">
      <c r="A2509" s="22">
        <v>40312.374305555553</v>
      </c>
      <c r="E2509" s="26">
        <v>153.18</v>
      </c>
      <c r="G2509" s="27">
        <v>0.3743055555555555</v>
      </c>
      <c r="J2509" s="30">
        <f>IF(G2509&lt;$H$10,$H$16,IF(G2509&gt;$I$10,$H$16,$H$11))*E2509/600</f>
        <v>5.6166000000000008E-2</v>
      </c>
      <c r="L2509" s="32">
        <f>$J2509*($G2509-$G2508)*60*24</f>
        <v>5.6165999999995324E-2</v>
      </c>
    </row>
    <row r="2510" spans="1:12">
      <c r="A2510" s="22">
        <v>40312.375</v>
      </c>
      <c r="E2510" s="26">
        <v>153.87</v>
      </c>
      <c r="G2510" s="27">
        <v>0.375</v>
      </c>
      <c r="J2510" s="30">
        <f>IF(G2510&lt;$H$10,$H$16,IF(G2510&gt;$I$10,$H$16,$H$11))*E2510/600</f>
        <v>5.6418999999999997E-2</v>
      </c>
      <c r="L2510" s="32">
        <f>$J2510*($G2510-$G2509)*60*24</f>
        <v>5.6419000000004299E-2</v>
      </c>
    </row>
    <row r="2511" spans="1:12">
      <c r="A2511" s="22">
        <v>40312.375694444447</v>
      </c>
      <c r="E2511" s="26">
        <v>153.595932</v>
      </c>
      <c r="G2511" s="27">
        <v>0.3756944444444445</v>
      </c>
      <c r="J2511" s="30">
        <f>IF(G2511&lt;$H$10,$H$16,IF(G2511&gt;$I$10,$H$16,$H$11))*E2511/600</f>
        <v>5.6318508399999995E-2</v>
      </c>
      <c r="L2511" s="32">
        <f>$J2511*($G2511-$G2510)*60*24</f>
        <v>5.6318508400004304E-2</v>
      </c>
    </row>
    <row r="2512" spans="1:12">
      <c r="A2512" s="22">
        <v>40312.376388888886</v>
      </c>
      <c r="E2512" s="26">
        <v>153.52849599999999</v>
      </c>
      <c r="G2512" s="27">
        <v>0.37638888888888888</v>
      </c>
      <c r="J2512" s="30">
        <f>IF(G2512&lt;$H$10,$H$16,IF(G2512&gt;$I$10,$H$16,$H$11))*E2512/600</f>
        <v>5.6293781866666656E-2</v>
      </c>
      <c r="L2512" s="32">
        <f>$J2512*($G2512-$G2511)*60*24</f>
        <v>5.6293781866661959E-2</v>
      </c>
    </row>
    <row r="2513" spans="1:12">
      <c r="A2513" s="22">
        <v>40312.377083333333</v>
      </c>
      <c r="E2513" s="26">
        <v>153.253232</v>
      </c>
      <c r="G2513" s="27">
        <v>0.37708333333333338</v>
      </c>
      <c r="J2513" s="30">
        <f>IF(G2513&lt;$H$10,$H$16,IF(G2513&gt;$I$10,$H$16,$H$11))*E2513/600</f>
        <v>5.6192851733333334E-2</v>
      </c>
      <c r="L2513" s="32">
        <f>$J2513*($G2513-$G2512)*60*24</f>
        <v>5.6192851733337615E-2</v>
      </c>
    </row>
    <row r="2514" spans="1:12">
      <c r="A2514" s="22">
        <v>40312.37777777778</v>
      </c>
      <c r="E2514" s="26">
        <v>152.84512000000001</v>
      </c>
      <c r="G2514" s="27">
        <v>0.37777777777777777</v>
      </c>
      <c r="J2514" s="30">
        <f>IF(G2514&lt;$H$10,$H$16,IF(G2514&gt;$I$10,$H$16,$H$11))*E2514/600</f>
        <v>5.6043210666666676E-2</v>
      </c>
      <c r="L2514" s="32">
        <f>$J2514*($G2514-$G2513)*60*24</f>
        <v>5.6043210666661999E-2</v>
      </c>
    </row>
    <row r="2515" spans="1:12">
      <c r="A2515" s="22">
        <v>40312.378472222219</v>
      </c>
      <c r="E2515" s="26">
        <v>153.59814</v>
      </c>
      <c r="G2515" s="27">
        <v>0.37847222222222227</v>
      </c>
      <c r="J2515" s="30">
        <f>IF(G2515&lt;$H$10,$H$16,IF(G2515&gt;$I$10,$H$16,$H$11))*E2515/600</f>
        <v>5.6319318E-2</v>
      </c>
      <c r="L2515" s="32">
        <f>$J2515*($G2515-$G2514)*60*24</f>
        <v>5.6319318000004302E-2</v>
      </c>
    </row>
    <row r="2516" spans="1:12">
      <c r="A2516" s="22">
        <v>40312.379166666666</v>
      </c>
      <c r="E2516" s="26">
        <v>153.45811599999999</v>
      </c>
      <c r="G2516" s="27">
        <v>0.37916666666666665</v>
      </c>
      <c r="J2516" s="30">
        <f>IF(G2516&lt;$H$10,$H$16,IF(G2516&gt;$I$10,$H$16,$H$11))*E2516/600</f>
        <v>5.6267975866666667E-2</v>
      </c>
      <c r="L2516" s="32">
        <f>$J2516*($G2516-$G2515)*60*24</f>
        <v>5.6267975866661969E-2</v>
      </c>
    </row>
    <row r="2517" spans="1:12">
      <c r="A2517" s="22">
        <v>40312.379861111112</v>
      </c>
      <c r="E2517" s="26">
        <v>153.871104</v>
      </c>
      <c r="G2517" s="27">
        <v>0.37986111111111115</v>
      </c>
      <c r="J2517" s="30">
        <f>IF(G2517&lt;$H$10,$H$16,IF(G2517&gt;$I$10,$H$16,$H$11))*E2517/600</f>
        <v>5.6419404800000003E-2</v>
      </c>
      <c r="L2517" s="32">
        <f>$J2517*($G2517-$G2516)*60*24</f>
        <v>5.6419404800004312E-2</v>
      </c>
    </row>
    <row r="2518" spans="1:12">
      <c r="A2518" s="22">
        <v>40312.380555555559</v>
      </c>
      <c r="E2518" s="26">
        <v>152.877725</v>
      </c>
      <c r="G2518" s="27">
        <v>0.38055555555555554</v>
      </c>
      <c r="J2518" s="30">
        <f>IF(G2518&lt;$H$10,$H$16,IF(G2518&gt;$I$10,$H$16,$H$11))*E2518/600</f>
        <v>5.6055165833333337E-2</v>
      </c>
      <c r="L2518" s="32">
        <f>$J2518*($G2518-$G2517)*60*24</f>
        <v>5.605516583332866E-2</v>
      </c>
    </row>
    <row r="2519" spans="1:12">
      <c r="A2519" s="22">
        <v>40312.381249999999</v>
      </c>
      <c r="E2519" s="26">
        <v>154.17675</v>
      </c>
      <c r="G2519" s="27">
        <v>0.38125000000000003</v>
      </c>
      <c r="J2519" s="30">
        <f>IF(G2519&lt;$H$10,$H$16,IF(G2519&gt;$I$10,$H$16,$H$11))*E2519/600</f>
        <v>5.6531475000000005E-2</v>
      </c>
      <c r="L2519" s="32">
        <f>$J2519*($G2519-$G2518)*60*24</f>
        <v>5.6531475000004328E-2</v>
      </c>
    </row>
    <row r="2520" spans="1:12">
      <c r="A2520" s="22">
        <v>40312.381944444445</v>
      </c>
      <c r="E2520" s="26">
        <v>152.45348300000001</v>
      </c>
      <c r="G2520" s="27">
        <v>0.38194444444444442</v>
      </c>
      <c r="J2520" s="30">
        <f>IF(G2520&lt;$H$10,$H$16,IF(G2520&gt;$I$10,$H$16,$H$11))*E2520/600</f>
        <v>5.5899610433333337E-2</v>
      </c>
      <c r="L2520" s="32">
        <f>$J2520*($G2520-$G2519)*60*24</f>
        <v>5.5899610433328667E-2</v>
      </c>
    </row>
    <row r="2521" spans="1:12">
      <c r="A2521" s="22">
        <v>40312.382638888892</v>
      </c>
      <c r="E2521" s="26">
        <v>153.52573599999999</v>
      </c>
      <c r="G2521" s="27">
        <v>0.38263888888888892</v>
      </c>
      <c r="J2521" s="30">
        <f>IF(G2521&lt;$H$10,$H$16,IF(G2521&gt;$I$10,$H$16,$H$11))*E2521/600</f>
        <v>5.6292769866666661E-2</v>
      </c>
      <c r="L2521" s="32">
        <f>$J2521*($G2521-$G2520)*60*24</f>
        <v>5.6292769866670964E-2</v>
      </c>
    </row>
    <row r="2522" spans="1:12">
      <c r="A2522" s="22">
        <v>40312.383333333331</v>
      </c>
      <c r="E2522" s="26">
        <v>153.39251999999999</v>
      </c>
      <c r="G2522" s="27">
        <v>0.3833333333333333</v>
      </c>
      <c r="J2522" s="30">
        <f>IF(G2522&lt;$H$10,$H$16,IF(G2522&gt;$I$10,$H$16,$H$11))*E2522/600</f>
        <v>5.6243924000000001E-2</v>
      </c>
      <c r="L2522" s="32">
        <f>$J2522*($G2522-$G2521)*60*24</f>
        <v>5.624392399999531E-2</v>
      </c>
    </row>
    <row r="2523" spans="1:12">
      <c r="A2523" s="22">
        <v>40312.384027777778</v>
      </c>
      <c r="E2523" s="26">
        <v>153.732</v>
      </c>
      <c r="G2523" s="27">
        <v>0.3840277777777778</v>
      </c>
      <c r="J2523" s="30">
        <f>IF(G2523&lt;$H$10,$H$16,IF(G2523&gt;$I$10,$H$16,$H$11))*E2523/600</f>
        <v>5.6368400000000006E-2</v>
      </c>
      <c r="L2523" s="32">
        <f>$J2523*($G2523-$G2522)*60*24</f>
        <v>5.6368400000004315E-2</v>
      </c>
    </row>
    <row r="2524" spans="1:12">
      <c r="A2524" s="22">
        <v>40312.384722222225</v>
      </c>
      <c r="E2524" s="26">
        <v>153.723444</v>
      </c>
      <c r="G2524" s="27">
        <v>0.38472222222222219</v>
      </c>
      <c r="J2524" s="30">
        <f>IF(G2524&lt;$H$10,$H$16,IF(G2524&gt;$I$10,$H$16,$H$11))*E2524/600</f>
        <v>5.6365262800000003E-2</v>
      </c>
      <c r="L2524" s="32">
        <f>$J2524*($G2524-$G2523)*60*24</f>
        <v>5.6365262799995298E-2</v>
      </c>
    </row>
    <row r="2525" spans="1:12">
      <c r="A2525" s="22">
        <v>40312.385416666664</v>
      </c>
      <c r="E2525" s="26">
        <v>153.25626800000001</v>
      </c>
      <c r="G2525" s="27">
        <v>0.38541666666666669</v>
      </c>
      <c r="J2525" s="30">
        <f>IF(G2525&lt;$H$10,$H$16,IF(G2525&gt;$I$10,$H$16,$H$11))*E2525/600</f>
        <v>5.6193964933333333E-2</v>
      </c>
      <c r="L2525" s="32">
        <f>$J2525*($G2525-$G2524)*60*24</f>
        <v>5.6193964933337621E-2</v>
      </c>
    </row>
    <row r="2526" spans="1:12">
      <c r="A2526" s="22">
        <v>40312.386111111111</v>
      </c>
      <c r="E2526" s="26">
        <v>153.746352</v>
      </c>
      <c r="G2526" s="27">
        <v>0.38611111111111113</v>
      </c>
      <c r="J2526" s="30">
        <f>IF(G2526&lt;$H$10,$H$16,IF(G2526&gt;$I$10,$H$16,$H$11))*E2526/600</f>
        <v>5.6373662399999996E-2</v>
      </c>
      <c r="L2526" s="32">
        <f>$J2526*($G2526-$G2525)*60*24</f>
        <v>5.6373662399999795E-2</v>
      </c>
    </row>
    <row r="2527" spans="1:12">
      <c r="A2527" s="22">
        <v>40312.386805555558</v>
      </c>
      <c r="E2527" s="26">
        <v>153.907352</v>
      </c>
      <c r="G2527" s="27">
        <v>0.38680555555555557</v>
      </c>
      <c r="J2527" s="30">
        <f>IF(G2527&lt;$H$10,$H$16,IF(G2527&gt;$I$10,$H$16,$H$11))*E2527/600</f>
        <v>5.6432695733333336E-2</v>
      </c>
      <c r="L2527" s="32">
        <f>$J2527*($G2527-$G2526)*60*24</f>
        <v>5.6432695733333135E-2</v>
      </c>
    </row>
    <row r="2528" spans="1:12">
      <c r="A2528" s="22">
        <v>40312.387499999997</v>
      </c>
      <c r="E2528" s="26">
        <v>154.491736</v>
      </c>
      <c r="G2528" s="27">
        <v>0.38750000000000001</v>
      </c>
      <c r="J2528" s="30">
        <f>IF(G2528&lt;$H$10,$H$16,IF(G2528&gt;$I$10,$H$16,$H$11))*E2528/600</f>
        <v>5.6646969866666667E-2</v>
      </c>
      <c r="L2528" s="32">
        <f>$J2528*($G2528-$G2527)*60*24</f>
        <v>5.6646969866666466E-2</v>
      </c>
    </row>
    <row r="2529" spans="1:12">
      <c r="A2529" s="22">
        <v>40312.388194444444</v>
      </c>
      <c r="E2529" s="26">
        <v>152.11286999999999</v>
      </c>
      <c r="G2529" s="27">
        <v>0.38819444444444445</v>
      </c>
      <c r="J2529" s="30">
        <f>IF(G2529&lt;$H$10,$H$16,IF(G2529&gt;$I$10,$H$16,$H$11))*E2529/600</f>
        <v>5.5774718999999993E-2</v>
      </c>
      <c r="L2529" s="32">
        <f>$J2529*($G2529-$G2528)*60*24</f>
        <v>5.5774718999999806E-2</v>
      </c>
    </row>
    <row r="2530" spans="1:12">
      <c r="A2530" s="22">
        <v>40312.388888888891</v>
      </c>
      <c r="E2530" s="26">
        <v>152.74131600000001</v>
      </c>
      <c r="G2530" s="27">
        <v>0.3888888888888889</v>
      </c>
      <c r="J2530" s="30">
        <f>IF(G2530&lt;$H$10,$H$16,IF(G2530&gt;$I$10,$H$16,$H$11))*E2530/600</f>
        <v>5.6005149200000007E-2</v>
      </c>
      <c r="L2530" s="32">
        <f>$J2530*($G2530-$G2529)*60*24</f>
        <v>5.6005149199999812E-2</v>
      </c>
    </row>
    <row r="2531" spans="1:12">
      <c r="A2531" s="22">
        <v>40312.38958333333</v>
      </c>
      <c r="E2531" s="26">
        <v>152.45685</v>
      </c>
      <c r="G2531" s="27">
        <v>0.38958333333333334</v>
      </c>
      <c r="J2531" s="30">
        <f>IF(G2531&lt;$H$10,$H$16,IF(G2531&gt;$I$10,$H$16,$H$11))*E2531/600</f>
        <v>5.5900844999999998E-2</v>
      </c>
      <c r="L2531" s="32">
        <f>$J2531*($G2531-$G2530)*60*24</f>
        <v>5.5900844999999796E-2</v>
      </c>
    </row>
    <row r="2532" spans="1:12">
      <c r="A2532" s="22">
        <v>40312.390277777777</v>
      </c>
      <c r="E2532" s="26">
        <v>152.599174</v>
      </c>
      <c r="G2532" s="27">
        <v>0.39027777777777778</v>
      </c>
      <c r="J2532" s="30">
        <f>IF(G2532&lt;$H$10,$H$16,IF(G2532&gt;$I$10,$H$16,$H$11))*E2532/600</f>
        <v>5.5953030466666671E-2</v>
      </c>
      <c r="L2532" s="32">
        <f>$J2532*($G2532-$G2531)*60*24</f>
        <v>5.595303046666647E-2</v>
      </c>
    </row>
    <row r="2533" spans="1:12">
      <c r="A2533" s="22">
        <v>40312.390972222223</v>
      </c>
      <c r="E2533" s="26">
        <v>152.53265300000001</v>
      </c>
      <c r="G2533" s="27">
        <v>0.39097222222222222</v>
      </c>
      <c r="J2533" s="30">
        <f>IF(G2533&lt;$H$10,$H$16,IF(G2533&gt;$I$10,$H$16,$H$11))*E2533/600</f>
        <v>5.592863943333333E-2</v>
      </c>
      <c r="L2533" s="32">
        <f>$J2533*($G2533-$G2532)*60*24</f>
        <v>5.5928639433333135E-2</v>
      </c>
    </row>
    <row r="2534" spans="1:12">
      <c r="A2534" s="22">
        <v>40312.39166666667</v>
      </c>
      <c r="E2534" s="26">
        <v>152.93177900000001</v>
      </c>
      <c r="G2534" s="27">
        <v>0.39166666666666666</v>
      </c>
      <c r="J2534" s="30">
        <f>IF(G2534&lt;$H$10,$H$16,IF(G2534&gt;$I$10,$H$16,$H$11))*E2534/600</f>
        <v>5.6074985633333331E-2</v>
      </c>
      <c r="L2534" s="32">
        <f>$J2534*($G2534-$G2533)*60*24</f>
        <v>5.6074985633333144E-2</v>
      </c>
    </row>
    <row r="2535" spans="1:12">
      <c r="A2535" s="22">
        <v>40312.392361111109</v>
      </c>
      <c r="E2535" s="26">
        <v>152.029605</v>
      </c>
      <c r="G2535" s="27">
        <v>0.3923611111111111</v>
      </c>
      <c r="J2535" s="30">
        <f>IF(G2535&lt;$H$10,$H$16,IF(G2535&gt;$I$10,$H$16,$H$11))*E2535/600</f>
        <v>5.5744188500000007E-2</v>
      </c>
      <c r="L2535" s="32">
        <f>$J2535*($G2535-$G2534)*60*24</f>
        <v>5.5744188499999812E-2</v>
      </c>
    </row>
    <row r="2536" spans="1:12">
      <c r="A2536" s="22">
        <v>40312.393055555556</v>
      </c>
      <c r="E2536" s="26">
        <v>152.23025999999999</v>
      </c>
      <c r="G2536" s="27">
        <v>0.39305555555555555</v>
      </c>
      <c r="J2536" s="30">
        <f>IF(G2536&lt;$H$10,$H$16,IF(G2536&gt;$I$10,$H$16,$H$11))*E2536/600</f>
        <v>5.5817761999999993E-2</v>
      </c>
      <c r="L2536" s="32">
        <f>$J2536*($G2536-$G2535)*60*24</f>
        <v>5.5817761999999799E-2</v>
      </c>
    </row>
    <row r="2537" spans="1:12">
      <c r="A2537" s="22">
        <v>40312.393750000003</v>
      </c>
      <c r="E2537" s="26">
        <v>152.646039</v>
      </c>
      <c r="G2537" s="27">
        <v>0.39374999999999999</v>
      </c>
      <c r="J2537" s="30">
        <f>IF(G2537&lt;$H$10,$H$16,IF(G2537&gt;$I$10,$H$16,$H$11))*E2537/600</f>
        <v>5.5970214300000001E-2</v>
      </c>
      <c r="L2537" s="32">
        <f>$J2537*($G2537-$G2536)*60*24</f>
        <v>5.5970214299999807E-2</v>
      </c>
    </row>
    <row r="2538" spans="1:12">
      <c r="A2538" s="22">
        <v>40312.394444444442</v>
      </c>
      <c r="E2538" s="26">
        <v>153.616736</v>
      </c>
      <c r="G2538" s="27">
        <v>0.39444444444444443</v>
      </c>
      <c r="J2538" s="30">
        <f>IF(G2538&lt;$H$10,$H$16,IF(G2538&gt;$I$10,$H$16,$H$11))*E2538/600</f>
        <v>5.6326136533333335E-2</v>
      </c>
      <c r="L2538" s="32">
        <f>$J2538*($G2538-$G2537)*60*24</f>
        <v>5.6326136533333133E-2</v>
      </c>
    </row>
    <row r="2539" spans="1:12">
      <c r="A2539" s="22">
        <v>40312.395138888889</v>
      </c>
      <c r="E2539" s="26">
        <v>152.386234</v>
      </c>
      <c r="G2539" s="27">
        <v>0.39513888888888887</v>
      </c>
      <c r="J2539" s="30">
        <f>IF(G2539&lt;$H$10,$H$16,IF(G2539&gt;$I$10,$H$16,$H$11))*E2539/600</f>
        <v>5.5874952466666662E-2</v>
      </c>
      <c r="L2539" s="32">
        <f>$J2539*($G2539-$G2538)*60*24</f>
        <v>5.5874952466666468E-2</v>
      </c>
    </row>
    <row r="2540" spans="1:12">
      <c r="A2540" s="22">
        <v>40312.395833333336</v>
      </c>
      <c r="E2540" s="26">
        <v>153.20323200000001</v>
      </c>
      <c r="G2540" s="27">
        <v>0.39583333333333331</v>
      </c>
      <c r="J2540" s="30">
        <f>IF(G2540&lt;$H$10,$H$16,IF(G2540&gt;$I$10,$H$16,$H$11))*E2540/600</f>
        <v>5.6174518400000012E-2</v>
      </c>
      <c r="L2540" s="32">
        <f>$J2540*($G2540-$G2539)*60*24</f>
        <v>5.6174518399999818E-2</v>
      </c>
    </row>
    <row r="2541" spans="1:12">
      <c r="A2541" s="22">
        <v>40312.396527777775</v>
      </c>
      <c r="E2541" s="26">
        <v>152.57742500000001</v>
      </c>
      <c r="G2541" s="27">
        <v>0.39652777777777781</v>
      </c>
      <c r="J2541" s="30">
        <f>IF(G2541&lt;$H$10,$H$16,IF(G2541&gt;$I$10,$H$16,$H$11))*E2541/600</f>
        <v>5.5945055833333333E-2</v>
      </c>
      <c r="L2541" s="32">
        <f>$J2541*($G2541-$G2540)*60*24</f>
        <v>5.5945055833337608E-2</v>
      </c>
    </row>
    <row r="2542" spans="1:12">
      <c r="A2542" s="22">
        <v>40312.397222222222</v>
      </c>
      <c r="E2542" s="26">
        <v>152.12706600000001</v>
      </c>
      <c r="G2542" s="27">
        <v>0.3972222222222222</v>
      </c>
      <c r="J2542" s="30">
        <f>IF(G2542&lt;$H$10,$H$16,IF(G2542&gt;$I$10,$H$16,$H$11))*E2542/600</f>
        <v>5.5779924200000011E-2</v>
      </c>
      <c r="L2542" s="32">
        <f>$J2542*($G2542-$G2541)*60*24</f>
        <v>5.5779924199995348E-2</v>
      </c>
    </row>
    <row r="2543" spans="1:12">
      <c r="A2543" s="22">
        <v>40312.397916666669</v>
      </c>
      <c r="E2543" s="26">
        <v>154.28501199999999</v>
      </c>
      <c r="G2543" s="27">
        <v>0.3979166666666667</v>
      </c>
      <c r="J2543" s="30">
        <f>IF(G2543&lt;$H$10,$H$16,IF(G2543&gt;$I$10,$H$16,$H$11))*E2543/600</f>
        <v>5.6571171066666669E-2</v>
      </c>
      <c r="L2543" s="32">
        <f>$J2543*($G2543-$G2542)*60*24</f>
        <v>5.6571171066670992E-2</v>
      </c>
    </row>
    <row r="2544" spans="1:12">
      <c r="A2544" s="22">
        <v>40312.398611111108</v>
      </c>
      <c r="E2544" s="26">
        <v>153.44633999999999</v>
      </c>
      <c r="G2544" s="27">
        <v>0.39861111111111108</v>
      </c>
      <c r="J2544" s="30">
        <f>IF(G2544&lt;$H$10,$H$16,IF(G2544&gt;$I$10,$H$16,$H$11))*E2544/600</f>
        <v>5.6263657999999994E-2</v>
      </c>
      <c r="L2544" s="32">
        <f>$J2544*($G2544-$G2543)*60*24</f>
        <v>5.6263657999995297E-2</v>
      </c>
    </row>
    <row r="2545" spans="1:12">
      <c r="A2545" s="22">
        <v>40312.399305555555</v>
      </c>
      <c r="E2545" s="26">
        <v>153.31800000000001</v>
      </c>
      <c r="G2545" s="27">
        <v>0.39930555555555558</v>
      </c>
      <c r="J2545" s="30">
        <f>IF(G2545&lt;$H$10,$H$16,IF(G2545&gt;$I$10,$H$16,$H$11))*E2545/600</f>
        <v>5.6216600000000012E-2</v>
      </c>
      <c r="L2545" s="32">
        <f>$J2545*($G2545-$G2544)*60*24</f>
        <v>5.6216600000004308E-2</v>
      </c>
    </row>
    <row r="2546" spans="1:12">
      <c r="A2546" s="22">
        <v>40312.400000000001</v>
      </c>
      <c r="E2546" s="26">
        <v>153.87156400000001</v>
      </c>
      <c r="G2546" s="27">
        <v>0.39999999999999997</v>
      </c>
      <c r="J2546" s="30">
        <f>IF(G2546&lt;$H$10,$H$16,IF(G2546&gt;$I$10,$H$16,$H$11))*E2546/600</f>
        <v>5.6419573466666671E-2</v>
      </c>
      <c r="L2546" s="32">
        <f>$J2546*($G2546-$G2545)*60*24</f>
        <v>5.641957346666196E-2</v>
      </c>
    </row>
    <row r="2547" spans="1:12">
      <c r="A2547" s="22">
        <v>40312.400694444441</v>
      </c>
      <c r="E2547" s="26">
        <v>153.3203</v>
      </c>
      <c r="G2547" s="27">
        <v>0.40069444444444446</v>
      </c>
      <c r="J2547" s="30">
        <f>IF(G2547&lt;$H$10,$H$16,IF(G2547&gt;$I$10,$H$16,$H$11))*E2547/600</f>
        <v>5.6217443333333332E-2</v>
      </c>
      <c r="L2547" s="32">
        <f>$J2547*($G2547-$G2546)*60*24</f>
        <v>5.6217443333337627E-2</v>
      </c>
    </row>
    <row r="2548" spans="1:12">
      <c r="A2548" s="22">
        <v>40312.401388888888</v>
      </c>
      <c r="E2548" s="26">
        <v>154.00054800000001</v>
      </c>
      <c r="G2548" s="27">
        <v>0.40138888888888885</v>
      </c>
      <c r="J2548" s="30">
        <f>IF(G2548&lt;$H$10,$H$16,IF(G2548&gt;$I$10,$H$16,$H$11))*E2548/600</f>
        <v>5.6466867600000005E-2</v>
      </c>
      <c r="L2548" s="32">
        <f>$J2548*($G2548-$G2547)*60*24</f>
        <v>5.6466867599995293E-2</v>
      </c>
    </row>
    <row r="2549" spans="1:12">
      <c r="A2549" s="22">
        <v>40312.402083333334</v>
      </c>
      <c r="E2549" s="26">
        <v>172.67840100000001</v>
      </c>
      <c r="G2549" s="27">
        <v>0.40208333333333335</v>
      </c>
      <c r="J2549" s="30">
        <f>IF(G2549&lt;$H$10,$H$16,IF(G2549&gt;$I$10,$H$16,$H$11))*E2549/600</f>
        <v>6.3315413700000003E-2</v>
      </c>
      <c r="L2549" s="32">
        <f>$J2549*($G2549-$G2548)*60*24</f>
        <v>6.3315413700004847E-2</v>
      </c>
    </row>
    <row r="2550" spans="1:12">
      <c r="A2550" s="22">
        <v>40312.402777777781</v>
      </c>
      <c r="E2550" s="26">
        <v>175.363497</v>
      </c>
      <c r="G2550" s="27">
        <v>0.40277777777777773</v>
      </c>
      <c r="J2550" s="30">
        <f>IF(G2550&lt;$H$10,$H$16,IF(G2550&gt;$I$10,$H$16,$H$11))*E2550/600</f>
        <v>6.4299948900000001E-2</v>
      </c>
      <c r="L2550" s="32">
        <f>$J2550*($G2550-$G2549)*60*24</f>
        <v>6.429994889999463E-2</v>
      </c>
    </row>
    <row r="2551" spans="1:12">
      <c r="A2551" s="22">
        <v>40312.40347222222</v>
      </c>
      <c r="E2551" s="26">
        <v>174.05135999999999</v>
      </c>
      <c r="G2551" s="27">
        <v>0.40347222222222223</v>
      </c>
      <c r="J2551" s="30">
        <f>IF(G2551&lt;$H$10,$H$16,IF(G2551&gt;$I$10,$H$16,$H$11))*E2551/600</f>
        <v>6.3818831999999992E-2</v>
      </c>
      <c r="L2551" s="32">
        <f>$J2551*($G2551-$G2550)*60*24</f>
        <v>6.3818832000004863E-2</v>
      </c>
    </row>
    <row r="2552" spans="1:12">
      <c r="A2552" s="22">
        <v>40312.404166666667</v>
      </c>
      <c r="E2552" s="26">
        <v>154.35391999999999</v>
      </c>
      <c r="G2552" s="27">
        <v>0.40416666666666662</v>
      </c>
      <c r="J2552" s="30">
        <f>IF(G2552&lt;$H$10,$H$16,IF(G2552&gt;$I$10,$H$16,$H$11))*E2552/600</f>
        <v>5.6596437333333326E-2</v>
      </c>
      <c r="L2552" s="32">
        <f>$J2552*($G2552-$G2551)*60*24</f>
        <v>5.65964373333286E-2</v>
      </c>
    </row>
    <row r="2553" spans="1:12">
      <c r="A2553" s="22">
        <v>40312.404861111114</v>
      </c>
      <c r="E2553" s="26">
        <v>158.28857600000001</v>
      </c>
      <c r="G2553" s="27">
        <v>0.40486111111111112</v>
      </c>
      <c r="J2553" s="30">
        <f>IF(G2553&lt;$H$10,$H$16,IF(G2553&gt;$I$10,$H$16,$H$11))*E2553/600</f>
        <v>5.803914453333333E-2</v>
      </c>
      <c r="L2553" s="32">
        <f>$J2553*($G2553-$G2552)*60*24</f>
        <v>5.8039144533337757E-2</v>
      </c>
    </row>
    <row r="2554" spans="1:12">
      <c r="A2554" s="22">
        <v>40312.405555555553</v>
      </c>
      <c r="E2554" s="26">
        <v>172.72890000000001</v>
      </c>
      <c r="G2554" s="27">
        <v>0.4055555555555555</v>
      </c>
      <c r="J2554" s="30">
        <f>IF(G2554&lt;$H$10,$H$16,IF(G2554&gt;$I$10,$H$16,$H$11))*E2554/600</f>
        <v>6.333393000000001E-2</v>
      </c>
      <c r="L2554" s="32">
        <f>$J2554*($G2554-$G2553)*60*24</f>
        <v>6.3333929999994723E-2</v>
      </c>
    </row>
    <row r="2555" spans="1:12">
      <c r="A2555" s="22">
        <v>40312.40625</v>
      </c>
      <c r="E2555" s="26">
        <v>174.39592500000001</v>
      </c>
      <c r="G2555" s="27">
        <v>0.40625</v>
      </c>
      <c r="J2555" s="30">
        <f>IF(G2555&lt;$H$10,$H$16,IF(G2555&gt;$I$10,$H$16,$H$11))*E2555/600</f>
        <v>6.3945172499999994E-2</v>
      </c>
      <c r="L2555" s="32">
        <f>$J2555*($G2555-$G2554)*60*24</f>
        <v>6.3945172500004879E-2</v>
      </c>
    </row>
    <row r="2556" spans="1:12">
      <c r="A2556" s="22">
        <v>40312.406944444447</v>
      </c>
      <c r="E2556" s="26">
        <v>170.5795</v>
      </c>
      <c r="G2556" s="27">
        <v>0.4069444444444445</v>
      </c>
      <c r="J2556" s="30">
        <f>IF(G2556&lt;$H$10,$H$16,IF(G2556&gt;$I$10,$H$16,$H$11))*E2556/600</f>
        <v>6.254581666666667E-2</v>
      </c>
      <c r="L2556" s="32">
        <f>$J2556*($G2556-$G2555)*60*24</f>
        <v>6.2545816666671444E-2</v>
      </c>
    </row>
    <row r="2557" spans="1:12">
      <c r="A2557" s="22">
        <v>40312.407638888886</v>
      </c>
      <c r="E2557" s="26">
        <v>175.943724</v>
      </c>
      <c r="G2557" s="27">
        <v>0.40763888888888888</v>
      </c>
      <c r="J2557" s="30">
        <f>IF(G2557&lt;$H$10,$H$16,IF(G2557&gt;$I$10,$H$16,$H$11))*E2557/600</f>
        <v>6.4512698800000004E-2</v>
      </c>
      <c r="L2557" s="32">
        <f>$J2557*($G2557-$G2556)*60*24</f>
        <v>6.4512698799994619E-2</v>
      </c>
    </row>
    <row r="2558" spans="1:12">
      <c r="A2558" s="22">
        <v>40312.408333333333</v>
      </c>
      <c r="E2558" s="26">
        <v>175.953024</v>
      </c>
      <c r="G2558" s="27">
        <v>0.40833333333333338</v>
      </c>
      <c r="J2558" s="30">
        <f>IF(G2558&lt;$H$10,$H$16,IF(G2558&gt;$I$10,$H$16,$H$11))*E2558/600</f>
        <v>6.4516108799999999E-2</v>
      </c>
      <c r="L2558" s="32">
        <f>$J2558*($G2558-$G2557)*60*24</f>
        <v>6.4516108800004926E-2</v>
      </c>
    </row>
    <row r="2559" spans="1:12">
      <c r="A2559" s="22">
        <v>40312.40902777778</v>
      </c>
      <c r="E2559" s="26">
        <v>175.79380800000001</v>
      </c>
      <c r="G2559" s="27">
        <v>0.40902777777777777</v>
      </c>
      <c r="J2559" s="30">
        <f>IF(G2559&lt;$H$10,$H$16,IF(G2559&gt;$I$10,$H$16,$H$11))*E2559/600</f>
        <v>6.4457729599999999E-2</v>
      </c>
      <c r="L2559" s="32">
        <f>$J2559*($G2559-$G2558)*60*24</f>
        <v>6.4457729599994615E-2</v>
      </c>
    </row>
    <row r="2560" spans="1:12">
      <c r="A2560" s="22">
        <v>40312.409722222219</v>
      </c>
      <c r="E2560" s="26">
        <v>162.861896</v>
      </c>
      <c r="G2560" s="27">
        <v>0.40972222222222227</v>
      </c>
      <c r="J2560" s="30">
        <f>IF(G2560&lt;$H$10,$H$16,IF(G2560&gt;$I$10,$H$16,$H$11))*E2560/600</f>
        <v>5.9716028533333333E-2</v>
      </c>
      <c r="L2560" s="32">
        <f>$J2560*($G2560-$G2559)*60*24</f>
        <v>5.9716028533337892E-2</v>
      </c>
    </row>
    <row r="2561" spans="1:12">
      <c r="A2561" s="22">
        <v>40312.410416666666</v>
      </c>
      <c r="E2561" s="26">
        <v>152.54976099999999</v>
      </c>
      <c r="G2561" s="27">
        <v>0.41041666666666665</v>
      </c>
      <c r="J2561" s="30">
        <f>IF(G2561&lt;$H$10,$H$16,IF(G2561&gt;$I$10,$H$16,$H$11))*E2561/600</f>
        <v>5.5934912366666666E-2</v>
      </c>
      <c r="L2561" s="32">
        <f>$J2561*($G2561-$G2560)*60*24</f>
        <v>5.5934912366662003E-2</v>
      </c>
    </row>
    <row r="2562" spans="1:12">
      <c r="A2562" s="22">
        <v>40312.411111111112</v>
      </c>
      <c r="E2562" s="26">
        <v>152.508174</v>
      </c>
      <c r="G2562" s="27">
        <v>0.41111111111111115</v>
      </c>
      <c r="J2562" s="30">
        <f>IF(G2562&lt;$H$10,$H$16,IF(G2562&gt;$I$10,$H$16,$H$11))*E2562/600</f>
        <v>5.5919663799999998E-2</v>
      </c>
      <c r="L2562" s="32">
        <f>$J2562*($G2562-$G2561)*60*24</f>
        <v>5.5919663800004266E-2</v>
      </c>
    </row>
    <row r="2563" spans="1:12">
      <c r="A2563" s="22">
        <v>40312.411805555559</v>
      </c>
      <c r="E2563" s="26">
        <v>152.57396700000001</v>
      </c>
      <c r="G2563" s="27">
        <v>0.41180555555555554</v>
      </c>
      <c r="J2563" s="30">
        <f>IF(G2563&lt;$H$10,$H$16,IF(G2563&gt;$I$10,$H$16,$H$11))*E2563/600</f>
        <v>5.5943787900000007E-2</v>
      </c>
      <c r="L2563" s="32">
        <f>$J2563*($G2563-$G2562)*60*24</f>
        <v>5.594378789999533E-2</v>
      </c>
    </row>
    <row r="2564" spans="1:12">
      <c r="A2564" s="22">
        <v>40312.412499999999</v>
      </c>
      <c r="E2564" s="26">
        <v>154.08307199999999</v>
      </c>
      <c r="G2564" s="27">
        <v>0.41250000000000003</v>
      </c>
      <c r="J2564" s="30">
        <f>IF(G2564&lt;$H$10,$H$16,IF(G2564&gt;$I$10,$H$16,$H$11))*E2564/600</f>
        <v>5.6497126399999993E-2</v>
      </c>
      <c r="L2564" s="32">
        <f>$J2564*($G2564-$G2563)*60*24</f>
        <v>5.6497126400004302E-2</v>
      </c>
    </row>
    <row r="2565" spans="1:12">
      <c r="A2565" s="22">
        <v>40312.413194444445</v>
      </c>
      <c r="E2565" s="26">
        <v>153.37504000000001</v>
      </c>
      <c r="G2565" s="27">
        <v>0.41319444444444442</v>
      </c>
      <c r="J2565" s="30">
        <f>IF(G2565&lt;$H$10,$H$16,IF(G2565&gt;$I$10,$H$16,$H$11))*E2565/600</f>
        <v>5.6237514666666669E-2</v>
      </c>
      <c r="L2565" s="32">
        <f>$J2565*($G2565-$G2564)*60*24</f>
        <v>5.6237514666661978E-2</v>
      </c>
    </row>
    <row r="2566" spans="1:12">
      <c r="A2566" s="22">
        <v>40312.413888888892</v>
      </c>
      <c r="E2566" s="26">
        <v>156.890916</v>
      </c>
      <c r="G2566" s="27">
        <v>0.41388888888888892</v>
      </c>
      <c r="J2566" s="30">
        <f>IF(G2566&lt;$H$10,$H$16,IF(G2566&gt;$I$10,$H$16,$H$11))*E2566/600</f>
        <v>5.7526669200000005E-2</v>
      </c>
      <c r="L2566" s="32">
        <f>$J2566*($G2566-$G2565)*60*24</f>
        <v>5.7526669200004397E-2</v>
      </c>
    </row>
    <row r="2567" spans="1:12">
      <c r="A2567" s="22">
        <v>40312.414583333331</v>
      </c>
      <c r="E2567" s="26">
        <v>153.14098799999999</v>
      </c>
      <c r="G2567" s="27">
        <v>0.4145833333333333</v>
      </c>
      <c r="J2567" s="30">
        <f>IF(G2567&lt;$H$10,$H$16,IF(G2567&gt;$I$10,$H$16,$H$11))*E2567/600</f>
        <v>5.6151695599999996E-2</v>
      </c>
      <c r="L2567" s="32">
        <f>$J2567*($G2567-$G2566)*60*24</f>
        <v>5.6151695599995305E-2</v>
      </c>
    </row>
    <row r="2568" spans="1:12">
      <c r="A2568" s="22">
        <v>40312.415277777778</v>
      </c>
      <c r="E2568" s="26">
        <v>152.31434400000001</v>
      </c>
      <c r="G2568" s="27">
        <v>0.4152777777777778</v>
      </c>
      <c r="J2568" s="30">
        <f>IF(G2568&lt;$H$10,$H$16,IF(G2568&gt;$I$10,$H$16,$H$11))*E2568/600</f>
        <v>5.5848592799999999E-2</v>
      </c>
      <c r="L2568" s="32">
        <f>$J2568*($G2568-$G2567)*60*24</f>
        <v>5.584859280000426E-2</v>
      </c>
    </row>
    <row r="2569" spans="1:12">
      <c r="A2569" s="22">
        <v>40312.415972222225</v>
      </c>
      <c r="E2569" s="26">
        <v>152.98829000000001</v>
      </c>
      <c r="G2569" s="27">
        <v>0.41597222222222219</v>
      </c>
      <c r="J2569" s="30">
        <f>IF(G2569&lt;$H$10,$H$16,IF(G2569&gt;$I$10,$H$16,$H$11))*E2569/600</f>
        <v>5.6095706333333342E-2</v>
      </c>
      <c r="L2569" s="32">
        <f>$J2569*($G2569-$G2568)*60*24</f>
        <v>5.6095706333328652E-2</v>
      </c>
    </row>
    <row r="2570" spans="1:12">
      <c r="A2570" s="22">
        <v>40312.416666666664</v>
      </c>
      <c r="E2570" s="26">
        <v>153.225436</v>
      </c>
      <c r="G2570" s="27">
        <v>0.41666666666666669</v>
      </c>
      <c r="J2570" s="30">
        <f>IF(G2570&lt;$H$10,$H$16,IF(G2570&gt;$I$10,$H$16,$H$11))*E2570/600</f>
        <v>5.6182659866666665E-2</v>
      </c>
      <c r="L2570" s="32">
        <f>$J2570*($G2570-$G2569)*60*24</f>
        <v>5.6182659866670953E-2</v>
      </c>
    </row>
    <row r="2571" spans="1:12">
      <c r="A2571" s="22">
        <v>40312.417361111111</v>
      </c>
      <c r="E2571" s="26">
        <v>153.181028</v>
      </c>
      <c r="G2571" s="27">
        <v>0.41736111111111113</v>
      </c>
      <c r="J2571" s="30">
        <f>IF(G2571&lt;$H$10,$H$16,IF(G2571&gt;$I$10,$H$16,$H$11))*E2571/600</f>
        <v>5.6166376933333331E-2</v>
      </c>
      <c r="L2571" s="32">
        <f>$J2571*($G2571-$G2570)*60*24</f>
        <v>5.6166376933333137E-2</v>
      </c>
    </row>
    <row r="2572" spans="1:12">
      <c r="A2572" s="22">
        <v>40312.418055555558</v>
      </c>
      <c r="E2572" s="26">
        <v>152.31434400000001</v>
      </c>
      <c r="G2572" s="27">
        <v>0.41805555555555557</v>
      </c>
      <c r="J2572" s="30">
        <f>IF(G2572&lt;$H$10,$H$16,IF(G2572&gt;$I$10,$H$16,$H$11))*E2572/600</f>
        <v>5.5848592799999999E-2</v>
      </c>
      <c r="L2572" s="32">
        <f>$J2572*($G2572-$G2571)*60*24</f>
        <v>5.5848592799999798E-2</v>
      </c>
    </row>
    <row r="2573" spans="1:12">
      <c r="A2573" s="22">
        <v>40312.418749999997</v>
      </c>
      <c r="E2573" s="26">
        <v>153.52946700000001</v>
      </c>
      <c r="G2573" s="27">
        <v>0.41875000000000001</v>
      </c>
      <c r="J2573" s="30">
        <f>IF(G2573&lt;$H$10,$H$16,IF(G2573&gt;$I$10,$H$16,$H$11))*E2573/600</f>
        <v>5.6294137900000013E-2</v>
      </c>
      <c r="L2573" s="32">
        <f>$J2573*($G2573-$G2572)*60*24</f>
        <v>5.6294137899999812E-2</v>
      </c>
    </row>
    <row r="2574" spans="1:12">
      <c r="A2574" s="22">
        <v>40312.419444444444</v>
      </c>
      <c r="E2574" s="26">
        <v>165.27431999999999</v>
      </c>
      <c r="G2574" s="27">
        <v>0.41944444444444445</v>
      </c>
      <c r="J2574" s="30">
        <f>IF(G2574&lt;$H$10,$H$16,IF(G2574&gt;$I$10,$H$16,$H$11))*E2574/600</f>
        <v>6.0600583999999992E-2</v>
      </c>
      <c r="L2574" s="32">
        <f>$J2574*($G2574-$G2573)*60*24</f>
        <v>6.0600583999999784E-2</v>
      </c>
    </row>
    <row r="2575" spans="1:12">
      <c r="A2575" s="22">
        <v>40312.420138888891</v>
      </c>
      <c r="E2575" s="26">
        <v>175.596462</v>
      </c>
      <c r="G2575" s="27">
        <v>0.4201388888888889</v>
      </c>
      <c r="J2575" s="30">
        <f>IF(G2575&lt;$H$10,$H$16,IF(G2575&gt;$I$10,$H$16,$H$11))*E2575/600</f>
        <v>6.4385369400000003E-2</v>
      </c>
      <c r="L2575" s="32">
        <f>$J2575*($G2575-$G2574)*60*24</f>
        <v>6.4385369399999781E-2</v>
      </c>
    </row>
    <row r="2576" spans="1:12">
      <c r="A2576" s="22">
        <v>40312.42083333333</v>
      </c>
      <c r="E2576" s="26">
        <v>175.780044</v>
      </c>
      <c r="G2576" s="27">
        <v>0.42083333333333334</v>
      </c>
      <c r="J2576" s="30">
        <f>IF(G2576&lt;$H$10,$H$16,IF(G2576&gt;$I$10,$H$16,$H$11))*E2576/600</f>
        <v>6.4452682800000008E-2</v>
      </c>
      <c r="L2576" s="32">
        <f>$J2576*($G2576-$G2575)*60*24</f>
        <v>6.4452682799999772E-2</v>
      </c>
    </row>
    <row r="2577" spans="1:12">
      <c r="A2577" s="22">
        <v>40312.421527777777</v>
      </c>
      <c r="E2577" s="26">
        <v>176.09336099999999</v>
      </c>
      <c r="G2577" s="27">
        <v>0.42152777777777778</v>
      </c>
      <c r="J2577" s="30">
        <f>IF(G2577&lt;$H$10,$H$16,IF(G2577&gt;$I$10,$H$16,$H$11))*E2577/600</f>
        <v>6.4567565699999996E-2</v>
      </c>
      <c r="L2577" s="32">
        <f>$J2577*($G2577-$G2576)*60*24</f>
        <v>6.456756569999976E-2</v>
      </c>
    </row>
    <row r="2578" spans="1:12">
      <c r="A2578" s="22">
        <v>40312.422222222223</v>
      </c>
      <c r="E2578" s="26">
        <v>164.98820000000001</v>
      </c>
      <c r="G2578" s="27">
        <v>0.42222222222222222</v>
      </c>
      <c r="J2578" s="30">
        <f>IF(G2578&lt;$H$10,$H$16,IF(G2578&gt;$I$10,$H$16,$H$11))*E2578/600</f>
        <v>6.0495673333333333E-2</v>
      </c>
      <c r="L2578" s="32">
        <f>$J2578*($G2578-$G2577)*60*24</f>
        <v>6.0495673333333118E-2</v>
      </c>
    </row>
    <row r="2579" spans="1:12">
      <c r="A2579" s="22">
        <v>40312.42291666667</v>
      </c>
      <c r="E2579" s="26">
        <v>154.838775</v>
      </c>
      <c r="G2579" s="27">
        <v>0.42291666666666666</v>
      </c>
      <c r="J2579" s="30">
        <f>IF(G2579&lt;$H$10,$H$16,IF(G2579&gt;$I$10,$H$16,$H$11))*E2579/600</f>
        <v>5.6774217499999995E-2</v>
      </c>
      <c r="L2579" s="32">
        <f>$J2579*($G2579-$G2578)*60*24</f>
        <v>5.6774217499999793E-2</v>
      </c>
    </row>
    <row r="2580" spans="1:12">
      <c r="A2580" s="22">
        <v>40312.423611111109</v>
      </c>
      <c r="E2580" s="26">
        <v>153.14098799999999</v>
      </c>
      <c r="G2580" s="27">
        <v>0.4236111111111111</v>
      </c>
      <c r="J2580" s="30">
        <f>IF(G2580&lt;$H$10,$H$16,IF(G2580&gt;$I$10,$H$16,$H$11))*E2580/600</f>
        <v>5.6151695599999996E-2</v>
      </c>
      <c r="L2580" s="32">
        <f>$J2580*($G2580-$G2579)*60*24</f>
        <v>5.6151695599999787E-2</v>
      </c>
    </row>
    <row r="2581" spans="1:12">
      <c r="A2581" s="22">
        <v>40312.424305555556</v>
      </c>
      <c r="E2581" s="26">
        <v>153.07046299999999</v>
      </c>
      <c r="G2581" s="27">
        <v>0.42430555555555555</v>
      </c>
      <c r="J2581" s="30">
        <f>IF(G2581&lt;$H$10,$H$16,IF(G2581&gt;$I$10,$H$16,$H$11))*E2581/600</f>
        <v>5.6125836433333326E-2</v>
      </c>
      <c r="L2581" s="32">
        <f>$J2581*($G2581-$G2580)*60*24</f>
        <v>5.6125836433333132E-2</v>
      </c>
    </row>
    <row r="2582" spans="1:12">
      <c r="A2582" s="22">
        <v>40312.425000000003</v>
      </c>
      <c r="E2582" s="26">
        <v>152.75715</v>
      </c>
      <c r="G2582" s="27">
        <v>0.42499999999999999</v>
      </c>
      <c r="J2582" s="30">
        <f>IF(G2582&lt;$H$10,$H$16,IF(G2582&gt;$I$10,$H$16,$H$11))*E2582/600</f>
        <v>5.6010954999999994E-2</v>
      </c>
      <c r="L2582" s="32">
        <f>$J2582*($G2582-$G2581)*60*24</f>
        <v>5.6010954999999793E-2</v>
      </c>
    </row>
    <row r="2583" spans="1:12">
      <c r="A2583" s="22">
        <v>40312.425694444442</v>
      </c>
      <c r="E2583" s="26">
        <v>152.78499600000001</v>
      </c>
      <c r="G2583" s="27">
        <v>0.42569444444444443</v>
      </c>
      <c r="J2583" s="30">
        <f>IF(G2583&lt;$H$10,$H$16,IF(G2583&gt;$I$10,$H$16,$H$11))*E2583/600</f>
        <v>5.60211652E-2</v>
      </c>
      <c r="L2583" s="32">
        <f>$J2583*($G2583-$G2582)*60*24</f>
        <v>5.6021165199999799E-2</v>
      </c>
    </row>
    <row r="2584" spans="1:12">
      <c r="A2584" s="22">
        <v>40312.426388888889</v>
      </c>
      <c r="E2584" s="26">
        <v>153.19395</v>
      </c>
      <c r="G2584" s="27">
        <v>0.42638888888888887</v>
      </c>
      <c r="J2584" s="30">
        <f>IF(G2584&lt;$H$10,$H$16,IF(G2584&gt;$I$10,$H$16,$H$11))*E2584/600</f>
        <v>5.6171115000000001E-2</v>
      </c>
      <c r="L2584" s="32">
        <f>$J2584*($G2584-$G2583)*60*24</f>
        <v>5.6171114999999799E-2</v>
      </c>
    </row>
    <row r="2585" spans="1:12">
      <c r="A2585" s="22">
        <v>40312.427083333336</v>
      </c>
      <c r="E2585" s="26">
        <v>153.06200000000001</v>
      </c>
      <c r="G2585" s="27">
        <v>0.42708333333333331</v>
      </c>
      <c r="J2585" s="30">
        <f>IF(G2585&lt;$H$10,$H$16,IF(G2585&gt;$I$10,$H$16,$H$11))*E2585/600</f>
        <v>5.6122733333333341E-2</v>
      </c>
      <c r="L2585" s="32">
        <f>$J2585*($G2585-$G2584)*60*24</f>
        <v>5.612273333333314E-2</v>
      </c>
    </row>
    <row r="2586" spans="1:12">
      <c r="A2586" s="22">
        <v>40312.427777777775</v>
      </c>
      <c r="E2586" s="26">
        <v>152.62574599999999</v>
      </c>
      <c r="G2586" s="27">
        <v>0.42777777777777781</v>
      </c>
      <c r="J2586" s="30">
        <f>IF(G2586&lt;$H$10,$H$16,IF(G2586&gt;$I$10,$H$16,$H$11))*E2586/600</f>
        <v>5.5962773533333336E-2</v>
      </c>
      <c r="L2586" s="32">
        <f>$J2586*($G2586-$G2585)*60*24</f>
        <v>5.5962773533337618E-2</v>
      </c>
    </row>
    <row r="2587" spans="1:12">
      <c r="A2587" s="22">
        <v>40312.428472222222</v>
      </c>
      <c r="E2587" s="26">
        <v>152.23790399999999</v>
      </c>
      <c r="G2587" s="27">
        <v>0.4284722222222222</v>
      </c>
      <c r="J2587" s="30">
        <f>IF(G2587&lt;$H$10,$H$16,IF(G2587&gt;$I$10,$H$16,$H$11))*E2587/600</f>
        <v>5.58205648E-2</v>
      </c>
      <c r="L2587" s="32">
        <f>$J2587*($G2587-$G2586)*60*24</f>
        <v>5.5820564799995337E-2</v>
      </c>
    </row>
    <row r="2588" spans="1:12">
      <c r="A2588" s="22">
        <v>40312.429166666669</v>
      </c>
      <c r="E2588" s="26">
        <v>152.513361</v>
      </c>
      <c r="G2588" s="27">
        <v>0.4291666666666667</v>
      </c>
      <c r="J2588" s="30">
        <f>IF(G2588&lt;$H$10,$H$16,IF(G2588&gt;$I$10,$H$16,$H$11))*E2588/600</f>
        <v>5.5921565700000002E-2</v>
      </c>
      <c r="L2588" s="32">
        <f>$J2588*($G2588-$G2587)*60*24</f>
        <v>5.5921565700004269E-2</v>
      </c>
    </row>
    <row r="2589" spans="1:12">
      <c r="A2589" s="22">
        <v>40312.429861111108</v>
      </c>
      <c r="E2589" s="26">
        <v>153.14098799999999</v>
      </c>
      <c r="G2589" s="27">
        <v>0.42986111111111108</v>
      </c>
      <c r="J2589" s="30">
        <f>IF(G2589&lt;$H$10,$H$16,IF(G2589&gt;$I$10,$H$16,$H$11))*E2589/600</f>
        <v>5.6151695599999996E-2</v>
      </c>
      <c r="L2589" s="32">
        <f>$J2589*($G2589-$G2588)*60*24</f>
        <v>5.6151695599995305E-2</v>
      </c>
    </row>
    <row r="2590" spans="1:12">
      <c r="A2590" s="22">
        <v>40312.430555555555</v>
      </c>
      <c r="E2590" s="26">
        <v>152.04571200000001</v>
      </c>
      <c r="G2590" s="27">
        <v>0.43055555555555558</v>
      </c>
      <c r="J2590" s="30">
        <f>IF(G2590&lt;$H$10,$H$16,IF(G2590&gt;$I$10,$H$16,$H$11))*E2590/600</f>
        <v>5.5750094399999998E-2</v>
      </c>
      <c r="L2590" s="32">
        <f>$J2590*($G2590-$G2589)*60*24</f>
        <v>5.5750094400004252E-2</v>
      </c>
    </row>
    <row r="2591" spans="1:12">
      <c r="A2591" s="22">
        <v>40312.431250000001</v>
      </c>
      <c r="E2591" s="26">
        <v>153.864204</v>
      </c>
      <c r="G2591" s="27">
        <v>0.43124999999999997</v>
      </c>
      <c r="J2591" s="30">
        <f>IF(G2591&lt;$H$10,$H$16,IF(G2591&gt;$I$10,$H$16,$H$11))*E2591/600</f>
        <v>5.6416874800000003E-2</v>
      </c>
      <c r="L2591" s="32">
        <f>$J2591*($G2591-$G2590)*60*24</f>
        <v>5.6416874799995298E-2</v>
      </c>
    </row>
    <row r="2592" spans="1:12">
      <c r="A2592" s="22">
        <v>40312.431944444441</v>
      </c>
      <c r="E2592" s="26">
        <v>153.711668</v>
      </c>
      <c r="G2592" s="27">
        <v>0.43194444444444446</v>
      </c>
      <c r="J2592" s="30">
        <f>IF(G2592&lt;$H$10,$H$16,IF(G2592&gt;$I$10,$H$16,$H$11))*E2592/600</f>
        <v>5.6360944933333337E-2</v>
      </c>
      <c r="L2592" s="32">
        <f>$J2592*($G2592-$G2591)*60*24</f>
        <v>5.6360944933337639E-2</v>
      </c>
    </row>
    <row r="2593" spans="1:12">
      <c r="A2593" s="22">
        <v>40312.432638888888</v>
      </c>
      <c r="E2593" s="26">
        <v>153.528864</v>
      </c>
      <c r="G2593" s="27">
        <v>0.43263888888888885</v>
      </c>
      <c r="J2593" s="30">
        <f>IF(G2593&lt;$H$10,$H$16,IF(G2593&gt;$I$10,$H$16,$H$11))*E2593/600</f>
        <v>5.6293916800000003E-2</v>
      </c>
      <c r="L2593" s="32">
        <f>$J2593*($G2593-$G2592)*60*24</f>
        <v>5.6293916799995306E-2</v>
      </c>
    </row>
    <row r="2594" spans="1:12">
      <c r="A2594" s="22">
        <v>40312.433333333334</v>
      </c>
      <c r="E2594" s="26">
        <v>153.871104</v>
      </c>
      <c r="G2594" s="27">
        <v>0.43333333333333335</v>
      </c>
      <c r="J2594" s="30">
        <f>IF(G2594&lt;$H$10,$H$16,IF(G2594&gt;$I$10,$H$16,$H$11))*E2594/600</f>
        <v>5.6419404800000003E-2</v>
      </c>
      <c r="L2594" s="32">
        <f>$J2594*($G2594-$G2593)*60*24</f>
        <v>5.6419404800004312E-2</v>
      </c>
    </row>
    <row r="2595" spans="1:12">
      <c r="A2595" s="22">
        <v>40312.434027777781</v>
      </c>
      <c r="E2595" s="26">
        <v>153.932376</v>
      </c>
      <c r="G2595" s="27">
        <v>0.43402777777777773</v>
      </c>
      <c r="J2595" s="30">
        <f>IF(G2595&lt;$H$10,$H$16,IF(G2595&gt;$I$10,$H$16,$H$11))*E2595/600</f>
        <v>5.64418712E-2</v>
      </c>
      <c r="L2595" s="32">
        <f>$J2595*($G2595-$G2594)*60*24</f>
        <v>5.6441871199995289E-2</v>
      </c>
    </row>
    <row r="2596" spans="1:12">
      <c r="A2596" s="22">
        <v>40312.43472222222</v>
      </c>
      <c r="E2596" s="26">
        <v>153.69372799999999</v>
      </c>
      <c r="G2596" s="27">
        <v>0.43472222222222223</v>
      </c>
      <c r="J2596" s="30">
        <f>IF(G2596&lt;$H$10,$H$16,IF(G2596&gt;$I$10,$H$16,$H$11))*E2596/600</f>
        <v>5.6354366933333337E-2</v>
      </c>
      <c r="L2596" s="32">
        <f>$J2596*($G2596-$G2595)*60*24</f>
        <v>5.6354366933337632E-2</v>
      </c>
    </row>
    <row r="2597" spans="1:12">
      <c r="A2597" s="22">
        <v>40312.435416666667</v>
      </c>
      <c r="E2597" s="26">
        <v>151.79255000000001</v>
      </c>
      <c r="G2597" s="27">
        <v>0.43541666666666662</v>
      </c>
      <c r="J2597" s="30">
        <f>IF(G2597&lt;$H$10,$H$16,IF(G2597&gt;$I$10,$H$16,$H$11))*E2597/600</f>
        <v>5.5657268333333336E-2</v>
      </c>
      <c r="L2597" s="32">
        <f>$J2597*($G2597-$G2596)*60*24</f>
        <v>5.5657268333328694E-2</v>
      </c>
    </row>
    <row r="2598" spans="1:12">
      <c r="A2598" s="22">
        <v>40312.436111111114</v>
      </c>
      <c r="E2598" s="26">
        <v>151.81602799999999</v>
      </c>
      <c r="G2598" s="27">
        <v>0.43611111111111112</v>
      </c>
      <c r="J2598" s="30">
        <f>IF(G2598&lt;$H$10,$H$16,IF(G2598&gt;$I$10,$H$16,$H$11))*E2598/600</f>
        <v>5.5665876933333337E-2</v>
      </c>
      <c r="L2598" s="32">
        <f>$J2598*($G2598-$G2597)*60*24</f>
        <v>5.5665876933337591E-2</v>
      </c>
    </row>
    <row r="2599" spans="1:12">
      <c r="A2599" s="22">
        <v>40312.436805555553</v>
      </c>
      <c r="E2599" s="26">
        <v>153.457472</v>
      </c>
      <c r="G2599" s="27">
        <v>0.4368055555555555</v>
      </c>
      <c r="J2599" s="30">
        <f>IF(G2599&lt;$H$10,$H$16,IF(G2599&gt;$I$10,$H$16,$H$11))*E2599/600</f>
        <v>5.6267739733333336E-2</v>
      </c>
      <c r="L2599" s="32">
        <f>$J2599*($G2599-$G2598)*60*24</f>
        <v>5.6267739733328645E-2</v>
      </c>
    </row>
    <row r="2600" spans="1:12">
      <c r="A2600" s="22">
        <v>40312.4375</v>
      </c>
      <c r="E2600" s="26">
        <v>156.00716</v>
      </c>
      <c r="G2600" s="27">
        <v>0.4375</v>
      </c>
      <c r="J2600" s="30">
        <f>IF(G2600&lt;$H$10,$H$16,IF(G2600&gt;$I$10,$H$16,$H$11))*E2600/600</f>
        <v>5.7202625333333333E-2</v>
      </c>
      <c r="L2600" s="32">
        <f>$J2600*($G2600-$G2599)*60*24</f>
        <v>5.7202625333337712E-2</v>
      </c>
    </row>
    <row r="2601" spans="1:12">
      <c r="A2601" s="22">
        <v>40312.438194444447</v>
      </c>
      <c r="E2601" s="26">
        <v>153.666864</v>
      </c>
      <c r="G2601" s="27">
        <v>0.4381944444444445</v>
      </c>
      <c r="J2601" s="30">
        <f>IF(G2601&lt;$H$10,$H$16,IF(G2601&gt;$I$10,$H$16,$H$11))*E2601/600</f>
        <v>5.6344516800000001E-2</v>
      </c>
      <c r="L2601" s="32">
        <f>$J2601*($G2601-$G2600)*60*24</f>
        <v>5.6344516800004303E-2</v>
      </c>
    </row>
    <row r="2602" spans="1:12">
      <c r="A2602" s="22">
        <v>40312.438888888886</v>
      </c>
      <c r="E2602" s="26">
        <v>153.02580800000001</v>
      </c>
      <c r="G2602" s="27">
        <v>0.43888888888888888</v>
      </c>
      <c r="J2602" s="30">
        <f>IF(G2602&lt;$H$10,$H$16,IF(G2602&gt;$I$10,$H$16,$H$11))*E2602/600</f>
        <v>5.6109462933333333E-2</v>
      </c>
      <c r="L2602" s="32">
        <f>$J2602*($G2602-$G2601)*60*24</f>
        <v>5.6109462933328649E-2</v>
      </c>
    </row>
    <row r="2603" spans="1:12">
      <c r="A2603" s="22">
        <v>40312.439583333333</v>
      </c>
      <c r="E2603" s="26">
        <v>153.66668000000001</v>
      </c>
      <c r="G2603" s="27">
        <v>0.43958333333333338</v>
      </c>
      <c r="J2603" s="30">
        <f>IF(G2603&lt;$H$10,$H$16,IF(G2603&gt;$I$10,$H$16,$H$11))*E2603/600</f>
        <v>5.6344449333333345E-2</v>
      </c>
      <c r="L2603" s="32">
        <f>$J2603*($G2603-$G2602)*60*24</f>
        <v>5.634444933333764E-2</v>
      </c>
    </row>
    <row r="2604" spans="1:12">
      <c r="A2604" s="22">
        <v>40312.44027777778</v>
      </c>
      <c r="E2604" s="26">
        <v>152.461491</v>
      </c>
      <c r="G2604" s="27">
        <v>0.44027777777777777</v>
      </c>
      <c r="J2604" s="30">
        <f>IF(G2604&lt;$H$10,$H$16,IF(G2604&gt;$I$10,$H$16,$H$11))*E2604/600</f>
        <v>5.59025467E-2</v>
      </c>
      <c r="L2604" s="32">
        <f>$J2604*($G2604-$G2603)*60*24</f>
        <v>5.590254669999533E-2</v>
      </c>
    </row>
    <row r="2605" spans="1:12">
      <c r="A2605" s="22">
        <v>40312.440972222219</v>
      </c>
      <c r="E2605" s="26">
        <v>152.81657300000001</v>
      </c>
      <c r="G2605" s="27">
        <v>0.44097222222222227</v>
      </c>
      <c r="J2605" s="30">
        <f>IF(G2605&lt;$H$10,$H$16,IF(G2605&gt;$I$10,$H$16,$H$11))*E2605/600</f>
        <v>5.6032743433333337E-2</v>
      </c>
      <c r="L2605" s="32">
        <f>$J2605*($G2605-$G2604)*60*24</f>
        <v>5.6032743433337612E-2</v>
      </c>
    </row>
    <row r="2606" spans="1:12">
      <c r="A2606" s="22">
        <v>40312.441666666666</v>
      </c>
      <c r="E2606" s="26">
        <v>152.334</v>
      </c>
      <c r="G2606" s="27">
        <v>0.44166666666666665</v>
      </c>
      <c r="J2606" s="30">
        <f>IF(G2606&lt;$H$10,$H$16,IF(G2606&gt;$I$10,$H$16,$H$11))*E2606/600</f>
        <v>5.5855800000000004E-2</v>
      </c>
      <c r="L2606" s="32">
        <f>$J2606*($G2606-$G2605)*60*24</f>
        <v>5.5855799999995334E-2</v>
      </c>
    </row>
    <row r="2607" spans="1:12">
      <c r="A2607" s="22">
        <v>40312.442361111112</v>
      </c>
      <c r="E2607" s="26">
        <v>153.471318</v>
      </c>
      <c r="G2607" s="27">
        <v>0.44236111111111115</v>
      </c>
      <c r="J2607" s="30">
        <f>IF(G2607&lt;$H$10,$H$16,IF(G2607&gt;$I$10,$H$16,$H$11))*E2607/600</f>
        <v>5.6272816600000004E-2</v>
      </c>
      <c r="L2607" s="32">
        <f>$J2607*($G2607-$G2606)*60*24</f>
        <v>5.6272816600004306E-2</v>
      </c>
    </row>
    <row r="2608" spans="1:12">
      <c r="A2608" s="22">
        <v>40312.443055555559</v>
      </c>
      <c r="E2608" s="26">
        <v>152.46613199999999</v>
      </c>
      <c r="G2608" s="27">
        <v>0.44305555555555554</v>
      </c>
      <c r="J2608" s="30">
        <f>IF(G2608&lt;$H$10,$H$16,IF(G2608&gt;$I$10,$H$16,$H$11))*E2608/600</f>
        <v>5.5904248399999995E-2</v>
      </c>
      <c r="L2608" s="32">
        <f>$J2608*($G2608-$G2607)*60*24</f>
        <v>5.5904248399995325E-2</v>
      </c>
    </row>
    <row r="2609" spans="1:12">
      <c r="A2609" s="22">
        <v>40312.443749999999</v>
      </c>
      <c r="E2609" s="26">
        <v>154.75044</v>
      </c>
      <c r="G2609" s="27">
        <v>0.44375000000000003</v>
      </c>
      <c r="J2609" s="30">
        <f>IF(G2609&lt;$H$10,$H$16,IF(G2609&gt;$I$10,$H$16,$H$11))*E2609/600</f>
        <v>5.6741828000000008E-2</v>
      </c>
      <c r="L2609" s="32">
        <f>$J2609*($G2609-$G2608)*60*24</f>
        <v>5.6741828000004352E-2</v>
      </c>
    </row>
    <row r="2610" spans="1:12">
      <c r="A2610" s="22">
        <v>40312.444444444445</v>
      </c>
      <c r="E2610" s="26">
        <v>152.60017500000001</v>
      </c>
      <c r="G2610" s="27">
        <v>0.44444444444444442</v>
      </c>
      <c r="J2610" s="30">
        <f>IF(G2610&lt;$H$10,$H$16,IF(G2610&gt;$I$10,$H$16,$H$11))*E2610/600</f>
        <v>5.5953397500000009E-2</v>
      </c>
      <c r="L2610" s="32">
        <f>$J2610*($G2610-$G2609)*60*24</f>
        <v>5.5953397499995339E-2</v>
      </c>
    </row>
    <row r="2611" spans="1:12">
      <c r="A2611" s="22">
        <v>40312.445138888892</v>
      </c>
      <c r="E2611" s="26">
        <v>152.513361</v>
      </c>
      <c r="G2611" s="27">
        <v>0.44513888888888892</v>
      </c>
      <c r="J2611" s="30">
        <f>IF(G2611&lt;$H$10,$H$16,IF(G2611&gt;$I$10,$H$16,$H$11))*E2611/600</f>
        <v>5.5921565700000002E-2</v>
      </c>
      <c r="L2611" s="32">
        <f>$J2611*($G2611-$G2610)*60*24</f>
        <v>5.5921565700004269E-2</v>
      </c>
    </row>
    <row r="2612" spans="1:12">
      <c r="A2612" s="22">
        <v>40312.445833333331</v>
      </c>
      <c r="E2612" s="26">
        <v>152.44329099999999</v>
      </c>
      <c r="G2612" s="27">
        <v>0.4458333333333333</v>
      </c>
      <c r="J2612" s="30">
        <f>IF(G2612&lt;$H$10,$H$16,IF(G2612&gt;$I$10,$H$16,$H$11))*E2612/600</f>
        <v>5.5895873366666668E-2</v>
      </c>
      <c r="L2612" s="32">
        <f>$J2612*($G2612-$G2611)*60*24</f>
        <v>5.5895873366662005E-2</v>
      </c>
    </row>
    <row r="2613" spans="1:12">
      <c r="A2613" s="22">
        <v>40312.446527777778</v>
      </c>
      <c r="E2613" s="26">
        <v>152.54148000000001</v>
      </c>
      <c r="G2613" s="27">
        <v>0.4465277777777778</v>
      </c>
      <c r="J2613" s="30">
        <f>IF(G2613&lt;$H$10,$H$16,IF(G2613&gt;$I$10,$H$16,$H$11))*E2613/600</f>
        <v>5.5931876000000005E-2</v>
      </c>
      <c r="L2613" s="32">
        <f>$J2613*($G2613-$G2612)*60*24</f>
        <v>5.5931876000004273E-2</v>
      </c>
    </row>
    <row r="2614" spans="1:12">
      <c r="A2614" s="22">
        <v>40312.447222222225</v>
      </c>
      <c r="E2614" s="26">
        <v>152.954984</v>
      </c>
      <c r="G2614" s="27">
        <v>0.44722222222222219</v>
      </c>
      <c r="J2614" s="30">
        <f>IF(G2614&lt;$H$10,$H$16,IF(G2614&gt;$I$10,$H$16,$H$11))*E2614/600</f>
        <v>5.6083494133333335E-2</v>
      </c>
      <c r="L2614" s="32">
        <f>$J2614*($G2614-$G2613)*60*24</f>
        <v>5.6083494133328651E-2</v>
      </c>
    </row>
    <row r="2615" spans="1:12">
      <c r="A2615" s="22">
        <v>40312.447916666664</v>
      </c>
      <c r="E2615" s="26">
        <v>152.94115199999999</v>
      </c>
      <c r="G2615" s="27">
        <v>0.44791666666666669</v>
      </c>
      <c r="J2615" s="30">
        <f>IF(G2615&lt;$H$10,$H$16,IF(G2615&gt;$I$10,$H$16,$H$11))*E2615/600</f>
        <v>5.6078422400000001E-2</v>
      </c>
      <c r="L2615" s="32">
        <f>$J2615*($G2615-$G2614)*60*24</f>
        <v>5.6078422400004282E-2</v>
      </c>
    </row>
    <row r="2616" spans="1:12">
      <c r="A2616" s="22">
        <v>40312.448611111111</v>
      </c>
      <c r="E2616" s="26">
        <v>152.78899999999999</v>
      </c>
      <c r="G2616" s="27">
        <v>0.44861111111111113</v>
      </c>
      <c r="J2616" s="30">
        <f>IF(G2616&lt;$H$10,$H$16,IF(G2616&gt;$I$10,$H$16,$H$11))*E2616/600</f>
        <v>5.6022633333333328E-2</v>
      </c>
      <c r="L2616" s="32">
        <f>$J2616*($G2616-$G2615)*60*24</f>
        <v>5.6022633333333127E-2</v>
      </c>
    </row>
    <row r="2617" spans="1:12">
      <c r="A2617" s="22">
        <v>40312.449305555558</v>
      </c>
      <c r="E2617" s="26">
        <v>152.966632</v>
      </c>
      <c r="G2617" s="27">
        <v>0.44930555555555557</v>
      </c>
      <c r="J2617" s="30">
        <f>IF(G2617&lt;$H$10,$H$16,IF(G2617&gt;$I$10,$H$16,$H$11))*E2617/600</f>
        <v>5.608776506666667E-2</v>
      </c>
      <c r="L2617" s="32">
        <f>$J2617*($G2617-$G2616)*60*24</f>
        <v>5.6087765066666462E-2</v>
      </c>
    </row>
    <row r="2618" spans="1:12">
      <c r="A2618" s="22">
        <v>40312.449999999997</v>
      </c>
      <c r="E2618" s="26">
        <v>152.47486799999999</v>
      </c>
      <c r="G2618" s="27">
        <v>0.45</v>
      </c>
      <c r="J2618" s="30">
        <f>IF(G2618&lt;$H$10,$H$16,IF(G2618&gt;$I$10,$H$16,$H$11))*E2618/600</f>
        <v>5.5907451599999998E-2</v>
      </c>
      <c r="L2618" s="32">
        <f>$J2618*($G2618-$G2617)*60*24</f>
        <v>5.5907451599999797E-2</v>
      </c>
    </row>
    <row r="2619" spans="1:12">
      <c r="A2619" s="22">
        <v>40312.450694444444</v>
      </c>
      <c r="E2619" s="26">
        <v>153.442016</v>
      </c>
      <c r="G2619" s="27">
        <v>0.45069444444444445</v>
      </c>
      <c r="J2619" s="30">
        <f>IF(G2619&lt;$H$10,$H$16,IF(G2619&gt;$I$10,$H$16,$H$11))*E2619/600</f>
        <v>5.6262072533333325E-2</v>
      </c>
      <c r="L2619" s="32">
        <f>$J2619*($G2619-$G2618)*60*24</f>
        <v>5.6262072533333131E-2</v>
      </c>
    </row>
    <row r="2620" spans="1:12">
      <c r="A2620" s="22">
        <v>40312.451388888891</v>
      </c>
      <c r="E2620" s="26">
        <v>152.54148000000001</v>
      </c>
      <c r="G2620" s="27">
        <v>0.4513888888888889</v>
      </c>
      <c r="J2620" s="30">
        <f>IF(G2620&lt;$H$10,$H$16,IF(G2620&gt;$I$10,$H$16,$H$11))*E2620/600</f>
        <v>5.5931876000000005E-2</v>
      </c>
      <c r="L2620" s="32">
        <f>$J2620*($G2620-$G2619)*60*24</f>
        <v>5.5931875999999811E-2</v>
      </c>
    </row>
    <row r="2621" spans="1:12">
      <c r="A2621" s="22">
        <v>40312.45208333333</v>
      </c>
      <c r="E2621" s="26">
        <v>152.20841999999999</v>
      </c>
      <c r="G2621" s="27">
        <v>0.45208333333333334</v>
      </c>
      <c r="J2621" s="30">
        <f>IF(G2621&lt;$H$10,$H$16,IF(G2621&gt;$I$10,$H$16,$H$11))*E2621/600</f>
        <v>5.5809753999999996E-2</v>
      </c>
      <c r="L2621" s="32">
        <f>$J2621*($G2621-$G2620)*60*24</f>
        <v>5.5809753999999795E-2</v>
      </c>
    </row>
    <row r="2622" spans="1:12">
      <c r="A2622" s="22">
        <v>40312.452777777777</v>
      </c>
      <c r="E2622" s="26">
        <v>152.39961099999999</v>
      </c>
      <c r="G2622" s="27">
        <v>0.45277777777777778</v>
      </c>
      <c r="J2622" s="30">
        <f>IF(G2622&lt;$H$10,$H$16,IF(G2622&gt;$I$10,$H$16,$H$11))*E2622/600</f>
        <v>5.5879857366666667E-2</v>
      </c>
      <c r="L2622" s="32">
        <f>$J2622*($G2622-$G2621)*60*24</f>
        <v>5.5879857366666466E-2</v>
      </c>
    </row>
    <row r="2623" spans="1:12">
      <c r="A2623" s="22">
        <v>40312.453472222223</v>
      </c>
      <c r="E2623" s="26">
        <v>152.70164</v>
      </c>
      <c r="G2623" s="27">
        <v>0.45347222222222222</v>
      </c>
      <c r="J2623" s="30">
        <f>IF(G2623&lt;$H$10,$H$16,IF(G2623&gt;$I$10,$H$16,$H$11))*E2623/600</f>
        <v>5.5990601333333327E-2</v>
      </c>
      <c r="L2623" s="32">
        <f>$J2623*($G2623-$G2622)*60*24</f>
        <v>5.5990601333333126E-2</v>
      </c>
    </row>
    <row r="2624" spans="1:12">
      <c r="A2624" s="22">
        <v>40312.45416666667</v>
      </c>
      <c r="E2624" s="26">
        <v>153.110412</v>
      </c>
      <c r="G2624" s="27">
        <v>0.45416666666666666</v>
      </c>
      <c r="J2624" s="30">
        <f>IF(G2624&lt;$H$10,$H$16,IF(G2624&gt;$I$10,$H$16,$H$11))*E2624/600</f>
        <v>5.6140484400000003E-2</v>
      </c>
      <c r="L2624" s="32">
        <f>$J2624*($G2624-$G2623)*60*24</f>
        <v>5.6140484399999795E-2</v>
      </c>
    </row>
    <row r="2625" spans="1:12">
      <c r="A2625" s="22">
        <v>40312.454861111109</v>
      </c>
      <c r="E2625" s="26">
        <v>153.42581799999999</v>
      </c>
      <c r="G2625" s="27">
        <v>0.4548611111111111</v>
      </c>
      <c r="J2625" s="30">
        <f>IF(G2625&lt;$H$10,$H$16,IF(G2625&gt;$I$10,$H$16,$H$11))*E2625/600</f>
        <v>5.6256133266666668E-2</v>
      </c>
      <c r="L2625" s="32">
        <f>$J2625*($G2625-$G2624)*60*24</f>
        <v>5.6256133266666467E-2</v>
      </c>
    </row>
    <row r="2626" spans="1:12">
      <c r="A2626" s="22">
        <v>40312.455555555556</v>
      </c>
      <c r="E2626" s="26">
        <v>152.973184</v>
      </c>
      <c r="G2626" s="27">
        <v>0.45555555555555555</v>
      </c>
      <c r="J2626" s="30">
        <f>IF(G2626&lt;$H$10,$H$16,IF(G2626&gt;$I$10,$H$16,$H$11))*E2626/600</f>
        <v>5.6090167466666674E-2</v>
      </c>
      <c r="L2626" s="32">
        <f>$J2626*($G2626-$G2625)*60*24</f>
        <v>5.6090167466666473E-2</v>
      </c>
    </row>
    <row r="2627" spans="1:12">
      <c r="A2627" s="22">
        <v>40312.456250000003</v>
      </c>
      <c r="E2627" s="26">
        <v>152.665695</v>
      </c>
      <c r="G2627" s="27">
        <v>0.45624999999999999</v>
      </c>
      <c r="J2627" s="30">
        <f>IF(G2627&lt;$H$10,$H$16,IF(G2627&gt;$I$10,$H$16,$H$11))*E2627/600</f>
        <v>5.5977421499999999E-2</v>
      </c>
      <c r="L2627" s="32">
        <f>$J2627*($G2627-$G2626)*60*24</f>
        <v>5.5977421499999791E-2</v>
      </c>
    </row>
    <row r="2628" spans="1:12">
      <c r="A2628" s="22">
        <v>40312.456944444442</v>
      </c>
      <c r="E2628" s="26">
        <v>152.845056</v>
      </c>
      <c r="G2628" s="27">
        <v>0.45694444444444443</v>
      </c>
      <c r="J2628" s="30">
        <f>IF(G2628&lt;$H$10,$H$16,IF(G2628&gt;$I$10,$H$16,$H$11))*E2628/600</f>
        <v>5.6043187199999997E-2</v>
      </c>
      <c r="L2628" s="32">
        <f>$J2628*($G2628-$G2627)*60*24</f>
        <v>5.6043187199999803E-2</v>
      </c>
    </row>
    <row r="2629" spans="1:12">
      <c r="A2629" s="22">
        <v>40312.457638888889</v>
      </c>
      <c r="E2629" s="26">
        <v>153.20760000000001</v>
      </c>
      <c r="G2629" s="27">
        <v>0.45763888888888887</v>
      </c>
      <c r="J2629" s="30">
        <f>IF(G2629&lt;$H$10,$H$16,IF(G2629&gt;$I$10,$H$16,$H$11))*E2629/600</f>
        <v>5.6176120000000003E-2</v>
      </c>
      <c r="L2629" s="32">
        <f>$J2629*($G2629-$G2628)*60*24</f>
        <v>5.6176119999999802E-2</v>
      </c>
    </row>
    <row r="2630" spans="1:12">
      <c r="A2630" s="22">
        <v>40312.458333333336</v>
      </c>
      <c r="E2630" s="26">
        <v>153.10386</v>
      </c>
      <c r="G2630" s="27">
        <v>0.45833333333333331</v>
      </c>
      <c r="J2630" s="30">
        <f>IF(G2630&lt;$H$10,$H$16,IF(G2630&gt;$I$10,$H$16,$H$11))*E2630/600</f>
        <v>5.6138081999999999E-2</v>
      </c>
      <c r="L2630" s="32">
        <f>$J2630*($G2630-$G2629)*60*24</f>
        <v>5.6138081999999798E-2</v>
      </c>
    </row>
    <row r="2631" spans="1:12">
      <c r="A2631" s="22">
        <v>40312.459027777775</v>
      </c>
      <c r="E2631" s="26">
        <v>152.79810000000001</v>
      </c>
      <c r="G2631" s="27">
        <v>0.45902777777777781</v>
      </c>
      <c r="J2631" s="30">
        <f>IF(G2631&lt;$H$10,$H$16,IF(G2631&gt;$I$10,$H$16,$H$11))*E2631/600</f>
        <v>5.6025970000000008E-2</v>
      </c>
      <c r="L2631" s="32">
        <f>$J2631*($G2631-$G2630)*60*24</f>
        <v>5.602597000000429E-2</v>
      </c>
    </row>
    <row r="2632" spans="1:12">
      <c r="A2632" s="22">
        <v>40312.459722222222</v>
      </c>
      <c r="E2632" s="26">
        <v>152.53265300000001</v>
      </c>
      <c r="G2632" s="27">
        <v>0.4597222222222222</v>
      </c>
      <c r="J2632" s="30">
        <f>IF(G2632&lt;$H$10,$H$16,IF(G2632&gt;$I$10,$H$16,$H$11))*E2632/600</f>
        <v>5.592863943333333E-2</v>
      </c>
      <c r="L2632" s="32">
        <f>$J2632*($G2632-$G2631)*60*24</f>
        <v>5.5928639433328653E-2</v>
      </c>
    </row>
    <row r="2633" spans="1:12">
      <c r="A2633" s="22">
        <v>40312.460416666669</v>
      </c>
      <c r="E2633" s="26">
        <v>152.163375</v>
      </c>
      <c r="G2633" s="27">
        <v>0.4604166666666667</v>
      </c>
      <c r="J2633" s="30">
        <f>IF(G2633&lt;$H$10,$H$16,IF(G2633&gt;$I$10,$H$16,$H$11))*E2633/600</f>
        <v>5.5793237500000002E-2</v>
      </c>
      <c r="L2633" s="32">
        <f>$J2633*($G2633-$G2632)*60*24</f>
        <v>5.5793237500004263E-2</v>
      </c>
    </row>
    <row r="2634" spans="1:12">
      <c r="A2634" s="22">
        <v>40312.461111111108</v>
      </c>
      <c r="E2634" s="26">
        <v>152.41635500000001</v>
      </c>
      <c r="G2634" s="27">
        <v>0.46111111111111108</v>
      </c>
      <c r="J2634" s="30">
        <f>IF(G2634&lt;$H$10,$H$16,IF(G2634&gt;$I$10,$H$16,$H$11))*E2634/600</f>
        <v>5.588599683333334E-2</v>
      </c>
      <c r="L2634" s="32">
        <f>$J2634*($G2634-$G2633)*60*24</f>
        <v>5.5885996833328677E-2</v>
      </c>
    </row>
    <row r="2635" spans="1:12">
      <c r="A2635" s="22">
        <v>40312.461805555555</v>
      </c>
      <c r="E2635" s="26">
        <v>152.35957099999999</v>
      </c>
      <c r="G2635" s="27">
        <v>0.46180555555555558</v>
      </c>
      <c r="J2635" s="30">
        <f>IF(G2635&lt;$H$10,$H$16,IF(G2635&gt;$I$10,$H$16,$H$11))*E2635/600</f>
        <v>5.5865176033333332E-2</v>
      </c>
      <c r="L2635" s="32">
        <f>$J2635*($G2635-$G2634)*60*24</f>
        <v>5.5865176033337599E-2</v>
      </c>
    </row>
    <row r="2636" spans="1:12">
      <c r="A2636" s="22">
        <v>40312.462500000001</v>
      </c>
      <c r="E2636" s="26">
        <v>154.04480000000001</v>
      </c>
      <c r="G2636" s="27">
        <v>0.46249999999999997</v>
      </c>
      <c r="J2636" s="30">
        <f>IF(G2636&lt;$H$10,$H$16,IF(G2636&gt;$I$10,$H$16,$H$11))*E2636/600</f>
        <v>5.6483093333333338E-2</v>
      </c>
      <c r="L2636" s="32">
        <f>$J2636*($G2636-$G2635)*60*24</f>
        <v>5.6483093333328627E-2</v>
      </c>
    </row>
    <row r="2637" spans="1:12">
      <c r="A2637" s="22">
        <v>40312.463194444441</v>
      </c>
      <c r="E2637" s="26">
        <v>153.528864</v>
      </c>
      <c r="G2637" s="27">
        <v>0.46319444444444446</v>
      </c>
      <c r="J2637" s="30">
        <f>IF(G2637&lt;$H$10,$H$16,IF(G2637&gt;$I$10,$H$16,$H$11))*E2637/600</f>
        <v>5.6293916800000003E-2</v>
      </c>
      <c r="L2637" s="32">
        <f>$J2637*($G2637-$G2636)*60*24</f>
        <v>5.6293916800004298E-2</v>
      </c>
    </row>
    <row r="2638" spans="1:12">
      <c r="A2638" s="22">
        <v>40312.463888888888</v>
      </c>
      <c r="E2638" s="26">
        <v>152.965824</v>
      </c>
      <c r="G2638" s="27">
        <v>0.46388888888888885</v>
      </c>
      <c r="J2638" s="30">
        <f>IF(G2638&lt;$H$10,$H$16,IF(G2638&gt;$I$10,$H$16,$H$11))*E2638/600</f>
        <v>5.6087468799999991E-2</v>
      </c>
      <c r="L2638" s="32">
        <f>$J2638*($G2638-$G2637)*60*24</f>
        <v>5.6087468799995308E-2</v>
      </c>
    </row>
    <row r="2639" spans="1:12">
      <c r="A2639" s="22">
        <v>40312.464583333334</v>
      </c>
      <c r="E2639" s="26">
        <v>154.55926400000001</v>
      </c>
      <c r="G2639" s="27">
        <v>0.46458333333333335</v>
      </c>
      <c r="J2639" s="30">
        <f>IF(G2639&lt;$H$10,$H$16,IF(G2639&gt;$I$10,$H$16,$H$11))*E2639/600</f>
        <v>5.6671730133333341E-2</v>
      </c>
      <c r="L2639" s="32">
        <f>$J2639*($G2639-$G2638)*60*24</f>
        <v>5.6671730133337671E-2</v>
      </c>
    </row>
    <row r="2640" spans="1:12">
      <c r="A2640" s="22">
        <v>40312.465277777781</v>
      </c>
      <c r="E2640" s="26">
        <v>153.80265600000001</v>
      </c>
      <c r="G2640" s="27">
        <v>0.46527777777777773</v>
      </c>
      <c r="J2640" s="30">
        <f>IF(G2640&lt;$H$10,$H$16,IF(G2640&gt;$I$10,$H$16,$H$11))*E2640/600</f>
        <v>5.63943072E-2</v>
      </c>
      <c r="L2640" s="32">
        <f>$J2640*($G2640-$G2639)*60*24</f>
        <v>5.6394307199995289E-2</v>
      </c>
    </row>
    <row r="2641" spans="1:12">
      <c r="A2641" s="22">
        <v>40312.46597222222</v>
      </c>
      <c r="E2641" s="26">
        <v>153.22875999999999</v>
      </c>
      <c r="G2641" s="27">
        <v>0.46597222222222223</v>
      </c>
      <c r="J2641" s="30">
        <f>IF(G2641&lt;$H$10,$H$16,IF(G2641&gt;$I$10,$H$16,$H$11))*E2641/600</f>
        <v>5.6183878666666673E-2</v>
      </c>
      <c r="L2641" s="32">
        <f>$J2641*($G2641-$G2640)*60*24</f>
        <v>5.6183878666670961E-2</v>
      </c>
    </row>
    <row r="2642" spans="1:12">
      <c r="A2642" s="22">
        <v>40312.466666666667</v>
      </c>
      <c r="E2642" s="26">
        <v>153.10787199999999</v>
      </c>
      <c r="G2642" s="27">
        <v>0.46666666666666662</v>
      </c>
      <c r="J2642" s="30">
        <f>IF(G2642&lt;$H$10,$H$16,IF(G2642&gt;$I$10,$H$16,$H$11))*E2642/600</f>
        <v>5.6139553066666667E-2</v>
      </c>
      <c r="L2642" s="32">
        <f>$J2642*($G2642-$G2641)*60*24</f>
        <v>5.6139553066661976E-2</v>
      </c>
    </row>
    <row r="2643" spans="1:12">
      <c r="A2643" s="22">
        <v>40312.467361111114</v>
      </c>
      <c r="E2643" s="26">
        <v>153.048348</v>
      </c>
      <c r="G2643" s="27">
        <v>0.46736111111111112</v>
      </c>
      <c r="J2643" s="30">
        <f>IF(G2643&lt;$H$10,$H$16,IF(G2643&gt;$I$10,$H$16,$H$11))*E2643/600</f>
        <v>5.61177276E-2</v>
      </c>
      <c r="L2643" s="32">
        <f>$J2643*($G2643-$G2642)*60*24</f>
        <v>5.6117727600004295E-2</v>
      </c>
    </row>
    <row r="2644" spans="1:12">
      <c r="A2644" s="22">
        <v>40312.468055555553</v>
      </c>
      <c r="E2644" s="26">
        <v>153.31514799999999</v>
      </c>
      <c r="G2644" s="27">
        <v>0.4680555555555555</v>
      </c>
      <c r="J2644" s="30">
        <f>IF(G2644&lt;$H$10,$H$16,IF(G2644&gt;$I$10,$H$16,$H$11))*E2644/600</f>
        <v>5.6215554266666662E-2</v>
      </c>
      <c r="L2644" s="32">
        <f>$J2644*($G2644-$G2643)*60*24</f>
        <v>5.6215554266661971E-2</v>
      </c>
    </row>
    <row r="2645" spans="1:12">
      <c r="A2645" s="22">
        <v>40312.46875</v>
      </c>
      <c r="E2645" s="26">
        <v>153.048348</v>
      </c>
      <c r="G2645" s="27">
        <v>0.46875</v>
      </c>
      <c r="J2645" s="30">
        <f>IF(G2645&lt;$H$10,$H$16,IF(G2645&gt;$I$10,$H$16,$H$11))*E2645/600</f>
        <v>5.61177276E-2</v>
      </c>
      <c r="L2645" s="32">
        <f>$J2645*($G2645-$G2644)*60*24</f>
        <v>5.6117727600004295E-2</v>
      </c>
    </row>
    <row r="2646" spans="1:12">
      <c r="A2646" s="22">
        <v>40312.469444444447</v>
      </c>
      <c r="E2646" s="26">
        <v>153.80376000000001</v>
      </c>
      <c r="G2646" s="27">
        <v>0.4694444444444445</v>
      </c>
      <c r="J2646" s="30">
        <f>IF(G2646&lt;$H$10,$H$16,IF(G2646&gt;$I$10,$H$16,$H$11))*E2646/600</f>
        <v>5.6394712000000007E-2</v>
      </c>
      <c r="L2646" s="32">
        <f>$J2646*($G2646-$G2645)*60*24</f>
        <v>5.6394712000004316E-2</v>
      </c>
    </row>
    <row r="2647" spans="1:12">
      <c r="A2647" s="22">
        <v>40312.470138888886</v>
      </c>
      <c r="E2647" s="26">
        <v>155.45699999999999</v>
      </c>
      <c r="G2647" s="27">
        <v>0.47013888888888888</v>
      </c>
      <c r="J2647" s="30">
        <f>IF(G2647&lt;$H$10,$H$16,IF(G2647&gt;$I$10,$H$16,$H$11))*E2647/600</f>
        <v>5.7000899999999993E-2</v>
      </c>
      <c r="L2647" s="32">
        <f>$J2647*($G2647-$G2646)*60*24</f>
        <v>5.7000899999995226E-2</v>
      </c>
    </row>
    <row r="2648" spans="1:12">
      <c r="A2648" s="22">
        <v>40312.470833333333</v>
      </c>
      <c r="E2648" s="26">
        <v>153.372648</v>
      </c>
      <c r="G2648" s="27">
        <v>0.47083333333333338</v>
      </c>
      <c r="J2648" s="30">
        <f>IF(G2648&lt;$H$10,$H$16,IF(G2648&gt;$I$10,$H$16,$H$11))*E2648/600</f>
        <v>5.6236637599999993E-2</v>
      </c>
      <c r="L2648" s="32">
        <f>$J2648*($G2648-$G2647)*60*24</f>
        <v>5.6236637600004281E-2</v>
      </c>
    </row>
    <row r="2649" spans="1:12">
      <c r="A2649" s="22">
        <v>40312.47152777778</v>
      </c>
      <c r="E2649" s="26">
        <v>154.14277999999999</v>
      </c>
      <c r="G2649" s="27">
        <v>0.47152777777777777</v>
      </c>
      <c r="J2649" s="30">
        <f>IF(G2649&lt;$H$10,$H$16,IF(G2649&gt;$I$10,$H$16,$H$11))*E2649/600</f>
        <v>5.6519019333333337E-2</v>
      </c>
      <c r="L2649" s="32">
        <f>$J2649*($G2649-$G2648)*60*24</f>
        <v>5.6519019333328618E-2</v>
      </c>
    </row>
    <row r="2650" spans="1:12">
      <c r="A2650" s="22">
        <v>40312.472222222219</v>
      </c>
      <c r="E2650" s="26">
        <v>153.304844</v>
      </c>
      <c r="G2650" s="27">
        <v>0.47222222222222227</v>
      </c>
      <c r="J2650" s="30">
        <f>IF(G2650&lt;$H$10,$H$16,IF(G2650&gt;$I$10,$H$16,$H$11))*E2650/600</f>
        <v>5.6211776133333335E-2</v>
      </c>
      <c r="L2650" s="32">
        <f>$J2650*($G2650-$G2649)*60*24</f>
        <v>5.6211776133337631E-2</v>
      </c>
    </row>
    <row r="2651" spans="1:12">
      <c r="A2651" s="22">
        <v>40312.472916666666</v>
      </c>
      <c r="E2651" s="26">
        <v>151.61591899999999</v>
      </c>
      <c r="G2651" s="27">
        <v>0.47291666666666665</v>
      </c>
      <c r="J2651" s="30">
        <f>IF(G2651&lt;$H$10,$H$16,IF(G2651&gt;$I$10,$H$16,$H$11))*E2651/600</f>
        <v>5.5592503633333325E-2</v>
      </c>
      <c r="L2651" s="32">
        <f>$J2651*($G2651-$G2650)*60*24</f>
        <v>5.5592503633328683E-2</v>
      </c>
    </row>
    <row r="2652" spans="1:12">
      <c r="A2652" s="22">
        <v>40312.473611111112</v>
      </c>
      <c r="E2652" s="26">
        <v>153.22692000000001</v>
      </c>
      <c r="G2652" s="27">
        <v>0.47361111111111115</v>
      </c>
      <c r="J2652" s="30">
        <f>IF(G2652&lt;$H$10,$H$16,IF(G2652&gt;$I$10,$H$16,$H$11))*E2652/600</f>
        <v>5.6183204000000007E-2</v>
      </c>
      <c r="L2652" s="32">
        <f>$J2652*($G2652-$G2651)*60*24</f>
        <v>5.6183204000004296E-2</v>
      </c>
    </row>
    <row r="2653" spans="1:12">
      <c r="A2653" s="22">
        <v>40312.474305555559</v>
      </c>
      <c r="E2653" s="26">
        <v>151.549216</v>
      </c>
      <c r="G2653" s="27">
        <v>0.47430555555555554</v>
      </c>
      <c r="J2653" s="30">
        <f>IF(G2653&lt;$H$10,$H$16,IF(G2653&gt;$I$10,$H$16,$H$11))*E2653/600</f>
        <v>5.5568045866666665E-2</v>
      </c>
      <c r="L2653" s="32">
        <f>$J2653*($G2653-$G2652)*60*24</f>
        <v>5.5568045866662016E-2</v>
      </c>
    </row>
    <row r="2654" spans="1:12">
      <c r="A2654" s="22">
        <v>40312.474999999999</v>
      </c>
      <c r="E2654" s="26">
        <v>153.45231999999999</v>
      </c>
      <c r="G2654" s="27">
        <v>0.47500000000000003</v>
      </c>
      <c r="J2654" s="30">
        <f>IF(G2654&lt;$H$10,$H$16,IF(G2654&gt;$I$10,$H$16,$H$11))*E2654/600</f>
        <v>5.6265850666666659E-2</v>
      </c>
      <c r="L2654" s="32">
        <f>$J2654*($G2654-$G2653)*60*24</f>
        <v>5.6265850666670947E-2</v>
      </c>
    </row>
    <row r="2655" spans="1:12">
      <c r="A2655" s="22">
        <v>40312.475694444445</v>
      </c>
      <c r="E2655" s="26">
        <v>153.70025999999999</v>
      </c>
      <c r="G2655" s="27">
        <v>0.47569444444444442</v>
      </c>
      <c r="J2655" s="30">
        <f>IF(G2655&lt;$H$10,$H$16,IF(G2655&gt;$I$10,$H$16,$H$11))*E2655/600</f>
        <v>5.6356761999999998E-2</v>
      </c>
      <c r="L2655" s="32">
        <f>$J2655*($G2655-$G2654)*60*24</f>
        <v>5.6356761999995293E-2</v>
      </c>
    </row>
    <row r="2656" spans="1:12">
      <c r="A2656" s="22">
        <v>40312.476388888892</v>
      </c>
      <c r="E2656" s="26">
        <v>152.94115199999999</v>
      </c>
      <c r="G2656" s="27">
        <v>0.47638888888888892</v>
      </c>
      <c r="J2656" s="30">
        <f>IF(G2656&lt;$H$10,$H$16,IF(G2656&gt;$I$10,$H$16,$H$11))*E2656/600</f>
        <v>5.6078422400000001E-2</v>
      </c>
      <c r="L2656" s="32">
        <f>$J2656*($G2656-$G2655)*60*24</f>
        <v>5.6078422400004282E-2</v>
      </c>
    </row>
    <row r="2657" spans="1:12">
      <c r="A2657" s="22">
        <v>40312.477083333331</v>
      </c>
      <c r="E2657" s="26">
        <v>152.23025999999999</v>
      </c>
      <c r="G2657" s="27">
        <v>0.4770833333333333</v>
      </c>
      <c r="J2657" s="30">
        <f>IF(G2657&lt;$H$10,$H$16,IF(G2657&gt;$I$10,$H$16,$H$11))*E2657/600</f>
        <v>5.5817761999999993E-2</v>
      </c>
      <c r="L2657" s="32">
        <f>$J2657*($G2657-$G2656)*60*24</f>
        <v>5.581776199999533E-2</v>
      </c>
    </row>
    <row r="2658" spans="1:12">
      <c r="A2658" s="22">
        <v>40312.477777777778</v>
      </c>
      <c r="E2658" s="26">
        <v>163.18803600000001</v>
      </c>
      <c r="G2658" s="27">
        <v>0.4777777777777778</v>
      </c>
      <c r="J2658" s="30">
        <f>IF(G2658&lt;$H$10,$H$16,IF(G2658&gt;$I$10,$H$16,$H$11))*E2658/600</f>
        <v>5.9835613200000012E-2</v>
      </c>
      <c r="L2658" s="32">
        <f>$J2658*($G2658-$G2657)*60*24</f>
        <v>5.9835613200004592E-2</v>
      </c>
    </row>
    <row r="2659" spans="1:12">
      <c r="A2659" s="22">
        <v>40312.478472222225</v>
      </c>
      <c r="E2659" s="26">
        <v>175.93042500000001</v>
      </c>
      <c r="G2659" s="27">
        <v>0.47847222222222219</v>
      </c>
      <c r="J2659" s="30">
        <f>IF(G2659&lt;$H$10,$H$16,IF(G2659&gt;$I$10,$H$16,$H$11))*E2659/600</f>
        <v>6.4507822500000006E-2</v>
      </c>
      <c r="L2659" s="32">
        <f>$J2659*($G2659-$G2658)*60*24</f>
        <v>6.4507822499994621E-2</v>
      </c>
    </row>
    <row r="2660" spans="1:12">
      <c r="A2660" s="22">
        <v>40312.479166666664</v>
      </c>
      <c r="E2660" s="26">
        <v>175.87713600000001</v>
      </c>
      <c r="G2660" s="27">
        <v>0.47916666666666669</v>
      </c>
      <c r="J2660" s="30">
        <f>IF(G2660&lt;$H$10,$H$16,IF(G2660&gt;$I$10,$H$16,$H$11))*E2660/600</f>
        <v>6.448828320000001E-2</v>
      </c>
      <c r="L2660" s="32">
        <f>$J2660*($G2660-$G2659)*60*24</f>
        <v>6.4488283200004937E-2</v>
      </c>
    </row>
    <row r="2661" spans="1:12">
      <c r="A2661" s="22">
        <v>40312.479861111111</v>
      </c>
      <c r="E2661" s="26">
        <v>175.445244</v>
      </c>
      <c r="G2661" s="27">
        <v>0.47986111111111113</v>
      </c>
      <c r="J2661" s="30">
        <f>IF(G2661&lt;$H$10,$H$16,IF(G2661&gt;$I$10,$H$16,$H$11))*E2661/600</f>
        <v>6.4329922800000008E-2</v>
      </c>
      <c r="L2661" s="32">
        <f>$J2661*($G2661-$G2660)*60*24</f>
        <v>6.4329922799999772E-2</v>
      </c>
    </row>
    <row r="2662" spans="1:12">
      <c r="A2662" s="22">
        <v>40312.480555555558</v>
      </c>
      <c r="E2662" s="26">
        <v>171.82773</v>
      </c>
      <c r="G2662" s="27">
        <v>0.48055555555555557</v>
      </c>
      <c r="J2662" s="30">
        <f>IF(G2662&lt;$H$10,$H$16,IF(G2662&gt;$I$10,$H$16,$H$11))*E2662/600</f>
        <v>6.3003501000000003E-2</v>
      </c>
      <c r="L2662" s="32">
        <f>$J2662*($G2662-$G2661)*60*24</f>
        <v>6.3003500999999767E-2</v>
      </c>
    </row>
    <row r="2663" spans="1:12">
      <c r="A2663" s="22">
        <v>40312.481249999997</v>
      </c>
      <c r="E2663" s="26">
        <v>154.25409999999999</v>
      </c>
      <c r="G2663" s="27">
        <v>0.48125000000000001</v>
      </c>
      <c r="J2663" s="30">
        <f>IF(G2663&lt;$H$10,$H$16,IF(G2663&gt;$I$10,$H$16,$H$11))*E2663/600</f>
        <v>5.6559836666666662E-2</v>
      </c>
      <c r="L2663" s="32">
        <f>$J2663*($G2663-$G2662)*60*24</f>
        <v>5.6559836666666453E-2</v>
      </c>
    </row>
    <row r="2664" spans="1:12">
      <c r="A2664" s="22">
        <v>40312.481944444444</v>
      </c>
      <c r="E2664" s="26">
        <v>153.23225600000001</v>
      </c>
      <c r="G2664" s="27">
        <v>0.48194444444444445</v>
      </c>
      <c r="J2664" s="30">
        <f>IF(G2664&lt;$H$10,$H$16,IF(G2664&gt;$I$10,$H$16,$H$11))*E2664/600</f>
        <v>5.6185160533333341E-2</v>
      </c>
      <c r="L2664" s="32">
        <f>$J2664*($G2664-$G2663)*60*24</f>
        <v>5.6185160533333139E-2</v>
      </c>
    </row>
    <row r="2665" spans="1:12">
      <c r="A2665" s="22">
        <v>40312.482638888891</v>
      </c>
      <c r="E2665" s="26">
        <v>152.01613699999999</v>
      </c>
      <c r="G2665" s="27">
        <v>0.4826388888888889</v>
      </c>
      <c r="J2665" s="30">
        <f>IF(G2665&lt;$H$10,$H$16,IF(G2665&gt;$I$10,$H$16,$H$11))*E2665/600</f>
        <v>5.5739250233333329E-2</v>
      </c>
      <c r="L2665" s="32">
        <f>$J2665*($G2665-$G2664)*60*24</f>
        <v>5.5739250233333135E-2</v>
      </c>
    </row>
    <row r="2666" spans="1:12">
      <c r="A2666" s="22">
        <v>40312.48333333333</v>
      </c>
      <c r="E2666" s="26">
        <v>153.56502</v>
      </c>
      <c r="G2666" s="27">
        <v>0.48333333333333334</v>
      </c>
      <c r="J2666" s="30">
        <f>IF(G2666&lt;$H$10,$H$16,IF(G2666&gt;$I$10,$H$16,$H$11))*E2666/600</f>
        <v>5.6307174000000008E-2</v>
      </c>
      <c r="L2666" s="32">
        <f>$J2666*($G2666-$G2665)*60*24</f>
        <v>5.6307173999999821E-2</v>
      </c>
    </row>
    <row r="2667" spans="1:12">
      <c r="A2667" s="22">
        <v>40312.484027777777</v>
      </c>
      <c r="E2667" s="26">
        <v>151.489338</v>
      </c>
      <c r="G2667" s="27">
        <v>0.48402777777777778</v>
      </c>
      <c r="J2667" s="30">
        <f>IF(G2667&lt;$H$10,$H$16,IF(G2667&gt;$I$10,$H$16,$H$11))*E2667/600</f>
        <v>5.5546090600000007E-2</v>
      </c>
      <c r="L2667" s="32">
        <f>$J2667*($G2667-$G2666)*60*24</f>
        <v>5.5546090599999806E-2</v>
      </c>
    </row>
    <row r="2668" spans="1:12">
      <c r="A2668" s="22">
        <v>40312.484722222223</v>
      </c>
      <c r="E2668" s="26">
        <v>152.282949</v>
      </c>
      <c r="G2668" s="27">
        <v>0.48472222222222222</v>
      </c>
      <c r="J2668" s="30">
        <f>IF(G2668&lt;$H$10,$H$16,IF(G2668&gt;$I$10,$H$16,$H$11))*E2668/600</f>
        <v>5.5837081300000001E-2</v>
      </c>
      <c r="L2668" s="32">
        <f>$J2668*($G2668-$G2667)*60*24</f>
        <v>5.58370812999998E-2</v>
      </c>
    </row>
    <row r="2669" spans="1:12">
      <c r="A2669" s="22">
        <v>40312.48541666667</v>
      </c>
      <c r="E2669" s="26">
        <v>151.692632</v>
      </c>
      <c r="G2669" s="27">
        <v>0.48541666666666666</v>
      </c>
      <c r="J2669" s="30">
        <f>IF(G2669&lt;$H$10,$H$16,IF(G2669&gt;$I$10,$H$16,$H$11))*E2669/600</f>
        <v>5.5620631733333328E-2</v>
      </c>
      <c r="L2669" s="32">
        <f>$J2669*($G2669-$G2668)*60*24</f>
        <v>5.5620631733333127E-2</v>
      </c>
    </row>
    <row r="2670" spans="1:12">
      <c r="A2670" s="22">
        <v>40312.486111111109</v>
      </c>
      <c r="E2670" s="26">
        <v>152.172202</v>
      </c>
      <c r="G2670" s="27">
        <v>0.4861111111111111</v>
      </c>
      <c r="J2670" s="30">
        <f>IF(G2670&lt;$H$10,$H$16,IF(G2670&gt;$I$10,$H$16,$H$11))*E2670/600</f>
        <v>5.5796474066666664E-2</v>
      </c>
      <c r="L2670" s="32">
        <f>$J2670*($G2670-$G2669)*60*24</f>
        <v>5.5796474066666463E-2</v>
      </c>
    </row>
    <row r="2671" spans="1:12">
      <c r="A2671" s="22">
        <v>40312.486805555556</v>
      </c>
      <c r="E2671" s="26">
        <v>152.13744</v>
      </c>
      <c r="G2671" s="27">
        <v>0.48680555555555555</v>
      </c>
      <c r="J2671" s="30">
        <f>IF(G2671&lt;$H$10,$H$16,IF(G2671&gt;$I$10,$H$16,$H$11))*E2671/600</f>
        <v>5.5783728000000005E-2</v>
      </c>
      <c r="L2671" s="32">
        <f>$J2671*($G2671-$G2670)*60*24</f>
        <v>5.578372799999981E-2</v>
      </c>
    </row>
    <row r="2672" spans="1:12">
      <c r="A2672" s="22">
        <v>40312.487500000003</v>
      </c>
      <c r="E2672" s="26">
        <v>153.74049600000001</v>
      </c>
      <c r="G2672" s="27">
        <v>0.48749999999999999</v>
      </c>
      <c r="J2672" s="30">
        <f>IF(G2672&lt;$H$10,$H$16,IF(G2672&gt;$I$10,$H$16,$H$11))*E2672/600</f>
        <v>5.63715152E-2</v>
      </c>
      <c r="L2672" s="32">
        <f>$J2672*($G2672-$G2671)*60*24</f>
        <v>5.6371515199999792E-2</v>
      </c>
    </row>
    <row r="2673" spans="1:12">
      <c r="A2673" s="22">
        <v>40312.488194444442</v>
      </c>
      <c r="E2673" s="26">
        <v>163.39751999999999</v>
      </c>
      <c r="G2673" s="27">
        <v>0.48819444444444443</v>
      </c>
      <c r="J2673" s="30">
        <f>IF(G2673&lt;$H$10,$H$16,IF(G2673&gt;$I$10,$H$16,$H$11))*E2673/600</f>
        <v>5.9912423999999999E-2</v>
      </c>
      <c r="L2673" s="32">
        <f>$J2673*($G2673-$G2672)*60*24</f>
        <v>5.9912423999999784E-2</v>
      </c>
    </row>
    <row r="2674" spans="1:12">
      <c r="A2674" s="22">
        <v>40312.488888888889</v>
      </c>
      <c r="E2674" s="26">
        <v>153.20741799999999</v>
      </c>
      <c r="G2674" s="27">
        <v>0.48888888888888887</v>
      </c>
      <c r="J2674" s="30">
        <f>IF(G2674&lt;$H$10,$H$16,IF(G2674&gt;$I$10,$H$16,$H$11))*E2674/600</f>
        <v>5.6176053266666665E-2</v>
      </c>
      <c r="L2674" s="32">
        <f>$J2674*($G2674-$G2673)*60*24</f>
        <v>5.617605326666647E-2</v>
      </c>
    </row>
    <row r="2675" spans="1:12">
      <c r="A2675" s="22">
        <v>40312.489583333336</v>
      </c>
      <c r="E2675" s="26">
        <v>154.66708800000001</v>
      </c>
      <c r="G2675" s="27">
        <v>0.48958333333333331</v>
      </c>
      <c r="J2675" s="30">
        <f>IF(G2675&lt;$H$10,$H$16,IF(G2675&gt;$I$10,$H$16,$H$11))*E2675/600</f>
        <v>5.6711265599999998E-2</v>
      </c>
      <c r="L2675" s="32">
        <f>$J2675*($G2675-$G2674)*60*24</f>
        <v>5.6711265599999797E-2</v>
      </c>
    </row>
    <row r="2676" spans="1:12">
      <c r="A2676" s="22">
        <v>40312.490277777775</v>
      </c>
      <c r="E2676" s="26">
        <v>153.356088</v>
      </c>
      <c r="G2676" s="27">
        <v>0.49027777777777781</v>
      </c>
      <c r="J2676" s="30">
        <f>IF(G2676&lt;$H$10,$H$16,IF(G2676&gt;$I$10,$H$16,$H$11))*E2676/600</f>
        <v>5.6230565599999997E-2</v>
      </c>
      <c r="L2676" s="32">
        <f>$J2676*($G2676-$G2675)*60*24</f>
        <v>5.6230565600004292E-2</v>
      </c>
    </row>
    <row r="2677" spans="1:12">
      <c r="A2677" s="22">
        <v>40312.490972222222</v>
      </c>
      <c r="E2677" s="26">
        <v>153.044668</v>
      </c>
      <c r="G2677" s="27">
        <v>0.4909722222222222</v>
      </c>
      <c r="J2677" s="30">
        <f>IF(G2677&lt;$H$10,$H$16,IF(G2677&gt;$I$10,$H$16,$H$11))*E2677/600</f>
        <v>5.6116378266666669E-2</v>
      </c>
      <c r="L2677" s="32">
        <f>$J2677*($G2677-$G2676)*60*24</f>
        <v>5.6116378266661986E-2</v>
      </c>
    </row>
    <row r="2678" spans="1:12">
      <c r="A2678" s="22">
        <v>40312.491666666669</v>
      </c>
      <c r="E2678" s="26">
        <v>153.790144</v>
      </c>
      <c r="G2678" s="27">
        <v>0.4916666666666667</v>
      </c>
      <c r="J2678" s="30">
        <f>IF(G2678&lt;$H$10,$H$16,IF(G2678&gt;$I$10,$H$16,$H$11))*E2678/600</f>
        <v>5.6389719466666668E-2</v>
      </c>
      <c r="L2678" s="32">
        <f>$J2678*($G2678-$G2677)*60*24</f>
        <v>5.6389719466670971E-2</v>
      </c>
    </row>
    <row r="2679" spans="1:12">
      <c r="A2679" s="22">
        <v>40312.492361111108</v>
      </c>
      <c r="E2679" s="26">
        <v>153.85822400000001</v>
      </c>
      <c r="G2679" s="27">
        <v>0.49236111111111108</v>
      </c>
      <c r="J2679" s="30">
        <f>IF(G2679&lt;$H$10,$H$16,IF(G2679&gt;$I$10,$H$16,$H$11))*E2679/600</f>
        <v>5.6414682133333338E-2</v>
      </c>
      <c r="L2679" s="32">
        <f>$J2679*($G2679-$G2678)*60*24</f>
        <v>5.6414682133328627E-2</v>
      </c>
    </row>
    <row r="2680" spans="1:12">
      <c r="A2680" s="22">
        <v>40312.493055555555</v>
      </c>
      <c r="E2680" s="26">
        <v>154.45328000000001</v>
      </c>
      <c r="G2680" s="27">
        <v>0.49305555555555558</v>
      </c>
      <c r="J2680" s="30">
        <f>IF(G2680&lt;$H$10,$H$16,IF(G2680&gt;$I$10,$H$16,$H$11))*E2680/600</f>
        <v>5.6632869333333342E-2</v>
      </c>
      <c r="L2680" s="32">
        <f>$J2680*($G2680-$G2679)*60*24</f>
        <v>5.6632869333337665E-2</v>
      </c>
    </row>
    <row r="2681" spans="1:12">
      <c r="A2681" s="22">
        <v>40312.493750000001</v>
      </c>
      <c r="E2681" s="26">
        <v>158.29704000000001</v>
      </c>
      <c r="G2681" s="27">
        <v>0.49374999999999997</v>
      </c>
      <c r="J2681" s="30">
        <f>IF(G2681&lt;$H$10,$H$16,IF(G2681&gt;$I$10,$H$16,$H$11))*E2681/600</f>
        <v>5.8042247999999998E-2</v>
      </c>
      <c r="L2681" s="32">
        <f>$J2681*($G2681-$G2680)*60*24</f>
        <v>5.8042247999995161E-2</v>
      </c>
    </row>
    <row r="2682" spans="1:12">
      <c r="A2682" s="22">
        <v>40312.494444444441</v>
      </c>
      <c r="E2682" s="26">
        <v>153.35802000000001</v>
      </c>
      <c r="G2682" s="27">
        <v>0.49444444444444446</v>
      </c>
      <c r="J2682" s="30">
        <f>IF(G2682&lt;$H$10,$H$16,IF(G2682&gt;$I$10,$H$16,$H$11))*E2682/600</f>
        <v>5.6231274000000005E-2</v>
      </c>
      <c r="L2682" s="32">
        <f>$J2682*($G2682-$G2681)*60*24</f>
        <v>5.6231274000004307E-2</v>
      </c>
    </row>
    <row r="2683" spans="1:12">
      <c r="A2683" s="22">
        <v>40312.495138888888</v>
      </c>
      <c r="E2683" s="26">
        <v>153.00078400000001</v>
      </c>
      <c r="G2683" s="27">
        <v>0.49513888888888885</v>
      </c>
      <c r="J2683" s="30">
        <f>IF(G2683&lt;$H$10,$H$16,IF(G2683&gt;$I$10,$H$16,$H$11))*E2683/600</f>
        <v>5.6100287466666669E-2</v>
      </c>
      <c r="L2683" s="32">
        <f>$J2683*($G2683-$G2682)*60*24</f>
        <v>5.6100287466661979E-2</v>
      </c>
    </row>
    <row r="2684" spans="1:12">
      <c r="A2684" s="22">
        <v>40312.495833333334</v>
      </c>
      <c r="E2684" s="26">
        <v>153.16454400000001</v>
      </c>
      <c r="G2684" s="27">
        <v>0.49583333333333335</v>
      </c>
      <c r="J2684" s="30">
        <f>IF(G2684&lt;$H$10,$H$16,IF(G2684&gt;$I$10,$H$16,$H$11))*E2684/600</f>
        <v>5.6160332799999997E-2</v>
      </c>
      <c r="L2684" s="32">
        <f>$J2684*($G2684-$G2683)*60*24</f>
        <v>5.6160332800004285E-2</v>
      </c>
    </row>
    <row r="2685" spans="1:12">
      <c r="A2685" s="22">
        <v>40312.496527777781</v>
      </c>
      <c r="E2685" s="26">
        <v>152.96140800000001</v>
      </c>
      <c r="G2685" s="27">
        <v>0.49652777777777773</v>
      </c>
      <c r="J2685" s="30">
        <f>IF(G2685&lt;$H$10,$H$16,IF(G2685&gt;$I$10,$H$16,$H$11))*E2685/600</f>
        <v>5.6085849600000008E-2</v>
      </c>
      <c r="L2685" s="32">
        <f>$J2685*($G2685-$G2684)*60*24</f>
        <v>5.6085849599995324E-2</v>
      </c>
    </row>
    <row r="2686" spans="1:12">
      <c r="A2686" s="22">
        <v>40312.49722222222</v>
      </c>
      <c r="E2686" s="26">
        <v>152.98128</v>
      </c>
      <c r="G2686" s="27">
        <v>0.49722222222222223</v>
      </c>
      <c r="J2686" s="30">
        <f>IF(G2686&lt;$H$10,$H$16,IF(G2686&gt;$I$10,$H$16,$H$11))*E2686/600</f>
        <v>5.6093136000000002E-2</v>
      </c>
      <c r="L2686" s="32">
        <f>$J2686*($G2686-$G2685)*60*24</f>
        <v>5.6093136000004283E-2</v>
      </c>
    </row>
    <row r="2687" spans="1:12">
      <c r="A2687" s="22">
        <v>40312.497916666667</v>
      </c>
      <c r="E2687" s="26">
        <v>153.11707200000001</v>
      </c>
      <c r="G2687" s="27">
        <v>0.49791666666666662</v>
      </c>
      <c r="J2687" s="30">
        <f>IF(G2687&lt;$H$10,$H$16,IF(G2687&gt;$I$10,$H$16,$H$11))*E2687/600</f>
        <v>5.6142926400000001E-2</v>
      </c>
      <c r="L2687" s="32">
        <f>$J2687*($G2687-$G2686)*60*24</f>
        <v>5.614292639999531E-2</v>
      </c>
    </row>
    <row r="2688" spans="1:12">
      <c r="A2688" s="22">
        <v>40312.498611111114</v>
      </c>
      <c r="E2688" s="26">
        <v>153.46041600000001</v>
      </c>
      <c r="G2688" s="27">
        <v>0.49861111111111112</v>
      </c>
      <c r="J2688" s="30">
        <f>IF(G2688&lt;$H$10,$H$16,IF(G2688&gt;$I$10,$H$16,$H$11))*E2688/600</f>
        <v>5.62688192E-2</v>
      </c>
      <c r="L2688" s="32">
        <f>$J2688*($G2688-$G2687)*60*24</f>
        <v>5.6268819200004296E-2</v>
      </c>
    </row>
    <row r="2689" spans="1:12">
      <c r="A2689" s="22">
        <v>40312.499305555553</v>
      </c>
      <c r="E2689" s="26">
        <v>153.65656000000001</v>
      </c>
      <c r="G2689" s="27">
        <v>0.4993055555555555</v>
      </c>
      <c r="J2689" s="30">
        <f>IF(G2689&lt;$H$10,$H$16,IF(G2689&gt;$I$10,$H$16,$H$11))*E2689/600</f>
        <v>5.6340738666666668E-2</v>
      </c>
      <c r="L2689" s="32">
        <f>$J2689*($G2689-$G2688)*60*24</f>
        <v>5.6340738666661956E-2</v>
      </c>
    </row>
    <row r="2690" spans="1:12">
      <c r="A2690" s="22">
        <v>40312.5</v>
      </c>
      <c r="E2690" s="26">
        <v>154.48713599999999</v>
      </c>
      <c r="G2690" s="27">
        <v>0.5</v>
      </c>
      <c r="J2690" s="30">
        <f>IF(G2690&lt;$H$10,$H$16,IF(G2690&gt;$I$10,$H$16,$H$11))*E2690/600</f>
        <v>5.66452832E-2</v>
      </c>
      <c r="L2690" s="32">
        <f>$J2690*($G2690-$G2689)*60*24</f>
        <v>5.6645283200004323E-2</v>
      </c>
    </row>
    <row r="2691" spans="1:12">
      <c r="A2691" s="22">
        <v>40312.500694444447</v>
      </c>
      <c r="E2691" s="26">
        <v>159.90520000000001</v>
      </c>
      <c r="G2691" s="27">
        <v>0.50069444444444444</v>
      </c>
      <c r="J2691" s="30">
        <f>IF(G2691&lt;$H$10,$H$16,IF(G2691&gt;$I$10,$H$16,$H$11))*E2691/600</f>
        <v>5.8631906666666671E-2</v>
      </c>
      <c r="L2691" s="32">
        <f>$J2691*($G2691-$G2690)*60*24</f>
        <v>5.863190666666647E-2</v>
      </c>
    </row>
    <row r="2692" spans="1:12">
      <c r="A2692" s="22">
        <v>40312.501388888886</v>
      </c>
      <c r="E2692" s="26">
        <v>175.157409</v>
      </c>
      <c r="G2692" s="27">
        <v>0.50138888888888888</v>
      </c>
      <c r="J2692" s="30">
        <f>IF(G2692&lt;$H$10,$H$16,IF(G2692&gt;$I$10,$H$16,$H$11))*E2692/600</f>
        <v>6.4224383299999993E-2</v>
      </c>
      <c r="L2692" s="32">
        <f>$J2692*($G2692-$G2691)*60*24</f>
        <v>6.4224383299999771E-2</v>
      </c>
    </row>
    <row r="2693" spans="1:12">
      <c r="A2693" s="22">
        <v>40312.502083333333</v>
      </c>
      <c r="E2693" s="26">
        <v>177.12817200000001</v>
      </c>
      <c r="G2693" s="27">
        <v>0.50208333333333333</v>
      </c>
      <c r="J2693" s="30">
        <f>IF(G2693&lt;$H$10,$H$16,IF(G2693&gt;$I$10,$H$16,$H$11))*E2693/600</f>
        <v>6.4946996399999998E-2</v>
      </c>
      <c r="L2693" s="32">
        <f>$J2693*($G2693-$G2692)*60*24</f>
        <v>6.4946996399999762E-2</v>
      </c>
    </row>
    <row r="2694" spans="1:12">
      <c r="A2694" s="22">
        <v>40312.50277777778</v>
      </c>
      <c r="E2694" s="26">
        <v>179.892504</v>
      </c>
      <c r="G2694" s="27">
        <v>0.50277777777777777</v>
      </c>
      <c r="J2694" s="30">
        <f>IF(G2694&lt;$H$10,$H$16,IF(G2694&gt;$I$10,$H$16,$H$11))*E2694/600</f>
        <v>6.5960584799999999E-2</v>
      </c>
      <c r="L2694" s="32">
        <f>$J2694*($G2694-$G2693)*60*24</f>
        <v>6.5960584799999764E-2</v>
      </c>
    </row>
    <row r="2695" spans="1:12">
      <c r="A2695" s="22">
        <v>40312.503472222219</v>
      </c>
      <c r="E2695" s="26">
        <v>179.918172</v>
      </c>
      <c r="G2695" s="27">
        <v>0.50347222222222221</v>
      </c>
      <c r="J2695" s="30">
        <f>IF(G2695&lt;$H$10,$H$16,IF(G2695&gt;$I$10,$H$16,$H$11))*E2695/600</f>
        <v>6.5969996399999994E-2</v>
      </c>
      <c r="L2695" s="32">
        <f>$J2695*($G2695-$G2694)*60*24</f>
        <v>6.5969996399999759E-2</v>
      </c>
    </row>
    <row r="2696" spans="1:12">
      <c r="A2696" s="22">
        <v>40312.504166666666</v>
      </c>
      <c r="E2696" s="26">
        <v>163.946944</v>
      </c>
      <c r="G2696" s="27">
        <v>0.50416666666666665</v>
      </c>
      <c r="J2696" s="30">
        <f>IF(G2696&lt;$H$10,$H$16,IF(G2696&gt;$I$10,$H$16,$H$11))*E2696/600</f>
        <v>6.0113879466666673E-2</v>
      </c>
      <c r="L2696" s="32">
        <f>$J2696*($G2696-$G2695)*60*24</f>
        <v>6.0113879466666457E-2</v>
      </c>
    </row>
    <row r="2697" spans="1:12">
      <c r="A2697" s="22">
        <v>40312.504861111112</v>
      </c>
      <c r="E2697" s="26">
        <v>162.089832</v>
      </c>
      <c r="G2697" s="27">
        <v>0.50486111111111109</v>
      </c>
      <c r="J2697" s="30">
        <f>IF(G2697&lt;$H$10,$H$16,IF(G2697&gt;$I$10,$H$16,$H$11))*E2697/600</f>
        <v>5.9432938400000003E-2</v>
      </c>
      <c r="L2697" s="32">
        <f>$J2697*($G2697-$G2696)*60*24</f>
        <v>5.9432938399999788E-2</v>
      </c>
    </row>
    <row r="2698" spans="1:12">
      <c r="A2698" s="22">
        <v>40312.505555555559</v>
      </c>
      <c r="E2698" s="26">
        <v>156.00716</v>
      </c>
      <c r="G2698" s="27">
        <v>0.50555555555555554</v>
      </c>
      <c r="J2698" s="30">
        <f>IF(G2698&lt;$H$10,$H$16,IF(G2698&gt;$I$10,$H$16,$H$11))*E2698/600</f>
        <v>5.7202625333333333E-2</v>
      </c>
      <c r="L2698" s="32">
        <f>$J2698*($G2698-$G2697)*60*24</f>
        <v>5.7202625333333132E-2</v>
      </c>
    </row>
    <row r="2699" spans="1:12">
      <c r="A2699" s="22">
        <v>40312.506249999999</v>
      </c>
      <c r="E2699" s="26">
        <v>154.49155200000001</v>
      </c>
      <c r="G2699" s="27">
        <v>0.50624999999999998</v>
      </c>
      <c r="J2699" s="30">
        <f>IF(G2699&lt;$H$10,$H$16,IF(G2699&gt;$I$10,$H$16,$H$11))*E2699/600</f>
        <v>5.6646902399999997E-2</v>
      </c>
      <c r="L2699" s="32">
        <f>$J2699*($G2699-$G2698)*60*24</f>
        <v>5.6646902399999796E-2</v>
      </c>
    </row>
    <row r="2700" spans="1:12">
      <c r="A2700" s="22">
        <v>40312.506944444445</v>
      </c>
      <c r="E2700" s="26">
        <v>154.62899999999999</v>
      </c>
      <c r="G2700" s="27">
        <v>0.50694444444444442</v>
      </c>
      <c r="J2700" s="30">
        <f>IF(G2700&lt;$H$10,$H$16,IF(G2700&gt;$I$10,$H$16,$H$11))*E2700/600</f>
        <v>5.6697299999999999E-2</v>
      </c>
      <c r="L2700" s="32">
        <f>$J2700*($G2700-$G2699)*60*24</f>
        <v>5.6697299999999798E-2</v>
      </c>
    </row>
    <row r="2701" spans="1:12">
      <c r="A2701" s="22">
        <v>40312.507638888892</v>
      </c>
      <c r="E2701" s="26">
        <v>153.11396099999999</v>
      </c>
      <c r="G2701" s="27">
        <v>0.50763888888888886</v>
      </c>
      <c r="J2701" s="30">
        <f>IF(G2701&lt;$H$10,$H$16,IF(G2701&gt;$I$10,$H$16,$H$11))*E2701/600</f>
        <v>5.6141785700000002E-2</v>
      </c>
      <c r="L2701" s="32">
        <f>$J2701*($G2701-$G2700)*60*24</f>
        <v>5.6141785699999801E-2</v>
      </c>
    </row>
    <row r="2702" spans="1:12">
      <c r="A2702" s="22">
        <v>40312.508333333331</v>
      </c>
      <c r="E2702" s="26">
        <v>152.282949</v>
      </c>
      <c r="G2702" s="27">
        <v>0.5083333333333333</v>
      </c>
      <c r="J2702" s="30">
        <f>IF(G2702&lt;$H$10,$H$16,IF(G2702&gt;$I$10,$H$16,$H$11))*E2702/600</f>
        <v>5.5837081300000001E-2</v>
      </c>
      <c r="L2702" s="32">
        <f>$J2702*($G2702-$G2701)*60*24</f>
        <v>5.58370812999998E-2</v>
      </c>
    </row>
    <row r="2703" spans="1:12">
      <c r="A2703" s="22">
        <v>40312.509027777778</v>
      </c>
      <c r="E2703" s="26">
        <v>153.52776</v>
      </c>
      <c r="G2703" s="27">
        <v>0.50902777777777775</v>
      </c>
      <c r="J2703" s="30">
        <f>IF(G2703&lt;$H$10,$H$16,IF(G2703&gt;$I$10,$H$16,$H$11))*E2703/600</f>
        <v>5.6293511999999997E-2</v>
      </c>
      <c r="L2703" s="32">
        <f>$J2703*($G2703-$G2702)*60*24</f>
        <v>5.6293511999999796E-2</v>
      </c>
    </row>
    <row r="2704" spans="1:12">
      <c r="A2704" s="22">
        <v>40312.509722222225</v>
      </c>
      <c r="E2704" s="26">
        <v>153.90937600000001</v>
      </c>
      <c r="G2704" s="27">
        <v>0.50972222222222219</v>
      </c>
      <c r="J2704" s="30">
        <f>IF(G2704&lt;$H$10,$H$16,IF(G2704&gt;$I$10,$H$16,$H$11))*E2704/600</f>
        <v>5.6433437866666672E-2</v>
      </c>
      <c r="L2704" s="32">
        <f>$J2704*($G2704-$G2703)*60*24</f>
        <v>5.6433437866666471E-2</v>
      </c>
    </row>
    <row r="2705" spans="1:12">
      <c r="A2705" s="22">
        <v>40312.510416666664</v>
      </c>
      <c r="E2705" s="26">
        <v>152.70164</v>
      </c>
      <c r="G2705" s="27">
        <v>0.51041666666666663</v>
      </c>
      <c r="J2705" s="30">
        <f>IF(G2705&lt;$H$10,$H$16,IF(G2705&gt;$I$10,$H$16,$H$11))*E2705/600</f>
        <v>5.5990601333333327E-2</v>
      </c>
      <c r="L2705" s="32">
        <f>$J2705*($G2705-$G2704)*60*24</f>
        <v>5.5990601333333126E-2</v>
      </c>
    </row>
    <row r="2706" spans="1:12">
      <c r="A2706" s="22">
        <v>40312.511111111111</v>
      </c>
      <c r="E2706" s="26">
        <v>154.80287999999999</v>
      </c>
      <c r="G2706" s="27">
        <v>0.51111111111111118</v>
      </c>
      <c r="J2706" s="30">
        <f>IF(G2706&lt;$H$10,$H$16,IF(G2706&gt;$I$10,$H$16,$H$11))*E2706/600</f>
        <v>5.6761055999999997E-2</v>
      </c>
      <c r="L2706" s="32">
        <f>$J2706*($G2706-$G2705)*60*24</f>
        <v>5.6761056000008872E-2</v>
      </c>
    </row>
    <row r="2707" spans="1:12">
      <c r="A2707" s="22">
        <v>40312.511805555558</v>
      </c>
      <c r="E2707" s="26">
        <v>154.37646000000001</v>
      </c>
      <c r="G2707" s="27">
        <v>0.51180555555555551</v>
      </c>
      <c r="J2707" s="30">
        <f>IF(G2707&lt;$H$10,$H$16,IF(G2707&gt;$I$10,$H$16,$H$11))*E2707/600</f>
        <v>5.6604702E-2</v>
      </c>
      <c r="L2707" s="32">
        <f>$J2707*($G2707-$G2706)*60*24</f>
        <v>5.660470199999075E-2</v>
      </c>
    </row>
    <row r="2708" spans="1:12">
      <c r="A2708" s="22">
        <v>40312.512499999997</v>
      </c>
      <c r="E2708" s="26">
        <v>153.720868</v>
      </c>
      <c r="G2708" s="27">
        <v>0.51250000000000007</v>
      </c>
      <c r="J2708" s="30">
        <f>IF(G2708&lt;$H$10,$H$16,IF(G2708&gt;$I$10,$H$16,$H$11))*E2708/600</f>
        <v>5.6364318266666671E-2</v>
      </c>
      <c r="L2708" s="32">
        <f>$J2708*($G2708-$G2707)*60*24</f>
        <v>5.6364318266675484E-2</v>
      </c>
    </row>
    <row r="2709" spans="1:12">
      <c r="A2709" s="22">
        <v>40312.513194444444</v>
      </c>
      <c r="E2709" s="26">
        <v>154.31564800000001</v>
      </c>
      <c r="G2709" s="27">
        <v>0.5131944444444444</v>
      </c>
      <c r="J2709" s="30">
        <f>IF(G2709&lt;$H$10,$H$16,IF(G2709&gt;$I$10,$H$16,$H$11))*E2709/600</f>
        <v>5.6582404266666671E-2</v>
      </c>
      <c r="L2709" s="32">
        <f>$J2709*($G2709-$G2708)*60*24</f>
        <v>5.6582404266657421E-2</v>
      </c>
    </row>
    <row r="2710" spans="1:12">
      <c r="A2710" s="22">
        <v>40312.513888888891</v>
      </c>
      <c r="E2710" s="26">
        <v>154.48143200000001</v>
      </c>
      <c r="G2710" s="27">
        <v>0.51388888888888895</v>
      </c>
      <c r="J2710" s="30">
        <f>IF(G2710&lt;$H$10,$H$16,IF(G2710&gt;$I$10,$H$16,$H$11))*E2710/600</f>
        <v>5.6643191733333334E-2</v>
      </c>
      <c r="L2710" s="32">
        <f>$J2710*($G2710-$G2709)*60*24</f>
        <v>5.6643191733342188E-2</v>
      </c>
    </row>
    <row r="2711" spans="1:12">
      <c r="A2711" s="22">
        <v>40312.51458333333</v>
      </c>
      <c r="E2711" s="26">
        <v>155.72932</v>
      </c>
      <c r="G2711" s="27">
        <v>0.51458333333333328</v>
      </c>
      <c r="J2711" s="30">
        <f>IF(G2711&lt;$H$10,$H$16,IF(G2711&gt;$I$10,$H$16,$H$11))*E2711/600</f>
        <v>5.7100750666666672E-2</v>
      </c>
      <c r="L2711" s="32">
        <f>$J2711*($G2711-$G2710)*60*24</f>
        <v>5.7100750666657346E-2</v>
      </c>
    </row>
    <row r="2712" spans="1:12">
      <c r="A2712" s="22">
        <v>40312.515277777777</v>
      </c>
      <c r="E2712" s="26">
        <v>154.07184799999999</v>
      </c>
      <c r="G2712" s="27">
        <v>0.51527777777777783</v>
      </c>
      <c r="J2712" s="30">
        <f>IF(G2712&lt;$H$10,$H$16,IF(G2712&gt;$I$10,$H$16,$H$11))*E2712/600</f>
        <v>5.6493010933333331E-2</v>
      </c>
      <c r="L2712" s="32">
        <f>$J2712*($G2712-$G2711)*60*24</f>
        <v>5.6493010933342164E-2</v>
      </c>
    </row>
    <row r="2713" spans="1:12">
      <c r="A2713" s="22">
        <v>40312.515972222223</v>
      </c>
      <c r="E2713" s="26">
        <v>155.38202000000001</v>
      </c>
      <c r="G2713" s="27">
        <v>0.51597222222222217</v>
      </c>
      <c r="J2713" s="30">
        <f>IF(G2713&lt;$H$10,$H$16,IF(G2713&gt;$I$10,$H$16,$H$11))*E2713/600</f>
        <v>5.6973407333333344E-2</v>
      </c>
      <c r="L2713" s="32">
        <f>$J2713*($G2713-$G2712)*60*24</f>
        <v>5.6973407333324032E-2</v>
      </c>
    </row>
    <row r="2714" spans="1:12">
      <c r="A2714" s="22">
        <v>40312.51666666667</v>
      </c>
      <c r="E2714" s="26">
        <v>154.42282800000001</v>
      </c>
      <c r="G2714" s="27">
        <v>0.51666666666666672</v>
      </c>
      <c r="J2714" s="30">
        <f>IF(G2714&lt;$H$10,$H$16,IF(G2714&gt;$I$10,$H$16,$H$11))*E2714/600</f>
        <v>5.6621703599999997E-2</v>
      </c>
      <c r="L2714" s="32">
        <f>$J2714*($G2714-$G2713)*60*24</f>
        <v>5.6621703600008844E-2</v>
      </c>
    </row>
    <row r="2715" spans="1:12">
      <c r="A2715" s="22">
        <v>40312.517361111109</v>
      </c>
      <c r="E2715" s="26">
        <v>151.84423799999999</v>
      </c>
      <c r="G2715" s="27">
        <v>0.51736111111111105</v>
      </c>
      <c r="J2715" s="30">
        <f>IF(G2715&lt;$H$10,$H$16,IF(G2715&gt;$I$10,$H$16,$H$11))*E2715/600</f>
        <v>5.5676220599999993E-2</v>
      </c>
      <c r="L2715" s="32">
        <f>$J2715*($G2715-$G2714)*60*24</f>
        <v>5.5676220599990889E-2</v>
      </c>
    </row>
    <row r="2716" spans="1:12">
      <c r="A2716" s="22">
        <v>40312.518055555556</v>
      </c>
      <c r="E2716" s="26">
        <v>152.924226</v>
      </c>
      <c r="G2716" s="27">
        <v>0.5180555555555556</v>
      </c>
      <c r="J2716" s="30">
        <f>IF(G2716&lt;$H$10,$H$16,IF(G2716&gt;$I$10,$H$16,$H$11))*E2716/600</f>
        <v>5.6072216200000004E-2</v>
      </c>
      <c r="L2716" s="32">
        <f>$J2716*($G2716-$G2715)*60*24</f>
        <v>5.6072216200008775E-2</v>
      </c>
    </row>
    <row r="2717" spans="1:12">
      <c r="A2717" s="22">
        <v>40312.518750000003</v>
      </c>
      <c r="E2717" s="26">
        <v>152.76534000000001</v>
      </c>
      <c r="G2717" s="27">
        <v>0.51874999999999993</v>
      </c>
      <c r="J2717" s="30">
        <f>IF(G2717&lt;$H$10,$H$16,IF(G2717&gt;$I$10,$H$16,$H$11))*E2717/600</f>
        <v>5.6013958000000003E-2</v>
      </c>
      <c r="L2717" s="32">
        <f>$J2717*($G2717-$G2716)*60*24</f>
        <v>5.6013957999990857E-2</v>
      </c>
    </row>
    <row r="2718" spans="1:12">
      <c r="A2718" s="22">
        <v>40312.519444444442</v>
      </c>
      <c r="E2718" s="26">
        <v>153.932376</v>
      </c>
      <c r="G2718" s="27">
        <v>0.51944444444444449</v>
      </c>
      <c r="J2718" s="30">
        <f>IF(G2718&lt;$H$10,$H$16,IF(G2718&gt;$I$10,$H$16,$H$11))*E2718/600</f>
        <v>5.64418712E-2</v>
      </c>
      <c r="L2718" s="32">
        <f>$J2718*($G2718-$G2717)*60*24</f>
        <v>5.644187120000882E-2</v>
      </c>
    </row>
    <row r="2719" spans="1:12">
      <c r="A2719" s="22">
        <v>40312.520138888889</v>
      </c>
      <c r="E2719" s="26">
        <v>168.36124799999999</v>
      </c>
      <c r="G2719" s="27">
        <v>0.52013888888888882</v>
      </c>
      <c r="J2719" s="30">
        <f>IF(G2719&lt;$H$10,$H$16,IF(G2719&gt;$I$10,$H$16,$H$11))*E2719/600</f>
        <v>6.1732457599999992E-2</v>
      </c>
      <c r="L2719" s="32">
        <f>$J2719*($G2719-$G2718)*60*24</f>
        <v>6.1732457599989896E-2</v>
      </c>
    </row>
    <row r="2720" spans="1:12">
      <c r="A2720" s="22">
        <v>40312.520833333336</v>
      </c>
      <c r="E2720" s="26">
        <v>154.62899999999999</v>
      </c>
      <c r="G2720" s="27">
        <v>0.52083333333333337</v>
      </c>
      <c r="J2720" s="30">
        <f>IF(G2720&lt;$H$10,$H$16,IF(G2720&gt;$I$10,$H$16,$H$11))*E2720/600</f>
        <v>5.6697299999999999E-2</v>
      </c>
      <c r="L2720" s="32">
        <f>$J2720*($G2720-$G2719)*60*24</f>
        <v>5.669730000000886E-2</v>
      </c>
    </row>
    <row r="2721" spans="1:12">
      <c r="A2721" s="22">
        <v>40312.521527777775</v>
      </c>
      <c r="E2721" s="26">
        <v>154.35410400000001</v>
      </c>
      <c r="G2721" s="27">
        <v>0.52152777777777781</v>
      </c>
      <c r="J2721" s="30">
        <f>IF(G2721&lt;$H$10,$H$16,IF(G2721&gt;$I$10,$H$16,$H$11))*E2721/600</f>
        <v>5.6596504799999996E-2</v>
      </c>
      <c r="L2721" s="32">
        <f>$J2721*($G2721-$G2720)*60*24</f>
        <v>5.6596504799999794E-2</v>
      </c>
    </row>
    <row r="2722" spans="1:12">
      <c r="A2722" s="22">
        <v>40312.522222222222</v>
      </c>
      <c r="E2722" s="26">
        <v>152.79873699999999</v>
      </c>
      <c r="G2722" s="27">
        <v>0.52222222222222225</v>
      </c>
      <c r="J2722" s="30">
        <f>IF(G2722&lt;$H$10,$H$16,IF(G2722&gt;$I$10,$H$16,$H$11))*E2722/600</f>
        <v>5.6026203566666662E-2</v>
      </c>
      <c r="L2722" s="32">
        <f>$J2722*($G2722-$G2721)*60*24</f>
        <v>5.6026203566666467E-2</v>
      </c>
    </row>
    <row r="2723" spans="1:12">
      <c r="A2723" s="22">
        <v>40312.522916666669</v>
      </c>
      <c r="E2723" s="26">
        <v>152.65522999999999</v>
      </c>
      <c r="G2723" s="27">
        <v>0.5229166666666667</v>
      </c>
      <c r="J2723" s="30">
        <f>IF(G2723&lt;$H$10,$H$16,IF(G2723&gt;$I$10,$H$16,$H$11))*E2723/600</f>
        <v>5.5973584333333333E-2</v>
      </c>
      <c r="L2723" s="32">
        <f>$J2723*($G2723-$G2722)*60*24</f>
        <v>5.5973584333333132E-2</v>
      </c>
    </row>
    <row r="2724" spans="1:12">
      <c r="A2724" s="22">
        <v>40312.523611111108</v>
      </c>
      <c r="E2724" s="26">
        <v>153.24809500000001</v>
      </c>
      <c r="G2724" s="27">
        <v>0.52361111111111114</v>
      </c>
      <c r="J2724" s="30">
        <f>IF(G2724&lt;$H$10,$H$16,IF(G2724&gt;$I$10,$H$16,$H$11))*E2724/600</f>
        <v>5.6190968166666667E-2</v>
      </c>
      <c r="L2724" s="32">
        <f>$J2724*($G2724-$G2723)*60*24</f>
        <v>5.6190968166666473E-2</v>
      </c>
    </row>
    <row r="2725" spans="1:12">
      <c r="A2725" s="22">
        <v>40312.524305555555</v>
      </c>
      <c r="E2725" s="26">
        <v>153.04689400000001</v>
      </c>
      <c r="G2725" s="27">
        <v>0.52430555555555558</v>
      </c>
      <c r="J2725" s="30">
        <f>IF(G2725&lt;$H$10,$H$16,IF(G2725&gt;$I$10,$H$16,$H$11))*E2725/600</f>
        <v>5.6117194466666666E-2</v>
      </c>
      <c r="L2725" s="32">
        <f>$J2725*($G2725-$G2724)*60*24</f>
        <v>5.6117194466666465E-2</v>
      </c>
    </row>
    <row r="2726" spans="1:12">
      <c r="A2726" s="22">
        <v>40312.525000000001</v>
      </c>
      <c r="E2726" s="26">
        <v>153.32043999999999</v>
      </c>
      <c r="G2726" s="27">
        <v>0.52500000000000002</v>
      </c>
      <c r="J2726" s="30">
        <f>IF(G2726&lt;$H$10,$H$16,IF(G2726&gt;$I$10,$H$16,$H$11))*E2726/600</f>
        <v>5.6217494666666659E-2</v>
      </c>
      <c r="L2726" s="32">
        <f>$J2726*($G2726-$G2725)*60*24</f>
        <v>5.6217494666666458E-2</v>
      </c>
    </row>
    <row r="2727" spans="1:12">
      <c r="A2727" s="22">
        <v>40312.525694444441</v>
      </c>
      <c r="E2727" s="26">
        <v>152.348196</v>
      </c>
      <c r="G2727" s="27">
        <v>0.52569444444444446</v>
      </c>
      <c r="J2727" s="30">
        <f>IF(G2727&lt;$H$10,$H$16,IF(G2727&gt;$I$10,$H$16,$H$11))*E2727/600</f>
        <v>5.5861005200000001E-2</v>
      </c>
      <c r="L2727" s="32">
        <f>$J2727*($G2727-$G2726)*60*24</f>
        <v>5.58610051999998E-2</v>
      </c>
    </row>
    <row r="2728" spans="1:12">
      <c r="A2728" s="22">
        <v>40312.526388888888</v>
      </c>
      <c r="E2728" s="26">
        <v>152.08284</v>
      </c>
      <c r="G2728" s="27">
        <v>0.52638888888888891</v>
      </c>
      <c r="J2728" s="30">
        <f>IF(G2728&lt;$H$10,$H$16,IF(G2728&gt;$I$10,$H$16,$H$11))*E2728/600</f>
        <v>5.5763708000000009E-2</v>
      </c>
      <c r="L2728" s="32">
        <f>$J2728*($G2728-$G2727)*60*24</f>
        <v>5.5763707999999815E-2</v>
      </c>
    </row>
    <row r="2729" spans="1:12">
      <c r="A2729" s="22">
        <v>40312.527083333334</v>
      </c>
      <c r="E2729" s="26">
        <v>155.437128</v>
      </c>
      <c r="G2729" s="27">
        <v>0.52708333333333335</v>
      </c>
      <c r="J2729" s="30">
        <f>IF(G2729&lt;$H$10,$H$16,IF(G2729&gt;$I$10,$H$16,$H$11))*E2729/600</f>
        <v>5.69936136E-2</v>
      </c>
      <c r="L2729" s="32">
        <f>$J2729*($G2729-$G2728)*60*24</f>
        <v>5.6993613599999798E-2</v>
      </c>
    </row>
    <row r="2730" spans="1:12">
      <c r="A2730" s="22">
        <v>40312.527777777781</v>
      </c>
      <c r="E2730" s="26">
        <v>151.96854400000001</v>
      </c>
      <c r="G2730" s="27">
        <v>0.52777777777777779</v>
      </c>
      <c r="J2730" s="30">
        <f>IF(G2730&lt;$H$10,$H$16,IF(G2730&gt;$I$10,$H$16,$H$11))*E2730/600</f>
        <v>5.5721799466666666E-2</v>
      </c>
      <c r="L2730" s="32">
        <f>$J2730*($G2730-$G2729)*60*24</f>
        <v>5.5721799466666472E-2</v>
      </c>
    </row>
    <row r="2731" spans="1:12">
      <c r="A2731" s="22">
        <v>40312.52847222222</v>
      </c>
      <c r="E2731" s="26">
        <v>151.62237999999999</v>
      </c>
      <c r="G2731" s="27">
        <v>0.52847222222222223</v>
      </c>
      <c r="J2731" s="30">
        <f>IF(G2731&lt;$H$10,$H$16,IF(G2731&gt;$I$10,$H$16,$H$11))*E2731/600</f>
        <v>5.559487266666667E-2</v>
      </c>
      <c r="L2731" s="32">
        <f>$J2731*($G2731-$G2730)*60*24</f>
        <v>5.5594872666666476E-2</v>
      </c>
    </row>
    <row r="2732" spans="1:12">
      <c r="A2732" s="22">
        <v>40312.529166666667</v>
      </c>
      <c r="E2732" s="26">
        <v>152.04571200000001</v>
      </c>
      <c r="G2732" s="27">
        <v>0.52916666666666667</v>
      </c>
      <c r="J2732" s="30">
        <f>IF(G2732&lt;$H$10,$H$16,IF(G2732&gt;$I$10,$H$16,$H$11))*E2732/600</f>
        <v>5.5750094399999998E-2</v>
      </c>
      <c r="L2732" s="32">
        <f>$J2732*($G2732-$G2731)*60*24</f>
        <v>5.5750094399999811E-2</v>
      </c>
    </row>
    <row r="2733" spans="1:12">
      <c r="A2733" s="22">
        <v>40312.529861111114</v>
      </c>
      <c r="E2733" s="26">
        <v>151.55558600000001</v>
      </c>
      <c r="G2733" s="27">
        <v>0.52986111111111112</v>
      </c>
      <c r="J2733" s="30">
        <f>IF(G2733&lt;$H$10,$H$16,IF(G2733&gt;$I$10,$H$16,$H$11))*E2733/600</f>
        <v>5.5570381533333338E-2</v>
      </c>
      <c r="L2733" s="32">
        <f>$J2733*($G2733-$G2732)*60*24</f>
        <v>5.5570381533333144E-2</v>
      </c>
    </row>
    <row r="2734" spans="1:12">
      <c r="A2734" s="22">
        <v>40312.530555555553</v>
      </c>
      <c r="E2734" s="26">
        <v>151.55558600000001</v>
      </c>
      <c r="G2734" s="27">
        <v>0.53055555555555556</v>
      </c>
      <c r="J2734" s="30">
        <f>IF(G2734&lt;$H$10,$H$16,IF(G2734&gt;$I$10,$H$16,$H$11))*E2734/600</f>
        <v>5.5570381533333338E-2</v>
      </c>
      <c r="L2734" s="32">
        <f>$J2734*($G2734-$G2733)*60*24</f>
        <v>5.5570381533333144E-2</v>
      </c>
    </row>
    <row r="2735" spans="1:12">
      <c r="A2735" s="22">
        <v>40312.53125</v>
      </c>
      <c r="E2735" s="26">
        <v>151.82276200000001</v>
      </c>
      <c r="G2735" s="27">
        <v>0.53125</v>
      </c>
      <c r="J2735" s="30">
        <f>IF(G2735&lt;$H$10,$H$16,IF(G2735&gt;$I$10,$H$16,$H$11))*E2735/600</f>
        <v>5.5668346066666673E-2</v>
      </c>
      <c r="L2735" s="32">
        <f>$J2735*($G2735-$G2734)*60*24</f>
        <v>5.5668346066666478E-2</v>
      </c>
    </row>
    <row r="2736" spans="1:12">
      <c r="A2736" s="22">
        <v>40312.531944444447</v>
      </c>
      <c r="E2736" s="26">
        <v>158.022144</v>
      </c>
      <c r="G2736" s="27">
        <v>0.53194444444444444</v>
      </c>
      <c r="J2736" s="30">
        <f>IF(G2736&lt;$H$10,$H$16,IF(G2736&gt;$I$10,$H$16,$H$11))*E2736/600</f>
        <v>5.7941452800000001E-2</v>
      </c>
      <c r="L2736" s="32">
        <f>$J2736*($G2736-$G2735)*60*24</f>
        <v>5.7941452799999793E-2</v>
      </c>
    </row>
    <row r="2737" spans="1:12">
      <c r="A2737" s="22">
        <v>40312.532638888886</v>
      </c>
      <c r="E2737" s="26">
        <v>179.04825</v>
      </c>
      <c r="G2737" s="27">
        <v>0.53263888888888888</v>
      </c>
      <c r="J2737" s="30">
        <f>IF(G2737&lt;$H$10,$H$16,IF(G2737&gt;$I$10,$H$16,$H$11))*E2737/600</f>
        <v>6.5651024999999988E-2</v>
      </c>
      <c r="L2737" s="32">
        <f>$J2737*($G2737-$G2736)*60*24</f>
        <v>6.5651024999999752E-2</v>
      </c>
    </row>
    <row r="2738" spans="1:12">
      <c r="A2738" s="22">
        <v>40312.533333333333</v>
      </c>
      <c r="E2738" s="26">
        <v>178.302762</v>
      </c>
      <c r="G2738" s="27">
        <v>0.53333333333333333</v>
      </c>
      <c r="J2738" s="30">
        <f>IF(G2738&lt;$H$10,$H$16,IF(G2738&gt;$I$10,$H$16,$H$11))*E2738/600</f>
        <v>6.5377679399999999E-2</v>
      </c>
      <c r="L2738" s="32">
        <f>$J2738*($G2738-$G2737)*60*24</f>
        <v>6.5377679399999777E-2</v>
      </c>
    </row>
    <row r="2739" spans="1:12">
      <c r="A2739" s="22">
        <v>40312.53402777778</v>
      </c>
      <c r="E2739" s="26">
        <v>177.573735</v>
      </c>
      <c r="G2739" s="27">
        <v>0.53402777777777777</v>
      </c>
      <c r="J2739" s="30">
        <f>IF(G2739&lt;$H$10,$H$16,IF(G2739&gt;$I$10,$H$16,$H$11))*E2739/600</f>
        <v>6.5110369500000001E-2</v>
      </c>
      <c r="L2739" s="32">
        <f>$J2739*($G2739-$G2738)*60*24</f>
        <v>6.5110369499999779E-2</v>
      </c>
    </row>
    <row r="2740" spans="1:12">
      <c r="A2740" s="22">
        <v>40312.534722222219</v>
      </c>
      <c r="E2740" s="26">
        <v>177.80112</v>
      </c>
      <c r="G2740" s="27">
        <v>0.53472222222222221</v>
      </c>
      <c r="J2740" s="30">
        <f>IF(G2740&lt;$H$10,$H$16,IF(G2740&gt;$I$10,$H$16,$H$11))*E2740/600</f>
        <v>6.5193743999999998E-2</v>
      </c>
      <c r="L2740" s="32">
        <f>$J2740*($G2740-$G2739)*60*24</f>
        <v>6.5193743999999762E-2</v>
      </c>
    </row>
    <row r="2741" spans="1:12">
      <c r="A2741" s="22">
        <v>40312.535416666666</v>
      </c>
      <c r="E2741" s="26">
        <v>177.91123200000001</v>
      </c>
      <c r="G2741" s="27">
        <v>0.53541666666666665</v>
      </c>
      <c r="J2741" s="30">
        <f>IF(G2741&lt;$H$10,$H$16,IF(G2741&gt;$I$10,$H$16,$H$11))*E2741/600</f>
        <v>6.5234118399999999E-2</v>
      </c>
      <c r="L2741" s="32">
        <f>$J2741*($G2741-$G2740)*60*24</f>
        <v>6.5234118399999763E-2</v>
      </c>
    </row>
    <row r="2742" spans="1:12">
      <c r="A2742" s="22">
        <v>40312.536111111112</v>
      </c>
      <c r="E2742" s="26">
        <v>177.59800799999999</v>
      </c>
      <c r="G2742" s="27">
        <v>0.53611111111111109</v>
      </c>
      <c r="J2742" s="30">
        <f>IF(G2742&lt;$H$10,$H$16,IF(G2742&gt;$I$10,$H$16,$H$11))*E2742/600</f>
        <v>6.5119269600000002E-2</v>
      </c>
      <c r="L2742" s="32">
        <f>$J2742*($G2742-$G2741)*60*24</f>
        <v>6.5119269599999766E-2</v>
      </c>
    </row>
    <row r="2743" spans="1:12">
      <c r="A2743" s="22">
        <v>40312.536805555559</v>
      </c>
      <c r="E2743" s="26">
        <v>177.05200500000001</v>
      </c>
      <c r="G2743" s="27">
        <v>0.53680555555555554</v>
      </c>
      <c r="J2743" s="30">
        <f>IF(G2743&lt;$H$10,$H$16,IF(G2743&gt;$I$10,$H$16,$H$11))*E2743/600</f>
        <v>6.491906850000001E-2</v>
      </c>
      <c r="L2743" s="32">
        <f>$J2743*($G2743-$G2742)*60*24</f>
        <v>6.4919068499999788E-2</v>
      </c>
    </row>
    <row r="2744" spans="1:12">
      <c r="A2744" s="22">
        <v>40312.537499999999</v>
      </c>
      <c r="E2744" s="26">
        <v>177.46725000000001</v>
      </c>
      <c r="G2744" s="27">
        <v>0.53749999999999998</v>
      </c>
      <c r="J2744" s="30">
        <f>IF(G2744&lt;$H$10,$H$16,IF(G2744&gt;$I$10,$H$16,$H$11))*E2744/600</f>
        <v>6.5071325000000013E-2</v>
      </c>
      <c r="L2744" s="32">
        <f>$J2744*($G2744-$G2743)*60*24</f>
        <v>6.5071324999999777E-2</v>
      </c>
    </row>
    <row r="2745" spans="1:12">
      <c r="A2745" s="22">
        <v>40312.538194444445</v>
      </c>
      <c r="E2745" s="26">
        <v>178.59794400000001</v>
      </c>
      <c r="G2745" s="27">
        <v>0.53819444444444442</v>
      </c>
      <c r="J2745" s="30">
        <f>IF(G2745&lt;$H$10,$H$16,IF(G2745&gt;$I$10,$H$16,$H$11))*E2745/600</f>
        <v>6.5485912800000004E-2</v>
      </c>
      <c r="L2745" s="32">
        <f>$J2745*($G2745-$G2744)*60*24</f>
        <v>6.5485912799999768E-2</v>
      </c>
    </row>
    <row r="2746" spans="1:12">
      <c r="A2746" s="22">
        <v>40312.538888888892</v>
      </c>
      <c r="E2746" s="26">
        <v>177.44493</v>
      </c>
      <c r="G2746" s="27">
        <v>0.53888888888888886</v>
      </c>
      <c r="J2746" s="30">
        <f>IF(G2746&lt;$H$10,$H$16,IF(G2746&gt;$I$10,$H$16,$H$11))*E2746/600</f>
        <v>6.5063140999999991E-2</v>
      </c>
      <c r="L2746" s="32">
        <f>$J2746*($G2746-$G2745)*60*24</f>
        <v>6.5063140999999755E-2</v>
      </c>
    </row>
    <row r="2747" spans="1:12">
      <c r="A2747" s="22">
        <v>40312.539583333331</v>
      </c>
      <c r="E2747" s="26">
        <v>178.07361</v>
      </c>
      <c r="G2747" s="27">
        <v>0.5395833333333333</v>
      </c>
      <c r="J2747" s="30">
        <f>IF(G2747&lt;$H$10,$H$16,IF(G2747&gt;$I$10,$H$16,$H$11))*E2747/600</f>
        <v>6.5293656999999991E-2</v>
      </c>
      <c r="L2747" s="32">
        <f>$J2747*($G2747-$G2746)*60*24</f>
        <v>6.5293656999999755E-2</v>
      </c>
    </row>
    <row r="2748" spans="1:12">
      <c r="A2748" s="22">
        <v>40312.540277777778</v>
      </c>
      <c r="E2748" s="26">
        <v>178.59069</v>
      </c>
      <c r="G2748" s="27">
        <v>0.54027777777777775</v>
      </c>
      <c r="J2748" s="30">
        <f>IF(G2748&lt;$H$10,$H$16,IF(G2748&gt;$I$10,$H$16,$H$11))*E2748/600</f>
        <v>6.5483252999999991E-2</v>
      </c>
      <c r="L2748" s="32">
        <f>$J2748*($G2748-$G2747)*60*24</f>
        <v>6.5483252999999755E-2</v>
      </c>
    </row>
    <row r="2749" spans="1:12">
      <c r="A2749" s="22">
        <v>40312.540972222225</v>
      </c>
      <c r="E2749" s="26">
        <v>180.22845599999999</v>
      </c>
      <c r="G2749" s="27">
        <v>0.54097222222222219</v>
      </c>
      <c r="J2749" s="30">
        <f>IF(G2749&lt;$H$10,$H$16,IF(G2749&gt;$I$10,$H$16,$H$11))*E2749/600</f>
        <v>6.6083767200000004E-2</v>
      </c>
      <c r="L2749" s="32">
        <f>$J2749*($G2749-$G2748)*60*24</f>
        <v>6.6083767199999754E-2</v>
      </c>
    </row>
    <row r="2750" spans="1:12">
      <c r="A2750" s="22">
        <v>40312.541666666664</v>
      </c>
      <c r="E2750" s="26">
        <v>173.844528</v>
      </c>
      <c r="G2750" s="27">
        <v>0.54166666666666663</v>
      </c>
      <c r="J2750" s="30">
        <f>IF(G2750&lt;$H$10,$H$16,IF(G2750&gt;$I$10,$H$16,$H$11))*E2750/600</f>
        <v>6.3742993599999992E-2</v>
      </c>
      <c r="L2750" s="32">
        <f>$J2750*($G2750-$G2749)*60*24</f>
        <v>6.374299359999977E-2</v>
      </c>
    </row>
    <row r="2751" spans="1:12">
      <c r="A2751" s="22">
        <v>40312.542361111111</v>
      </c>
      <c r="E2751" s="26">
        <v>155.38800000000001</v>
      </c>
      <c r="G2751" s="27">
        <v>0.54236111111111118</v>
      </c>
      <c r="J2751" s="30">
        <f>IF(G2751&lt;$H$10,$H$16,IF(G2751&gt;$I$10,$H$16,$H$11))*E2751/600</f>
        <v>5.6975600000000008E-2</v>
      </c>
      <c r="L2751" s="32">
        <f>$J2751*($G2751-$G2750)*60*24</f>
        <v>5.6975600000008918E-2</v>
      </c>
    </row>
    <row r="2752" spans="1:12">
      <c r="A2752" s="22">
        <v>40312.543055555558</v>
      </c>
      <c r="E2752" s="26">
        <v>165.09896800000001</v>
      </c>
      <c r="G2752" s="27">
        <v>0.54305555555555551</v>
      </c>
      <c r="J2752" s="30">
        <f>IF(G2752&lt;$H$10,$H$16,IF(G2752&gt;$I$10,$H$16,$H$11))*E2752/600</f>
        <v>6.0536288266666675E-2</v>
      </c>
      <c r="L2752" s="32">
        <f>$J2752*($G2752-$G2751)*60*24</f>
        <v>6.0536288266656774E-2</v>
      </c>
    </row>
    <row r="2753" spans="1:12">
      <c r="A2753" s="22">
        <v>40312.543749999997</v>
      </c>
      <c r="E2753" s="26">
        <v>154.48253600000001</v>
      </c>
      <c r="G2753" s="27">
        <v>0.54375000000000007</v>
      </c>
      <c r="J2753" s="30">
        <f>IF(G2753&lt;$H$10,$H$16,IF(G2753&gt;$I$10,$H$16,$H$11))*E2753/600</f>
        <v>5.664359653333334E-2</v>
      </c>
      <c r="L2753" s="32">
        <f>$J2753*($G2753-$G2752)*60*24</f>
        <v>5.6643596533342194E-2</v>
      </c>
    </row>
    <row r="2754" spans="1:12">
      <c r="A2754" s="22">
        <v>40312.544444444444</v>
      </c>
      <c r="E2754" s="26">
        <v>153.29812799999999</v>
      </c>
      <c r="G2754" s="27">
        <v>0.5444444444444444</v>
      </c>
      <c r="J2754" s="30">
        <f>IF(G2754&lt;$H$10,$H$16,IF(G2754&gt;$I$10,$H$16,$H$11))*E2754/600</f>
        <v>5.6209313600000005E-2</v>
      </c>
      <c r="L2754" s="32">
        <f>$J2754*($G2754-$G2753)*60*24</f>
        <v>5.6209313599990818E-2</v>
      </c>
    </row>
    <row r="2755" spans="1:12">
      <c r="A2755" s="22">
        <v>40312.545138888891</v>
      </c>
      <c r="E2755" s="26">
        <v>153.806152</v>
      </c>
      <c r="G2755" s="27">
        <v>0.54513888888888895</v>
      </c>
      <c r="J2755" s="30">
        <f>IF(G2755&lt;$H$10,$H$16,IF(G2755&gt;$I$10,$H$16,$H$11))*E2755/600</f>
        <v>5.6395589066666668E-2</v>
      </c>
      <c r="L2755" s="32">
        <f>$J2755*($G2755-$G2754)*60*24</f>
        <v>5.6395589066675481E-2</v>
      </c>
    </row>
    <row r="2756" spans="1:12">
      <c r="A2756" s="22">
        <v>40312.54583333333</v>
      </c>
      <c r="E2756" s="26">
        <v>152.91218799999999</v>
      </c>
      <c r="G2756" s="27">
        <v>0.54583333333333328</v>
      </c>
      <c r="J2756" s="30">
        <f>IF(G2756&lt;$H$10,$H$16,IF(G2756&gt;$I$10,$H$16,$H$11))*E2756/600</f>
        <v>5.6067802266666661E-2</v>
      </c>
      <c r="L2756" s="32">
        <f>$J2756*($G2756-$G2755)*60*24</f>
        <v>5.6067802266657495E-2</v>
      </c>
    </row>
    <row r="2757" spans="1:12">
      <c r="A2757" s="22">
        <v>40312.546527777777</v>
      </c>
      <c r="E2757" s="26">
        <v>152.74493200000001</v>
      </c>
      <c r="G2757" s="27">
        <v>0.54652777777777783</v>
      </c>
      <c r="J2757" s="30">
        <f>IF(G2757&lt;$H$10,$H$16,IF(G2757&gt;$I$10,$H$16,$H$11))*E2757/600</f>
        <v>5.6006475066666672E-2</v>
      </c>
      <c r="L2757" s="32">
        <f>$J2757*($G2757-$G2756)*60*24</f>
        <v>5.6006475066675429E-2</v>
      </c>
    </row>
    <row r="2758" spans="1:12">
      <c r="A2758" s="22">
        <v>40312.547222222223</v>
      </c>
      <c r="E2758" s="26">
        <v>155.77384799999999</v>
      </c>
      <c r="G2758" s="27">
        <v>0.54722222222222217</v>
      </c>
      <c r="J2758" s="30">
        <f>IF(G2758&lt;$H$10,$H$16,IF(G2758&gt;$I$10,$H$16,$H$11))*E2758/600</f>
        <v>5.7117077599999996E-2</v>
      </c>
      <c r="L2758" s="32">
        <f>$J2758*($G2758-$G2757)*60*24</f>
        <v>5.7117077599990664E-2</v>
      </c>
    </row>
    <row r="2759" spans="1:12">
      <c r="A2759" s="22">
        <v>40312.54791666667</v>
      </c>
      <c r="E2759" s="26">
        <v>152.33433600000001</v>
      </c>
      <c r="G2759" s="27">
        <v>0.54791666666666672</v>
      </c>
      <c r="J2759" s="30">
        <f>IF(G2759&lt;$H$10,$H$16,IF(G2759&gt;$I$10,$H$16,$H$11))*E2759/600</f>
        <v>5.5855923199999997E-2</v>
      </c>
      <c r="L2759" s="32">
        <f>$J2759*($G2759-$G2758)*60*24</f>
        <v>5.5855923200008734E-2</v>
      </c>
    </row>
    <row r="2760" spans="1:12">
      <c r="A2760" s="22">
        <v>40312.548611111109</v>
      </c>
      <c r="E2760" s="26">
        <v>153.481944</v>
      </c>
      <c r="G2760" s="27">
        <v>0.54861111111111105</v>
      </c>
      <c r="J2760" s="30">
        <f>IF(G2760&lt;$H$10,$H$16,IF(G2760&gt;$I$10,$H$16,$H$11))*E2760/600</f>
        <v>5.6276712800000003E-2</v>
      </c>
      <c r="L2760" s="32">
        <f>$J2760*($G2760-$G2759)*60*24</f>
        <v>5.6276712799990802E-2</v>
      </c>
    </row>
    <row r="2761" spans="1:12">
      <c r="A2761" s="22">
        <v>40312.549305555556</v>
      </c>
      <c r="E2761" s="26">
        <v>153.865216</v>
      </c>
      <c r="G2761" s="27">
        <v>0.5493055555555556</v>
      </c>
      <c r="J2761" s="30">
        <f>IF(G2761&lt;$H$10,$H$16,IF(G2761&gt;$I$10,$H$16,$H$11))*E2761/600</f>
        <v>5.6417245866666667E-2</v>
      </c>
      <c r="L2761" s="32">
        <f>$J2761*($G2761-$G2760)*60*24</f>
        <v>5.6417245866675493E-2</v>
      </c>
    </row>
    <row r="2762" spans="1:12">
      <c r="A2762" s="22">
        <v>40312.550000000003</v>
      </c>
      <c r="E2762" s="26">
        <v>151.45184599999999</v>
      </c>
      <c r="G2762" s="27">
        <v>0.54999999999999993</v>
      </c>
      <c r="J2762" s="30">
        <f>IF(G2762&lt;$H$10,$H$16,IF(G2762&gt;$I$10,$H$16,$H$11))*E2762/600</f>
        <v>5.5532343533333327E-2</v>
      </c>
      <c r="L2762" s="32">
        <f>$J2762*($G2762-$G2761)*60*24</f>
        <v>5.5532343533324251E-2</v>
      </c>
    </row>
    <row r="2763" spans="1:12">
      <c r="A2763" s="22">
        <v>40312.550694444442</v>
      </c>
      <c r="E2763" s="26">
        <v>151.860072</v>
      </c>
      <c r="G2763" s="27">
        <v>0.55069444444444449</v>
      </c>
      <c r="J2763" s="30">
        <f>IF(G2763&lt;$H$10,$H$16,IF(G2763&gt;$I$10,$H$16,$H$11))*E2763/600</f>
        <v>5.5682026400000001E-2</v>
      </c>
      <c r="L2763" s="32">
        <f>$J2763*($G2763-$G2762)*60*24</f>
        <v>5.5682026400008702E-2</v>
      </c>
    </row>
    <row r="2764" spans="1:12">
      <c r="A2764" s="22">
        <v>40312.551388888889</v>
      </c>
      <c r="E2764" s="26">
        <v>153.455172</v>
      </c>
      <c r="G2764" s="27">
        <v>0.55138888888888882</v>
      </c>
      <c r="J2764" s="30">
        <f>IF(G2764&lt;$H$10,$H$16,IF(G2764&gt;$I$10,$H$16,$H$11))*E2764/600</f>
        <v>5.6266896399999995E-2</v>
      </c>
      <c r="L2764" s="32">
        <f>$J2764*($G2764-$G2763)*60*24</f>
        <v>5.6266896399990801E-2</v>
      </c>
    </row>
    <row r="2765" spans="1:12">
      <c r="A2765" s="22">
        <v>40312.552083333336</v>
      </c>
      <c r="E2765" s="26">
        <v>153.044668</v>
      </c>
      <c r="G2765" s="27">
        <v>0.55208333333333337</v>
      </c>
      <c r="J2765" s="30">
        <f>IF(G2765&lt;$H$10,$H$16,IF(G2765&gt;$I$10,$H$16,$H$11))*E2765/600</f>
        <v>5.6116378266666669E-2</v>
      </c>
      <c r="L2765" s="32">
        <f>$J2765*($G2765-$G2764)*60*24</f>
        <v>5.611637826667544E-2</v>
      </c>
    </row>
    <row r="2766" spans="1:12">
      <c r="A2766" s="22">
        <v>40312.552777777775</v>
      </c>
      <c r="E2766" s="26">
        <v>152.76241200000001</v>
      </c>
      <c r="G2766" s="27">
        <v>0.55277777777777781</v>
      </c>
      <c r="J2766" s="30">
        <f>IF(G2766&lt;$H$10,$H$16,IF(G2766&gt;$I$10,$H$16,$H$11))*E2766/600</f>
        <v>5.6012884399999997E-2</v>
      </c>
      <c r="L2766" s="32">
        <f>$J2766*($G2766-$G2765)*60*24</f>
        <v>5.6012884399999796E-2</v>
      </c>
    </row>
    <row r="2767" spans="1:12">
      <c r="A2767" s="22">
        <v>40312.553472222222</v>
      </c>
      <c r="E2767" s="26">
        <v>152.90915200000001</v>
      </c>
      <c r="G2767" s="27">
        <v>0.55347222222222225</v>
      </c>
      <c r="J2767" s="30">
        <f>IF(G2767&lt;$H$10,$H$16,IF(G2767&gt;$I$10,$H$16,$H$11))*E2767/600</f>
        <v>5.6066689066666675E-2</v>
      </c>
      <c r="L2767" s="32">
        <f>$J2767*($G2767-$G2766)*60*24</f>
        <v>5.6066689066666474E-2</v>
      </c>
    </row>
    <row r="2768" spans="1:12">
      <c r="A2768" s="22">
        <v>40312.554166666669</v>
      </c>
      <c r="E2768" s="26">
        <v>153.59731199999999</v>
      </c>
      <c r="G2768" s="27">
        <v>0.5541666666666667</v>
      </c>
      <c r="J2768" s="30">
        <f>IF(G2768&lt;$H$10,$H$16,IF(G2768&gt;$I$10,$H$16,$H$11))*E2768/600</f>
        <v>5.6319014399999999E-2</v>
      </c>
      <c r="L2768" s="32">
        <f>$J2768*($G2768-$G2767)*60*24</f>
        <v>5.6319014399999798E-2</v>
      </c>
    </row>
    <row r="2769" spans="1:12">
      <c r="A2769" s="22">
        <v>40312.554861111108</v>
      </c>
      <c r="E2769" s="26">
        <v>153.455172</v>
      </c>
      <c r="G2769" s="27">
        <v>0.55486111111111114</v>
      </c>
      <c r="J2769" s="30">
        <f>IF(G2769&lt;$H$10,$H$16,IF(G2769&gt;$I$10,$H$16,$H$11))*E2769/600</f>
        <v>5.6266896399999995E-2</v>
      </c>
      <c r="L2769" s="32">
        <f>$J2769*($G2769-$G2768)*60*24</f>
        <v>5.6266896399999794E-2</v>
      </c>
    </row>
    <row r="2770" spans="1:12">
      <c r="A2770" s="22">
        <v>40312.555555555555</v>
      </c>
      <c r="E2770" s="26">
        <v>154.689628</v>
      </c>
      <c r="G2770" s="27">
        <v>0.55555555555555558</v>
      </c>
      <c r="J2770" s="30">
        <f>IF(G2770&lt;$H$10,$H$16,IF(G2770&gt;$I$10,$H$16,$H$11))*E2770/600</f>
        <v>5.6719530266666658E-2</v>
      </c>
      <c r="L2770" s="32">
        <f>$J2770*($G2770-$G2769)*60*24</f>
        <v>5.6719530266666457E-2</v>
      </c>
    </row>
    <row r="2771" spans="1:12">
      <c r="A2771" s="22">
        <v>40312.556250000001</v>
      </c>
      <c r="E2771" s="26">
        <v>153.46106</v>
      </c>
      <c r="G2771" s="27">
        <v>0.55625000000000002</v>
      </c>
      <c r="J2771" s="30">
        <f>IF(G2771&lt;$H$10,$H$16,IF(G2771&gt;$I$10,$H$16,$H$11))*E2771/600</f>
        <v>5.6269055333333332E-2</v>
      </c>
      <c r="L2771" s="32">
        <f>$J2771*($G2771-$G2770)*60*24</f>
        <v>5.6269055333333137E-2</v>
      </c>
    </row>
    <row r="2772" spans="1:12">
      <c r="A2772" s="22">
        <v>40312.556944444441</v>
      </c>
      <c r="E2772" s="26">
        <v>153.11192</v>
      </c>
      <c r="G2772" s="27">
        <v>0.55694444444444446</v>
      </c>
      <c r="J2772" s="30">
        <f>IF(G2772&lt;$H$10,$H$16,IF(G2772&gt;$I$10,$H$16,$H$11))*E2772/600</f>
        <v>5.6141037333333338E-2</v>
      </c>
      <c r="L2772" s="32">
        <f>$J2772*($G2772-$G2771)*60*24</f>
        <v>5.6141037333333144E-2</v>
      </c>
    </row>
    <row r="2773" spans="1:12">
      <c r="A2773" s="22">
        <v>40312.557638888888</v>
      </c>
      <c r="E2773" s="26">
        <v>153.72785999999999</v>
      </c>
      <c r="G2773" s="27">
        <v>0.55763888888888891</v>
      </c>
      <c r="J2773" s="30">
        <f>IF(G2773&lt;$H$10,$H$16,IF(G2773&gt;$I$10,$H$16,$H$11))*E2773/600</f>
        <v>5.6366881999999993E-2</v>
      </c>
      <c r="L2773" s="32">
        <f>$J2773*($G2773-$G2772)*60*24</f>
        <v>5.6366881999999792E-2</v>
      </c>
    </row>
    <row r="2774" spans="1:12">
      <c r="A2774" s="22">
        <v>40312.558333333334</v>
      </c>
      <c r="E2774" s="26">
        <v>155.17971199999999</v>
      </c>
      <c r="G2774" s="27">
        <v>0.55833333333333335</v>
      </c>
      <c r="J2774" s="30">
        <f>IF(G2774&lt;$H$10,$H$16,IF(G2774&gt;$I$10,$H$16,$H$11))*E2774/600</f>
        <v>5.6899227733333328E-2</v>
      </c>
      <c r="L2774" s="32">
        <f>$J2774*($G2774-$G2773)*60*24</f>
        <v>5.6899227733333134E-2</v>
      </c>
    </row>
    <row r="2775" spans="1:12">
      <c r="A2775" s="22">
        <v>40312.559027777781</v>
      </c>
      <c r="E2775" s="26">
        <v>156.77158800000001</v>
      </c>
      <c r="G2775" s="27">
        <v>0.55902777777777779</v>
      </c>
      <c r="J2775" s="30">
        <f>IF(G2775&lt;$H$10,$H$16,IF(G2775&gt;$I$10,$H$16,$H$11))*E2775/600</f>
        <v>5.748291560000001E-2</v>
      </c>
      <c r="L2775" s="32">
        <f>$J2775*($G2775-$G2774)*60*24</f>
        <v>5.7482915599999809E-2</v>
      </c>
    </row>
    <row r="2776" spans="1:12">
      <c r="A2776" s="22">
        <v>40312.55972222222</v>
      </c>
      <c r="E2776" s="26">
        <v>154.281792</v>
      </c>
      <c r="G2776" s="27">
        <v>0.55972222222222223</v>
      </c>
      <c r="J2776" s="30">
        <f>IF(G2776&lt;$H$10,$H$16,IF(G2776&gt;$I$10,$H$16,$H$11))*E2776/600</f>
        <v>5.6569990399999999E-2</v>
      </c>
      <c r="L2776" s="32">
        <f>$J2776*($G2776-$G2775)*60*24</f>
        <v>5.6569990399999791E-2</v>
      </c>
    </row>
    <row r="2777" spans="1:12">
      <c r="A2777" s="22">
        <v>40312.560416666667</v>
      </c>
      <c r="E2777" s="26">
        <v>153.72684799999999</v>
      </c>
      <c r="G2777" s="27">
        <v>0.56041666666666667</v>
      </c>
      <c r="J2777" s="30">
        <f>IF(G2777&lt;$H$10,$H$16,IF(G2777&gt;$I$10,$H$16,$H$11))*E2777/600</f>
        <v>5.6366510933333336E-2</v>
      </c>
      <c r="L2777" s="32">
        <f>$J2777*($G2777-$G2776)*60*24</f>
        <v>5.6366510933333142E-2</v>
      </c>
    </row>
    <row r="2778" spans="1:12">
      <c r="A2778" s="22">
        <v>40312.561111111114</v>
      </c>
      <c r="E2778" s="26">
        <v>153.387</v>
      </c>
      <c r="G2778" s="27">
        <v>0.56111111111111112</v>
      </c>
      <c r="J2778" s="30">
        <f>IF(G2778&lt;$H$10,$H$16,IF(G2778&gt;$I$10,$H$16,$H$11))*E2778/600</f>
        <v>5.6241899999999997E-2</v>
      </c>
      <c r="L2778" s="32">
        <f>$J2778*($G2778-$G2777)*60*24</f>
        <v>5.6241899999999796E-2</v>
      </c>
    </row>
    <row r="2779" spans="1:12">
      <c r="A2779" s="22">
        <v>40312.561805555553</v>
      </c>
      <c r="E2779" s="26">
        <v>153.044668</v>
      </c>
      <c r="G2779" s="27">
        <v>0.56180555555555556</v>
      </c>
      <c r="J2779" s="30">
        <f>IF(G2779&lt;$H$10,$H$16,IF(G2779&gt;$I$10,$H$16,$H$11))*E2779/600</f>
        <v>5.6116378266666669E-2</v>
      </c>
      <c r="L2779" s="32">
        <f>$J2779*($G2779-$G2778)*60*24</f>
        <v>5.6116378266666475E-2</v>
      </c>
    </row>
    <row r="2780" spans="1:12">
      <c r="A2780" s="22">
        <v>40312.5625</v>
      </c>
      <c r="E2780" s="26">
        <v>154.006068</v>
      </c>
      <c r="G2780" s="27">
        <v>0.5625</v>
      </c>
      <c r="J2780" s="30">
        <f>IF(G2780&lt;$H$10,$H$16,IF(G2780&gt;$I$10,$H$16,$H$11))*E2780/600</f>
        <v>5.6468891599999994E-2</v>
      </c>
      <c r="L2780" s="32">
        <f>$J2780*($G2780-$G2779)*60*24</f>
        <v>5.6468891599999793E-2</v>
      </c>
    </row>
    <row r="2781" spans="1:12">
      <c r="A2781" s="22">
        <v>40312.563194444447</v>
      </c>
      <c r="E2781" s="26">
        <v>153.80265600000001</v>
      </c>
      <c r="G2781" s="27">
        <v>0.56319444444444444</v>
      </c>
      <c r="J2781" s="30">
        <f>IF(G2781&lt;$H$10,$H$16,IF(G2781&gt;$I$10,$H$16,$H$11))*E2781/600</f>
        <v>5.63943072E-2</v>
      </c>
      <c r="L2781" s="32">
        <f>$J2781*($G2781-$G2780)*60*24</f>
        <v>5.6394307199999799E-2</v>
      </c>
    </row>
    <row r="2782" spans="1:12">
      <c r="A2782" s="22">
        <v>40312.563888888886</v>
      </c>
      <c r="E2782" s="26">
        <v>153.79879199999999</v>
      </c>
      <c r="G2782" s="27">
        <v>0.56388888888888888</v>
      </c>
      <c r="J2782" s="30">
        <f>IF(G2782&lt;$H$10,$H$16,IF(G2782&gt;$I$10,$H$16,$H$11))*E2782/600</f>
        <v>5.6392890399999999E-2</v>
      </c>
      <c r="L2782" s="32">
        <f>$J2782*($G2782-$G2781)*60*24</f>
        <v>5.6392890399999798E-2</v>
      </c>
    </row>
    <row r="2783" spans="1:12">
      <c r="A2783" s="22">
        <v>40312.564583333333</v>
      </c>
      <c r="E2783" s="26">
        <v>157.35772</v>
      </c>
      <c r="G2783" s="27">
        <v>0.56458333333333333</v>
      </c>
      <c r="J2783" s="30">
        <f>IF(G2783&lt;$H$10,$H$16,IF(G2783&gt;$I$10,$H$16,$H$11))*E2783/600</f>
        <v>5.7697830666666665E-2</v>
      </c>
      <c r="L2783" s="32">
        <f>$J2783*($G2783-$G2782)*60*24</f>
        <v>5.7697830666666464E-2</v>
      </c>
    </row>
    <row r="2784" spans="1:12">
      <c r="A2784" s="22">
        <v>40312.56527777778</v>
      </c>
      <c r="E2784" s="26">
        <v>154.14599999999999</v>
      </c>
      <c r="G2784" s="27">
        <v>0.56527777777777777</v>
      </c>
      <c r="J2784" s="30">
        <f>IF(G2784&lt;$H$10,$H$16,IF(G2784&gt;$I$10,$H$16,$H$11))*E2784/600</f>
        <v>5.6520199999999993E-2</v>
      </c>
      <c r="L2784" s="32">
        <f>$J2784*($G2784-$G2783)*60*24</f>
        <v>5.6520199999999785E-2</v>
      </c>
    </row>
    <row r="2785" spans="1:12">
      <c r="A2785" s="22">
        <v>40312.565972222219</v>
      </c>
      <c r="E2785" s="26">
        <v>153.80265600000001</v>
      </c>
      <c r="G2785" s="27">
        <v>0.56597222222222221</v>
      </c>
      <c r="J2785" s="30">
        <f>IF(G2785&lt;$H$10,$H$16,IF(G2785&gt;$I$10,$H$16,$H$11))*E2785/600</f>
        <v>5.63943072E-2</v>
      </c>
      <c r="L2785" s="32">
        <f>$J2785*($G2785-$G2784)*60*24</f>
        <v>5.6394307199999799E-2</v>
      </c>
    </row>
    <row r="2786" spans="1:12">
      <c r="A2786" s="22">
        <v>40312.566666666666</v>
      </c>
      <c r="E2786" s="26">
        <v>153.80376000000001</v>
      </c>
      <c r="G2786" s="27">
        <v>0.56666666666666665</v>
      </c>
      <c r="J2786" s="30">
        <f>IF(G2786&lt;$H$10,$H$16,IF(G2786&gt;$I$10,$H$16,$H$11))*E2786/600</f>
        <v>5.6394712000000007E-2</v>
      </c>
      <c r="L2786" s="32">
        <f>$J2786*($G2786-$G2785)*60*24</f>
        <v>5.6394711999999798E-2</v>
      </c>
    </row>
    <row r="2787" spans="1:12">
      <c r="A2787" s="22">
        <v>40312.567361111112</v>
      </c>
      <c r="E2787" s="26">
        <v>153.87156400000001</v>
      </c>
      <c r="G2787" s="27">
        <v>0.56736111111111109</v>
      </c>
      <c r="J2787" s="30">
        <f>IF(G2787&lt;$H$10,$H$16,IF(G2787&gt;$I$10,$H$16,$H$11))*E2787/600</f>
        <v>5.6419573466666671E-2</v>
      </c>
      <c r="L2787" s="32">
        <f>$J2787*($G2787-$G2786)*60*24</f>
        <v>5.641957346666647E-2</v>
      </c>
    </row>
    <row r="2788" spans="1:12">
      <c r="A2788" s="22">
        <v>40312.568055555559</v>
      </c>
      <c r="E2788" s="26">
        <v>152.39551599999999</v>
      </c>
      <c r="G2788" s="27">
        <v>0.56805555555555554</v>
      </c>
      <c r="J2788" s="30">
        <f>IF(G2788&lt;$H$10,$H$16,IF(G2788&gt;$I$10,$H$16,$H$11))*E2788/600</f>
        <v>5.587835586666666E-2</v>
      </c>
      <c r="L2788" s="32">
        <f>$J2788*($G2788-$G2787)*60*24</f>
        <v>5.5878355866666458E-2</v>
      </c>
    </row>
    <row r="2789" spans="1:12">
      <c r="A2789" s="22">
        <v>40312.568749999999</v>
      </c>
      <c r="E2789" s="26">
        <v>153.14688000000001</v>
      </c>
      <c r="G2789" s="27">
        <v>0.56874999999999998</v>
      </c>
      <c r="J2789" s="30">
        <f>IF(G2789&lt;$H$10,$H$16,IF(G2789&gt;$I$10,$H$16,$H$11))*E2789/600</f>
        <v>5.6153856000000009E-2</v>
      </c>
      <c r="L2789" s="32">
        <f>$J2789*($G2789-$G2788)*60*24</f>
        <v>5.6153855999999808E-2</v>
      </c>
    </row>
    <row r="2790" spans="1:12">
      <c r="A2790" s="22">
        <v>40312.569444444445</v>
      </c>
      <c r="E2790" s="26">
        <v>153.27972800000001</v>
      </c>
      <c r="G2790" s="27">
        <v>0.56944444444444442</v>
      </c>
      <c r="J2790" s="30">
        <f>IF(G2790&lt;$H$10,$H$16,IF(G2790&gt;$I$10,$H$16,$H$11))*E2790/600</f>
        <v>5.6202566933333337E-2</v>
      </c>
      <c r="L2790" s="32">
        <f>$J2790*($G2790-$G2789)*60*24</f>
        <v>5.6202566933333135E-2</v>
      </c>
    </row>
    <row r="2791" spans="1:12">
      <c r="A2791" s="22">
        <v>40312.570138888892</v>
      </c>
      <c r="E2791" s="26">
        <v>153.31514799999999</v>
      </c>
      <c r="G2791" s="27">
        <v>0.57013888888888886</v>
      </c>
      <c r="J2791" s="30">
        <f>IF(G2791&lt;$H$10,$H$16,IF(G2791&gt;$I$10,$H$16,$H$11))*E2791/600</f>
        <v>5.6215554266666662E-2</v>
      </c>
      <c r="L2791" s="32">
        <f>$J2791*($G2791-$G2790)*60*24</f>
        <v>5.6215554266666468E-2</v>
      </c>
    </row>
    <row r="2792" spans="1:12">
      <c r="A2792" s="22">
        <v>40312.570833333331</v>
      </c>
      <c r="E2792" s="26">
        <v>153.048348</v>
      </c>
      <c r="G2792" s="27">
        <v>0.5708333333333333</v>
      </c>
      <c r="J2792" s="30">
        <f>IF(G2792&lt;$H$10,$H$16,IF(G2792&gt;$I$10,$H$16,$H$11))*E2792/600</f>
        <v>5.61177276E-2</v>
      </c>
      <c r="L2792" s="32">
        <f>$J2792*($G2792-$G2791)*60*24</f>
        <v>5.6117727599999799E-2</v>
      </c>
    </row>
    <row r="2793" spans="1:12">
      <c r="A2793" s="22">
        <v>40312.571527777778</v>
      </c>
      <c r="E2793" s="26">
        <v>153.03878</v>
      </c>
      <c r="G2793" s="27">
        <v>0.57152777777777775</v>
      </c>
      <c r="J2793" s="30">
        <f>IF(G2793&lt;$H$10,$H$16,IF(G2793&gt;$I$10,$H$16,$H$11))*E2793/600</f>
        <v>5.6114219333333333E-2</v>
      </c>
      <c r="L2793" s="32">
        <f>$J2793*($G2793-$G2792)*60*24</f>
        <v>5.6114219333333132E-2</v>
      </c>
    </row>
    <row r="2794" spans="1:12">
      <c r="A2794" s="22">
        <v>40312.572222222225</v>
      </c>
      <c r="E2794" s="26">
        <v>152.88146</v>
      </c>
      <c r="G2794" s="27">
        <v>0.57222222222222219</v>
      </c>
      <c r="J2794" s="30">
        <f>IF(G2794&lt;$H$10,$H$16,IF(G2794&gt;$I$10,$H$16,$H$11))*E2794/600</f>
        <v>5.6056535333333338E-2</v>
      </c>
      <c r="L2794" s="32">
        <f>$J2794*($G2794-$G2793)*60*24</f>
        <v>5.6056535333333143E-2</v>
      </c>
    </row>
    <row r="2795" spans="1:12">
      <c r="A2795" s="22">
        <v>40312.572916666664</v>
      </c>
      <c r="E2795" s="26">
        <v>152.292384</v>
      </c>
      <c r="G2795" s="27">
        <v>0.57291666666666663</v>
      </c>
      <c r="J2795" s="30">
        <f>IF(G2795&lt;$H$10,$H$16,IF(G2795&gt;$I$10,$H$16,$H$11))*E2795/600</f>
        <v>5.5840540800000005E-2</v>
      </c>
      <c r="L2795" s="32">
        <f>$J2795*($G2795-$G2794)*60*24</f>
        <v>5.584054079999981E-2</v>
      </c>
    </row>
    <row r="2796" spans="1:12">
      <c r="A2796" s="22">
        <v>40312.573611111111</v>
      </c>
      <c r="E2796" s="26">
        <v>152.36304000000001</v>
      </c>
      <c r="G2796" s="27">
        <v>0.57361111111111118</v>
      </c>
      <c r="J2796" s="30">
        <f>IF(G2796&lt;$H$10,$H$16,IF(G2796&gt;$I$10,$H$16,$H$11))*E2796/600</f>
        <v>5.5866448000000006E-2</v>
      </c>
      <c r="L2796" s="32">
        <f>$J2796*($G2796-$G2795)*60*24</f>
        <v>5.5866448000008735E-2</v>
      </c>
    </row>
    <row r="2797" spans="1:12">
      <c r="A2797" s="22">
        <v>40312.574305555558</v>
      </c>
      <c r="E2797" s="26">
        <v>153.309168</v>
      </c>
      <c r="G2797" s="27">
        <v>0.57430555555555551</v>
      </c>
      <c r="J2797" s="30">
        <f>IF(G2797&lt;$H$10,$H$16,IF(G2797&gt;$I$10,$H$16,$H$11))*E2797/600</f>
        <v>5.6213361599999997E-2</v>
      </c>
      <c r="L2797" s="32">
        <f>$J2797*($G2797-$G2796)*60*24</f>
        <v>5.6213361599990803E-2</v>
      </c>
    </row>
    <row r="2798" spans="1:12">
      <c r="A2798" s="22">
        <v>40312.574999999997</v>
      </c>
      <c r="E2798" s="26">
        <v>153.10897600000001</v>
      </c>
      <c r="G2798" s="27">
        <v>0.57500000000000007</v>
      </c>
      <c r="J2798" s="30">
        <f>IF(G2798&lt;$H$10,$H$16,IF(G2798&gt;$I$10,$H$16,$H$11))*E2798/600</f>
        <v>5.6139957866666673E-2</v>
      </c>
      <c r="L2798" s="32">
        <f>$J2798*($G2798-$G2797)*60*24</f>
        <v>5.6139957866675444E-2</v>
      </c>
    </row>
    <row r="2799" spans="1:12">
      <c r="A2799" s="22">
        <v>40312.575694444444</v>
      </c>
      <c r="E2799" s="26">
        <v>153.51561599999999</v>
      </c>
      <c r="G2799" s="27">
        <v>0.5756944444444444</v>
      </c>
      <c r="J2799" s="30">
        <f>IF(G2799&lt;$H$10,$H$16,IF(G2799&gt;$I$10,$H$16,$H$11))*E2799/600</f>
        <v>5.6289059199999998E-2</v>
      </c>
      <c r="L2799" s="32">
        <f>$J2799*($G2799-$G2798)*60*24</f>
        <v>5.6289059199990804E-2</v>
      </c>
    </row>
    <row r="2800" spans="1:12">
      <c r="A2800" s="22">
        <v>40312.576388888891</v>
      </c>
      <c r="E2800" s="26">
        <v>153.10787199999999</v>
      </c>
      <c r="G2800" s="27">
        <v>0.57638888888888895</v>
      </c>
      <c r="J2800" s="30">
        <f>IF(G2800&lt;$H$10,$H$16,IF(G2800&gt;$I$10,$H$16,$H$11))*E2800/600</f>
        <v>5.6139553066666667E-2</v>
      </c>
      <c r="L2800" s="32">
        <f>$J2800*($G2800-$G2799)*60*24</f>
        <v>5.6139553066675438E-2</v>
      </c>
    </row>
    <row r="2801" spans="1:12">
      <c r="A2801" s="22">
        <v>40312.57708333333</v>
      </c>
      <c r="E2801" s="26">
        <v>153.046784</v>
      </c>
      <c r="G2801" s="27">
        <v>0.57708333333333328</v>
      </c>
      <c r="J2801" s="30">
        <f>IF(G2801&lt;$H$10,$H$16,IF(G2801&gt;$I$10,$H$16,$H$11))*E2801/600</f>
        <v>5.6117154133333333E-2</v>
      </c>
      <c r="L2801" s="32">
        <f>$J2801*($G2801-$G2800)*60*24</f>
        <v>5.611715413332416E-2</v>
      </c>
    </row>
    <row r="2802" spans="1:12">
      <c r="A2802" s="22">
        <v>40312.577777777777</v>
      </c>
      <c r="E2802" s="26">
        <v>153.821516</v>
      </c>
      <c r="G2802" s="27">
        <v>0.57777777777777783</v>
      </c>
      <c r="J2802" s="30">
        <f>IF(G2802&lt;$H$10,$H$16,IF(G2802&gt;$I$10,$H$16,$H$11))*E2802/600</f>
        <v>5.6401222533333337E-2</v>
      </c>
      <c r="L2802" s="32">
        <f>$J2802*($G2802-$G2801)*60*24</f>
        <v>5.6401222533342156E-2</v>
      </c>
    </row>
    <row r="2803" spans="1:12">
      <c r="A2803" s="22">
        <v>40312.578472222223</v>
      </c>
      <c r="E2803" s="26">
        <v>153.77689599999999</v>
      </c>
      <c r="G2803" s="27">
        <v>0.57847222222222217</v>
      </c>
      <c r="J2803" s="30">
        <f>IF(G2803&lt;$H$10,$H$16,IF(G2803&gt;$I$10,$H$16,$H$11))*E2803/600</f>
        <v>5.638486186666667E-2</v>
      </c>
      <c r="L2803" s="32">
        <f>$J2803*($G2803-$G2802)*60*24</f>
        <v>5.6384861866657449E-2</v>
      </c>
    </row>
    <row r="2804" spans="1:12">
      <c r="A2804" s="22">
        <v>40312.57916666667</v>
      </c>
      <c r="E2804" s="26">
        <v>153.469064</v>
      </c>
      <c r="G2804" s="27">
        <v>0.57916666666666672</v>
      </c>
      <c r="J2804" s="30">
        <f>IF(G2804&lt;$H$10,$H$16,IF(G2804&gt;$I$10,$H$16,$H$11))*E2804/600</f>
        <v>5.6271990133333331E-2</v>
      </c>
      <c r="L2804" s="32">
        <f>$J2804*($G2804-$G2803)*60*24</f>
        <v>5.6271990133342123E-2</v>
      </c>
    </row>
    <row r="2805" spans="1:12">
      <c r="A2805" s="22">
        <v>40312.579861111109</v>
      </c>
      <c r="E2805" s="26">
        <v>152.56231199999999</v>
      </c>
      <c r="G2805" s="27">
        <v>0.57986111111111105</v>
      </c>
      <c r="J2805" s="30">
        <f>IF(G2805&lt;$H$10,$H$16,IF(G2805&gt;$I$10,$H$16,$H$11))*E2805/600</f>
        <v>5.5939514400000001E-2</v>
      </c>
      <c r="L2805" s="32">
        <f>$J2805*($G2805-$G2804)*60*24</f>
        <v>5.5939514399990856E-2</v>
      </c>
    </row>
    <row r="2806" spans="1:12">
      <c r="A2806" s="22">
        <v>40312.580555555556</v>
      </c>
      <c r="E2806" s="26">
        <v>153.38092800000001</v>
      </c>
      <c r="G2806" s="27">
        <v>0.5805555555555556</v>
      </c>
      <c r="J2806" s="30">
        <f>IF(G2806&lt;$H$10,$H$16,IF(G2806&gt;$I$10,$H$16,$H$11))*E2806/600</f>
        <v>5.6239673600000005E-2</v>
      </c>
      <c r="L2806" s="32">
        <f>$J2806*($G2806-$G2805)*60*24</f>
        <v>5.6239673600008797E-2</v>
      </c>
    </row>
    <row r="2807" spans="1:12">
      <c r="A2807" s="22">
        <v>40312.581250000003</v>
      </c>
      <c r="E2807" s="26">
        <v>153.558672</v>
      </c>
      <c r="G2807" s="27">
        <v>0.58124999999999993</v>
      </c>
      <c r="J2807" s="30">
        <f>IF(G2807&lt;$H$10,$H$16,IF(G2807&gt;$I$10,$H$16,$H$11))*E2807/600</f>
        <v>5.6304846399999997E-2</v>
      </c>
      <c r="L2807" s="32">
        <f>$J2807*($G2807-$G2806)*60*24</f>
        <v>5.6304846399990796E-2</v>
      </c>
    </row>
    <row r="2808" spans="1:12">
      <c r="A2808" s="22">
        <v>40312.581944444442</v>
      </c>
      <c r="E2808" s="26">
        <v>153.558672</v>
      </c>
      <c r="G2808" s="27">
        <v>0.58194444444444449</v>
      </c>
      <c r="J2808" s="30">
        <f>IF(G2808&lt;$H$10,$H$16,IF(G2808&gt;$I$10,$H$16,$H$11))*E2808/600</f>
        <v>5.6304846399999997E-2</v>
      </c>
      <c r="L2808" s="32">
        <f>$J2808*($G2808-$G2807)*60*24</f>
        <v>5.6304846400008789E-2</v>
      </c>
    </row>
    <row r="2809" spans="1:12">
      <c r="A2809" s="22">
        <v>40312.582638888889</v>
      </c>
      <c r="E2809" s="26">
        <v>153.716544</v>
      </c>
      <c r="G2809" s="27">
        <v>0.58263888888888882</v>
      </c>
      <c r="J2809" s="30">
        <f>IF(G2809&lt;$H$10,$H$16,IF(G2809&gt;$I$10,$H$16,$H$11))*E2809/600</f>
        <v>5.6362732799999996E-2</v>
      </c>
      <c r="L2809" s="32">
        <f>$J2809*($G2809-$G2808)*60*24</f>
        <v>5.6362732799990781E-2</v>
      </c>
    </row>
    <row r="2810" spans="1:12">
      <c r="A2810" s="22">
        <v>40312.583333333336</v>
      </c>
      <c r="E2810" s="26">
        <v>154.48143200000001</v>
      </c>
      <c r="G2810" s="27">
        <v>0.58333333333333337</v>
      </c>
      <c r="J2810" s="30">
        <f>IF(G2810&lt;$H$10,$H$16,IF(G2810&gt;$I$10,$H$16,$H$11))*E2810/600</f>
        <v>5.6643191733333334E-2</v>
      </c>
      <c r="L2810" s="32">
        <f>$J2810*($G2810-$G2809)*60*24</f>
        <v>5.6643191733342188E-2</v>
      </c>
    </row>
    <row r="2811" spans="1:12">
      <c r="A2811" s="22">
        <v>40312.584027777775</v>
      </c>
      <c r="E2811" s="26">
        <v>152.84438399999999</v>
      </c>
      <c r="G2811" s="27">
        <v>0.58402777777777781</v>
      </c>
      <c r="J2811" s="30">
        <f>IF(G2811&lt;$H$10,$H$16,IF(G2811&gt;$I$10,$H$16,$H$11))*E2811/600</f>
        <v>5.6042940800000003E-2</v>
      </c>
      <c r="L2811" s="32">
        <f>$J2811*($G2811-$G2810)*60*24</f>
        <v>5.6042940799999802E-2</v>
      </c>
    </row>
    <row r="2812" spans="1:12">
      <c r="A2812" s="22">
        <v>40312.584722222222</v>
      </c>
      <c r="E2812" s="26">
        <v>152.50214399999999</v>
      </c>
      <c r="G2812" s="27">
        <v>0.58472222222222225</v>
      </c>
      <c r="J2812" s="30">
        <f>IF(G2812&lt;$H$10,$H$16,IF(G2812&gt;$I$10,$H$16,$H$11))*E2812/600</f>
        <v>5.5917452799999989E-2</v>
      </c>
      <c r="L2812" s="32">
        <f>$J2812*($G2812-$G2811)*60*24</f>
        <v>5.5917452799999781E-2</v>
      </c>
    </row>
    <row r="2813" spans="1:12">
      <c r="A2813" s="22">
        <v>40312.585416666669</v>
      </c>
      <c r="E2813" s="26">
        <v>153.03362799999999</v>
      </c>
      <c r="G2813" s="27">
        <v>0.5854166666666667</v>
      </c>
      <c r="J2813" s="30">
        <f>IF(G2813&lt;$H$10,$H$16,IF(G2813&gt;$I$10,$H$16,$H$11))*E2813/600</f>
        <v>5.6112330266666663E-2</v>
      </c>
      <c r="L2813" s="32">
        <f>$J2813*($G2813-$G2812)*60*24</f>
        <v>5.6112330266666469E-2</v>
      </c>
    </row>
    <row r="2814" spans="1:12">
      <c r="A2814" s="22">
        <v>40312.586111111108</v>
      </c>
      <c r="E2814" s="26">
        <v>155.164072</v>
      </c>
      <c r="G2814" s="27">
        <v>0.58611111111111114</v>
      </c>
      <c r="J2814" s="30">
        <f>IF(G2814&lt;$H$10,$H$16,IF(G2814&gt;$I$10,$H$16,$H$11))*E2814/600</f>
        <v>5.6893493066666669E-2</v>
      </c>
      <c r="L2814" s="32">
        <f>$J2814*($G2814-$G2813)*60*24</f>
        <v>5.6893493066666467E-2</v>
      </c>
    </row>
    <row r="2815" spans="1:12">
      <c r="A2815" s="22">
        <v>40312.586805555555</v>
      </c>
      <c r="E2815" s="26">
        <v>166.936668</v>
      </c>
      <c r="G2815" s="27">
        <v>0.58680555555555558</v>
      </c>
      <c r="J2815" s="30">
        <f>IF(G2815&lt;$H$10,$H$16,IF(G2815&gt;$I$10,$H$16,$H$11))*E2815/600</f>
        <v>6.1210111599999999E-2</v>
      </c>
      <c r="L2815" s="32">
        <f>$J2815*($G2815-$G2814)*60*24</f>
        <v>6.1210111599999784E-2</v>
      </c>
    </row>
    <row r="2816" spans="1:12">
      <c r="A2816" s="22">
        <v>40312.587500000001</v>
      </c>
      <c r="E2816" s="26">
        <v>174.24247500000001</v>
      </c>
      <c r="G2816" s="27">
        <v>0.58750000000000002</v>
      </c>
      <c r="J2816" s="30">
        <f>IF(G2816&lt;$H$10,$H$16,IF(G2816&gt;$I$10,$H$16,$H$11))*E2816/600</f>
        <v>6.3888907500000008E-2</v>
      </c>
      <c r="L2816" s="32">
        <f>$J2816*($G2816-$G2815)*60*24</f>
        <v>6.3888907499999786E-2</v>
      </c>
    </row>
    <row r="2817" spans="1:12">
      <c r="A2817" s="22">
        <v>40312.588194444441</v>
      </c>
      <c r="E2817" s="26">
        <v>162.41679999999999</v>
      </c>
      <c r="G2817" s="27">
        <v>0.58819444444444446</v>
      </c>
      <c r="J2817" s="30">
        <f>IF(G2817&lt;$H$10,$H$16,IF(G2817&gt;$I$10,$H$16,$H$11))*E2817/600</f>
        <v>5.9552826666666663E-2</v>
      </c>
      <c r="L2817" s="32">
        <f>$J2817*($G2817-$G2816)*60*24</f>
        <v>5.9552826666666447E-2</v>
      </c>
    </row>
    <row r="2818" spans="1:12">
      <c r="A2818" s="22">
        <v>40312.588888888888</v>
      </c>
      <c r="E2818" s="26">
        <v>153.73807199999999</v>
      </c>
      <c r="G2818" s="27">
        <v>0.58888888888888891</v>
      </c>
      <c r="J2818" s="30">
        <f>IF(G2818&lt;$H$10,$H$16,IF(G2818&gt;$I$10,$H$16,$H$11))*E2818/600</f>
        <v>5.6370626399999998E-2</v>
      </c>
      <c r="L2818" s="32">
        <f>$J2818*($G2818-$G2817)*60*24</f>
        <v>5.6370626399999804E-2</v>
      </c>
    </row>
    <row r="2819" spans="1:12">
      <c r="A2819" s="22">
        <v>40312.589583333334</v>
      </c>
      <c r="E2819" s="26">
        <v>153.342288</v>
      </c>
      <c r="G2819" s="27">
        <v>0.58958333333333335</v>
      </c>
      <c r="J2819" s="30">
        <f>IF(G2819&lt;$H$10,$H$16,IF(G2819&gt;$I$10,$H$16,$H$11))*E2819/600</f>
        <v>5.6225505599999996E-2</v>
      </c>
      <c r="L2819" s="32">
        <f>$J2819*($G2819-$G2818)*60*24</f>
        <v>5.6225505599999795E-2</v>
      </c>
    </row>
    <row r="2820" spans="1:12">
      <c r="A2820" s="22">
        <v>40312.590277777781</v>
      </c>
      <c r="E2820" s="26">
        <v>154.57932</v>
      </c>
      <c r="G2820" s="27">
        <v>0.59027777777777779</v>
      </c>
      <c r="J2820" s="30">
        <f>IF(G2820&lt;$H$10,$H$16,IF(G2820&gt;$I$10,$H$16,$H$11))*E2820/600</f>
        <v>5.6679083999999991E-2</v>
      </c>
      <c r="L2820" s="32">
        <f>$J2820*($G2820-$G2819)*60*24</f>
        <v>5.6679083999999789E-2</v>
      </c>
    </row>
    <row r="2821" spans="1:12">
      <c r="A2821" s="22">
        <v>40312.59097222222</v>
      </c>
      <c r="E2821" s="26">
        <v>154.44665599999999</v>
      </c>
      <c r="G2821" s="27">
        <v>0.59097222222222223</v>
      </c>
      <c r="J2821" s="30">
        <f>IF(G2821&lt;$H$10,$H$16,IF(G2821&gt;$I$10,$H$16,$H$11))*E2821/600</f>
        <v>5.6630440533333333E-2</v>
      </c>
      <c r="L2821" s="32">
        <f>$J2821*($G2821-$G2820)*60*24</f>
        <v>5.6630440533333132E-2</v>
      </c>
    </row>
    <row r="2822" spans="1:12">
      <c r="A2822" s="22">
        <v>40312.591666666667</v>
      </c>
      <c r="E2822" s="26">
        <v>154.66947999999999</v>
      </c>
      <c r="G2822" s="27">
        <v>0.59166666666666667</v>
      </c>
      <c r="J2822" s="30">
        <f>IF(G2822&lt;$H$10,$H$16,IF(G2822&gt;$I$10,$H$16,$H$11))*E2822/600</f>
        <v>5.6712142666666666E-2</v>
      </c>
      <c r="L2822" s="32">
        <f>$J2822*($G2822-$G2821)*60*24</f>
        <v>5.6712142666666472E-2</v>
      </c>
    </row>
    <row r="2823" spans="1:12">
      <c r="A2823" s="22">
        <v>40312.592361111114</v>
      </c>
      <c r="E2823" s="26">
        <v>153.642944</v>
      </c>
      <c r="G2823" s="27">
        <v>0.59236111111111112</v>
      </c>
      <c r="J2823" s="30">
        <f>IF(G2823&lt;$H$10,$H$16,IF(G2823&gt;$I$10,$H$16,$H$11))*E2823/600</f>
        <v>5.6335746133333336E-2</v>
      </c>
      <c r="L2823" s="32">
        <f>$J2823*($G2823-$G2822)*60*24</f>
        <v>5.6335746133333142E-2</v>
      </c>
    </row>
    <row r="2824" spans="1:12">
      <c r="A2824" s="22">
        <v>40312.593055555553</v>
      </c>
      <c r="E2824" s="26">
        <v>154.24572800000001</v>
      </c>
      <c r="G2824" s="27">
        <v>0.59305555555555556</v>
      </c>
      <c r="J2824" s="30">
        <f>IF(G2824&lt;$H$10,$H$16,IF(G2824&gt;$I$10,$H$16,$H$11))*E2824/600</f>
        <v>5.6556766933333336E-2</v>
      </c>
      <c r="L2824" s="32">
        <f>$J2824*($G2824-$G2823)*60*24</f>
        <v>5.6556766933333134E-2</v>
      </c>
    </row>
    <row r="2825" spans="1:12">
      <c r="A2825" s="22">
        <v>40312.59375</v>
      </c>
      <c r="E2825" s="26">
        <v>153.51690400000001</v>
      </c>
      <c r="G2825" s="27">
        <v>0.59375</v>
      </c>
      <c r="J2825" s="30">
        <f>IF(G2825&lt;$H$10,$H$16,IF(G2825&gt;$I$10,$H$16,$H$11))*E2825/600</f>
        <v>5.6289531466666674E-2</v>
      </c>
      <c r="L2825" s="32">
        <f>$J2825*($G2825-$G2824)*60*24</f>
        <v>5.6289531466666473E-2</v>
      </c>
    </row>
    <row r="2826" spans="1:12">
      <c r="A2826" s="22">
        <v>40312.594444444447</v>
      </c>
      <c r="E2826" s="26">
        <v>153.45921999999999</v>
      </c>
      <c r="G2826" s="27">
        <v>0.59444444444444444</v>
      </c>
      <c r="J2826" s="30">
        <f>IF(G2826&lt;$H$10,$H$16,IF(G2826&gt;$I$10,$H$16,$H$11))*E2826/600</f>
        <v>5.6268380666666666E-2</v>
      </c>
      <c r="L2826" s="32">
        <f>$J2826*($G2826-$G2825)*60*24</f>
        <v>5.6268380666666465E-2</v>
      </c>
    </row>
    <row r="2827" spans="1:12">
      <c r="A2827" s="22">
        <v>40312.595138888886</v>
      </c>
      <c r="E2827" s="26">
        <v>153.34946400000001</v>
      </c>
      <c r="G2827" s="27">
        <v>0.59513888888888888</v>
      </c>
      <c r="J2827" s="30">
        <f>IF(G2827&lt;$H$10,$H$16,IF(G2827&gt;$I$10,$H$16,$H$11))*E2827/600</f>
        <v>5.6228136800000002E-2</v>
      </c>
      <c r="L2827" s="32">
        <f>$J2827*($G2827-$G2826)*60*24</f>
        <v>5.6228136799999801E-2</v>
      </c>
    </row>
    <row r="2828" spans="1:12">
      <c r="A2828" s="22">
        <v>40312.595833333333</v>
      </c>
      <c r="E2828" s="26">
        <v>154.26928000000001</v>
      </c>
      <c r="G2828" s="27">
        <v>0.59583333333333333</v>
      </c>
      <c r="J2828" s="30">
        <f>IF(G2828&lt;$H$10,$H$16,IF(G2828&gt;$I$10,$H$16,$H$11))*E2828/600</f>
        <v>5.6565402666666674E-2</v>
      </c>
      <c r="L2828" s="32">
        <f>$J2828*($G2828-$G2827)*60*24</f>
        <v>5.6565402666666473E-2</v>
      </c>
    </row>
    <row r="2829" spans="1:12">
      <c r="A2829" s="22">
        <v>40312.59652777778</v>
      </c>
      <c r="E2829" s="26">
        <v>153.920232</v>
      </c>
      <c r="G2829" s="27">
        <v>0.59652777777777777</v>
      </c>
      <c r="J2829" s="30">
        <f>IF(G2829&lt;$H$10,$H$16,IF(G2829&gt;$I$10,$H$16,$H$11))*E2829/600</f>
        <v>5.6437418400000008E-2</v>
      </c>
      <c r="L2829" s="32">
        <f>$J2829*($G2829-$G2828)*60*24</f>
        <v>5.64374183999998E-2</v>
      </c>
    </row>
    <row r="2830" spans="1:12">
      <c r="A2830" s="22">
        <v>40312.597222222219</v>
      </c>
      <c r="E2830" s="26">
        <v>154.49191999999999</v>
      </c>
      <c r="G2830" s="27">
        <v>0.59722222222222221</v>
      </c>
      <c r="J2830" s="30">
        <f>IF(G2830&lt;$H$10,$H$16,IF(G2830&gt;$I$10,$H$16,$H$11))*E2830/600</f>
        <v>5.664703733333333E-2</v>
      </c>
      <c r="L2830" s="32">
        <f>$J2830*($G2830-$G2829)*60*24</f>
        <v>5.6647037333333122E-2</v>
      </c>
    </row>
    <row r="2831" spans="1:12">
      <c r="A2831" s="22">
        <v>40312.597916666666</v>
      </c>
      <c r="E2831" s="26">
        <v>153.318828</v>
      </c>
      <c r="G2831" s="27">
        <v>0.59791666666666665</v>
      </c>
      <c r="J2831" s="30">
        <f>IF(G2831&lt;$H$10,$H$16,IF(G2831&gt;$I$10,$H$16,$H$11))*E2831/600</f>
        <v>5.62169036E-2</v>
      </c>
      <c r="L2831" s="32">
        <f>$J2831*($G2831-$G2830)*60*24</f>
        <v>5.6216903599999805E-2</v>
      </c>
    </row>
    <row r="2832" spans="1:12">
      <c r="A2832" s="22">
        <v>40312.598611111112</v>
      </c>
      <c r="E2832" s="26">
        <v>153.24127200000001</v>
      </c>
      <c r="G2832" s="27">
        <v>0.59861111111111109</v>
      </c>
      <c r="J2832" s="30">
        <f>IF(G2832&lt;$H$10,$H$16,IF(G2832&gt;$I$10,$H$16,$H$11))*E2832/600</f>
        <v>5.6188466399999998E-2</v>
      </c>
      <c r="L2832" s="32">
        <f>$J2832*($G2832-$G2831)*60*24</f>
        <v>5.6188466399999804E-2</v>
      </c>
    </row>
    <row r="2833" spans="1:12">
      <c r="A2833" s="22">
        <v>40312.599305555559</v>
      </c>
      <c r="E2833" s="26">
        <v>153.26730800000001</v>
      </c>
      <c r="G2833" s="27">
        <v>0.59930555555555554</v>
      </c>
      <c r="J2833" s="30">
        <f>IF(G2833&lt;$H$10,$H$16,IF(G2833&gt;$I$10,$H$16,$H$11))*E2833/600</f>
        <v>5.619801293333334E-2</v>
      </c>
      <c r="L2833" s="32">
        <f>$J2833*($G2833-$G2832)*60*24</f>
        <v>5.6198012933333139E-2</v>
      </c>
    </row>
    <row r="2834" spans="1:12">
      <c r="A2834" s="22">
        <v>40312.6</v>
      </c>
      <c r="E2834" s="26">
        <v>153.59492</v>
      </c>
      <c r="G2834" s="27">
        <v>0.6</v>
      </c>
      <c r="J2834" s="30">
        <f>IF(G2834&lt;$H$10,$H$16,IF(G2834&gt;$I$10,$H$16,$H$11))*E2834/600</f>
        <v>5.6318137333333337E-2</v>
      </c>
      <c r="L2834" s="32">
        <f>$J2834*($G2834-$G2833)*60*24</f>
        <v>5.6318137333333143E-2</v>
      </c>
    </row>
    <row r="2835" spans="1:12">
      <c r="A2835" s="22">
        <v>40312.600694444445</v>
      </c>
      <c r="E2835" s="26">
        <v>153.8355</v>
      </c>
      <c r="G2835" s="27">
        <v>0.60069444444444442</v>
      </c>
      <c r="J2835" s="30">
        <f>IF(G2835&lt;$H$10,$H$16,IF(G2835&gt;$I$10,$H$16,$H$11))*E2835/600</f>
        <v>5.6406349999999994E-2</v>
      </c>
      <c r="L2835" s="32">
        <f>$J2835*($G2835-$G2834)*60*24</f>
        <v>5.6406349999999793E-2</v>
      </c>
    </row>
    <row r="2836" spans="1:12">
      <c r="A2836" s="22">
        <v>40312.601388888892</v>
      </c>
      <c r="E2836" s="26">
        <v>153.28855999999999</v>
      </c>
      <c r="G2836" s="27">
        <v>0.60138888888888886</v>
      </c>
      <c r="J2836" s="30">
        <f>IF(G2836&lt;$H$10,$H$16,IF(G2836&gt;$I$10,$H$16,$H$11))*E2836/600</f>
        <v>5.6205805333333331E-2</v>
      </c>
      <c r="L2836" s="32">
        <f>$J2836*($G2836-$G2835)*60*24</f>
        <v>5.620580533333313E-2</v>
      </c>
    </row>
    <row r="2837" spans="1:12">
      <c r="A2837" s="22">
        <v>40312.602083333331</v>
      </c>
      <c r="E2837" s="26">
        <v>154.37646000000001</v>
      </c>
      <c r="G2837" s="27">
        <v>0.6020833333333333</v>
      </c>
      <c r="J2837" s="30">
        <f>IF(G2837&lt;$H$10,$H$16,IF(G2837&gt;$I$10,$H$16,$H$11))*E2837/600</f>
        <v>5.6604702E-2</v>
      </c>
      <c r="L2837" s="32">
        <f>$J2837*($G2837-$G2836)*60*24</f>
        <v>5.6604701999999799E-2</v>
      </c>
    </row>
    <row r="2838" spans="1:12">
      <c r="A2838" s="22">
        <v>40312.602777777778</v>
      </c>
      <c r="E2838" s="26">
        <v>153.73126400000001</v>
      </c>
      <c r="G2838" s="27">
        <v>0.60277777777777775</v>
      </c>
      <c r="J2838" s="30">
        <f>IF(G2838&lt;$H$10,$H$16,IF(G2838&gt;$I$10,$H$16,$H$11))*E2838/600</f>
        <v>5.6368130133333333E-2</v>
      </c>
      <c r="L2838" s="32">
        <f>$J2838*($G2838-$G2837)*60*24</f>
        <v>5.6368130133333139E-2</v>
      </c>
    </row>
    <row r="2839" spans="1:12">
      <c r="A2839" s="22">
        <v>40312.603472222225</v>
      </c>
      <c r="E2839" s="26">
        <v>154.22272799999999</v>
      </c>
      <c r="G2839" s="27">
        <v>0.60347222222222219</v>
      </c>
      <c r="J2839" s="30">
        <f>IF(G2839&lt;$H$10,$H$16,IF(G2839&gt;$I$10,$H$16,$H$11))*E2839/600</f>
        <v>5.65483336E-2</v>
      </c>
      <c r="L2839" s="32">
        <f>$J2839*($G2839-$G2838)*60*24</f>
        <v>5.6548333599999799E-2</v>
      </c>
    </row>
    <row r="2840" spans="1:12">
      <c r="A2840" s="22">
        <v>40312.604166666664</v>
      </c>
      <c r="E2840" s="26">
        <v>154.70269200000001</v>
      </c>
      <c r="G2840" s="27">
        <v>0.60416666666666663</v>
      </c>
      <c r="J2840" s="30">
        <f>IF(G2840&lt;$H$10,$H$16,IF(G2840&gt;$I$10,$H$16,$H$11))*E2840/600</f>
        <v>5.67243204E-2</v>
      </c>
      <c r="L2840" s="32">
        <f>$J2840*($G2840-$G2839)*60*24</f>
        <v>5.6724320399999792E-2</v>
      </c>
    </row>
    <row r="2841" spans="1:12">
      <c r="A2841" s="22">
        <v>40312.604861111111</v>
      </c>
      <c r="E2841" s="26">
        <v>153.57596799999999</v>
      </c>
      <c r="G2841" s="27">
        <v>0.60486111111111118</v>
      </c>
      <c r="J2841" s="30">
        <f>IF(G2841&lt;$H$10,$H$16,IF(G2841&gt;$I$10,$H$16,$H$11))*E2841/600</f>
        <v>5.6311188266666659E-2</v>
      </c>
      <c r="L2841" s="32">
        <f>$J2841*($G2841-$G2840)*60*24</f>
        <v>5.6311188266675458E-2</v>
      </c>
    </row>
    <row r="2842" spans="1:12">
      <c r="A2842" s="22">
        <v>40312.605555555558</v>
      </c>
      <c r="E2842" s="26">
        <v>154.10597999999999</v>
      </c>
      <c r="G2842" s="27">
        <v>0.60555555555555551</v>
      </c>
      <c r="J2842" s="30">
        <f>IF(G2842&lt;$H$10,$H$16,IF(G2842&gt;$I$10,$H$16,$H$11))*E2842/600</f>
        <v>5.6505526E-2</v>
      </c>
      <c r="L2842" s="32">
        <f>$J2842*($G2842-$G2841)*60*24</f>
        <v>5.6505525999990765E-2</v>
      </c>
    </row>
    <row r="2843" spans="1:12">
      <c r="A2843" s="22">
        <v>40312.606249999997</v>
      </c>
      <c r="E2843" s="26">
        <v>153.39344</v>
      </c>
      <c r="G2843" s="27">
        <v>0.60625000000000007</v>
      </c>
      <c r="J2843" s="30">
        <f>IF(G2843&lt;$H$10,$H$16,IF(G2843&gt;$I$10,$H$16,$H$11))*E2843/600</f>
        <v>5.6244261333333337E-2</v>
      </c>
      <c r="L2843" s="32">
        <f>$J2843*($G2843-$G2842)*60*24</f>
        <v>5.6244261333342135E-2</v>
      </c>
    </row>
    <row r="2844" spans="1:12">
      <c r="A2844" s="22">
        <v>40312.606944444444</v>
      </c>
      <c r="E2844" s="26">
        <v>151.509176</v>
      </c>
      <c r="G2844" s="27">
        <v>0.6069444444444444</v>
      </c>
      <c r="J2844" s="30">
        <f>IF(G2844&lt;$H$10,$H$16,IF(G2844&gt;$I$10,$H$16,$H$11))*E2844/600</f>
        <v>5.5553364533333337E-2</v>
      </c>
      <c r="L2844" s="32">
        <f>$J2844*($G2844-$G2843)*60*24</f>
        <v>5.5553364533324261E-2</v>
      </c>
    </row>
    <row r="2845" spans="1:12">
      <c r="A2845" s="22">
        <v>40312.607638888891</v>
      </c>
      <c r="E2845" s="26">
        <v>151.65969000000001</v>
      </c>
      <c r="G2845" s="27">
        <v>0.60763888888888895</v>
      </c>
      <c r="J2845" s="30">
        <f>IF(G2845&lt;$H$10,$H$16,IF(G2845&gt;$I$10,$H$16,$H$11))*E2845/600</f>
        <v>5.5608552999999998E-2</v>
      </c>
      <c r="L2845" s="32">
        <f>$J2845*($G2845-$G2844)*60*24</f>
        <v>5.5608553000008693E-2</v>
      </c>
    </row>
    <row r="2846" spans="1:12">
      <c r="A2846" s="22">
        <v>40312.60833333333</v>
      </c>
      <c r="E2846" s="26">
        <v>152.712378</v>
      </c>
      <c r="G2846" s="27">
        <v>0.60833333333333328</v>
      </c>
      <c r="J2846" s="30">
        <f>IF(G2846&lt;$H$10,$H$16,IF(G2846&gt;$I$10,$H$16,$H$11))*E2846/600</f>
        <v>5.5994538600000004E-2</v>
      </c>
      <c r="L2846" s="32">
        <f>$J2846*($G2846-$G2845)*60*24</f>
        <v>5.5994538599990859E-2</v>
      </c>
    </row>
    <row r="2847" spans="1:12">
      <c r="A2847" s="22">
        <v>40312.609027777777</v>
      </c>
      <c r="E2847" s="26">
        <v>152.61246</v>
      </c>
      <c r="G2847" s="27">
        <v>0.60902777777777783</v>
      </c>
      <c r="J2847" s="30">
        <f>IF(G2847&lt;$H$10,$H$16,IF(G2847&gt;$I$10,$H$16,$H$11))*E2847/600</f>
        <v>5.5957901999999997E-2</v>
      </c>
      <c r="L2847" s="32">
        <f>$J2847*($G2847-$G2846)*60*24</f>
        <v>5.5957902000008747E-2</v>
      </c>
    </row>
    <row r="2848" spans="1:12">
      <c r="A2848" s="22">
        <v>40312.609722222223</v>
      </c>
      <c r="E2848" s="26">
        <v>152.07519600000001</v>
      </c>
      <c r="G2848" s="27">
        <v>0.60972222222222217</v>
      </c>
      <c r="J2848" s="30">
        <f>IF(G2848&lt;$H$10,$H$16,IF(G2848&gt;$I$10,$H$16,$H$11))*E2848/600</f>
        <v>5.5760905199999995E-2</v>
      </c>
      <c r="L2848" s="32">
        <f>$J2848*($G2848-$G2847)*60*24</f>
        <v>5.5760905199990884E-2</v>
      </c>
    </row>
    <row r="2849" spans="1:12">
      <c r="A2849" s="22">
        <v>40312.61041666667</v>
      </c>
      <c r="E2849" s="26">
        <v>152.683167</v>
      </c>
      <c r="G2849" s="27">
        <v>0.61041666666666672</v>
      </c>
      <c r="J2849" s="30">
        <f>IF(G2849&lt;$H$10,$H$16,IF(G2849&gt;$I$10,$H$16,$H$11))*E2849/600</f>
        <v>5.5983827899999998E-2</v>
      </c>
      <c r="L2849" s="32">
        <f>$J2849*($G2849-$G2848)*60*24</f>
        <v>5.5983827900008748E-2</v>
      </c>
    </row>
    <row r="2850" spans="1:12">
      <c r="A2850" s="22">
        <v>40312.611111111109</v>
      </c>
      <c r="E2850" s="26">
        <v>152.75651300000001</v>
      </c>
      <c r="G2850" s="27">
        <v>0.61111111111111105</v>
      </c>
      <c r="J2850" s="30">
        <f>IF(G2850&lt;$H$10,$H$16,IF(G2850&gt;$I$10,$H$16,$H$11))*E2850/600</f>
        <v>5.6010721433333341E-2</v>
      </c>
      <c r="L2850" s="32">
        <f>$J2850*($G2850-$G2849)*60*24</f>
        <v>5.6010721433324182E-2</v>
      </c>
    </row>
    <row r="2851" spans="1:12">
      <c r="A2851" s="22">
        <v>40312.611805555556</v>
      </c>
      <c r="E2851" s="26">
        <v>152.20432500000001</v>
      </c>
      <c r="G2851" s="27">
        <v>0.6118055555555556</v>
      </c>
      <c r="J2851" s="30">
        <f>IF(G2851&lt;$H$10,$H$16,IF(G2851&gt;$I$10,$H$16,$H$11))*E2851/600</f>
        <v>5.5808252500000002E-2</v>
      </c>
      <c r="L2851" s="32">
        <f>$J2851*($G2851-$G2850)*60*24</f>
        <v>5.5808252500008725E-2</v>
      </c>
    </row>
    <row r="2852" spans="1:12">
      <c r="A2852" s="22">
        <v>40312.612500000003</v>
      </c>
      <c r="E2852" s="26">
        <v>151.97291200000001</v>
      </c>
      <c r="G2852" s="27">
        <v>0.61249999999999993</v>
      </c>
      <c r="J2852" s="30">
        <f>IF(G2852&lt;$H$10,$H$16,IF(G2852&gt;$I$10,$H$16,$H$11))*E2852/600</f>
        <v>5.5723401066666664E-2</v>
      </c>
      <c r="L2852" s="32">
        <f>$J2852*($G2852-$G2851)*60*24</f>
        <v>5.572340106665756E-2</v>
      </c>
    </row>
    <row r="2853" spans="1:12">
      <c r="A2853" s="22">
        <v>40312.613194444442</v>
      </c>
      <c r="E2853" s="26">
        <v>152.79873699999999</v>
      </c>
      <c r="G2853" s="27">
        <v>0.61319444444444449</v>
      </c>
      <c r="J2853" s="30">
        <f>IF(G2853&lt;$H$10,$H$16,IF(G2853&gt;$I$10,$H$16,$H$11))*E2853/600</f>
        <v>5.6026203566666662E-2</v>
      </c>
      <c r="L2853" s="32">
        <f>$J2853*($G2853-$G2852)*60*24</f>
        <v>5.6026203566675419E-2</v>
      </c>
    </row>
    <row r="2854" spans="1:12">
      <c r="A2854" s="22">
        <v>40312.613888888889</v>
      </c>
      <c r="E2854" s="26">
        <v>153.39344</v>
      </c>
      <c r="G2854" s="27">
        <v>0.61388888888888882</v>
      </c>
      <c r="J2854" s="30">
        <f>IF(G2854&lt;$H$10,$H$16,IF(G2854&gt;$I$10,$H$16,$H$11))*E2854/600</f>
        <v>5.6244261333333337E-2</v>
      </c>
      <c r="L2854" s="32">
        <f>$J2854*($G2854-$G2853)*60*24</f>
        <v>5.624426133332415E-2</v>
      </c>
    </row>
    <row r="2855" spans="1:12">
      <c r="A2855" s="22">
        <v>40312.614583333336</v>
      </c>
      <c r="E2855" s="26">
        <v>153.040896</v>
      </c>
      <c r="G2855" s="27">
        <v>0.61458333333333337</v>
      </c>
      <c r="J2855" s="30">
        <f>IF(G2855&lt;$H$10,$H$16,IF(G2855&gt;$I$10,$H$16,$H$11))*E2855/600</f>
        <v>5.6114995200000004E-2</v>
      </c>
      <c r="L2855" s="32">
        <f>$J2855*($G2855-$G2854)*60*24</f>
        <v>5.6114995200008781E-2</v>
      </c>
    </row>
    <row r="2856" spans="1:12">
      <c r="A2856" s="22">
        <v>40312.615277777775</v>
      </c>
      <c r="E2856" s="26">
        <v>153.843872</v>
      </c>
      <c r="G2856" s="27">
        <v>0.61527777777777781</v>
      </c>
      <c r="J2856" s="30">
        <f>IF(G2856&lt;$H$10,$H$16,IF(G2856&gt;$I$10,$H$16,$H$11))*E2856/600</f>
        <v>5.6409419733333334E-2</v>
      </c>
      <c r="L2856" s="32">
        <f>$J2856*($G2856-$G2855)*60*24</f>
        <v>5.6409419733333133E-2</v>
      </c>
    </row>
    <row r="2857" spans="1:12">
      <c r="A2857" s="22">
        <v>40312.615972222222</v>
      </c>
      <c r="E2857" s="26">
        <v>153.87690000000001</v>
      </c>
      <c r="G2857" s="27">
        <v>0.61597222222222225</v>
      </c>
      <c r="J2857" s="30">
        <f>IF(G2857&lt;$H$10,$H$16,IF(G2857&gt;$I$10,$H$16,$H$11))*E2857/600</f>
        <v>5.6421530000000004E-2</v>
      </c>
      <c r="L2857" s="32">
        <f>$J2857*($G2857-$G2856)*60*24</f>
        <v>5.6421529999999803E-2</v>
      </c>
    </row>
    <row r="2858" spans="1:12">
      <c r="A2858" s="22">
        <v>40312.616666666669</v>
      </c>
      <c r="E2858" s="26">
        <v>151.968726</v>
      </c>
      <c r="G2858" s="27">
        <v>0.6166666666666667</v>
      </c>
      <c r="J2858" s="30">
        <f>IF(G2858&lt;$H$10,$H$16,IF(G2858&gt;$I$10,$H$16,$H$11))*E2858/600</f>
        <v>5.5721866199999998E-2</v>
      </c>
      <c r="L2858" s="32">
        <f>$J2858*($G2858-$G2857)*60*24</f>
        <v>5.5721866199999803E-2</v>
      </c>
    </row>
    <row r="2859" spans="1:12">
      <c r="A2859" s="22">
        <v>40312.617361111108</v>
      </c>
      <c r="E2859" s="26">
        <v>153.55480800000001</v>
      </c>
      <c r="G2859" s="27">
        <v>0.61736111111111114</v>
      </c>
      <c r="J2859" s="30">
        <f>IF(G2859&lt;$H$10,$H$16,IF(G2859&gt;$I$10,$H$16,$H$11))*E2859/600</f>
        <v>5.6303429600000003E-2</v>
      </c>
      <c r="L2859" s="32">
        <f>$J2859*($G2859-$G2858)*60*24</f>
        <v>5.6303429599999802E-2</v>
      </c>
    </row>
    <row r="2860" spans="1:12">
      <c r="A2860" s="22">
        <v>40312.618055555555</v>
      </c>
      <c r="E2860" s="26">
        <v>154.13220000000001</v>
      </c>
      <c r="G2860" s="27">
        <v>0.61805555555555558</v>
      </c>
      <c r="J2860" s="30">
        <f>IF(G2860&lt;$H$10,$H$16,IF(G2860&gt;$I$10,$H$16,$H$11))*E2860/600</f>
        <v>5.6515139999999998E-2</v>
      </c>
      <c r="L2860" s="32">
        <f>$J2860*($G2860-$G2859)*60*24</f>
        <v>5.6515139999999797E-2</v>
      </c>
    </row>
    <row r="2861" spans="1:12">
      <c r="A2861" s="22">
        <v>40312.618750000001</v>
      </c>
      <c r="E2861" s="26">
        <v>153.786924</v>
      </c>
      <c r="G2861" s="27">
        <v>0.61875000000000002</v>
      </c>
      <c r="J2861" s="30">
        <f>IF(G2861&lt;$H$10,$H$16,IF(G2861&gt;$I$10,$H$16,$H$11))*E2861/600</f>
        <v>5.6388538800000006E-2</v>
      </c>
      <c r="L2861" s="32">
        <f>$J2861*($G2861-$G2860)*60*24</f>
        <v>5.6388538799999804E-2</v>
      </c>
    </row>
    <row r="2862" spans="1:12">
      <c r="A2862" s="22">
        <v>40312.619444444441</v>
      </c>
      <c r="E2862" s="26">
        <v>153.39344</v>
      </c>
      <c r="G2862" s="27">
        <v>0.61944444444444446</v>
      </c>
      <c r="J2862" s="30">
        <f>IF(G2862&lt;$H$10,$H$16,IF(G2862&gt;$I$10,$H$16,$H$11))*E2862/600</f>
        <v>5.6244261333333337E-2</v>
      </c>
      <c r="L2862" s="32">
        <f>$J2862*($G2862-$G2861)*60*24</f>
        <v>5.6244261333333129E-2</v>
      </c>
    </row>
    <row r="2863" spans="1:12">
      <c r="A2863" s="22">
        <v>40312.620138888888</v>
      </c>
      <c r="E2863" s="26">
        <v>153.52776</v>
      </c>
      <c r="G2863" s="27">
        <v>0.62013888888888891</v>
      </c>
      <c r="J2863" s="30">
        <f>IF(G2863&lt;$H$10,$H$16,IF(G2863&gt;$I$10,$H$16,$H$11))*E2863/600</f>
        <v>5.6293511999999997E-2</v>
      </c>
      <c r="L2863" s="32">
        <f>$J2863*($G2863-$G2862)*60*24</f>
        <v>5.6293511999999796E-2</v>
      </c>
    </row>
    <row r="2864" spans="1:12">
      <c r="A2864" s="22">
        <v>40312.620833333334</v>
      </c>
      <c r="E2864" s="26">
        <v>153.81020000000001</v>
      </c>
      <c r="G2864" s="27">
        <v>0.62083333333333335</v>
      </c>
      <c r="J2864" s="30">
        <f>IF(G2864&lt;$H$10,$H$16,IF(G2864&gt;$I$10,$H$16,$H$11))*E2864/600</f>
        <v>5.6397073333333339E-2</v>
      </c>
      <c r="L2864" s="32">
        <f>$J2864*($G2864-$G2863)*60*24</f>
        <v>5.6397073333333145E-2</v>
      </c>
    </row>
    <row r="2865" spans="1:12">
      <c r="A2865" s="22">
        <v>40312.621527777781</v>
      </c>
      <c r="E2865" s="26">
        <v>152.35957099999999</v>
      </c>
      <c r="G2865" s="27">
        <v>0.62152777777777779</v>
      </c>
      <c r="J2865" s="30">
        <f>IF(G2865&lt;$H$10,$H$16,IF(G2865&gt;$I$10,$H$16,$H$11))*E2865/600</f>
        <v>5.5865176033333332E-2</v>
      </c>
      <c r="L2865" s="32">
        <f>$J2865*($G2865-$G2864)*60*24</f>
        <v>5.586517603333313E-2</v>
      </c>
    </row>
    <row r="2866" spans="1:12">
      <c r="A2866" s="22">
        <v>40312.62222222222</v>
      </c>
      <c r="E2866" s="26">
        <v>152.36293800000001</v>
      </c>
      <c r="G2866" s="27">
        <v>0.62222222222222223</v>
      </c>
      <c r="J2866" s="30">
        <f>IF(G2866&lt;$H$10,$H$16,IF(G2866&gt;$I$10,$H$16,$H$11))*E2866/600</f>
        <v>5.5866410600000006E-2</v>
      </c>
      <c r="L2866" s="32">
        <f>$J2866*($G2866-$G2865)*60*24</f>
        <v>5.5866410599999812E-2</v>
      </c>
    </row>
    <row r="2867" spans="1:12">
      <c r="A2867" s="22">
        <v>40312.622916666667</v>
      </c>
      <c r="E2867" s="26">
        <v>152.767888</v>
      </c>
      <c r="G2867" s="27">
        <v>0.62291666666666667</v>
      </c>
      <c r="J2867" s="30">
        <f>IF(G2867&lt;$H$10,$H$16,IF(G2867&gt;$I$10,$H$16,$H$11))*E2867/600</f>
        <v>5.6014892266666665E-2</v>
      </c>
      <c r="L2867" s="32">
        <f>$J2867*($G2867-$G2866)*60*24</f>
        <v>5.6014892266666463E-2</v>
      </c>
    </row>
    <row r="2868" spans="1:12">
      <c r="A2868" s="22">
        <v>40312.623611111114</v>
      </c>
      <c r="E2868" s="26">
        <v>152.88882699999999</v>
      </c>
      <c r="G2868" s="27">
        <v>0.62361111111111112</v>
      </c>
      <c r="J2868" s="30">
        <f>IF(G2868&lt;$H$10,$H$16,IF(G2868&gt;$I$10,$H$16,$H$11))*E2868/600</f>
        <v>5.6059236566666663E-2</v>
      </c>
      <c r="L2868" s="32">
        <f>$J2868*($G2868-$G2867)*60*24</f>
        <v>5.6059236566666462E-2</v>
      </c>
    </row>
    <row r="2869" spans="1:12">
      <c r="A2869" s="22">
        <v>40312.624305555553</v>
      </c>
      <c r="E2869" s="26">
        <v>153.13134199999999</v>
      </c>
      <c r="G2869" s="27">
        <v>0.62430555555555556</v>
      </c>
      <c r="J2869" s="30">
        <f>IF(G2869&lt;$H$10,$H$16,IF(G2869&gt;$I$10,$H$16,$H$11))*E2869/600</f>
        <v>5.6148158733333335E-2</v>
      </c>
      <c r="L2869" s="32">
        <f>$J2869*($G2869-$G2868)*60*24</f>
        <v>5.6148158733333148E-2</v>
      </c>
    </row>
    <row r="2870" spans="1:12">
      <c r="A2870" s="22">
        <v>40312.625</v>
      </c>
      <c r="E2870" s="26">
        <v>155.1028</v>
      </c>
      <c r="G2870" s="27">
        <v>0.625</v>
      </c>
      <c r="J2870" s="30">
        <f>IF(G2870&lt;$H$10,$H$16,IF(G2870&gt;$I$10,$H$16,$H$11))*E2870/600</f>
        <v>5.6871026666666664E-2</v>
      </c>
      <c r="L2870" s="32">
        <f>$J2870*($G2870-$G2869)*60*24</f>
        <v>5.6871026666666463E-2</v>
      </c>
    </row>
    <row r="2871" spans="1:12">
      <c r="A2871" s="22">
        <v>40312.625694444447</v>
      </c>
      <c r="E2871" s="26">
        <v>152.13835</v>
      </c>
      <c r="G2871" s="27">
        <v>0.62569444444444444</v>
      </c>
      <c r="J2871" s="30">
        <f>IF(G2871&lt;$H$10,$H$16,IF(G2871&gt;$I$10,$H$16,$H$11))*E2871/600</f>
        <v>5.5784061666666676E-2</v>
      </c>
      <c r="L2871" s="32">
        <f>$J2871*($G2871-$G2870)*60*24</f>
        <v>5.5784061666666482E-2</v>
      </c>
    </row>
    <row r="2872" spans="1:12">
      <c r="A2872" s="22">
        <v>40312.626388888886</v>
      </c>
      <c r="E2872" s="26">
        <v>153.26438400000001</v>
      </c>
      <c r="G2872" s="27">
        <v>0.62638888888888888</v>
      </c>
      <c r="J2872" s="30">
        <f>IF(G2872&lt;$H$10,$H$16,IF(G2872&gt;$I$10,$H$16,$H$11))*E2872/600</f>
        <v>5.6196940799999998E-2</v>
      </c>
      <c r="L2872" s="32">
        <f>$J2872*($G2872-$G2871)*60*24</f>
        <v>5.6196940799999796E-2</v>
      </c>
    </row>
    <row r="2873" spans="1:12">
      <c r="A2873" s="22">
        <v>40312.627083333333</v>
      </c>
      <c r="E2873" s="26">
        <v>152.54639399999999</v>
      </c>
      <c r="G2873" s="27">
        <v>0.62708333333333333</v>
      </c>
      <c r="J2873" s="30">
        <f>IF(G2873&lt;$H$10,$H$16,IF(G2873&gt;$I$10,$H$16,$H$11))*E2873/600</f>
        <v>5.5933677799999998E-2</v>
      </c>
      <c r="L2873" s="32">
        <f>$J2873*($G2873-$G2872)*60*24</f>
        <v>5.5933677799999804E-2</v>
      </c>
    </row>
    <row r="2874" spans="1:12">
      <c r="A2874" s="22">
        <v>40312.62777777778</v>
      </c>
      <c r="E2874" s="26">
        <v>152.42572799999999</v>
      </c>
      <c r="G2874" s="27">
        <v>0.62777777777777777</v>
      </c>
      <c r="J2874" s="30">
        <f>IF(G2874&lt;$H$10,$H$16,IF(G2874&gt;$I$10,$H$16,$H$11))*E2874/600</f>
        <v>5.5889433599999996E-2</v>
      </c>
      <c r="L2874" s="32">
        <f>$J2874*($G2874-$G2873)*60*24</f>
        <v>5.5889433599999802E-2</v>
      </c>
    </row>
    <row r="2875" spans="1:12">
      <c r="A2875" s="22">
        <v>40312.628472222219</v>
      </c>
      <c r="E2875" s="26">
        <v>152.624199</v>
      </c>
      <c r="G2875" s="27">
        <v>0.62847222222222221</v>
      </c>
      <c r="J2875" s="30">
        <f>IF(G2875&lt;$H$10,$H$16,IF(G2875&gt;$I$10,$H$16,$H$11))*E2875/600</f>
        <v>5.5962206299999998E-2</v>
      </c>
      <c r="L2875" s="32">
        <f>$J2875*($G2875-$G2874)*60*24</f>
        <v>5.5962206299999803E-2</v>
      </c>
    </row>
    <row r="2876" spans="1:12">
      <c r="A2876" s="22">
        <v>40312.629166666666</v>
      </c>
      <c r="E2876" s="26">
        <v>154.13220000000001</v>
      </c>
      <c r="G2876" s="27">
        <v>0.62916666666666665</v>
      </c>
      <c r="J2876" s="30">
        <f>IF(G2876&lt;$H$10,$H$16,IF(G2876&gt;$I$10,$H$16,$H$11))*E2876/600</f>
        <v>5.6515139999999998E-2</v>
      </c>
      <c r="L2876" s="32">
        <f>$J2876*($G2876-$G2875)*60*24</f>
        <v>5.6515139999999797E-2</v>
      </c>
    </row>
    <row r="2877" spans="1:12">
      <c r="A2877" s="22">
        <v>40312.629861111112</v>
      </c>
      <c r="E2877" s="26">
        <v>153.75518400000001</v>
      </c>
      <c r="G2877" s="27">
        <v>0.62986111111111109</v>
      </c>
      <c r="J2877" s="30">
        <f>IF(G2877&lt;$H$10,$H$16,IF(G2877&gt;$I$10,$H$16,$H$11))*E2877/600</f>
        <v>5.6376900800000011E-2</v>
      </c>
      <c r="L2877" s="32">
        <f>$J2877*($G2877-$G2876)*60*24</f>
        <v>5.637690079999981E-2</v>
      </c>
    </row>
    <row r="2878" spans="1:12">
      <c r="A2878" s="22">
        <v>40312.630555555559</v>
      </c>
      <c r="E2878" s="26">
        <v>154.92707999999999</v>
      </c>
      <c r="G2878" s="27">
        <v>0.63055555555555554</v>
      </c>
      <c r="J2878" s="30">
        <f>IF(G2878&lt;$H$10,$H$16,IF(G2878&gt;$I$10,$H$16,$H$11))*E2878/600</f>
        <v>5.6806595999999994E-2</v>
      </c>
      <c r="L2878" s="32">
        <f>$J2878*($G2878-$G2877)*60*24</f>
        <v>5.6806595999999786E-2</v>
      </c>
    </row>
    <row r="2879" spans="1:12">
      <c r="A2879" s="22">
        <v>40312.631249999999</v>
      </c>
      <c r="E2879" s="26">
        <v>154.383636</v>
      </c>
      <c r="G2879" s="27">
        <v>0.63124999999999998</v>
      </c>
      <c r="J2879" s="30">
        <f>IF(G2879&lt;$H$10,$H$16,IF(G2879&gt;$I$10,$H$16,$H$11))*E2879/600</f>
        <v>5.6607333199999998E-2</v>
      </c>
      <c r="L2879" s="32">
        <f>$J2879*($G2879-$G2878)*60*24</f>
        <v>5.6607333199999804E-2</v>
      </c>
    </row>
    <row r="2880" spans="1:12">
      <c r="A2880" s="22">
        <v>40312.631944444445</v>
      </c>
      <c r="E2880" s="26">
        <v>154.089236</v>
      </c>
      <c r="G2880" s="27">
        <v>0.63194444444444442</v>
      </c>
      <c r="J2880" s="30">
        <f>IF(G2880&lt;$H$10,$H$16,IF(G2880&gt;$I$10,$H$16,$H$11))*E2880/600</f>
        <v>5.6499386533333328E-2</v>
      </c>
      <c r="L2880" s="32">
        <f>$J2880*($G2880-$G2879)*60*24</f>
        <v>5.6499386533333126E-2</v>
      </c>
    </row>
    <row r="2881" spans="1:12">
      <c r="A2881" s="22">
        <v>40312.632638888892</v>
      </c>
      <c r="E2881" s="26">
        <v>155.396556</v>
      </c>
      <c r="G2881" s="27">
        <v>0.63263888888888886</v>
      </c>
      <c r="J2881" s="30">
        <f>IF(G2881&lt;$H$10,$H$16,IF(G2881&gt;$I$10,$H$16,$H$11))*E2881/600</f>
        <v>5.6978737200000004E-2</v>
      </c>
      <c r="L2881" s="32">
        <f>$J2881*($G2881-$G2880)*60*24</f>
        <v>5.697873719999981E-2</v>
      </c>
    </row>
    <row r="2882" spans="1:12">
      <c r="A2882" s="22">
        <v>40312.633333333331</v>
      </c>
      <c r="E2882" s="26">
        <v>154.52467200000001</v>
      </c>
      <c r="G2882" s="27">
        <v>0.6333333333333333</v>
      </c>
      <c r="J2882" s="30">
        <f>IF(G2882&lt;$H$10,$H$16,IF(G2882&gt;$I$10,$H$16,$H$11))*E2882/600</f>
        <v>5.665904640000001E-2</v>
      </c>
      <c r="L2882" s="32">
        <f>$J2882*($G2882-$G2881)*60*24</f>
        <v>5.6659046399999816E-2</v>
      </c>
    </row>
    <row r="2883" spans="1:12">
      <c r="A2883" s="22">
        <v>40312.634027777778</v>
      </c>
      <c r="E2883" s="26">
        <v>153.59804800000001</v>
      </c>
      <c r="G2883" s="27">
        <v>0.63402777777777775</v>
      </c>
      <c r="J2883" s="30">
        <f>IF(G2883&lt;$H$10,$H$16,IF(G2883&gt;$I$10,$H$16,$H$11))*E2883/600</f>
        <v>5.6319284266666672E-2</v>
      </c>
      <c r="L2883" s="32">
        <f>$J2883*($G2883-$G2882)*60*24</f>
        <v>5.6319284266666478E-2</v>
      </c>
    </row>
    <row r="2884" spans="1:12">
      <c r="A2884" s="22">
        <v>40312.634722222225</v>
      </c>
      <c r="E2884" s="26">
        <v>153.66465600000001</v>
      </c>
      <c r="G2884" s="27">
        <v>0.63472222222222219</v>
      </c>
      <c r="J2884" s="30">
        <f>IF(G2884&lt;$H$10,$H$16,IF(G2884&gt;$I$10,$H$16,$H$11))*E2884/600</f>
        <v>5.6343707200000009E-2</v>
      </c>
      <c r="L2884" s="32">
        <f>$J2884*($G2884-$G2883)*60*24</f>
        <v>5.6343707199999808E-2</v>
      </c>
    </row>
    <row r="2885" spans="1:12">
      <c r="A2885" s="22">
        <v>40312.635416666664</v>
      </c>
      <c r="E2885" s="26">
        <v>154.04480000000001</v>
      </c>
      <c r="G2885" s="27">
        <v>0.63541666666666663</v>
      </c>
      <c r="J2885" s="30">
        <f>IF(G2885&lt;$H$10,$H$16,IF(G2885&gt;$I$10,$H$16,$H$11))*E2885/600</f>
        <v>5.6483093333333338E-2</v>
      </c>
      <c r="L2885" s="32">
        <f>$J2885*($G2885-$G2884)*60*24</f>
        <v>5.6483093333333137E-2</v>
      </c>
    </row>
    <row r="2886" spans="1:12">
      <c r="A2886" s="22">
        <v>40312.636111111111</v>
      </c>
      <c r="E2886" s="26">
        <v>153.851508</v>
      </c>
      <c r="G2886" s="27">
        <v>0.63611111111111118</v>
      </c>
      <c r="J2886" s="30">
        <f>IF(G2886&lt;$H$10,$H$16,IF(G2886&gt;$I$10,$H$16,$H$11))*E2886/600</f>
        <v>5.6412219599999994E-2</v>
      </c>
      <c r="L2886" s="32">
        <f>$J2886*($G2886-$G2885)*60*24</f>
        <v>5.6412219600008806E-2</v>
      </c>
    </row>
    <row r="2887" spans="1:12">
      <c r="A2887" s="22">
        <v>40312.636805555558</v>
      </c>
      <c r="E2887" s="26">
        <v>153.90440799999999</v>
      </c>
      <c r="G2887" s="27">
        <v>0.63680555555555551</v>
      </c>
      <c r="J2887" s="30">
        <f>IF(G2887&lt;$H$10,$H$16,IF(G2887&gt;$I$10,$H$16,$H$11))*E2887/600</f>
        <v>5.6431616266666665E-2</v>
      </c>
      <c r="L2887" s="32">
        <f>$J2887*($G2887-$G2886)*60*24</f>
        <v>5.6431616266657436E-2</v>
      </c>
    </row>
    <row r="2888" spans="1:12">
      <c r="A2888" s="22">
        <v>40312.637499999997</v>
      </c>
      <c r="E2888" s="26">
        <v>153.89024000000001</v>
      </c>
      <c r="G2888" s="27">
        <v>0.63750000000000007</v>
      </c>
      <c r="J2888" s="30">
        <f>IF(G2888&lt;$H$10,$H$16,IF(G2888&gt;$I$10,$H$16,$H$11))*E2888/600</f>
        <v>5.6426421333333338E-2</v>
      </c>
      <c r="L2888" s="32">
        <f>$J2888*($G2888-$G2887)*60*24</f>
        <v>5.6426421333342157E-2</v>
      </c>
    </row>
    <row r="2889" spans="1:12">
      <c r="A2889" s="22">
        <v>40312.638194444444</v>
      </c>
      <c r="E2889" s="26">
        <v>152.13744</v>
      </c>
      <c r="G2889" s="27">
        <v>0.6381944444444444</v>
      </c>
      <c r="J2889" s="30">
        <f>IF(G2889&lt;$H$10,$H$16,IF(G2889&gt;$I$10,$H$16,$H$11))*E2889/600</f>
        <v>5.5783728000000005E-2</v>
      </c>
      <c r="L2889" s="32">
        <f>$J2889*($G2889-$G2888)*60*24</f>
        <v>5.5783727999990887E-2</v>
      </c>
    </row>
    <row r="2890" spans="1:12">
      <c r="A2890" s="22">
        <v>40312.638888888891</v>
      </c>
      <c r="E2890" s="26">
        <v>152.72712000000001</v>
      </c>
      <c r="G2890" s="27">
        <v>0.63888888888888895</v>
      </c>
      <c r="J2890" s="30">
        <f>IF(G2890&lt;$H$10,$H$16,IF(G2890&gt;$I$10,$H$16,$H$11))*E2890/600</f>
        <v>5.599994400000001E-2</v>
      </c>
      <c r="L2890" s="32">
        <f>$J2890*($G2890-$G2889)*60*24</f>
        <v>5.5999944000008767E-2</v>
      </c>
    </row>
    <row r="2891" spans="1:12">
      <c r="A2891" s="22">
        <v>40312.63958333333</v>
      </c>
      <c r="E2891" s="26">
        <v>153.12024</v>
      </c>
      <c r="G2891" s="27">
        <v>0.63958333333333328</v>
      </c>
      <c r="J2891" s="30">
        <f>IF(G2891&lt;$H$10,$H$16,IF(G2891&gt;$I$10,$H$16,$H$11))*E2891/600</f>
        <v>5.6144087999999995E-2</v>
      </c>
      <c r="L2891" s="32">
        <f>$J2891*($G2891-$G2890)*60*24</f>
        <v>5.6144087999990822E-2</v>
      </c>
    </row>
    <row r="2892" spans="1:12">
      <c r="A2892" s="22">
        <v>40312.640277777777</v>
      </c>
      <c r="E2892" s="26">
        <v>152.95625799999999</v>
      </c>
      <c r="G2892" s="27">
        <v>0.64027777777777783</v>
      </c>
      <c r="J2892" s="30">
        <f>IF(G2892&lt;$H$10,$H$16,IF(G2892&gt;$I$10,$H$16,$H$11))*E2892/600</f>
        <v>5.608396126666667E-2</v>
      </c>
      <c r="L2892" s="32">
        <f>$J2892*($G2892-$G2891)*60*24</f>
        <v>5.6083961266675433E-2</v>
      </c>
    </row>
    <row r="2893" spans="1:12">
      <c r="A2893" s="22">
        <v>40312.640972222223</v>
      </c>
      <c r="E2893" s="26">
        <v>152.56423000000001</v>
      </c>
      <c r="G2893" s="27">
        <v>0.64097222222222217</v>
      </c>
      <c r="J2893" s="30">
        <f>IF(G2893&lt;$H$10,$H$16,IF(G2893&gt;$I$10,$H$16,$H$11))*E2893/600</f>
        <v>5.5940217666666674E-2</v>
      </c>
      <c r="L2893" s="32">
        <f>$J2893*($G2893-$G2892)*60*24</f>
        <v>5.5940217666657528E-2</v>
      </c>
    </row>
    <row r="2894" spans="1:12">
      <c r="A2894" s="22">
        <v>40312.64166666667</v>
      </c>
      <c r="E2894" s="26">
        <v>152.808019</v>
      </c>
      <c r="G2894" s="27">
        <v>0.64166666666666672</v>
      </c>
      <c r="J2894" s="30">
        <f>IF(G2894&lt;$H$10,$H$16,IF(G2894&gt;$I$10,$H$16,$H$11))*E2894/600</f>
        <v>5.6029606966666673E-2</v>
      </c>
      <c r="L2894" s="32">
        <f>$J2894*($G2894-$G2893)*60*24</f>
        <v>5.602960696667543E-2</v>
      </c>
    </row>
    <row r="2895" spans="1:12">
      <c r="A2895" s="22">
        <v>40312.642361111109</v>
      </c>
      <c r="E2895" s="26">
        <v>152.42864</v>
      </c>
      <c r="G2895" s="27">
        <v>0.64236111111111105</v>
      </c>
      <c r="J2895" s="30">
        <f>IF(G2895&lt;$H$10,$H$16,IF(G2895&gt;$I$10,$H$16,$H$11))*E2895/600</f>
        <v>5.5890501333333342E-2</v>
      </c>
      <c r="L2895" s="32">
        <f>$J2895*($G2895-$G2894)*60*24</f>
        <v>5.5890501333324211E-2</v>
      </c>
    </row>
    <row r="2896" spans="1:12">
      <c r="A2896" s="22">
        <v>40312.643055555556</v>
      </c>
      <c r="E2896" s="26">
        <v>152.16583199999999</v>
      </c>
      <c r="G2896" s="27">
        <v>0.6430555555555556</v>
      </c>
      <c r="J2896" s="30">
        <f>IF(G2896&lt;$H$10,$H$16,IF(G2896&gt;$I$10,$H$16,$H$11))*E2896/600</f>
        <v>5.5794138399999998E-2</v>
      </c>
      <c r="L2896" s="32">
        <f>$J2896*($G2896-$G2895)*60*24</f>
        <v>5.5794138400008714E-2</v>
      </c>
    </row>
    <row r="2897" spans="1:12">
      <c r="A2897" s="22">
        <v>40312.643750000003</v>
      </c>
      <c r="E2897" s="26">
        <v>152.18785399999999</v>
      </c>
      <c r="G2897" s="27">
        <v>0.64374999999999993</v>
      </c>
      <c r="J2897" s="30">
        <f>IF(G2897&lt;$H$10,$H$16,IF(G2897&gt;$I$10,$H$16,$H$11))*E2897/600</f>
        <v>5.5802213133333327E-2</v>
      </c>
      <c r="L2897" s="32">
        <f>$J2897*($G2897-$G2896)*60*24</f>
        <v>5.5802213133324216E-2</v>
      </c>
    </row>
    <row r="2898" spans="1:12">
      <c r="A2898" s="22">
        <v>40312.644444444442</v>
      </c>
      <c r="E2898" s="26">
        <v>152.389692</v>
      </c>
      <c r="G2898" s="27">
        <v>0.64444444444444449</v>
      </c>
      <c r="J2898" s="30">
        <f>IF(G2898&lt;$H$10,$H$16,IF(G2898&gt;$I$10,$H$16,$H$11))*E2898/600</f>
        <v>5.5876220399999996E-2</v>
      </c>
      <c r="L2898" s="32">
        <f>$J2898*($G2898-$G2897)*60*24</f>
        <v>5.5876220400008725E-2</v>
      </c>
    </row>
    <row r="2899" spans="1:12">
      <c r="A2899" s="22">
        <v>40312.645138888889</v>
      </c>
      <c r="E2899" s="26">
        <v>152.27029999999999</v>
      </c>
      <c r="G2899" s="27">
        <v>0.64513888888888882</v>
      </c>
      <c r="J2899" s="30">
        <f>IF(G2899&lt;$H$10,$H$16,IF(G2899&gt;$I$10,$H$16,$H$11))*E2899/600</f>
        <v>5.5832443333333329E-2</v>
      </c>
      <c r="L2899" s="32">
        <f>$J2899*($G2899-$G2898)*60*24</f>
        <v>5.5832443333324211E-2</v>
      </c>
    </row>
    <row r="2900" spans="1:12">
      <c r="A2900" s="22">
        <v>40312.645833333336</v>
      </c>
      <c r="E2900" s="26">
        <v>152.916764</v>
      </c>
      <c r="G2900" s="27">
        <v>0.64583333333333337</v>
      </c>
      <c r="J2900" s="30">
        <f>IF(G2900&lt;$H$10,$H$16,IF(G2900&gt;$I$10,$H$16,$H$11))*E2900/600</f>
        <v>5.6069480133333335E-2</v>
      </c>
      <c r="L2900" s="32">
        <f>$J2900*($G2900-$G2899)*60*24</f>
        <v>5.6069480133342106E-2</v>
      </c>
    </row>
    <row r="2901" spans="1:12">
      <c r="A2901" s="22">
        <v>40312.646527777775</v>
      </c>
      <c r="E2901" s="26">
        <v>153.37795199999999</v>
      </c>
      <c r="G2901" s="27">
        <v>0.64652777777777781</v>
      </c>
      <c r="J2901" s="30">
        <f>IF(G2901&lt;$H$10,$H$16,IF(G2901&gt;$I$10,$H$16,$H$11))*E2901/600</f>
        <v>5.6238582399999994E-2</v>
      </c>
      <c r="L2901" s="32">
        <f>$J2901*($G2901-$G2900)*60*24</f>
        <v>5.6238582399999792E-2</v>
      </c>
    </row>
    <row r="2902" spans="1:12">
      <c r="A2902" s="22">
        <v>40312.647222222222</v>
      </c>
      <c r="E2902" s="26">
        <v>152.44238100000001</v>
      </c>
      <c r="G2902" s="27">
        <v>0.64722222222222225</v>
      </c>
      <c r="J2902" s="30">
        <f>IF(G2902&lt;$H$10,$H$16,IF(G2902&gt;$I$10,$H$16,$H$11))*E2902/600</f>
        <v>5.589553970000001E-2</v>
      </c>
      <c r="L2902" s="32">
        <f>$J2902*($G2902-$G2901)*60*24</f>
        <v>5.5895539699999809E-2</v>
      </c>
    </row>
    <row r="2903" spans="1:12">
      <c r="A2903" s="22">
        <v>40312.647916666669</v>
      </c>
      <c r="E2903" s="26">
        <v>152.732125</v>
      </c>
      <c r="G2903" s="27">
        <v>0.6479166666666667</v>
      </c>
      <c r="J2903" s="30">
        <f>IF(G2903&lt;$H$10,$H$16,IF(G2903&gt;$I$10,$H$16,$H$11))*E2903/600</f>
        <v>5.6001779166666668E-2</v>
      </c>
      <c r="L2903" s="32">
        <f>$J2903*($G2903-$G2902)*60*24</f>
        <v>5.6001779166666467E-2</v>
      </c>
    </row>
    <row r="2904" spans="1:12">
      <c r="A2904" s="22">
        <v>40312.648611111108</v>
      </c>
      <c r="E2904" s="26">
        <v>152.21606399999999</v>
      </c>
      <c r="G2904" s="27">
        <v>0.64861111111111114</v>
      </c>
      <c r="J2904" s="30">
        <f>IF(G2904&lt;$H$10,$H$16,IF(G2904&gt;$I$10,$H$16,$H$11))*E2904/600</f>
        <v>5.5812556799999996E-2</v>
      </c>
      <c r="L2904" s="32">
        <f>$J2904*($G2904-$G2903)*60*24</f>
        <v>5.5812556799999788E-2</v>
      </c>
    </row>
    <row r="2905" spans="1:12">
      <c r="A2905" s="22">
        <v>40312.649305555555</v>
      </c>
      <c r="E2905" s="26">
        <v>152.83713900000001</v>
      </c>
      <c r="G2905" s="27">
        <v>0.64930555555555558</v>
      </c>
      <c r="J2905" s="30">
        <f>IF(G2905&lt;$H$10,$H$16,IF(G2905&gt;$I$10,$H$16,$H$11))*E2905/600</f>
        <v>5.6040284300000007E-2</v>
      </c>
      <c r="L2905" s="32">
        <f>$J2905*($G2905-$G2904)*60*24</f>
        <v>5.6040284299999812E-2</v>
      </c>
    </row>
    <row r="2906" spans="1:12">
      <c r="A2906" s="22">
        <v>40312.65</v>
      </c>
      <c r="E2906" s="26">
        <v>152.89091999999999</v>
      </c>
      <c r="G2906" s="27">
        <v>0.65</v>
      </c>
      <c r="J2906" s="30">
        <f>IF(G2906&lt;$H$10,$H$16,IF(G2906&gt;$I$10,$H$16,$H$11))*E2906/600</f>
        <v>5.6060004000000004E-2</v>
      </c>
      <c r="L2906" s="32">
        <f>$J2906*($G2906-$G2905)*60*24</f>
        <v>5.6060003999999802E-2</v>
      </c>
    </row>
    <row r="2907" spans="1:12">
      <c r="A2907" s="22">
        <v>40312.650694444441</v>
      </c>
      <c r="E2907" s="26">
        <v>153.21761000000001</v>
      </c>
      <c r="G2907" s="27">
        <v>0.65069444444444446</v>
      </c>
      <c r="J2907" s="30">
        <f>IF(G2907&lt;$H$10,$H$16,IF(G2907&gt;$I$10,$H$16,$H$11))*E2907/600</f>
        <v>5.6179790333333333E-2</v>
      </c>
      <c r="L2907" s="32">
        <f>$J2907*($G2907-$G2906)*60*24</f>
        <v>5.6179790333333132E-2</v>
      </c>
    </row>
    <row r="2908" spans="1:12">
      <c r="A2908" s="22">
        <v>40312.651388888888</v>
      </c>
      <c r="E2908" s="26">
        <v>153.44238000000001</v>
      </c>
      <c r="G2908" s="27">
        <v>0.65138888888888891</v>
      </c>
      <c r="J2908" s="30">
        <f>IF(G2908&lt;$H$10,$H$16,IF(G2908&gt;$I$10,$H$16,$H$11))*E2908/600</f>
        <v>5.6262206000000009E-2</v>
      </c>
      <c r="L2908" s="32">
        <f>$J2908*($G2908-$G2907)*60*24</f>
        <v>5.6262205999999808E-2</v>
      </c>
    </row>
    <row r="2909" spans="1:12">
      <c r="A2909" s="22">
        <v>40312.652083333334</v>
      </c>
      <c r="E2909" s="26">
        <v>164.47391999999999</v>
      </c>
      <c r="G2909" s="27">
        <v>0.65208333333333335</v>
      </c>
      <c r="J2909" s="30">
        <f>IF(G2909&lt;$H$10,$H$16,IF(G2909&gt;$I$10,$H$16,$H$11))*E2909/600</f>
        <v>6.0307104E-2</v>
      </c>
      <c r="L2909" s="32">
        <f>$J2909*($G2909-$G2908)*60*24</f>
        <v>6.0307103999999778E-2</v>
      </c>
    </row>
    <row r="2910" spans="1:12">
      <c r="A2910" s="22">
        <v>40312.652777777781</v>
      </c>
      <c r="E2910" s="26">
        <v>173.805204</v>
      </c>
      <c r="G2910" s="27">
        <v>0.65277777777777779</v>
      </c>
      <c r="J2910" s="30">
        <f>IF(G2910&lt;$H$10,$H$16,IF(G2910&gt;$I$10,$H$16,$H$11))*E2910/600</f>
        <v>6.3728574800000007E-2</v>
      </c>
      <c r="L2910" s="32">
        <f>$J2910*($G2910-$G2909)*60*24</f>
        <v>6.3728574799999785E-2</v>
      </c>
    </row>
    <row r="2911" spans="1:12">
      <c r="A2911" s="22">
        <v>40312.65347222222</v>
      </c>
      <c r="E2911" s="26">
        <v>173.92057199999999</v>
      </c>
      <c r="G2911" s="27">
        <v>0.65347222222222223</v>
      </c>
      <c r="J2911" s="30">
        <f>IF(G2911&lt;$H$10,$H$16,IF(G2911&gt;$I$10,$H$16,$H$11))*E2911/600</f>
        <v>6.3770876400000009E-2</v>
      </c>
      <c r="L2911" s="32">
        <f>$J2911*($G2911-$G2910)*60*24</f>
        <v>6.3770876399999787E-2</v>
      </c>
    </row>
    <row r="2912" spans="1:12">
      <c r="A2912" s="22">
        <v>40312.654166666667</v>
      </c>
      <c r="E2912" s="26">
        <v>175.66955999999999</v>
      </c>
      <c r="G2912" s="27">
        <v>0.65416666666666667</v>
      </c>
      <c r="J2912" s="30">
        <f>IF(G2912&lt;$H$10,$H$16,IF(G2912&gt;$I$10,$H$16,$H$11))*E2912/600</f>
        <v>6.441217199999999E-2</v>
      </c>
      <c r="L2912" s="32">
        <f>$J2912*($G2912-$G2911)*60*24</f>
        <v>6.4412171999999768E-2</v>
      </c>
    </row>
    <row r="2913" spans="1:12">
      <c r="A2913" s="22">
        <v>40312.654861111114</v>
      </c>
      <c r="E2913" s="26">
        <v>156.29468399999999</v>
      </c>
      <c r="G2913" s="27">
        <v>0.65486111111111112</v>
      </c>
      <c r="J2913" s="30">
        <f>IF(G2913&lt;$H$10,$H$16,IF(G2913&gt;$I$10,$H$16,$H$11))*E2913/600</f>
        <v>5.7308050799999996E-2</v>
      </c>
      <c r="L2913" s="32">
        <f>$J2913*($G2913-$G2912)*60*24</f>
        <v>5.7308050799999788E-2</v>
      </c>
    </row>
    <row r="2914" spans="1:12">
      <c r="A2914" s="22">
        <v>40312.655555555553</v>
      </c>
      <c r="E2914" s="26">
        <v>154.26829599999999</v>
      </c>
      <c r="G2914" s="27">
        <v>0.65555555555555556</v>
      </c>
      <c r="J2914" s="30">
        <f>IF(G2914&lt;$H$10,$H$16,IF(G2914&gt;$I$10,$H$16,$H$11))*E2914/600</f>
        <v>5.6565041866666659E-2</v>
      </c>
      <c r="L2914" s="32">
        <f>$J2914*($G2914-$G2913)*60*24</f>
        <v>5.6565041866666457E-2</v>
      </c>
    </row>
    <row r="2915" spans="1:12">
      <c r="A2915" s="22">
        <v>40312.65625</v>
      </c>
      <c r="E2915" s="26">
        <v>167.271456</v>
      </c>
      <c r="G2915" s="27">
        <v>0.65625</v>
      </c>
      <c r="J2915" s="30">
        <f>IF(G2915&lt;$H$10,$H$16,IF(G2915&gt;$I$10,$H$16,$H$11))*E2915/600</f>
        <v>6.1332867199999995E-2</v>
      </c>
      <c r="L2915" s="32">
        <f>$J2915*($G2915-$G2914)*60*24</f>
        <v>6.133286719999978E-2</v>
      </c>
    </row>
    <row r="2916" spans="1:12">
      <c r="A2916" s="22">
        <v>40312.656944444447</v>
      </c>
      <c r="E2916" s="26">
        <v>152.88382200000001</v>
      </c>
      <c r="G2916" s="27">
        <v>0.65694444444444444</v>
      </c>
      <c r="J2916" s="30">
        <f>IF(G2916&lt;$H$10,$H$16,IF(G2916&gt;$I$10,$H$16,$H$11))*E2916/600</f>
        <v>5.6057401400000005E-2</v>
      </c>
      <c r="L2916" s="32">
        <f>$J2916*($G2916-$G2915)*60*24</f>
        <v>5.6057401399999811E-2</v>
      </c>
    </row>
    <row r="2917" spans="1:12">
      <c r="A2917" s="22">
        <v>40312.657638888886</v>
      </c>
      <c r="E2917" s="26">
        <v>152.986288</v>
      </c>
      <c r="G2917" s="27">
        <v>0.65763888888888888</v>
      </c>
      <c r="J2917" s="30">
        <f>IF(G2917&lt;$H$10,$H$16,IF(G2917&gt;$I$10,$H$16,$H$11))*E2917/600</f>
        <v>5.6094972266666661E-2</v>
      </c>
      <c r="L2917" s="32">
        <f>$J2917*($G2917-$G2916)*60*24</f>
        <v>5.6094972266666467E-2</v>
      </c>
    </row>
    <row r="2918" spans="1:12">
      <c r="A2918" s="22">
        <v>40312.658333333333</v>
      </c>
      <c r="E2918" s="26">
        <v>153.21761000000001</v>
      </c>
      <c r="G2918" s="27">
        <v>0.65833333333333333</v>
      </c>
      <c r="J2918" s="30">
        <f>IF(G2918&lt;$H$10,$H$16,IF(G2918&gt;$I$10,$H$16,$H$11))*E2918/600</f>
        <v>5.6179790333333333E-2</v>
      </c>
      <c r="L2918" s="32">
        <f>$J2918*($G2918-$G2917)*60*24</f>
        <v>5.6179790333333132E-2</v>
      </c>
    </row>
    <row r="2919" spans="1:12">
      <c r="A2919" s="22">
        <v>40312.65902777778</v>
      </c>
      <c r="E2919" s="26">
        <v>153.46412900000001</v>
      </c>
      <c r="G2919" s="27">
        <v>0.65902777777777777</v>
      </c>
      <c r="J2919" s="30">
        <f>IF(G2919&lt;$H$10,$H$16,IF(G2919&gt;$I$10,$H$16,$H$11))*E2919/600</f>
        <v>5.6270180633333333E-2</v>
      </c>
      <c r="L2919" s="32">
        <f>$J2919*($G2919-$G2918)*60*24</f>
        <v>5.6270180633333139E-2</v>
      </c>
    </row>
    <row r="2920" spans="1:12">
      <c r="A2920" s="22">
        <v>40312.659722222219</v>
      </c>
      <c r="E2920" s="26">
        <v>153.54557399999999</v>
      </c>
      <c r="G2920" s="27">
        <v>0.65972222222222221</v>
      </c>
      <c r="J2920" s="30">
        <f>IF(G2920&lt;$H$10,$H$16,IF(G2920&gt;$I$10,$H$16,$H$11))*E2920/600</f>
        <v>5.6300043799999991E-2</v>
      </c>
      <c r="L2920" s="32">
        <f>$J2920*($G2920-$G2919)*60*24</f>
        <v>5.6300043799999783E-2</v>
      </c>
    </row>
    <row r="2921" spans="1:12">
      <c r="A2921" s="22">
        <v>40312.660416666666</v>
      </c>
      <c r="E2921" s="26">
        <v>157.42990900000001</v>
      </c>
      <c r="G2921" s="27">
        <v>0.66041666666666665</v>
      </c>
      <c r="J2921" s="30">
        <f>IF(G2921&lt;$H$10,$H$16,IF(G2921&gt;$I$10,$H$16,$H$11))*E2921/600</f>
        <v>5.7724299966666677E-2</v>
      </c>
      <c r="L2921" s="32">
        <f>$J2921*($G2921-$G2920)*60*24</f>
        <v>5.7724299966666462E-2</v>
      </c>
    </row>
    <row r="2922" spans="1:12">
      <c r="A2922" s="22">
        <v>40312.661111111112</v>
      </c>
      <c r="E2922" s="26">
        <v>155.02032</v>
      </c>
      <c r="G2922" s="27">
        <v>0.66111111111111109</v>
      </c>
      <c r="J2922" s="30">
        <f>IF(G2922&lt;$H$10,$H$16,IF(G2922&gt;$I$10,$H$16,$H$11))*E2922/600</f>
        <v>5.6840783999999991E-2</v>
      </c>
      <c r="L2922" s="32">
        <f>$J2922*($G2922-$G2921)*60*24</f>
        <v>5.6840783999999797E-2</v>
      </c>
    </row>
    <row r="2923" spans="1:12">
      <c r="A2923" s="22">
        <v>40312.661805555559</v>
      </c>
      <c r="E2923" s="26">
        <v>153.52974</v>
      </c>
      <c r="G2923" s="27">
        <v>0.66180555555555554</v>
      </c>
      <c r="J2923" s="30">
        <f>IF(G2923&lt;$H$10,$H$16,IF(G2923&gt;$I$10,$H$16,$H$11))*E2923/600</f>
        <v>5.6294238000000003E-2</v>
      </c>
      <c r="L2923" s="32">
        <f>$J2923*($G2923-$G2922)*60*24</f>
        <v>5.6294237999999802E-2</v>
      </c>
    </row>
    <row r="2924" spans="1:12">
      <c r="A2924" s="22">
        <v>40312.662499999999</v>
      </c>
      <c r="E2924" s="26">
        <v>153.889827</v>
      </c>
      <c r="G2924" s="27">
        <v>0.66249999999999998</v>
      </c>
      <c r="J2924" s="30">
        <f>IF(G2924&lt;$H$10,$H$16,IF(G2924&gt;$I$10,$H$16,$H$11))*E2924/600</f>
        <v>5.6426269899999999E-2</v>
      </c>
      <c r="L2924" s="32">
        <f>$J2924*($G2924-$G2923)*60*24</f>
        <v>5.6426269899999798E-2</v>
      </c>
    </row>
    <row r="2925" spans="1:12">
      <c r="A2925" s="22">
        <v>40312.663194444445</v>
      </c>
      <c r="E2925" s="26">
        <v>154.11760000000001</v>
      </c>
      <c r="G2925" s="27">
        <v>0.66319444444444442</v>
      </c>
      <c r="J2925" s="30">
        <f>IF(G2925&lt;$H$10,$H$16,IF(G2925&gt;$I$10,$H$16,$H$11))*E2925/600</f>
        <v>5.6509786666666673E-2</v>
      </c>
      <c r="L2925" s="32">
        <f>$J2925*($G2925-$G2924)*60*24</f>
        <v>5.6509786666666478E-2</v>
      </c>
    </row>
    <row r="2926" spans="1:12">
      <c r="A2926" s="22">
        <v>40312.663888888892</v>
      </c>
      <c r="E2926" s="26">
        <v>154.092848</v>
      </c>
      <c r="G2926" s="27">
        <v>0.66388888888888886</v>
      </c>
      <c r="J2926" s="30">
        <f>IF(G2926&lt;$H$10,$H$16,IF(G2926&gt;$I$10,$H$16,$H$11))*E2926/600</f>
        <v>5.650071093333333E-2</v>
      </c>
      <c r="L2926" s="32">
        <f>$J2926*($G2926-$G2925)*60*24</f>
        <v>5.6500710933333129E-2</v>
      </c>
    </row>
    <row r="2927" spans="1:12">
      <c r="A2927" s="22">
        <v>40312.664583333331</v>
      </c>
      <c r="E2927" s="26">
        <v>153.90647999999999</v>
      </c>
      <c r="G2927" s="27">
        <v>0.6645833333333333</v>
      </c>
      <c r="J2927" s="30">
        <f>IF(G2927&lt;$H$10,$H$16,IF(G2927&gt;$I$10,$H$16,$H$11))*E2927/600</f>
        <v>5.6432375999999992E-2</v>
      </c>
      <c r="L2927" s="32">
        <f>$J2927*($G2927-$G2926)*60*24</f>
        <v>5.6432375999999791E-2</v>
      </c>
    </row>
    <row r="2928" spans="1:12">
      <c r="A2928" s="22">
        <v>40312.665277777778</v>
      </c>
      <c r="E2928" s="26">
        <v>153.23471799999999</v>
      </c>
      <c r="G2928" s="27">
        <v>0.66527777777777775</v>
      </c>
      <c r="J2928" s="30">
        <f>IF(G2928&lt;$H$10,$H$16,IF(G2928&gt;$I$10,$H$16,$H$11))*E2928/600</f>
        <v>5.6186063266666662E-2</v>
      </c>
      <c r="L2928" s="32">
        <f>$J2928*($G2928-$G2927)*60*24</f>
        <v>5.6186063266666475E-2</v>
      </c>
    </row>
    <row r="2929" spans="1:12">
      <c r="A2929" s="22">
        <v>40312.665972222225</v>
      </c>
      <c r="E2929" s="26">
        <v>153.38231999999999</v>
      </c>
      <c r="G2929" s="27">
        <v>0.66597222222222219</v>
      </c>
      <c r="J2929" s="30">
        <f>IF(G2929&lt;$H$10,$H$16,IF(G2929&gt;$I$10,$H$16,$H$11))*E2929/600</f>
        <v>5.6240183999999992E-2</v>
      </c>
      <c r="L2929" s="32">
        <f>$J2929*($G2929-$G2928)*60*24</f>
        <v>5.624018399999979E-2</v>
      </c>
    </row>
    <row r="2930" spans="1:12">
      <c r="A2930" s="22">
        <v>40312.666666666664</v>
      </c>
      <c r="E2930" s="26">
        <v>152.15063499999999</v>
      </c>
      <c r="G2930" s="27">
        <v>0.66666666666666663</v>
      </c>
      <c r="J2930" s="30">
        <f>IF(G2930&lt;$H$10,$H$16,IF(G2930&gt;$I$10,$H$16,$H$11))*E2930/600</f>
        <v>5.5788566166666664E-2</v>
      </c>
      <c r="L2930" s="32">
        <f>$J2930*($G2930-$G2929)*60*24</f>
        <v>5.5788566166666456E-2</v>
      </c>
    </row>
    <row r="2931" spans="1:12">
      <c r="A2931" s="22">
        <v>40312.667361111111</v>
      </c>
      <c r="E2931" s="26">
        <v>152.986288</v>
      </c>
      <c r="G2931" s="27">
        <v>0.66736111111111107</v>
      </c>
      <c r="J2931" s="30">
        <f>IF(G2931&lt;$H$10,$H$16,IF(G2931&gt;$I$10,$H$16,$H$11))*E2931/600</f>
        <v>5.6094972266666661E-2</v>
      </c>
      <c r="L2931" s="32">
        <f>$J2931*($G2931-$G2930)*60*24</f>
        <v>5.6094972266666467E-2</v>
      </c>
    </row>
    <row r="2932" spans="1:12">
      <c r="A2932" s="22">
        <v>40312.668055555558</v>
      </c>
      <c r="E2932" s="26">
        <v>152.79082</v>
      </c>
      <c r="G2932" s="27">
        <v>0.66805555555555562</v>
      </c>
      <c r="J2932" s="30">
        <f>IF(G2932&lt;$H$10,$H$16,IF(G2932&gt;$I$10,$H$16,$H$11))*E2932/600</f>
        <v>5.6023300666666671E-2</v>
      </c>
      <c r="L2932" s="32">
        <f>$J2932*($G2932-$G2931)*60*24</f>
        <v>5.6023300666675421E-2</v>
      </c>
    </row>
    <row r="2933" spans="1:12">
      <c r="A2933" s="22">
        <v>40312.668749999997</v>
      </c>
      <c r="E2933" s="26">
        <v>152.234082</v>
      </c>
      <c r="G2933" s="27">
        <v>0.66875000000000007</v>
      </c>
      <c r="J2933" s="30">
        <f>IF(G2933&lt;$H$10,$H$16,IF(G2933&gt;$I$10,$H$16,$H$11))*E2933/600</f>
        <v>5.5819163400000003E-2</v>
      </c>
      <c r="L2933" s="32">
        <f>$J2933*($G2933-$G2932)*60*24</f>
        <v>5.5819163399999809E-2</v>
      </c>
    </row>
    <row r="2934" spans="1:12">
      <c r="A2934" s="22">
        <v>40312.669444444444</v>
      </c>
      <c r="E2934" s="26">
        <v>152.55895200000001</v>
      </c>
      <c r="G2934" s="27">
        <v>0.6694444444444444</v>
      </c>
      <c r="J2934" s="30">
        <f>IF(G2934&lt;$H$10,$H$16,IF(G2934&gt;$I$10,$H$16,$H$11))*E2934/600</f>
        <v>5.5938282400000004E-2</v>
      </c>
      <c r="L2934" s="32">
        <f>$J2934*($G2934-$G2933)*60*24</f>
        <v>5.5938282399990859E-2</v>
      </c>
    </row>
    <row r="2935" spans="1:12">
      <c r="A2935" s="22">
        <v>40312.670138888891</v>
      </c>
      <c r="E2935" s="26">
        <v>152.73458199999999</v>
      </c>
      <c r="G2935" s="27">
        <v>0.67013888888888884</v>
      </c>
      <c r="J2935" s="30">
        <f>IF(G2935&lt;$H$10,$H$16,IF(G2935&gt;$I$10,$H$16,$H$11))*E2935/600</f>
        <v>5.6002680066666657E-2</v>
      </c>
      <c r="L2935" s="32">
        <f>$J2935*($G2935-$G2934)*60*24</f>
        <v>5.6002680066666463E-2</v>
      </c>
    </row>
    <row r="2936" spans="1:12">
      <c r="A2936" s="22">
        <v>40312.67083333333</v>
      </c>
      <c r="E2936" s="26">
        <v>152.17165600000001</v>
      </c>
      <c r="G2936" s="27">
        <v>0.67083333333333339</v>
      </c>
      <c r="J2936" s="30">
        <f>IF(G2936&lt;$H$10,$H$16,IF(G2936&gt;$I$10,$H$16,$H$11))*E2936/600</f>
        <v>5.5796273866666676E-2</v>
      </c>
      <c r="L2936" s="32">
        <f>$J2936*($G2936-$G2935)*60*24</f>
        <v>5.5796273866675399E-2</v>
      </c>
    </row>
    <row r="2937" spans="1:12">
      <c r="A2937" s="22">
        <v>40312.671527777777</v>
      </c>
      <c r="E2937" s="26">
        <v>158.08967200000001</v>
      </c>
      <c r="G2937" s="27">
        <v>0.67152777777777783</v>
      </c>
      <c r="J2937" s="30">
        <f>IF(G2937&lt;$H$10,$H$16,IF(G2937&gt;$I$10,$H$16,$H$11))*E2937/600</f>
        <v>5.7966213066666668E-2</v>
      </c>
      <c r="L2937" s="32">
        <f>$J2937*($G2937-$G2936)*60*24</f>
        <v>5.7966213066666467E-2</v>
      </c>
    </row>
    <row r="2938" spans="1:12">
      <c r="A2938" s="22">
        <v>40312.672222222223</v>
      </c>
      <c r="E2938" s="26">
        <v>179.30716200000001</v>
      </c>
      <c r="G2938" s="27">
        <v>0.67222222222222217</v>
      </c>
      <c r="J2938" s="30">
        <f>IF(G2938&lt;$H$10,$H$16,IF(G2938&gt;$I$10,$H$16,$H$11))*E2938/600</f>
        <v>6.5745959400000012E-2</v>
      </c>
      <c r="L2938" s="32">
        <f>$J2938*($G2938-$G2937)*60*24</f>
        <v>6.5745959399989271E-2</v>
      </c>
    </row>
    <row r="2939" spans="1:12">
      <c r="A2939" s="22">
        <v>40312.67291666667</v>
      </c>
      <c r="E2939" s="26">
        <v>178.32563999999999</v>
      </c>
      <c r="G2939" s="27">
        <v>0.67291666666666661</v>
      </c>
      <c r="J2939" s="30">
        <f>IF(G2939&lt;$H$10,$H$16,IF(G2939&gt;$I$10,$H$16,$H$11))*E2939/600</f>
        <v>6.5386068000000006E-2</v>
      </c>
      <c r="L2939" s="32">
        <f>$J2939*($G2939-$G2938)*60*24</f>
        <v>6.538606799999977E-2</v>
      </c>
    </row>
    <row r="2940" spans="1:12">
      <c r="A2940" s="22">
        <v>40312.673611111109</v>
      </c>
      <c r="E2940" s="26">
        <v>177.72300000000001</v>
      </c>
      <c r="G2940" s="27">
        <v>0.67361111111111116</v>
      </c>
      <c r="J2940" s="30">
        <f>IF(G2940&lt;$H$10,$H$16,IF(G2940&gt;$I$10,$H$16,$H$11))*E2940/600</f>
        <v>6.5165100000000004E-2</v>
      </c>
      <c r="L2940" s="32">
        <f>$J2940*($G2940-$G2939)*60*24</f>
        <v>6.516510000001019E-2</v>
      </c>
    </row>
    <row r="2941" spans="1:12">
      <c r="A2941" s="22">
        <v>40312.674305555556</v>
      </c>
      <c r="E2941" s="26">
        <v>177.64488</v>
      </c>
      <c r="G2941" s="27">
        <v>0.6743055555555556</v>
      </c>
      <c r="J2941" s="30">
        <f>IF(G2941&lt;$H$10,$H$16,IF(G2941&gt;$I$10,$H$16,$H$11))*E2941/600</f>
        <v>6.5136456000000009E-2</v>
      </c>
      <c r="L2941" s="32">
        <f>$J2941*($G2941-$G2940)*60*24</f>
        <v>6.5136455999999773E-2</v>
      </c>
    </row>
    <row r="2942" spans="1:12">
      <c r="A2942" s="22">
        <v>40312.675000000003</v>
      </c>
      <c r="E2942" s="26">
        <v>178.94241600000001</v>
      </c>
      <c r="G2942" s="27">
        <v>0.67499999999999993</v>
      </c>
      <c r="J2942" s="30">
        <f>IF(G2942&lt;$H$10,$H$16,IF(G2942&gt;$I$10,$H$16,$H$11))*E2942/600</f>
        <v>6.5612219200000002E-2</v>
      </c>
      <c r="L2942" s="32">
        <f>$J2942*($G2942-$G2941)*60*24</f>
        <v>6.5612219199989275E-2</v>
      </c>
    </row>
    <row r="2943" spans="1:12">
      <c r="A2943" s="22">
        <v>40312.675694444442</v>
      </c>
      <c r="E2943" s="26">
        <v>181.08160000000001</v>
      </c>
      <c r="G2943" s="27">
        <v>0.67569444444444438</v>
      </c>
      <c r="J2943" s="30">
        <f>IF(G2943&lt;$H$10,$H$16,IF(G2943&gt;$I$10,$H$16,$H$11))*E2943/600</f>
        <v>6.6396586666666674E-2</v>
      </c>
      <c r="L2943" s="32">
        <f>$J2943*($G2943-$G2942)*60*24</f>
        <v>6.6396586666666438E-2</v>
      </c>
    </row>
    <row r="2944" spans="1:12">
      <c r="A2944" s="22">
        <v>40312.676388888889</v>
      </c>
      <c r="E2944" s="26">
        <v>178.756416</v>
      </c>
      <c r="G2944" s="27">
        <v>0.67638888888888893</v>
      </c>
      <c r="J2944" s="30">
        <f>IF(G2944&lt;$H$10,$H$16,IF(G2944&gt;$I$10,$H$16,$H$11))*E2944/600</f>
        <v>6.5544019199999998E-2</v>
      </c>
      <c r="L2944" s="32">
        <f>$J2944*($G2944-$G2943)*60*24</f>
        <v>6.554401920001024E-2</v>
      </c>
    </row>
    <row r="2945" spans="1:12">
      <c r="A2945" s="22">
        <v>40312.677083333336</v>
      </c>
      <c r="E2945" s="26">
        <v>178.518708</v>
      </c>
      <c r="G2945" s="27">
        <v>0.67708333333333337</v>
      </c>
      <c r="J2945" s="30">
        <f>IF(G2945&lt;$H$10,$H$16,IF(G2945&gt;$I$10,$H$16,$H$11))*E2945/600</f>
        <v>6.54568596E-2</v>
      </c>
      <c r="L2945" s="32">
        <f>$J2945*($G2945-$G2944)*60*24</f>
        <v>6.5456859599999764E-2</v>
      </c>
    </row>
    <row r="2946" spans="1:12">
      <c r="A2946" s="22">
        <v>40312.677777777775</v>
      </c>
      <c r="E2946" s="26">
        <v>177.72300000000001</v>
      </c>
      <c r="G2946" s="27">
        <v>0.6777777777777777</v>
      </c>
      <c r="J2946" s="30">
        <f>IF(G2946&lt;$H$10,$H$16,IF(G2946&gt;$I$10,$H$16,$H$11))*E2946/600</f>
        <v>6.5165100000000004E-2</v>
      </c>
      <c r="L2946" s="32">
        <f>$J2946*($G2946-$G2945)*60*24</f>
        <v>6.5165099999989345E-2</v>
      </c>
    </row>
    <row r="2947" spans="1:12">
      <c r="A2947" s="22">
        <v>40312.678472222222</v>
      </c>
      <c r="E2947" s="26">
        <v>177.68951999999999</v>
      </c>
      <c r="G2947" s="27">
        <v>0.67847222222222225</v>
      </c>
      <c r="J2947" s="30">
        <f>IF(G2947&lt;$H$10,$H$16,IF(G2947&gt;$I$10,$H$16,$H$11))*E2947/600</f>
        <v>6.5152823999999984E-2</v>
      </c>
      <c r="L2947" s="32">
        <f>$J2947*($G2947-$G2946)*60*24</f>
        <v>6.515282400001017E-2</v>
      </c>
    </row>
    <row r="2948" spans="1:12">
      <c r="A2948" s="22">
        <v>40312.679166666669</v>
      </c>
      <c r="E2948" s="26">
        <v>179.82059000000001</v>
      </c>
      <c r="G2948" s="27">
        <v>0.6791666666666667</v>
      </c>
      <c r="J2948" s="30">
        <f>IF(G2948&lt;$H$10,$H$16,IF(G2948&gt;$I$10,$H$16,$H$11))*E2948/600</f>
        <v>6.5934216333333337E-2</v>
      </c>
      <c r="L2948" s="32">
        <f>$J2948*($G2948-$G2947)*60*24</f>
        <v>6.5934216333333101E-2</v>
      </c>
    </row>
    <row r="2949" spans="1:12">
      <c r="A2949" s="22">
        <v>40312.679861111108</v>
      </c>
      <c r="E2949" s="26">
        <v>178.022367</v>
      </c>
      <c r="G2949" s="27">
        <v>0.67986111111111114</v>
      </c>
      <c r="J2949" s="30">
        <f>IF(G2949&lt;$H$10,$H$16,IF(G2949&gt;$I$10,$H$16,$H$11))*E2949/600</f>
        <v>6.5274867900000005E-2</v>
      </c>
      <c r="L2949" s="32">
        <f>$J2949*($G2949-$G2948)*60*24</f>
        <v>6.5274867899999769E-2</v>
      </c>
    </row>
    <row r="2950" spans="1:12">
      <c r="A2950" s="22">
        <v>40312.680555555555</v>
      </c>
      <c r="E2950" s="26">
        <v>177.38262</v>
      </c>
      <c r="G2950" s="27">
        <v>0.68055555555555547</v>
      </c>
      <c r="J2950" s="30">
        <f>IF(G2950&lt;$H$10,$H$16,IF(G2950&gt;$I$10,$H$16,$H$11))*E2950/600</f>
        <v>6.5040293999999998E-2</v>
      </c>
      <c r="L2950" s="32">
        <f>$J2950*($G2950-$G2949)*60*24</f>
        <v>6.5040293999989368E-2</v>
      </c>
    </row>
    <row r="2951" spans="1:12">
      <c r="A2951" s="22">
        <v>40312.681250000001</v>
      </c>
      <c r="E2951" s="26">
        <v>177.12603300000001</v>
      </c>
      <c r="G2951" s="27">
        <v>0.68125000000000002</v>
      </c>
      <c r="J2951" s="30">
        <f>IF(G2951&lt;$H$10,$H$16,IF(G2951&gt;$I$10,$H$16,$H$11))*E2951/600</f>
        <v>6.4946212100000011E-2</v>
      </c>
      <c r="L2951" s="32">
        <f>$J2951*($G2951-$G2950)*60*24</f>
        <v>6.494621210001017E-2</v>
      </c>
    </row>
    <row r="2952" spans="1:12">
      <c r="A2952" s="22">
        <v>40312.681944444441</v>
      </c>
      <c r="E2952" s="26">
        <v>177.10919999999999</v>
      </c>
      <c r="G2952" s="27">
        <v>0.68194444444444446</v>
      </c>
      <c r="J2952" s="30">
        <f>IF(G2952&lt;$H$10,$H$16,IF(G2952&gt;$I$10,$H$16,$H$11))*E2952/600</f>
        <v>6.4940039999999991E-2</v>
      </c>
      <c r="L2952" s="32">
        <f>$J2952*($G2952-$G2951)*60*24</f>
        <v>6.4940039999999755E-2</v>
      </c>
    </row>
    <row r="2953" spans="1:12">
      <c r="A2953" s="22">
        <v>40312.682638888888</v>
      </c>
      <c r="E2953" s="26">
        <v>162.007768</v>
      </c>
      <c r="G2953" s="27">
        <v>0.68263888888888891</v>
      </c>
      <c r="J2953" s="30">
        <f>IF(G2953&lt;$H$10,$H$16,IF(G2953&gt;$I$10,$H$16,$H$11))*E2953/600</f>
        <v>5.9402848266666669E-2</v>
      </c>
      <c r="L2953" s="32">
        <f>$J2953*($G2953-$G2952)*60*24</f>
        <v>5.9402848266666454E-2</v>
      </c>
    </row>
    <row r="2954" spans="1:12">
      <c r="A2954" s="22">
        <v>40312.683333333334</v>
      </c>
      <c r="E2954" s="26">
        <v>152.629932</v>
      </c>
      <c r="G2954" s="27">
        <v>0.68333333333333324</v>
      </c>
      <c r="J2954" s="30">
        <f>IF(G2954&lt;$H$10,$H$16,IF(G2954&gt;$I$10,$H$16,$H$11))*E2954/600</f>
        <v>5.5964308400000003E-2</v>
      </c>
      <c r="L2954" s="32">
        <f>$J2954*($G2954-$G2953)*60*24</f>
        <v>5.5964308399990857E-2</v>
      </c>
    </row>
    <row r="2955" spans="1:12">
      <c r="A2955" s="22">
        <v>40312.684027777781</v>
      </c>
      <c r="E2955" s="26">
        <v>166.2003</v>
      </c>
      <c r="G2955" s="27">
        <v>0.68402777777777779</v>
      </c>
      <c r="J2955" s="30">
        <f>IF(G2955&lt;$H$10,$H$16,IF(G2955&gt;$I$10,$H$16,$H$11))*E2955/600</f>
        <v>6.0940109999999992E-2</v>
      </c>
      <c r="L2955" s="32">
        <f>$J2955*($G2955-$G2954)*60*24</f>
        <v>6.0940110000009512E-2</v>
      </c>
    </row>
    <row r="2956" spans="1:12">
      <c r="A2956" s="22">
        <v>40312.68472222222</v>
      </c>
      <c r="E2956" s="26">
        <v>171.47321400000001</v>
      </c>
      <c r="G2956" s="27">
        <v>0.68472222222222223</v>
      </c>
      <c r="J2956" s="30">
        <f>IF(G2956&lt;$H$10,$H$16,IF(G2956&gt;$I$10,$H$16,$H$11))*E2956/600</f>
        <v>6.2873511800000004E-2</v>
      </c>
      <c r="L2956" s="32">
        <f>$J2956*($G2956-$G2955)*60*24</f>
        <v>6.2873511799999782E-2</v>
      </c>
    </row>
    <row r="2957" spans="1:12">
      <c r="A2957" s="22">
        <v>40312.685416666667</v>
      </c>
      <c r="E2957" s="26">
        <v>174.26600400000001</v>
      </c>
      <c r="G2957" s="27">
        <v>0.68541666666666667</v>
      </c>
      <c r="J2957" s="30">
        <f>IF(G2957&lt;$H$10,$H$16,IF(G2957&gt;$I$10,$H$16,$H$11))*E2957/600</f>
        <v>6.3897534800000003E-2</v>
      </c>
      <c r="L2957" s="32">
        <f>$J2957*($G2957-$G2956)*60*24</f>
        <v>6.3897534799999767E-2</v>
      </c>
    </row>
    <row r="2958" spans="1:12">
      <c r="A2958" s="22">
        <v>40312.686111111114</v>
      </c>
      <c r="E2958" s="26">
        <v>159.06542400000001</v>
      </c>
      <c r="G2958" s="27">
        <v>0.68611111111111101</v>
      </c>
      <c r="J2958" s="30">
        <f>IF(G2958&lt;$H$10,$H$16,IF(G2958&gt;$I$10,$H$16,$H$11))*E2958/600</f>
        <v>5.8323988800000004E-2</v>
      </c>
      <c r="L2958" s="32">
        <f>$J2958*($G2958-$G2957)*60*24</f>
        <v>5.832398879999047E-2</v>
      </c>
    </row>
    <row r="2959" spans="1:12">
      <c r="A2959" s="22">
        <v>40312.686805555553</v>
      </c>
      <c r="E2959" s="26">
        <v>155.710184</v>
      </c>
      <c r="G2959" s="27">
        <v>0.68680555555555556</v>
      </c>
      <c r="J2959" s="30">
        <f>IF(G2959&lt;$H$10,$H$16,IF(G2959&gt;$I$10,$H$16,$H$11))*E2959/600</f>
        <v>5.7093734133333338E-2</v>
      </c>
      <c r="L2959" s="32">
        <f>$J2959*($G2959-$G2958)*60*24</f>
        <v>5.7093734133342261E-2</v>
      </c>
    </row>
    <row r="2960" spans="1:12">
      <c r="A2960" s="22">
        <v>40312.6875</v>
      </c>
      <c r="E2960" s="26">
        <v>154.88678400000001</v>
      </c>
      <c r="G2960" s="27">
        <v>0.6875</v>
      </c>
      <c r="J2960" s="30">
        <f>IF(G2960&lt;$H$10,$H$16,IF(G2960&gt;$I$10,$H$16,$H$11))*E2960/600</f>
        <v>5.6791820800000004E-2</v>
      </c>
      <c r="L2960" s="32">
        <f>$J2960*($G2960-$G2959)*60*24</f>
        <v>5.6791820799999802E-2</v>
      </c>
    </row>
    <row r="2961" spans="1:12">
      <c r="A2961" s="22">
        <v>40312.688194444447</v>
      </c>
      <c r="E2961" s="26">
        <v>155.78332399999999</v>
      </c>
      <c r="G2961" s="27">
        <v>0.68819444444444444</v>
      </c>
      <c r="J2961" s="30">
        <f>IF(G2961&lt;$H$10,$H$16,IF(G2961&gt;$I$10,$H$16,$H$11))*E2961/600</f>
        <v>5.7120552133333329E-2</v>
      </c>
      <c r="L2961" s="32">
        <f>$J2961*($G2961-$G2960)*60*24</f>
        <v>5.712055213333312E-2</v>
      </c>
    </row>
    <row r="2962" spans="1:12">
      <c r="A2962" s="22">
        <v>40312.688888888886</v>
      </c>
      <c r="E2962" s="26">
        <v>153.84166400000001</v>
      </c>
      <c r="G2962" s="27">
        <v>0.68888888888888899</v>
      </c>
      <c r="J2962" s="30">
        <f>IF(G2962&lt;$H$10,$H$16,IF(G2962&gt;$I$10,$H$16,$H$11))*E2962/600</f>
        <v>5.6408610133333342E-2</v>
      </c>
      <c r="L2962" s="32">
        <f>$J2962*($G2962-$G2961)*60*24</f>
        <v>5.6408610133342155E-2</v>
      </c>
    </row>
    <row r="2963" spans="1:12">
      <c r="A2963" s="22">
        <v>40312.689583333333</v>
      </c>
      <c r="E2963" s="26">
        <v>155.85996</v>
      </c>
      <c r="G2963" s="27">
        <v>0.68958333333333333</v>
      </c>
      <c r="J2963" s="30">
        <f>IF(G2963&lt;$H$10,$H$16,IF(G2963&gt;$I$10,$H$16,$H$11))*E2963/600</f>
        <v>5.7148651999999994E-2</v>
      </c>
      <c r="L2963" s="32">
        <f>$J2963*($G2963-$G2962)*60*24</f>
        <v>5.7148651999990654E-2</v>
      </c>
    </row>
    <row r="2964" spans="1:12">
      <c r="A2964" s="22">
        <v>40312.69027777778</v>
      </c>
      <c r="E2964" s="26">
        <v>152.91876600000001</v>
      </c>
      <c r="G2964" s="27">
        <v>0.69027777777777777</v>
      </c>
      <c r="J2964" s="30">
        <f>IF(G2964&lt;$H$10,$H$16,IF(G2964&gt;$I$10,$H$16,$H$11))*E2964/600</f>
        <v>5.6070214200000003E-2</v>
      </c>
      <c r="L2964" s="32">
        <f>$J2964*($G2964-$G2963)*60*24</f>
        <v>5.6070214199999802E-2</v>
      </c>
    </row>
    <row r="2965" spans="1:12">
      <c r="A2965" s="22">
        <v>40312.690972222219</v>
      </c>
      <c r="E2965" s="26">
        <v>153.76861500000001</v>
      </c>
      <c r="G2965" s="27">
        <v>0.69097222222222221</v>
      </c>
      <c r="J2965" s="30">
        <f>IF(G2965&lt;$H$10,$H$16,IF(G2965&gt;$I$10,$H$16,$H$11))*E2965/600</f>
        <v>5.638182550000001E-2</v>
      </c>
      <c r="L2965" s="32">
        <f>$J2965*($G2965-$G2964)*60*24</f>
        <v>5.6381825499999802E-2</v>
      </c>
    </row>
    <row r="2966" spans="1:12">
      <c r="A2966" s="22">
        <v>40312.691666666666</v>
      </c>
      <c r="E2966" s="26">
        <v>152.79873699999999</v>
      </c>
      <c r="G2966" s="27">
        <v>0.69166666666666676</v>
      </c>
      <c r="J2966" s="30">
        <f>IF(G2966&lt;$H$10,$H$16,IF(G2966&gt;$I$10,$H$16,$H$11))*E2966/600</f>
        <v>5.6026203566666662E-2</v>
      </c>
      <c r="L2966" s="32">
        <f>$J2966*($G2966-$G2965)*60*24</f>
        <v>5.6026203566675419E-2</v>
      </c>
    </row>
    <row r="2967" spans="1:12">
      <c r="A2967" s="22">
        <v>40312.692361111112</v>
      </c>
      <c r="E2967" s="26">
        <v>154.04480000000001</v>
      </c>
      <c r="G2967" s="27">
        <v>0.69236111111111109</v>
      </c>
      <c r="J2967" s="30">
        <f>IF(G2967&lt;$H$10,$H$16,IF(G2967&gt;$I$10,$H$16,$H$11))*E2967/600</f>
        <v>5.6483093333333338E-2</v>
      </c>
      <c r="L2967" s="32">
        <f>$J2967*($G2967-$G2966)*60*24</f>
        <v>5.6483093333324109E-2</v>
      </c>
    </row>
    <row r="2968" spans="1:12">
      <c r="A2968" s="22">
        <v>40312.693055555559</v>
      </c>
      <c r="E2968" s="26">
        <v>153.68371200000001</v>
      </c>
      <c r="G2968" s="27">
        <v>0.69305555555555554</v>
      </c>
      <c r="J2968" s="30">
        <f>IF(G2968&lt;$H$10,$H$16,IF(G2968&gt;$I$10,$H$16,$H$11))*E2968/600</f>
        <v>5.6350694400000012E-2</v>
      </c>
      <c r="L2968" s="32">
        <f>$J2968*($G2968-$G2967)*60*24</f>
        <v>5.6350694399999811E-2</v>
      </c>
    </row>
    <row r="2969" spans="1:12">
      <c r="A2969" s="22">
        <v>40312.693749999999</v>
      </c>
      <c r="E2969" s="26">
        <v>153.730031</v>
      </c>
      <c r="G2969" s="27">
        <v>0.69374999999999998</v>
      </c>
      <c r="J2969" s="30">
        <f>IF(G2969&lt;$H$10,$H$16,IF(G2969&gt;$I$10,$H$16,$H$11))*E2969/600</f>
        <v>5.6367678033333334E-2</v>
      </c>
      <c r="L2969" s="32">
        <f>$J2969*($G2969-$G2968)*60*24</f>
        <v>5.6367678033333125E-2</v>
      </c>
    </row>
    <row r="2970" spans="1:12">
      <c r="A2970" s="22">
        <v>40312.694444444445</v>
      </c>
      <c r="E2970" s="26">
        <v>153.98473999999999</v>
      </c>
      <c r="G2970" s="27">
        <v>0.69444444444444453</v>
      </c>
      <c r="J2970" s="30">
        <f>IF(G2970&lt;$H$10,$H$16,IF(G2970&gt;$I$10,$H$16,$H$11))*E2970/600</f>
        <v>5.6461071333333335E-2</v>
      </c>
      <c r="L2970" s="32">
        <f>$J2970*($G2970-$G2969)*60*24</f>
        <v>5.6461071333342161E-2</v>
      </c>
    </row>
    <row r="2971" spans="1:12">
      <c r="A2971" s="22">
        <v>40312.695138888892</v>
      </c>
      <c r="E2971" s="26">
        <v>154.38332</v>
      </c>
      <c r="G2971" s="27">
        <v>0.69513888888888886</v>
      </c>
      <c r="J2971" s="30">
        <f>IF(G2971&lt;$H$10,$H$16,IF(G2971&gt;$I$10,$H$16,$H$11))*E2971/600</f>
        <v>5.6607217333333334E-2</v>
      </c>
      <c r="L2971" s="32">
        <f>$J2971*($G2971-$G2970)*60*24</f>
        <v>5.6607217333324078E-2</v>
      </c>
    </row>
    <row r="2972" spans="1:12">
      <c r="A2972" s="22">
        <v>40312.695833333331</v>
      </c>
      <c r="E2972" s="26">
        <v>154.410438</v>
      </c>
      <c r="G2972" s="27">
        <v>0.6958333333333333</v>
      </c>
      <c r="J2972" s="30">
        <f>IF(G2972&lt;$H$10,$H$16,IF(G2972&gt;$I$10,$H$16,$H$11))*E2972/600</f>
        <v>5.6617160600000001E-2</v>
      </c>
      <c r="L2972" s="32">
        <f>$J2972*($G2972-$G2971)*60*24</f>
        <v>5.66171605999998E-2</v>
      </c>
    </row>
    <row r="2973" spans="1:12">
      <c r="A2973" s="22">
        <v>40312.696527777778</v>
      </c>
      <c r="E2973" s="26">
        <v>154.838775</v>
      </c>
      <c r="G2973" s="27">
        <v>0.69652777777777775</v>
      </c>
      <c r="J2973" s="30">
        <f>IF(G2973&lt;$H$10,$H$16,IF(G2973&gt;$I$10,$H$16,$H$11))*E2973/600</f>
        <v>5.6774217499999995E-2</v>
      </c>
      <c r="L2973" s="32">
        <f>$J2973*($G2973-$G2972)*60*24</f>
        <v>5.6774217499999793E-2</v>
      </c>
    </row>
    <row r="2974" spans="1:12">
      <c r="A2974" s="22">
        <v>40312.697222222225</v>
      </c>
      <c r="E2974" s="26">
        <v>155.34519</v>
      </c>
      <c r="G2974" s="27">
        <v>0.6972222222222223</v>
      </c>
      <c r="J2974" s="30">
        <f>IF(G2974&lt;$H$10,$H$16,IF(G2974&gt;$I$10,$H$16,$H$11))*E2974/600</f>
        <v>5.6959903000000006E-2</v>
      </c>
      <c r="L2974" s="32">
        <f>$J2974*($G2974-$G2973)*60*24</f>
        <v>5.6959903000008916E-2</v>
      </c>
    </row>
    <row r="2975" spans="1:12">
      <c r="A2975" s="22">
        <v>40312.697916666664</v>
      </c>
      <c r="E2975" s="26">
        <v>154.89546799999999</v>
      </c>
      <c r="G2975" s="27">
        <v>0.69791666666666663</v>
      </c>
      <c r="J2975" s="30">
        <f>IF(G2975&lt;$H$10,$H$16,IF(G2975&gt;$I$10,$H$16,$H$11))*E2975/600</f>
        <v>5.6795004933333337E-2</v>
      </c>
      <c r="L2975" s="32">
        <f>$J2975*($G2975-$G2974)*60*24</f>
        <v>5.679500493332406E-2</v>
      </c>
    </row>
    <row r="2976" spans="1:12">
      <c r="A2976" s="22">
        <v>40312.698611111111</v>
      </c>
      <c r="E2976" s="26">
        <v>157.55331200000001</v>
      </c>
      <c r="G2976" s="27">
        <v>0.69861111111111107</v>
      </c>
      <c r="J2976" s="30">
        <f>IF(G2976&lt;$H$10,$H$16,IF(G2976&gt;$I$10,$H$16,$H$11))*E2976/600</f>
        <v>5.7769547733333336E-2</v>
      </c>
      <c r="L2976" s="32">
        <f>$J2976*($G2976-$G2975)*60*24</f>
        <v>5.7769547733333128E-2</v>
      </c>
    </row>
    <row r="2977" spans="1:12">
      <c r="A2977" s="22">
        <v>40312.699305555558</v>
      </c>
      <c r="E2977" s="26">
        <v>157.697292</v>
      </c>
      <c r="G2977" s="27">
        <v>0.69930555555555562</v>
      </c>
      <c r="J2977" s="30">
        <f>IF(G2977&lt;$H$10,$H$16,IF(G2977&gt;$I$10,$H$16,$H$11))*E2977/600</f>
        <v>5.7822340399999998E-2</v>
      </c>
      <c r="L2977" s="32">
        <f>$J2977*($G2977-$G2976)*60*24</f>
        <v>5.7822340400009033E-2</v>
      </c>
    </row>
    <row r="2978" spans="1:12">
      <c r="A2978" s="22">
        <v>40312.699999999997</v>
      </c>
      <c r="E2978" s="26">
        <v>154.484148</v>
      </c>
      <c r="G2978" s="27">
        <v>0.70000000000000007</v>
      </c>
      <c r="J2978" s="30">
        <f>IF(G2978&lt;$H$10,$H$16,IF(G2978&gt;$I$10,$H$16,$H$11))*E2978/600</f>
        <v>5.66441876E-2</v>
      </c>
      <c r="L2978" s="32">
        <f>$J2978*($G2978-$G2977)*60*24</f>
        <v>5.6644187599999798E-2</v>
      </c>
    </row>
    <row r="2979" spans="1:12">
      <c r="A2979" s="22">
        <v>40312.700694444444</v>
      </c>
      <c r="E2979" s="26">
        <v>152.75651300000001</v>
      </c>
      <c r="G2979" s="27">
        <v>0.7006944444444444</v>
      </c>
      <c r="J2979" s="30">
        <f>IF(G2979&lt;$H$10,$H$16,IF(G2979&gt;$I$10,$H$16,$H$11))*E2979/600</f>
        <v>5.6010721433333341E-2</v>
      </c>
      <c r="L2979" s="32">
        <f>$J2979*($G2979-$G2978)*60*24</f>
        <v>5.6010721433324182E-2</v>
      </c>
    </row>
    <row r="2980" spans="1:12">
      <c r="A2980" s="22">
        <v>40312.701388888891</v>
      </c>
      <c r="E2980" s="26">
        <v>152.996025</v>
      </c>
      <c r="G2980" s="27">
        <v>0.70138888888888884</v>
      </c>
      <c r="J2980" s="30">
        <f>IF(G2980&lt;$H$10,$H$16,IF(G2980&gt;$I$10,$H$16,$H$11))*E2980/600</f>
        <v>5.6098542500000001E-2</v>
      </c>
      <c r="L2980" s="32">
        <f>$J2980*($G2980-$G2979)*60*24</f>
        <v>5.6098542499999807E-2</v>
      </c>
    </row>
    <row r="2981" spans="1:12">
      <c r="A2981" s="22">
        <v>40312.70208333333</v>
      </c>
      <c r="E2981" s="26">
        <v>163.21453199999999</v>
      </c>
      <c r="G2981" s="27">
        <v>0.70208333333333339</v>
      </c>
      <c r="J2981" s="30">
        <f>IF(G2981&lt;$H$10,$H$16,IF(G2981&gt;$I$10,$H$16,$H$11))*E2981/600</f>
        <v>5.9845328400000002E-2</v>
      </c>
      <c r="L2981" s="32">
        <f>$J2981*($G2981-$G2980)*60*24</f>
        <v>5.9845328400009362E-2</v>
      </c>
    </row>
    <row r="2982" spans="1:12">
      <c r="A2982" s="22">
        <v>40312.702777777777</v>
      </c>
      <c r="E2982" s="26">
        <v>174.924723</v>
      </c>
      <c r="G2982" s="27">
        <v>0.70277777777777783</v>
      </c>
      <c r="J2982" s="30">
        <f>IF(G2982&lt;$H$10,$H$16,IF(G2982&gt;$I$10,$H$16,$H$11))*E2982/600</f>
        <v>6.4139065100000003E-2</v>
      </c>
      <c r="L2982" s="32">
        <f>$J2982*($G2982-$G2981)*60*24</f>
        <v>6.4139065099999767E-2</v>
      </c>
    </row>
    <row r="2983" spans="1:12">
      <c r="A2983" s="22">
        <v>40312.703472222223</v>
      </c>
      <c r="E2983" s="26">
        <v>167.30282800000001</v>
      </c>
      <c r="G2983" s="27">
        <v>0.70347222222222217</v>
      </c>
      <c r="J2983" s="30">
        <f>IF(G2983&lt;$H$10,$H$16,IF(G2983&gt;$I$10,$H$16,$H$11))*E2983/600</f>
        <v>6.134437026666667E-2</v>
      </c>
      <c r="L2983" s="32">
        <f>$J2983*($G2983-$G2982)*60*24</f>
        <v>6.134437026665665E-2</v>
      </c>
    </row>
    <row r="2984" spans="1:12">
      <c r="A2984" s="22">
        <v>40312.70416666667</v>
      </c>
      <c r="E2984" s="26">
        <v>162.860792</v>
      </c>
      <c r="G2984" s="27">
        <v>0.70416666666666661</v>
      </c>
      <c r="J2984" s="30">
        <f>IF(G2984&lt;$H$10,$H$16,IF(G2984&gt;$I$10,$H$16,$H$11))*E2984/600</f>
        <v>5.9715623733333334E-2</v>
      </c>
      <c r="L2984" s="32">
        <f>$J2984*($G2984-$G2983)*60*24</f>
        <v>5.9715623733333112E-2</v>
      </c>
    </row>
    <row r="2985" spans="1:12">
      <c r="A2985" s="22">
        <v>40312.704861111109</v>
      </c>
      <c r="E2985" s="26">
        <v>155.95944</v>
      </c>
      <c r="G2985" s="27">
        <v>0.70486111111111116</v>
      </c>
      <c r="J2985" s="30">
        <f>IF(G2985&lt;$H$10,$H$16,IF(G2985&gt;$I$10,$H$16,$H$11))*E2985/600</f>
        <v>5.7185128000000002E-2</v>
      </c>
      <c r="L2985" s="32">
        <f>$J2985*($G2985-$G2984)*60*24</f>
        <v>5.7185128000008939E-2</v>
      </c>
    </row>
    <row r="2986" spans="1:12">
      <c r="A2986" s="22">
        <v>40312.705555555556</v>
      </c>
      <c r="E2986" s="26">
        <v>153.14098799999999</v>
      </c>
      <c r="G2986" s="27">
        <v>0.7055555555555556</v>
      </c>
      <c r="J2986" s="30">
        <f>IF(G2986&lt;$H$10,$H$16,IF(G2986&gt;$I$10,$H$16,$H$11))*E2986/600</f>
        <v>5.6151695599999996E-2</v>
      </c>
      <c r="L2986" s="32">
        <f>$J2986*($G2986-$G2985)*60*24</f>
        <v>5.6151695599999787E-2</v>
      </c>
    </row>
    <row r="2987" spans="1:12">
      <c r="A2987" s="22">
        <v>40312.706250000003</v>
      </c>
      <c r="E2987" s="26">
        <v>158.91875999999999</v>
      </c>
      <c r="G2987" s="27">
        <v>0.70624999999999993</v>
      </c>
      <c r="J2987" s="30">
        <f>IF(G2987&lt;$H$10,$H$16,IF(G2987&gt;$I$10,$H$16,$H$11))*E2987/600</f>
        <v>5.8270211999999995E-2</v>
      </c>
      <c r="L2987" s="32">
        <f>$J2987*($G2987-$G2986)*60*24</f>
        <v>5.8270211999990468E-2</v>
      </c>
    </row>
    <row r="2988" spans="1:12">
      <c r="A2988" s="22">
        <v>40312.706944444442</v>
      </c>
      <c r="E2988" s="26">
        <v>174.93485999999999</v>
      </c>
      <c r="G2988" s="27">
        <v>0.70694444444444438</v>
      </c>
      <c r="J2988" s="30">
        <f>IF(G2988&lt;$H$10,$H$16,IF(G2988&gt;$I$10,$H$16,$H$11))*E2988/600</f>
        <v>6.4142781999999995E-2</v>
      </c>
      <c r="L2988" s="32">
        <f>$J2988*($G2988-$G2987)*60*24</f>
        <v>6.4142781999999759E-2</v>
      </c>
    </row>
    <row r="2989" spans="1:12">
      <c r="A2989" s="22">
        <v>40312.707638888889</v>
      </c>
      <c r="E2989" s="26">
        <v>175.31383500000001</v>
      </c>
      <c r="G2989" s="27">
        <v>0.70763888888888893</v>
      </c>
      <c r="J2989" s="30">
        <f>IF(G2989&lt;$H$10,$H$16,IF(G2989&gt;$I$10,$H$16,$H$11))*E2989/600</f>
        <v>6.4281739500000004E-2</v>
      </c>
      <c r="L2989" s="32">
        <f>$J2989*($G2989-$G2988)*60*24</f>
        <v>6.4281739500010038E-2</v>
      </c>
    </row>
    <row r="2990" spans="1:12">
      <c r="A2990" s="22">
        <v>40312.708333333336</v>
      </c>
      <c r="E2990" s="26">
        <v>175.715316</v>
      </c>
      <c r="G2990" s="27">
        <v>0.70833333333333337</v>
      </c>
      <c r="J2990" s="30">
        <f>IF(G2990&lt;$H$10,$H$16,IF(G2990&gt;$I$10,$H$16,$H$11))*E2990/600</f>
        <v>6.4428949200000002E-2</v>
      </c>
      <c r="L2990" s="32">
        <f>$J2990*($G2990-$G2989)*60*24</f>
        <v>6.442894919999978E-2</v>
      </c>
    </row>
    <row r="2991" spans="1:12">
      <c r="A2991" s="22">
        <v>40312.709027777775</v>
      </c>
      <c r="E2991" s="26">
        <v>170.66239200000001</v>
      </c>
      <c r="G2991" s="27">
        <v>0.7090277777777777</v>
      </c>
      <c r="J2991" s="30">
        <f>IF(G2991&lt;$H$10,$H$16,IF(G2991&gt;$I$10,$H$16,$H$11))*E2991/600</f>
        <v>6.2576210399999999E-2</v>
      </c>
      <c r="L2991" s="32">
        <f>$J2991*($G2991-$G2990)*60*24</f>
        <v>6.2576210399989785E-2</v>
      </c>
    </row>
    <row r="2992" spans="1:12">
      <c r="A2992" s="22">
        <v>40312.709722222222</v>
      </c>
      <c r="E2992" s="26">
        <v>161.37536</v>
      </c>
      <c r="G2992" s="27">
        <v>0.70972222222222225</v>
      </c>
      <c r="J2992" s="30">
        <f>IF(G2992&lt;$H$10,$H$16,IF(G2992&gt;$I$10,$H$16,$H$11))*E2992/600</f>
        <v>5.9170965333333332E-2</v>
      </c>
      <c r="L2992" s="32">
        <f>$J2992*($G2992-$G2991)*60*24</f>
        <v>5.9170965333342582E-2</v>
      </c>
    </row>
    <row r="2993" spans="1:12">
      <c r="A2993" s="22">
        <v>40312.710416666669</v>
      </c>
      <c r="E2993" s="26">
        <v>167.21515199999999</v>
      </c>
      <c r="G2993" s="27">
        <v>0.7104166666666667</v>
      </c>
      <c r="J2993" s="30">
        <f>IF(G2993&lt;$H$10,$H$16,IF(G2993&gt;$I$10,$H$16,$H$11))*E2993/600</f>
        <v>6.1312222399999998E-2</v>
      </c>
      <c r="L2993" s="32">
        <f>$J2993*($G2993-$G2992)*60*24</f>
        <v>6.1312222399999776E-2</v>
      </c>
    </row>
    <row r="2994" spans="1:12">
      <c r="A2994" s="22">
        <v>40312.711111111108</v>
      </c>
      <c r="E2994" s="26">
        <v>174.90826200000001</v>
      </c>
      <c r="G2994" s="27">
        <v>0.71111111111111114</v>
      </c>
      <c r="J2994" s="30">
        <f>IF(G2994&lt;$H$10,$H$16,IF(G2994&gt;$I$10,$H$16,$H$11))*E2994/600</f>
        <v>6.41330294E-2</v>
      </c>
      <c r="L2994" s="32">
        <f>$J2994*($G2994-$G2993)*60*24</f>
        <v>6.4133029399999777E-2</v>
      </c>
    </row>
    <row r="2995" spans="1:12">
      <c r="A2995" s="22">
        <v>40312.711805555555</v>
      </c>
      <c r="E2995" s="26">
        <v>175.274496</v>
      </c>
      <c r="G2995" s="27">
        <v>0.71180555555555547</v>
      </c>
      <c r="J2995" s="30">
        <f>IF(G2995&lt;$H$10,$H$16,IF(G2995&gt;$I$10,$H$16,$H$11))*E2995/600</f>
        <v>6.4267315200000008E-2</v>
      </c>
      <c r="L2995" s="32">
        <f>$J2995*($G2995-$G2994)*60*24</f>
        <v>6.4267315199989516E-2</v>
      </c>
    </row>
    <row r="2996" spans="1:12">
      <c r="A2996" s="22">
        <v>40312.712500000001</v>
      </c>
      <c r="E2996" s="26">
        <v>171.28090800000001</v>
      </c>
      <c r="G2996" s="27">
        <v>0.71250000000000002</v>
      </c>
      <c r="J2996" s="30">
        <f>IF(G2996&lt;$H$10,$H$16,IF(G2996&gt;$I$10,$H$16,$H$11))*E2996/600</f>
        <v>6.2802999600000006E-2</v>
      </c>
      <c r="L2996" s="32">
        <f>$J2996*($G2996-$G2995)*60*24</f>
        <v>6.2802999600009818E-2</v>
      </c>
    </row>
    <row r="2997" spans="1:12">
      <c r="A2997" s="22">
        <v>40312.713194444441</v>
      </c>
      <c r="E2997" s="26">
        <v>168.16358</v>
      </c>
      <c r="G2997" s="27">
        <v>0.71319444444444446</v>
      </c>
      <c r="J2997" s="30">
        <f>IF(G2997&lt;$H$10,$H$16,IF(G2997&gt;$I$10,$H$16,$H$11))*E2997/600</f>
        <v>6.165997933333333E-2</v>
      </c>
      <c r="L2997" s="32">
        <f>$J2997*($G2997-$G2996)*60*24</f>
        <v>6.1659979333333115E-2</v>
      </c>
    </row>
    <row r="2998" spans="1:12">
      <c r="A2998" s="22">
        <v>40312.713888888888</v>
      </c>
      <c r="E2998" s="26">
        <v>167.39804799999999</v>
      </c>
      <c r="G2998" s="27">
        <v>0.71388888888888891</v>
      </c>
      <c r="J2998" s="30">
        <f>IF(G2998&lt;$H$10,$H$16,IF(G2998&gt;$I$10,$H$16,$H$11))*E2998/600</f>
        <v>6.137928426666666E-2</v>
      </c>
      <c r="L2998" s="32">
        <f>$J2998*($G2998-$G2997)*60*24</f>
        <v>6.1379284266666438E-2</v>
      </c>
    </row>
    <row r="2999" spans="1:12">
      <c r="A2999" s="22">
        <v>40312.714583333334</v>
      </c>
      <c r="E2999" s="26">
        <v>174.997728</v>
      </c>
      <c r="G2999" s="27">
        <v>0.71458333333333324</v>
      </c>
      <c r="J2999" s="30">
        <f>IF(G2999&lt;$H$10,$H$16,IF(G2999&gt;$I$10,$H$16,$H$11))*E2999/600</f>
        <v>6.41658336E-2</v>
      </c>
      <c r="L2999" s="32">
        <f>$J2999*($G2999-$G2998)*60*24</f>
        <v>6.4165833599989508E-2</v>
      </c>
    </row>
    <row r="3000" spans="1:12">
      <c r="A3000" s="22">
        <v>40312.715277777781</v>
      </c>
      <c r="E3000" s="26">
        <v>175.564098</v>
      </c>
      <c r="G3000" s="27">
        <v>0.71527777777777779</v>
      </c>
      <c r="J3000" s="30">
        <f>IF(G3000&lt;$H$10,$H$16,IF(G3000&gt;$I$10,$H$16,$H$11))*E3000/600</f>
        <v>6.4373502599999993E-2</v>
      </c>
      <c r="L3000" s="32">
        <f>$J3000*($G3000-$G2999)*60*24</f>
        <v>6.4373502600010055E-2</v>
      </c>
    </row>
    <row r="3001" spans="1:12">
      <c r="A3001" s="22">
        <v>40312.71597222222</v>
      </c>
      <c r="E3001" s="26">
        <v>175.650216</v>
      </c>
      <c r="G3001" s="27">
        <v>0.71597222222222223</v>
      </c>
      <c r="J3001" s="30">
        <f>IF(G3001&lt;$H$10,$H$16,IF(G3001&gt;$I$10,$H$16,$H$11))*E3001/600</f>
        <v>6.4405079200000007E-2</v>
      </c>
      <c r="L3001" s="32">
        <f>$J3001*($G3001-$G3000)*60*24</f>
        <v>6.4405079199999785E-2</v>
      </c>
    </row>
    <row r="3002" spans="1:12">
      <c r="A3002" s="22">
        <v>40312.716666666667</v>
      </c>
      <c r="E3002" s="26">
        <v>168.17609200000001</v>
      </c>
      <c r="G3002" s="27">
        <v>0.71666666666666667</v>
      </c>
      <c r="J3002" s="30">
        <f>IF(G3002&lt;$H$10,$H$16,IF(G3002&gt;$I$10,$H$16,$H$11))*E3002/600</f>
        <v>6.1664567066666676E-2</v>
      </c>
      <c r="L3002" s="32">
        <f>$J3002*($G3002-$G3001)*60*24</f>
        <v>6.1664567066666454E-2</v>
      </c>
    </row>
    <row r="3003" spans="1:12">
      <c r="A3003" s="22">
        <v>40312.717361111114</v>
      </c>
      <c r="E3003" s="26">
        <v>151.83031500000001</v>
      </c>
      <c r="G3003" s="27">
        <v>0.71736111111111101</v>
      </c>
      <c r="J3003" s="30">
        <f>IF(G3003&lt;$H$10,$H$16,IF(G3003&gt;$I$10,$H$16,$H$11))*E3003/600</f>
        <v>5.5671115500000014E-2</v>
      </c>
      <c r="L3003" s="32">
        <f>$J3003*($G3003-$G3002)*60*24</f>
        <v>5.5671115499990917E-2</v>
      </c>
    </row>
    <row r="3004" spans="1:12">
      <c r="A3004" s="22">
        <v>40312.718055555553</v>
      </c>
      <c r="E3004" s="26">
        <v>152.490702</v>
      </c>
      <c r="G3004" s="27">
        <v>0.71805555555555556</v>
      </c>
      <c r="J3004" s="30">
        <f>IF(G3004&lt;$H$10,$H$16,IF(G3004&gt;$I$10,$H$16,$H$11))*E3004/600</f>
        <v>5.5913257399999999E-2</v>
      </c>
      <c r="L3004" s="32">
        <f>$J3004*($G3004-$G3003)*60*24</f>
        <v>5.5913257400008742E-2</v>
      </c>
    </row>
    <row r="3005" spans="1:12">
      <c r="A3005" s="22">
        <v>40312.71875</v>
      </c>
      <c r="E3005" s="26">
        <v>152.12925000000001</v>
      </c>
      <c r="G3005" s="27">
        <v>0.71875</v>
      </c>
      <c r="J3005" s="30">
        <f>IF(G3005&lt;$H$10,$H$16,IF(G3005&gt;$I$10,$H$16,$H$11))*E3005/600</f>
        <v>5.578072500000001E-2</v>
      </c>
      <c r="L3005" s="32">
        <f>$J3005*($G3005-$G3004)*60*24</f>
        <v>5.5780724999999816E-2</v>
      </c>
    </row>
    <row r="3006" spans="1:12">
      <c r="A3006" s="22">
        <v>40312.719444444447</v>
      </c>
      <c r="E3006" s="26">
        <v>153.584892</v>
      </c>
      <c r="G3006" s="27">
        <v>0.71944444444444444</v>
      </c>
      <c r="J3006" s="30">
        <f>IF(G3006&lt;$H$10,$H$16,IF(G3006&gt;$I$10,$H$16,$H$11))*E3006/600</f>
        <v>5.6314460400000002E-2</v>
      </c>
      <c r="L3006" s="32">
        <f>$J3006*($G3006-$G3005)*60*24</f>
        <v>5.6314460399999808E-2</v>
      </c>
    </row>
    <row r="3007" spans="1:12">
      <c r="A3007" s="22">
        <v>40312.720138888886</v>
      </c>
      <c r="E3007" s="26">
        <v>154.00358399999999</v>
      </c>
      <c r="G3007" s="27">
        <v>0.72013888888888899</v>
      </c>
      <c r="J3007" s="30">
        <f>IF(G3007&lt;$H$10,$H$16,IF(G3007&gt;$I$10,$H$16,$H$11))*E3007/600</f>
        <v>5.6467980799999998E-2</v>
      </c>
      <c r="L3007" s="32">
        <f>$J3007*($G3007-$G3006)*60*24</f>
        <v>5.6467980800008824E-2</v>
      </c>
    </row>
    <row r="3008" spans="1:12">
      <c r="A3008" s="22">
        <v>40312.720833333333</v>
      </c>
      <c r="E3008" s="26">
        <v>152.023144</v>
      </c>
      <c r="G3008" s="27">
        <v>0.72083333333333333</v>
      </c>
      <c r="J3008" s="30">
        <f>IF(G3008&lt;$H$10,$H$16,IF(G3008&gt;$I$10,$H$16,$H$11))*E3008/600</f>
        <v>5.5741819466666662E-2</v>
      </c>
      <c r="L3008" s="32">
        <f>$J3008*($G3008-$G3007)*60*24</f>
        <v>5.5741819466657544E-2</v>
      </c>
    </row>
    <row r="3009" spans="1:12">
      <c r="A3009" s="22">
        <v>40312.72152777778</v>
      </c>
      <c r="E3009" s="26">
        <v>151.755968</v>
      </c>
      <c r="G3009" s="27">
        <v>0.72152777777777777</v>
      </c>
      <c r="J3009" s="30">
        <f>IF(G3009&lt;$H$10,$H$16,IF(G3009&gt;$I$10,$H$16,$H$11))*E3009/600</f>
        <v>5.5643854933333327E-2</v>
      </c>
      <c r="L3009" s="32">
        <f>$J3009*($G3009-$G3008)*60*24</f>
        <v>5.5643854933333126E-2</v>
      </c>
    </row>
    <row r="3010" spans="1:12">
      <c r="A3010" s="22">
        <v>40312.722222222219</v>
      </c>
      <c r="E3010" s="26">
        <v>152.87927199999999</v>
      </c>
      <c r="G3010" s="27">
        <v>0.72222222222222221</v>
      </c>
      <c r="J3010" s="30">
        <f>IF(G3010&lt;$H$10,$H$16,IF(G3010&gt;$I$10,$H$16,$H$11))*E3010/600</f>
        <v>5.6055733066666655E-2</v>
      </c>
      <c r="L3010" s="32">
        <f>$J3010*($G3010-$G3009)*60*24</f>
        <v>5.605573306666646E-2</v>
      </c>
    </row>
    <row r="3011" spans="1:12">
      <c r="A3011" s="22">
        <v>40312.722916666666</v>
      </c>
      <c r="E3011" s="26">
        <v>152.26211000000001</v>
      </c>
      <c r="G3011" s="27">
        <v>0.72291666666666676</v>
      </c>
      <c r="J3011" s="30">
        <f>IF(G3011&lt;$H$10,$H$16,IF(G3011&gt;$I$10,$H$16,$H$11))*E3011/600</f>
        <v>5.5829440333333341E-2</v>
      </c>
      <c r="L3011" s="32">
        <f>$J3011*($G3011-$G3010)*60*24</f>
        <v>5.582944033334207E-2</v>
      </c>
    </row>
    <row r="3012" spans="1:12">
      <c r="A3012" s="22">
        <v>40312.723611111112</v>
      </c>
      <c r="E3012" s="26">
        <v>153.871104</v>
      </c>
      <c r="G3012" s="27">
        <v>0.72361111111111109</v>
      </c>
      <c r="J3012" s="30">
        <f>IF(G3012&lt;$H$10,$H$16,IF(G3012&gt;$I$10,$H$16,$H$11))*E3012/600</f>
        <v>5.6419404800000003E-2</v>
      </c>
      <c r="L3012" s="32">
        <f>$J3012*($G3012-$G3011)*60*24</f>
        <v>5.6419404799990781E-2</v>
      </c>
    </row>
    <row r="3013" spans="1:12">
      <c r="A3013" s="22">
        <v>40312.724305555559</v>
      </c>
      <c r="E3013" s="26">
        <v>152.65522999999999</v>
      </c>
      <c r="G3013" s="27">
        <v>0.72430555555555554</v>
      </c>
      <c r="J3013" s="30">
        <f>IF(G3013&lt;$H$10,$H$16,IF(G3013&gt;$I$10,$H$16,$H$11))*E3013/600</f>
        <v>5.5973584333333333E-2</v>
      </c>
      <c r="L3013" s="32">
        <f>$J3013*($G3013-$G3012)*60*24</f>
        <v>5.5973584333333132E-2</v>
      </c>
    </row>
    <row r="3014" spans="1:12">
      <c r="A3014" s="22">
        <v>40312.724999999999</v>
      </c>
      <c r="E3014" s="26">
        <v>152.39042000000001</v>
      </c>
      <c r="G3014" s="27">
        <v>0.72499999999999998</v>
      </c>
      <c r="J3014" s="30">
        <f>IF(G3014&lt;$H$10,$H$16,IF(G3014&gt;$I$10,$H$16,$H$11))*E3014/600</f>
        <v>5.5876487333333343E-2</v>
      </c>
      <c r="L3014" s="32">
        <f>$J3014*($G3014-$G3013)*60*24</f>
        <v>5.5876487333333148E-2</v>
      </c>
    </row>
    <row r="3015" spans="1:12">
      <c r="A3015" s="22">
        <v>40312.725694444445</v>
      </c>
      <c r="E3015" s="26">
        <v>152.282949</v>
      </c>
      <c r="G3015" s="27">
        <v>0.72569444444444453</v>
      </c>
      <c r="J3015" s="30">
        <f>IF(G3015&lt;$H$10,$H$16,IF(G3015&gt;$I$10,$H$16,$H$11))*E3015/600</f>
        <v>5.5837081300000001E-2</v>
      </c>
      <c r="L3015" s="32">
        <f>$J3015*($G3015-$G3014)*60*24</f>
        <v>5.583708130000873E-2</v>
      </c>
    </row>
    <row r="3016" spans="1:12">
      <c r="A3016" s="22">
        <v>40312.726388888892</v>
      </c>
      <c r="E3016" s="26">
        <v>152.712378</v>
      </c>
      <c r="G3016" s="27">
        <v>0.72638888888888886</v>
      </c>
      <c r="J3016" s="30">
        <f>IF(G3016&lt;$H$10,$H$16,IF(G3016&gt;$I$10,$H$16,$H$11))*E3016/600</f>
        <v>5.5994538600000004E-2</v>
      </c>
      <c r="L3016" s="32">
        <f>$J3016*($G3016-$G3015)*60*24</f>
        <v>5.5994538599990859E-2</v>
      </c>
    </row>
    <row r="3017" spans="1:12">
      <c r="A3017" s="22">
        <v>40312.727083333331</v>
      </c>
      <c r="E3017" s="26">
        <v>152.094943</v>
      </c>
      <c r="G3017" s="27">
        <v>0.7270833333333333</v>
      </c>
      <c r="J3017" s="30">
        <f>IF(G3017&lt;$H$10,$H$16,IF(G3017&gt;$I$10,$H$16,$H$11))*E3017/600</f>
        <v>5.5768145766666673E-2</v>
      </c>
      <c r="L3017" s="32">
        <f>$J3017*($G3017-$G3016)*60*24</f>
        <v>5.5768145766666471E-2</v>
      </c>
    </row>
    <row r="3018" spans="1:12">
      <c r="A3018" s="22">
        <v>40312.727777777778</v>
      </c>
      <c r="E3018" s="26">
        <v>151.80092200000001</v>
      </c>
      <c r="G3018" s="27">
        <v>0.72777777777777775</v>
      </c>
      <c r="J3018" s="30">
        <f>IF(G3018&lt;$H$10,$H$16,IF(G3018&gt;$I$10,$H$16,$H$11))*E3018/600</f>
        <v>5.5660338066666669E-2</v>
      </c>
      <c r="L3018" s="32">
        <f>$J3018*($G3018-$G3017)*60*24</f>
        <v>5.5660338066666468E-2</v>
      </c>
    </row>
    <row r="3019" spans="1:12">
      <c r="A3019" s="22">
        <v>40312.728472222225</v>
      </c>
      <c r="E3019" s="26">
        <v>151.608912</v>
      </c>
      <c r="G3019" s="27">
        <v>0.7284722222222223</v>
      </c>
      <c r="J3019" s="30">
        <f>IF(G3019&lt;$H$10,$H$16,IF(G3019&gt;$I$10,$H$16,$H$11))*E3019/600</f>
        <v>5.5589934400000006E-2</v>
      </c>
      <c r="L3019" s="32">
        <f>$J3019*($G3019-$G3018)*60*24</f>
        <v>5.55899344000087E-2</v>
      </c>
    </row>
    <row r="3020" spans="1:12">
      <c r="A3020" s="22">
        <v>40312.729166666664</v>
      </c>
      <c r="E3020" s="26">
        <v>152.33309</v>
      </c>
      <c r="G3020" s="27">
        <v>0.72916666666666663</v>
      </c>
      <c r="J3020" s="30">
        <f>IF(G3020&lt;$H$10,$H$16,IF(G3020&gt;$I$10,$H$16,$H$11))*E3020/600</f>
        <v>5.5855466333333333E-2</v>
      </c>
      <c r="L3020" s="32">
        <f>$J3020*($G3020-$G3019)*60*24</f>
        <v>5.5855466333324208E-2</v>
      </c>
    </row>
    <row r="3021" spans="1:12">
      <c r="A3021" s="22">
        <v>40312.729861111111</v>
      </c>
      <c r="E3021" s="26">
        <v>151.88573400000001</v>
      </c>
      <c r="G3021" s="27">
        <v>0.72986111111111107</v>
      </c>
      <c r="J3021" s="30">
        <f>IF(G3021&lt;$H$10,$H$16,IF(G3021&gt;$I$10,$H$16,$H$11))*E3021/600</f>
        <v>5.5691435800000008E-2</v>
      </c>
      <c r="L3021" s="32">
        <f>$J3021*($G3021-$G3020)*60*24</f>
        <v>5.5691435799999814E-2</v>
      </c>
    </row>
    <row r="3022" spans="1:12">
      <c r="A3022" s="22">
        <v>40312.730555555558</v>
      </c>
      <c r="E3022" s="26">
        <v>152.31434400000001</v>
      </c>
      <c r="G3022" s="27">
        <v>0.73055555555555562</v>
      </c>
      <c r="J3022" s="30">
        <f>IF(G3022&lt;$H$10,$H$16,IF(G3022&gt;$I$10,$H$16,$H$11))*E3022/600</f>
        <v>5.5848592799999999E-2</v>
      </c>
      <c r="L3022" s="32">
        <f>$J3022*($G3022-$G3021)*60*24</f>
        <v>5.5848592800008728E-2</v>
      </c>
    </row>
    <row r="3023" spans="1:12">
      <c r="A3023" s="22">
        <v>40312.731249999997</v>
      </c>
      <c r="E3023" s="26">
        <v>152.54639399999999</v>
      </c>
      <c r="G3023" s="27">
        <v>0.73125000000000007</v>
      </c>
      <c r="J3023" s="30">
        <f>IF(G3023&lt;$H$10,$H$16,IF(G3023&gt;$I$10,$H$16,$H$11))*E3023/600</f>
        <v>5.5933677799999998E-2</v>
      </c>
      <c r="L3023" s="32">
        <f>$J3023*($G3023-$G3022)*60*24</f>
        <v>5.5933677799999804E-2</v>
      </c>
    </row>
    <row r="3024" spans="1:12">
      <c r="A3024" s="22">
        <v>40312.731944444444</v>
      </c>
      <c r="E3024" s="26">
        <v>153.76861500000001</v>
      </c>
      <c r="G3024" s="27">
        <v>0.7319444444444444</v>
      </c>
      <c r="J3024" s="30">
        <f>IF(G3024&lt;$H$10,$H$16,IF(G3024&gt;$I$10,$H$16,$H$11))*E3024/600</f>
        <v>5.638182550000001E-2</v>
      </c>
      <c r="L3024" s="32">
        <f>$J3024*($G3024-$G3023)*60*24</f>
        <v>5.6381825499990802E-2</v>
      </c>
    </row>
    <row r="3025" spans="1:12">
      <c r="A3025" s="22">
        <v>40312.732638888891</v>
      </c>
      <c r="E3025" s="26">
        <v>153.15864199999999</v>
      </c>
      <c r="G3025" s="27">
        <v>0.73263888888888884</v>
      </c>
      <c r="J3025" s="30">
        <f>IF(G3025&lt;$H$10,$H$16,IF(G3025&gt;$I$10,$H$16,$H$11))*E3025/600</f>
        <v>5.6158168733333333E-2</v>
      </c>
      <c r="L3025" s="32">
        <f>$J3025*($G3025-$G3024)*60*24</f>
        <v>5.6158168733333132E-2</v>
      </c>
    </row>
    <row r="3026" spans="1:12">
      <c r="A3026" s="22">
        <v>40312.73333333333</v>
      </c>
      <c r="E3026" s="26">
        <v>153.12115</v>
      </c>
      <c r="G3026" s="27">
        <v>0.73333333333333339</v>
      </c>
      <c r="J3026" s="30">
        <f>IF(G3026&lt;$H$10,$H$16,IF(G3026&gt;$I$10,$H$16,$H$11))*E3026/600</f>
        <v>5.6144421666666666E-2</v>
      </c>
      <c r="L3026" s="32">
        <f>$J3026*($G3026-$G3025)*60*24</f>
        <v>5.6144421666675444E-2</v>
      </c>
    </row>
    <row r="3027" spans="1:12">
      <c r="A3027" s="22">
        <v>40312.734027777777</v>
      </c>
      <c r="E3027" s="26">
        <v>151.23490200000001</v>
      </c>
      <c r="G3027" s="27">
        <v>0.73402777777777783</v>
      </c>
      <c r="J3027" s="30">
        <f>IF(G3027&lt;$H$10,$H$16,IF(G3027&gt;$I$10,$H$16,$H$11))*E3027/600</f>
        <v>5.5452797400000003E-2</v>
      </c>
      <c r="L3027" s="32">
        <f>$J3027*($G3027-$G3026)*60*24</f>
        <v>5.5452797399999802E-2</v>
      </c>
    </row>
    <row r="3028" spans="1:12">
      <c r="A3028" s="22">
        <v>40312.734722222223</v>
      </c>
      <c r="E3028" s="26">
        <v>151.698001</v>
      </c>
      <c r="G3028" s="27">
        <v>0.73472222222222217</v>
      </c>
      <c r="J3028" s="30">
        <f>IF(G3028&lt;$H$10,$H$16,IF(G3028&gt;$I$10,$H$16,$H$11))*E3028/600</f>
        <v>5.562260036666667E-2</v>
      </c>
      <c r="L3028" s="32">
        <f>$J3028*($G3028-$G3027)*60*24</f>
        <v>5.5622600366657587E-2</v>
      </c>
    </row>
    <row r="3029" spans="1:12">
      <c r="A3029" s="22">
        <v>40312.73541666667</v>
      </c>
      <c r="E3029" s="26">
        <v>151.49952999999999</v>
      </c>
      <c r="G3029" s="27">
        <v>0.73541666666666661</v>
      </c>
      <c r="J3029" s="30">
        <f>IF(G3029&lt;$H$10,$H$16,IF(G3029&gt;$I$10,$H$16,$H$11))*E3029/600</f>
        <v>5.5549827666666662E-2</v>
      </c>
      <c r="L3029" s="32">
        <f>$J3029*($G3029-$G3028)*60*24</f>
        <v>5.5549827666666461E-2</v>
      </c>
    </row>
    <row r="3030" spans="1:12">
      <c r="A3030" s="22">
        <v>40312.736111111109</v>
      </c>
      <c r="E3030" s="26">
        <v>151.601359</v>
      </c>
      <c r="G3030" s="27">
        <v>0.73611111111111116</v>
      </c>
      <c r="J3030" s="30">
        <f>IF(G3030&lt;$H$10,$H$16,IF(G3030&gt;$I$10,$H$16,$H$11))*E3030/600</f>
        <v>5.5587164966666665E-2</v>
      </c>
      <c r="L3030" s="32">
        <f>$J3030*($G3030-$G3029)*60*24</f>
        <v>5.5587164966675352E-2</v>
      </c>
    </row>
    <row r="3031" spans="1:12">
      <c r="A3031" s="22">
        <v>40312.736805555556</v>
      </c>
      <c r="E3031" s="26">
        <v>153.04972799999999</v>
      </c>
      <c r="G3031" s="27">
        <v>0.7368055555555556</v>
      </c>
      <c r="J3031" s="30">
        <f>IF(G3031&lt;$H$10,$H$16,IF(G3031&gt;$I$10,$H$16,$H$11))*E3031/600</f>
        <v>5.6118233600000005E-2</v>
      </c>
      <c r="L3031" s="32">
        <f>$J3031*($G3031-$G3030)*60*24</f>
        <v>5.6118233599999803E-2</v>
      </c>
    </row>
    <row r="3032" spans="1:12">
      <c r="A3032" s="22">
        <v>40312.737500000003</v>
      </c>
      <c r="E3032" s="26">
        <v>152.26629600000001</v>
      </c>
      <c r="G3032" s="27">
        <v>0.73749999999999993</v>
      </c>
      <c r="J3032" s="30">
        <f>IF(G3032&lt;$H$10,$H$16,IF(G3032&gt;$I$10,$H$16,$H$11))*E3032/600</f>
        <v>5.5830975200000001E-2</v>
      </c>
      <c r="L3032" s="32">
        <f>$J3032*($G3032-$G3031)*60*24</f>
        <v>5.5830975199990876E-2</v>
      </c>
    </row>
    <row r="3033" spans="1:12">
      <c r="A3033" s="22">
        <v>40312.738194444442</v>
      </c>
      <c r="E3033" s="26">
        <v>153.86935600000001</v>
      </c>
      <c r="G3033" s="27">
        <v>0.73819444444444438</v>
      </c>
      <c r="J3033" s="30">
        <f>IF(G3033&lt;$H$10,$H$16,IF(G3033&gt;$I$10,$H$16,$H$11))*E3033/600</f>
        <v>5.6418763866666666E-2</v>
      </c>
      <c r="L3033" s="32">
        <f>$J3033*($G3033-$G3032)*60*24</f>
        <v>5.6418763866666458E-2</v>
      </c>
    </row>
    <row r="3034" spans="1:12">
      <c r="A3034" s="22">
        <v>40312.738888888889</v>
      </c>
      <c r="E3034" s="26">
        <v>153.25543999999999</v>
      </c>
      <c r="G3034" s="27">
        <v>0.73888888888888893</v>
      </c>
      <c r="J3034" s="30">
        <f>IF(G3034&lt;$H$10,$H$16,IF(G3034&gt;$I$10,$H$16,$H$11))*E3034/600</f>
        <v>5.6193661333333332E-2</v>
      </c>
      <c r="L3034" s="32">
        <f>$J3034*($G3034-$G3033)*60*24</f>
        <v>5.6193661333342124E-2</v>
      </c>
    </row>
    <row r="3035" spans="1:12">
      <c r="A3035" s="22">
        <v>40312.739583333336</v>
      </c>
      <c r="E3035" s="26">
        <v>154.973356</v>
      </c>
      <c r="G3035" s="27">
        <v>0.73958333333333337</v>
      </c>
      <c r="J3035" s="30">
        <f>IF(G3035&lt;$H$10,$H$16,IF(G3035&gt;$I$10,$H$16,$H$11))*E3035/600</f>
        <v>5.6823563866666663E-2</v>
      </c>
      <c r="L3035" s="32">
        <f>$J3035*($G3035-$G3034)*60*24</f>
        <v>5.6823563866666461E-2</v>
      </c>
    </row>
    <row r="3036" spans="1:12">
      <c r="A3036" s="22">
        <v>40312.740277777775</v>
      </c>
      <c r="E3036" s="26">
        <v>153.711668</v>
      </c>
      <c r="G3036" s="27">
        <v>0.7402777777777777</v>
      </c>
      <c r="J3036" s="30">
        <f>IF(G3036&lt;$H$10,$H$16,IF(G3036&gt;$I$10,$H$16,$H$11))*E3036/600</f>
        <v>5.6360944933333337E-2</v>
      </c>
      <c r="L3036" s="32">
        <f>$J3036*($G3036-$G3035)*60*24</f>
        <v>5.6360944933324129E-2</v>
      </c>
    </row>
    <row r="3037" spans="1:12">
      <c r="A3037" s="22">
        <v>40312.740972222222</v>
      </c>
      <c r="E3037" s="26">
        <v>168.02589</v>
      </c>
      <c r="G3037" s="27">
        <v>0.74097222222222225</v>
      </c>
      <c r="J3037" s="30">
        <f>IF(G3037&lt;$H$10,$H$16,IF(G3037&gt;$I$10,$H$16,$H$11))*E3037/600</f>
        <v>6.1609493000000001E-2</v>
      </c>
      <c r="L3037" s="32">
        <f>$J3037*($G3037-$G3036)*60*24</f>
        <v>6.1609493000009632E-2</v>
      </c>
    </row>
    <row r="3038" spans="1:12">
      <c r="A3038" s="22">
        <v>40312.741666666669</v>
      </c>
      <c r="E3038" s="26">
        <v>174.526218</v>
      </c>
      <c r="G3038" s="27">
        <v>0.7416666666666667</v>
      </c>
      <c r="J3038" s="30">
        <f>IF(G3038&lt;$H$10,$H$16,IF(G3038&gt;$I$10,$H$16,$H$11))*E3038/600</f>
        <v>6.3992946600000003E-2</v>
      </c>
      <c r="L3038" s="32">
        <f>$J3038*($G3038-$G3037)*60*24</f>
        <v>6.3992946599999767E-2</v>
      </c>
    </row>
    <row r="3039" spans="1:12">
      <c r="A3039" s="22">
        <v>40312.742361111108</v>
      </c>
      <c r="E3039" s="26">
        <v>174.58983000000001</v>
      </c>
      <c r="G3039" s="27">
        <v>0.74236111111111114</v>
      </c>
      <c r="J3039" s="30">
        <f>IF(G3039&lt;$H$10,$H$16,IF(G3039&gt;$I$10,$H$16,$H$11))*E3039/600</f>
        <v>6.4016271E-2</v>
      </c>
      <c r="L3039" s="32">
        <f>$J3039*($G3039-$G3038)*60*24</f>
        <v>6.4016270999999764E-2</v>
      </c>
    </row>
    <row r="3040" spans="1:12">
      <c r="A3040" s="22">
        <v>40312.743055555555</v>
      </c>
      <c r="E3040" s="26">
        <v>175.077429</v>
      </c>
      <c r="G3040" s="27">
        <v>0.74305555555555547</v>
      </c>
      <c r="J3040" s="30">
        <f>IF(G3040&lt;$H$10,$H$16,IF(G3040&gt;$I$10,$H$16,$H$11))*E3040/600</f>
        <v>6.4195057299999997E-2</v>
      </c>
      <c r="L3040" s="32">
        <f>$J3040*($G3040-$G3039)*60*24</f>
        <v>6.4195057299989505E-2</v>
      </c>
    </row>
    <row r="3041" spans="1:12">
      <c r="A3041" s="22">
        <v>40312.743750000001</v>
      </c>
      <c r="E3041" s="26">
        <v>169.89426</v>
      </c>
      <c r="G3041" s="27">
        <v>0.74375000000000002</v>
      </c>
      <c r="J3041" s="30">
        <f>IF(G3041&lt;$H$10,$H$16,IF(G3041&gt;$I$10,$H$16,$H$11))*E3041/600</f>
        <v>6.2294562000000005E-2</v>
      </c>
      <c r="L3041" s="32">
        <f>$J3041*($G3041-$G3040)*60*24</f>
        <v>6.229456200000974E-2</v>
      </c>
    </row>
    <row r="3042" spans="1:12">
      <c r="A3042" s="22">
        <v>40312.744444444441</v>
      </c>
      <c r="E3042" s="26">
        <v>159.55596800000001</v>
      </c>
      <c r="G3042" s="27">
        <v>0.74444444444444446</v>
      </c>
      <c r="J3042" s="30">
        <f>IF(G3042&lt;$H$10,$H$16,IF(G3042&gt;$I$10,$H$16,$H$11))*E3042/600</f>
        <v>5.8503854933333328E-2</v>
      </c>
      <c r="L3042" s="32">
        <f>$J3042*($G3042-$G3041)*60*24</f>
        <v>5.850385493333312E-2</v>
      </c>
    </row>
    <row r="3043" spans="1:12">
      <c r="A3043" s="22">
        <v>40312.745138888888</v>
      </c>
      <c r="E3043" s="26">
        <v>153.97074000000001</v>
      </c>
      <c r="G3043" s="27">
        <v>0.74513888888888891</v>
      </c>
      <c r="J3043" s="30">
        <f>IF(G3043&lt;$H$10,$H$16,IF(G3043&gt;$I$10,$H$16,$H$11))*E3043/600</f>
        <v>5.6455938000000004E-2</v>
      </c>
      <c r="L3043" s="32">
        <f>$J3043*($G3043-$G3042)*60*24</f>
        <v>5.6455937999999803E-2</v>
      </c>
    </row>
    <row r="3044" spans="1:12">
      <c r="A3044" s="22">
        <v>40312.745833333334</v>
      </c>
      <c r="E3044" s="26">
        <v>156.12988799999999</v>
      </c>
      <c r="G3044" s="27">
        <v>0.74583333333333324</v>
      </c>
      <c r="J3044" s="30">
        <f>IF(G3044&lt;$H$10,$H$16,IF(G3044&gt;$I$10,$H$16,$H$11))*E3044/600</f>
        <v>5.7247625599999998E-2</v>
      </c>
      <c r="L3044" s="32">
        <f>$J3044*($G3044-$G3043)*60*24</f>
        <v>5.7247625599990644E-2</v>
      </c>
    </row>
    <row r="3045" spans="1:12">
      <c r="A3045" s="22">
        <v>40312.746527777781</v>
      </c>
      <c r="E3045" s="26">
        <v>153.40181200000001</v>
      </c>
      <c r="G3045" s="27">
        <v>0.74652777777777779</v>
      </c>
      <c r="J3045" s="30">
        <f>IF(G3045&lt;$H$10,$H$16,IF(G3045&gt;$I$10,$H$16,$H$11))*E3045/600</f>
        <v>5.6247331066666677E-2</v>
      </c>
      <c r="L3045" s="32">
        <f>$J3045*($G3045-$G3044)*60*24</f>
        <v>5.6247331066675475E-2</v>
      </c>
    </row>
    <row r="3046" spans="1:12">
      <c r="A3046" s="22">
        <v>40312.74722222222</v>
      </c>
      <c r="E3046" s="26">
        <v>152.8212</v>
      </c>
      <c r="G3046" s="27">
        <v>0.74722222222222223</v>
      </c>
      <c r="J3046" s="30">
        <f>IF(G3046&lt;$H$10,$H$16,IF(G3046&gt;$I$10,$H$16,$H$11))*E3046/600</f>
        <v>5.6034439999999998E-2</v>
      </c>
      <c r="L3046" s="32">
        <f>$J3046*($G3046-$G3045)*60*24</f>
        <v>5.6034439999999797E-2</v>
      </c>
    </row>
    <row r="3047" spans="1:12">
      <c r="A3047" s="22">
        <v>40312.747916666667</v>
      </c>
      <c r="E3047" s="26">
        <v>152.63306</v>
      </c>
      <c r="G3047" s="27">
        <v>0.74791666666666667</v>
      </c>
      <c r="J3047" s="30">
        <f>IF(G3047&lt;$H$10,$H$16,IF(G3047&gt;$I$10,$H$16,$H$11))*E3047/600</f>
        <v>5.5965455333333337E-2</v>
      </c>
      <c r="L3047" s="32">
        <f>$J3047*($G3047-$G3046)*60*24</f>
        <v>5.596545533333315E-2</v>
      </c>
    </row>
    <row r="3048" spans="1:12">
      <c r="A3048" s="22">
        <v>40312.748611111114</v>
      </c>
      <c r="E3048" s="26">
        <v>155.93291600000001</v>
      </c>
      <c r="G3048" s="27">
        <v>0.74861111111111101</v>
      </c>
      <c r="J3048" s="30">
        <f>IF(G3048&lt;$H$10,$H$16,IF(G3048&gt;$I$10,$H$16,$H$11))*E3048/600</f>
        <v>5.7175402533333336E-2</v>
      </c>
      <c r="L3048" s="32">
        <f>$J3048*($G3048-$G3047)*60*24</f>
        <v>5.7175402533323982E-2</v>
      </c>
    </row>
    <row r="3049" spans="1:12">
      <c r="A3049" s="22">
        <v>40312.749305555553</v>
      </c>
      <c r="E3049" s="26">
        <v>153.86935600000001</v>
      </c>
      <c r="G3049" s="27">
        <v>0.74930555555555556</v>
      </c>
      <c r="J3049" s="30">
        <f>IF(G3049&lt;$H$10,$H$16,IF(G3049&gt;$I$10,$H$16,$H$11))*E3049/600</f>
        <v>5.6418763866666666E-2</v>
      </c>
      <c r="L3049" s="32">
        <f>$J3049*($G3049-$G3048)*60*24</f>
        <v>5.6418763866675485E-2</v>
      </c>
    </row>
    <row r="3050" spans="1:12">
      <c r="A3050" s="22">
        <v>40312.75</v>
      </c>
      <c r="E3050" s="26">
        <v>153.254152</v>
      </c>
      <c r="G3050" s="27">
        <v>0.75</v>
      </c>
      <c r="J3050" s="30">
        <f>IF(G3050&lt;$H$10,$H$16,IF(G3050&gt;$I$10,$H$16,$H$11))*E3050/600</f>
        <v>5.619318906666667E-2</v>
      </c>
      <c r="L3050" s="32">
        <f>$J3050*($G3050-$G3049)*60*24</f>
        <v>5.6193189066666469E-2</v>
      </c>
    </row>
    <row r="3051" spans="1:12">
      <c r="A3051" s="22">
        <v>40312.750694444447</v>
      </c>
      <c r="E3051" s="26">
        <v>152.97300000000001</v>
      </c>
      <c r="G3051" s="27">
        <v>0.75069444444444444</v>
      </c>
      <c r="J3051" s="30">
        <f>IF(G3051&lt;$H$10,$H$16,IF(G3051&gt;$I$10,$H$16,$H$11))*E3051/600</f>
        <v>5.0991000000000009E-2</v>
      </c>
      <c r="L3051" s="32">
        <f>$J3051*($G3051-$G3050)*60*24</f>
        <v>5.0990999999999828E-2</v>
      </c>
    </row>
    <row r="3052" spans="1:12">
      <c r="A3052" s="22">
        <v>40312.751388888886</v>
      </c>
      <c r="E3052" s="26">
        <v>153.79272</v>
      </c>
      <c r="G3052" s="27">
        <v>0.75138888888888899</v>
      </c>
      <c r="J3052" s="30">
        <f>IF(G3052&lt;$H$10,$H$16,IF(G3052&gt;$I$10,$H$16,$H$11))*E3052/600</f>
        <v>5.1264240000000003E-2</v>
      </c>
      <c r="L3052" s="32">
        <f>$J3052*($G3052-$G3051)*60*24</f>
        <v>5.1264240000008024E-2</v>
      </c>
    </row>
    <row r="3053" spans="1:12">
      <c r="A3053" s="22">
        <v>40312.752083333333</v>
      </c>
      <c r="E3053" s="26">
        <v>156.14699999999999</v>
      </c>
      <c r="G3053" s="27">
        <v>0.75208333333333333</v>
      </c>
      <c r="J3053" s="30">
        <f>IF(G3053&lt;$H$10,$H$16,IF(G3053&gt;$I$10,$H$16,$H$11))*E3053/600</f>
        <v>5.2048999999999998E-2</v>
      </c>
      <c r="L3053" s="32">
        <f>$J3053*($G3053-$G3052)*60*24</f>
        <v>5.2048999999991491E-2</v>
      </c>
    </row>
    <row r="3054" spans="1:12">
      <c r="A3054" s="22">
        <v>40312.75277777778</v>
      </c>
      <c r="E3054" s="26">
        <v>154.00800000000001</v>
      </c>
      <c r="G3054" s="27">
        <v>0.75277777777777777</v>
      </c>
      <c r="J3054" s="30">
        <f>IF(G3054&lt;$H$10,$H$16,IF(G3054&gt;$I$10,$H$16,$H$11))*E3054/600</f>
        <v>5.1336000000000007E-2</v>
      </c>
      <c r="L3054" s="32">
        <f>$J3054*($G3054-$G3053)*60*24</f>
        <v>5.1335999999999819E-2</v>
      </c>
    </row>
    <row r="3055" spans="1:12">
      <c r="A3055" s="22">
        <v>40312.753472222219</v>
      </c>
      <c r="E3055" s="26">
        <v>153.937712</v>
      </c>
      <c r="G3055" s="27">
        <v>0.75347222222222221</v>
      </c>
      <c r="J3055" s="30">
        <f>IF(G3055&lt;$H$10,$H$16,IF(G3055&gt;$I$10,$H$16,$H$11))*E3055/600</f>
        <v>5.1312570666666675E-2</v>
      </c>
      <c r="L3055" s="32">
        <f>$J3055*($G3055-$G3054)*60*24</f>
        <v>5.1312570666666502E-2</v>
      </c>
    </row>
    <row r="3056" spans="1:12">
      <c r="A3056" s="22">
        <v>40312.754166666666</v>
      </c>
      <c r="E3056" s="26">
        <v>153.50825599999999</v>
      </c>
      <c r="G3056" s="27">
        <v>0.75416666666666676</v>
      </c>
      <c r="J3056" s="30">
        <f>IF(G3056&lt;$H$10,$H$16,IF(G3056&gt;$I$10,$H$16,$H$11))*E3056/600</f>
        <v>5.1169418666666668E-2</v>
      </c>
      <c r="L3056" s="32">
        <f>$J3056*($G3056-$G3055)*60*24</f>
        <v>5.1169418666674661E-2</v>
      </c>
    </row>
    <row r="3057" spans="1:12">
      <c r="A3057" s="22">
        <v>40312.754861111112</v>
      </c>
      <c r="E3057" s="26">
        <v>153.11431200000001</v>
      </c>
      <c r="G3057" s="27">
        <v>0.75486111111111109</v>
      </c>
      <c r="J3057" s="30">
        <f>IF(G3057&lt;$H$10,$H$16,IF(G3057&gt;$I$10,$H$16,$H$11))*E3057/600</f>
        <v>5.1038104000000001E-2</v>
      </c>
      <c r="L3057" s="32">
        <f>$J3057*($G3057-$G3056)*60*24</f>
        <v>5.103810399999166E-2</v>
      </c>
    </row>
    <row r="3058" spans="1:12">
      <c r="A3058" s="22">
        <v>40312.755555555559</v>
      </c>
      <c r="E3058" s="26">
        <v>153.79879199999999</v>
      </c>
      <c r="G3058" s="27">
        <v>0.75555555555555554</v>
      </c>
      <c r="J3058" s="30">
        <f>IF(G3058&lt;$H$10,$H$16,IF(G3058&gt;$I$10,$H$16,$H$11))*E3058/600</f>
        <v>5.1266263999999999E-2</v>
      </c>
      <c r="L3058" s="32">
        <f>$J3058*($G3058-$G3057)*60*24</f>
        <v>5.1266263999999812E-2</v>
      </c>
    </row>
    <row r="3059" spans="1:12">
      <c r="A3059" s="22">
        <v>40312.756249999999</v>
      </c>
      <c r="E3059" s="26">
        <v>153.11192</v>
      </c>
      <c r="G3059" s="27">
        <v>0.75624999999999998</v>
      </c>
      <c r="J3059" s="30">
        <f>IF(G3059&lt;$H$10,$H$16,IF(G3059&gt;$I$10,$H$16,$H$11))*E3059/600</f>
        <v>5.1037306666666664E-2</v>
      </c>
      <c r="L3059" s="32">
        <f>$J3059*($G3059-$G3058)*60*24</f>
        <v>5.1037306666666477E-2</v>
      </c>
    </row>
    <row r="3060" spans="1:12">
      <c r="A3060" s="22">
        <v>40312.756944444445</v>
      </c>
      <c r="E3060" s="26">
        <v>153.80431200000001</v>
      </c>
      <c r="G3060" s="27">
        <v>0.75694444444444453</v>
      </c>
      <c r="J3060" s="30">
        <f>IF(G3060&lt;$H$10,$H$16,IF(G3060&gt;$I$10,$H$16,$H$11))*E3060/600</f>
        <v>5.1268104000000009E-2</v>
      </c>
      <c r="L3060" s="32">
        <f>$J3060*($G3060-$G3059)*60*24</f>
        <v>5.126810400000803E-2</v>
      </c>
    </row>
    <row r="3061" spans="1:12">
      <c r="A3061" s="22">
        <v>40312.757638888892</v>
      </c>
      <c r="E3061" s="26">
        <v>154.48713599999999</v>
      </c>
      <c r="G3061" s="27">
        <v>0.75763888888888886</v>
      </c>
      <c r="J3061" s="30">
        <f>IF(G3061&lt;$H$10,$H$16,IF(G3061&gt;$I$10,$H$16,$H$11))*E3061/600</f>
        <v>5.1495711999999999E-2</v>
      </c>
      <c r="L3061" s="32">
        <f>$J3061*($G3061-$G3060)*60*24</f>
        <v>5.1495711999991575E-2</v>
      </c>
    </row>
    <row r="3062" spans="1:12">
      <c r="A3062" s="22">
        <v>40312.758333333331</v>
      </c>
      <c r="E3062" s="26">
        <v>154.81392</v>
      </c>
      <c r="G3062" s="27">
        <v>0.7583333333333333</v>
      </c>
      <c r="J3062" s="30">
        <f>IF(G3062&lt;$H$10,$H$16,IF(G3062&gt;$I$10,$H$16,$H$11))*E3062/600</f>
        <v>5.160464E-2</v>
      </c>
      <c r="L3062" s="32">
        <f>$J3062*($G3062-$G3061)*60*24</f>
        <v>5.1604639999999813E-2</v>
      </c>
    </row>
    <row r="3063" spans="1:12">
      <c r="A3063" s="22">
        <v>40312.759027777778</v>
      </c>
      <c r="E3063" s="26">
        <v>153.23704000000001</v>
      </c>
      <c r="G3063" s="27">
        <v>0.75902777777777775</v>
      </c>
      <c r="J3063" s="30">
        <f>IF(G3063&lt;$H$10,$H$16,IF(G3063&gt;$I$10,$H$16,$H$11))*E3063/600</f>
        <v>5.107901333333334E-2</v>
      </c>
      <c r="L3063" s="32">
        <f>$J3063*($G3063-$G3062)*60*24</f>
        <v>5.1079013333333159E-2</v>
      </c>
    </row>
    <row r="3064" spans="1:12">
      <c r="A3064" s="22">
        <v>40312.759722222225</v>
      </c>
      <c r="E3064" s="26">
        <v>153.320944</v>
      </c>
      <c r="G3064" s="27">
        <v>0.7597222222222223</v>
      </c>
      <c r="J3064" s="30">
        <f>IF(G3064&lt;$H$10,$H$16,IF(G3064&gt;$I$10,$H$16,$H$11))*E3064/600</f>
        <v>5.1106981333333336E-2</v>
      </c>
      <c r="L3064" s="32">
        <f>$J3064*($G3064-$G3063)*60*24</f>
        <v>5.1106981333341323E-2</v>
      </c>
    </row>
    <row r="3065" spans="1:12">
      <c r="A3065" s="22">
        <v>40312.760416666664</v>
      </c>
      <c r="E3065" s="26">
        <v>153.87257600000001</v>
      </c>
      <c r="G3065" s="27">
        <v>0.76041666666666663</v>
      </c>
      <c r="J3065" s="30">
        <f>IF(G3065&lt;$H$10,$H$16,IF(G3065&gt;$I$10,$H$16,$H$11))*E3065/600</f>
        <v>5.1290858666666675E-2</v>
      </c>
      <c r="L3065" s="32">
        <f>$J3065*($G3065-$G3064)*60*24</f>
        <v>5.1290858666658293E-2</v>
      </c>
    </row>
    <row r="3066" spans="1:12">
      <c r="A3066" s="22">
        <v>40312.761111111111</v>
      </c>
      <c r="E3066" s="26">
        <v>153.93899999999999</v>
      </c>
      <c r="G3066" s="27">
        <v>0.76111111111111107</v>
      </c>
      <c r="J3066" s="30">
        <f>IF(G3066&lt;$H$10,$H$16,IF(G3066&gt;$I$10,$H$16,$H$11))*E3066/600</f>
        <v>5.1313000000000004E-2</v>
      </c>
      <c r="L3066" s="32">
        <f>$J3066*($G3066-$G3065)*60*24</f>
        <v>5.1312999999999817E-2</v>
      </c>
    </row>
    <row r="3067" spans="1:12">
      <c r="A3067" s="22">
        <v>40312.761805555558</v>
      </c>
      <c r="E3067" s="26">
        <v>153.52702400000001</v>
      </c>
      <c r="G3067" s="27">
        <v>0.76180555555555562</v>
      </c>
      <c r="J3067" s="30">
        <f>IF(G3067&lt;$H$10,$H$16,IF(G3067&gt;$I$10,$H$16,$H$11))*E3067/600</f>
        <v>5.1175674666666671E-2</v>
      </c>
      <c r="L3067" s="32">
        <f>$J3067*($G3067-$G3066)*60*24</f>
        <v>5.1175674666674678E-2</v>
      </c>
    </row>
    <row r="3068" spans="1:12">
      <c r="A3068" s="22">
        <v>40312.762499999997</v>
      </c>
      <c r="E3068" s="26">
        <v>154.07516000000001</v>
      </c>
      <c r="G3068" s="27">
        <v>0.76250000000000007</v>
      </c>
      <c r="J3068" s="30">
        <f>IF(G3068&lt;$H$10,$H$16,IF(G3068&gt;$I$10,$H$16,$H$11))*E3068/600</f>
        <v>5.1358386666666672E-2</v>
      </c>
      <c r="L3068" s="32">
        <f>$J3068*($G3068-$G3067)*60*24</f>
        <v>5.1358386666666492E-2</v>
      </c>
    </row>
    <row r="3069" spans="1:12">
      <c r="A3069" s="22">
        <v>40312.763194444444</v>
      </c>
      <c r="E3069" s="26">
        <v>152.63857999999999</v>
      </c>
      <c r="G3069" s="27">
        <v>0.7631944444444444</v>
      </c>
      <c r="J3069" s="30">
        <f>IF(G3069&lt;$H$10,$H$16,IF(G3069&gt;$I$10,$H$16,$H$11))*E3069/600</f>
        <v>5.0879526666666661E-2</v>
      </c>
      <c r="L3069" s="32">
        <f>$J3069*($G3069-$G3068)*60*24</f>
        <v>5.0879526666658341E-2</v>
      </c>
    </row>
    <row r="3070" spans="1:12">
      <c r="A3070" s="22">
        <v>40312.763888888891</v>
      </c>
      <c r="E3070" s="26">
        <v>156.88281599999999</v>
      </c>
      <c r="G3070" s="27">
        <v>0.76388888888888884</v>
      </c>
      <c r="J3070" s="30">
        <f>IF(G3070&lt;$H$10,$H$16,IF(G3070&gt;$I$10,$H$16,$H$11))*E3070/600</f>
        <v>5.2294272000000003E-2</v>
      </c>
      <c r="L3070" s="32">
        <f>$J3070*($G3070-$G3069)*60*24</f>
        <v>5.2294271999999815E-2</v>
      </c>
    </row>
    <row r="3071" spans="1:12">
      <c r="A3071" s="22">
        <v>40312.76458333333</v>
      </c>
      <c r="E3071" s="26">
        <v>153.72684799999999</v>
      </c>
      <c r="G3071" s="27">
        <v>0.76458333333333339</v>
      </c>
      <c r="J3071" s="30">
        <f>IF(G3071&lt;$H$10,$H$16,IF(G3071&gt;$I$10,$H$16,$H$11))*E3071/600</f>
        <v>5.1242282666666666E-2</v>
      </c>
      <c r="L3071" s="32">
        <f>$J3071*($G3071-$G3070)*60*24</f>
        <v>5.1242282666674674E-2</v>
      </c>
    </row>
    <row r="3072" spans="1:12">
      <c r="A3072" s="22">
        <v>40312.765277777777</v>
      </c>
      <c r="E3072" s="26">
        <v>153.941576</v>
      </c>
      <c r="G3072" s="27">
        <v>0.76527777777777783</v>
      </c>
      <c r="J3072" s="30">
        <f>IF(G3072&lt;$H$10,$H$16,IF(G3072&gt;$I$10,$H$16,$H$11))*E3072/600</f>
        <v>5.1313858666666663E-2</v>
      </c>
      <c r="L3072" s="32">
        <f>$J3072*($G3072-$G3071)*60*24</f>
        <v>5.1313858666666476E-2</v>
      </c>
    </row>
    <row r="3073" spans="1:12">
      <c r="A3073" s="22">
        <v>40312.765972222223</v>
      </c>
      <c r="E3073" s="26">
        <v>153.45231999999999</v>
      </c>
      <c r="G3073" s="27">
        <v>0.76597222222222217</v>
      </c>
      <c r="J3073" s="30">
        <f>IF(G3073&lt;$H$10,$H$16,IF(G3073&gt;$I$10,$H$16,$H$11))*E3073/600</f>
        <v>5.115077333333333E-2</v>
      </c>
      <c r="L3073" s="32">
        <f>$J3073*($G3073-$G3072)*60*24</f>
        <v>5.1150773333324968E-2</v>
      </c>
    </row>
    <row r="3074" spans="1:12">
      <c r="A3074" s="22">
        <v>40312.76666666667</v>
      </c>
      <c r="E3074" s="26">
        <v>153.38092800000001</v>
      </c>
      <c r="G3074" s="27">
        <v>0.76666666666666661</v>
      </c>
      <c r="J3074" s="30">
        <f>IF(G3074&lt;$H$10,$H$16,IF(G3074&gt;$I$10,$H$16,$H$11))*E3074/600</f>
        <v>5.1126976000000005E-2</v>
      </c>
      <c r="L3074" s="32">
        <f>$J3074*($G3074-$G3073)*60*24</f>
        <v>5.1126975999999824E-2</v>
      </c>
    </row>
    <row r="3075" spans="1:12">
      <c r="A3075" s="22">
        <v>40312.767361111109</v>
      </c>
      <c r="E3075" s="26">
        <v>153.528864</v>
      </c>
      <c r="G3075" s="27">
        <v>0.76736111111111116</v>
      </c>
      <c r="J3075" s="30">
        <f>IF(G3075&lt;$H$10,$H$16,IF(G3075&gt;$I$10,$H$16,$H$11))*E3075/600</f>
        <v>5.1176288E-2</v>
      </c>
      <c r="L3075" s="32">
        <f>$J3075*($G3075-$G3074)*60*24</f>
        <v>5.1176288000008008E-2</v>
      </c>
    </row>
    <row r="3076" spans="1:12">
      <c r="A3076" s="22">
        <v>40312.768055555556</v>
      </c>
      <c r="E3076" s="26">
        <v>153.116152</v>
      </c>
      <c r="G3076" s="27">
        <v>0.7680555555555556</v>
      </c>
      <c r="J3076" s="30">
        <f>IF(G3076&lt;$H$10,$H$16,IF(G3076&gt;$I$10,$H$16,$H$11))*E3076/600</f>
        <v>5.1038717333333337E-2</v>
      </c>
      <c r="L3076" s="32">
        <f>$J3076*($G3076-$G3075)*60*24</f>
        <v>5.1038717333333157E-2</v>
      </c>
    </row>
    <row r="3077" spans="1:12">
      <c r="A3077" s="22">
        <v>40312.768750000003</v>
      </c>
      <c r="E3077" s="26">
        <v>153.25507200000001</v>
      </c>
      <c r="G3077" s="27">
        <v>0.76874999999999993</v>
      </c>
      <c r="J3077" s="30">
        <f>IF(G3077&lt;$H$10,$H$16,IF(G3077&gt;$I$10,$H$16,$H$11))*E3077/600</f>
        <v>5.1085024000000007E-2</v>
      </c>
      <c r="L3077" s="32">
        <f>$J3077*($G3077-$G3076)*60*24</f>
        <v>5.1085023999991659E-2</v>
      </c>
    </row>
    <row r="3078" spans="1:12">
      <c r="A3078" s="22">
        <v>40312.769444444442</v>
      </c>
      <c r="E3078" s="26">
        <v>152.90915200000001</v>
      </c>
      <c r="G3078" s="27">
        <v>0.76944444444444438</v>
      </c>
      <c r="J3078" s="30">
        <f>IF(G3078&lt;$H$10,$H$16,IF(G3078&gt;$I$10,$H$16,$H$11))*E3078/600</f>
        <v>5.0969717333333338E-2</v>
      </c>
      <c r="L3078" s="32">
        <f>$J3078*($G3078-$G3077)*60*24</f>
        <v>5.096971733333315E-2</v>
      </c>
    </row>
    <row r="3079" spans="1:12">
      <c r="A3079" s="22">
        <v>40312.770138888889</v>
      </c>
      <c r="E3079" s="26">
        <v>153.02580800000001</v>
      </c>
      <c r="G3079" s="27">
        <v>0.77013888888888893</v>
      </c>
      <c r="J3079" s="30">
        <f>IF(G3079&lt;$H$10,$H$16,IF(G3079&gt;$I$10,$H$16,$H$11))*E3079/600</f>
        <v>5.1008602666666673E-2</v>
      </c>
      <c r="L3079" s="32">
        <f>$J3079*($G3079-$G3078)*60*24</f>
        <v>5.1008602666674646E-2</v>
      </c>
    </row>
    <row r="3080" spans="1:12">
      <c r="A3080" s="22">
        <v>40312.770833333336</v>
      </c>
      <c r="E3080" s="26">
        <v>152.73619199999999</v>
      </c>
      <c r="G3080" s="27">
        <v>0.77083333333333337</v>
      </c>
      <c r="J3080" s="30">
        <f>IF(G3080&lt;$H$10,$H$16,IF(G3080&gt;$I$10,$H$16,$H$11))*E3080/600</f>
        <v>5.0912063999999993E-2</v>
      </c>
      <c r="L3080" s="32">
        <f>$J3080*($G3080-$G3079)*60*24</f>
        <v>5.0912063999999806E-2</v>
      </c>
    </row>
    <row r="3081" spans="1:12">
      <c r="A3081" s="22">
        <v>40312.771527777775</v>
      </c>
      <c r="E3081" s="26">
        <v>152.822856</v>
      </c>
      <c r="G3081" s="27">
        <v>0.7715277777777777</v>
      </c>
      <c r="J3081" s="30">
        <f>IF(G3081&lt;$H$10,$H$16,IF(G3081&gt;$I$10,$H$16,$H$11))*E3081/600</f>
        <v>5.0940952000000005E-2</v>
      </c>
      <c r="L3081" s="32">
        <f>$J3081*($G3081-$G3080)*60*24</f>
        <v>5.0940951999991678E-2</v>
      </c>
    </row>
    <row r="3082" spans="1:12">
      <c r="A3082" s="22">
        <v>40312.772222222222</v>
      </c>
      <c r="E3082" s="26">
        <v>153.23851199999999</v>
      </c>
      <c r="G3082" s="27">
        <v>0.77222222222222225</v>
      </c>
      <c r="J3082" s="30">
        <f>IF(G3082&lt;$H$10,$H$16,IF(G3082&gt;$I$10,$H$16,$H$11))*E3082/600</f>
        <v>5.1079503999999998E-2</v>
      </c>
      <c r="L3082" s="32">
        <f>$J3082*($G3082-$G3081)*60*24</f>
        <v>5.1079504000007978E-2</v>
      </c>
    </row>
    <row r="3083" spans="1:12">
      <c r="A3083" s="22">
        <v>40312.772916666669</v>
      </c>
      <c r="E3083" s="26">
        <v>152.49625599999999</v>
      </c>
      <c r="G3083" s="27">
        <v>0.7729166666666667</v>
      </c>
      <c r="J3083" s="30">
        <f>IF(G3083&lt;$H$10,$H$16,IF(G3083&gt;$I$10,$H$16,$H$11))*E3083/600</f>
        <v>5.0832085333333332E-2</v>
      </c>
      <c r="L3083" s="32">
        <f>$J3083*($G3083-$G3082)*60*24</f>
        <v>5.0832085333333152E-2</v>
      </c>
    </row>
    <row r="3084" spans="1:12">
      <c r="A3084" s="22">
        <v>40312.773611111108</v>
      </c>
      <c r="E3084" s="26">
        <v>152.93822399999999</v>
      </c>
      <c r="G3084" s="27">
        <v>0.77361111111111114</v>
      </c>
      <c r="J3084" s="30">
        <f>IF(G3084&lt;$H$10,$H$16,IF(G3084&gt;$I$10,$H$16,$H$11))*E3084/600</f>
        <v>5.0979407999999997E-2</v>
      </c>
      <c r="L3084" s="32">
        <f>$J3084*($G3084-$G3083)*60*24</f>
        <v>5.097940799999981E-2</v>
      </c>
    </row>
    <row r="3085" spans="1:12">
      <c r="A3085" s="22">
        <v>40312.774305555555</v>
      </c>
      <c r="E3085" s="26">
        <v>153.072912</v>
      </c>
      <c r="G3085" s="27">
        <v>0.77430555555555547</v>
      </c>
      <c r="J3085" s="30">
        <f>IF(G3085&lt;$H$10,$H$16,IF(G3085&gt;$I$10,$H$16,$H$11))*E3085/600</f>
        <v>5.1024304000000006E-2</v>
      </c>
      <c r="L3085" s="32">
        <f>$J3085*($G3085-$G3084)*60*24</f>
        <v>5.102430399999168E-2</v>
      </c>
    </row>
    <row r="3086" spans="1:12">
      <c r="A3086" s="22">
        <v>40312.775000000001</v>
      </c>
      <c r="E3086" s="26">
        <v>153.62620000000001</v>
      </c>
      <c r="G3086" s="27">
        <v>0.77500000000000002</v>
      </c>
      <c r="J3086" s="30">
        <f>IF(G3086&lt;$H$10,$H$16,IF(G3086&gt;$I$10,$H$16,$H$11))*E3086/600</f>
        <v>5.1208733333333339E-2</v>
      </c>
      <c r="L3086" s="32">
        <f>$J3086*($G3086-$G3085)*60*24</f>
        <v>5.120873333334134E-2</v>
      </c>
    </row>
    <row r="3087" spans="1:12">
      <c r="A3087" s="22">
        <v>40312.775694444441</v>
      </c>
      <c r="E3087" s="26">
        <v>154.36100400000001</v>
      </c>
      <c r="G3087" s="27">
        <v>0.77569444444444446</v>
      </c>
      <c r="J3087" s="30">
        <f>IF(G3087&lt;$H$10,$H$16,IF(G3087&gt;$I$10,$H$16,$H$11))*E3087/600</f>
        <v>5.1453668000000001E-2</v>
      </c>
      <c r="L3087" s="32">
        <f>$J3087*($G3087-$G3086)*60*24</f>
        <v>5.1453667999999814E-2</v>
      </c>
    </row>
    <row r="3088" spans="1:12">
      <c r="A3088" s="22">
        <v>40312.776388888888</v>
      </c>
      <c r="E3088" s="26">
        <v>153.92887999999999</v>
      </c>
      <c r="G3088" s="27">
        <v>0.77638888888888891</v>
      </c>
      <c r="J3088" s="30">
        <f>IF(G3088&lt;$H$10,$H$16,IF(G3088&gt;$I$10,$H$16,$H$11))*E3088/600</f>
        <v>5.1309626666666663E-2</v>
      </c>
      <c r="L3088" s="32">
        <f>$J3088*($G3088-$G3087)*60*24</f>
        <v>5.1309626666666483E-2</v>
      </c>
    </row>
    <row r="3089" spans="1:12">
      <c r="A3089" s="22">
        <v>40312.777083333334</v>
      </c>
      <c r="E3089" s="26">
        <v>153.79879199999999</v>
      </c>
      <c r="G3089" s="27">
        <v>0.77708333333333324</v>
      </c>
      <c r="J3089" s="30">
        <f>IF(G3089&lt;$H$10,$H$16,IF(G3089&gt;$I$10,$H$16,$H$11))*E3089/600</f>
        <v>5.1266263999999999E-2</v>
      </c>
      <c r="L3089" s="32">
        <f>$J3089*($G3089-$G3088)*60*24</f>
        <v>5.1266263999991624E-2</v>
      </c>
    </row>
    <row r="3090" spans="1:12">
      <c r="A3090" s="22">
        <v>40312.777777777781</v>
      </c>
      <c r="E3090" s="26">
        <v>153.52334400000001</v>
      </c>
      <c r="G3090" s="27">
        <v>0.77777777777777779</v>
      </c>
      <c r="J3090" s="30">
        <f>IF(G3090&lt;$H$10,$H$16,IF(G3090&gt;$I$10,$H$16,$H$11))*E3090/600</f>
        <v>5.1174448000000004E-2</v>
      </c>
      <c r="L3090" s="32">
        <f>$J3090*($G3090-$G3089)*60*24</f>
        <v>5.1174448000008005E-2</v>
      </c>
    </row>
    <row r="3091" spans="1:12">
      <c r="A3091" s="22">
        <v>40312.77847222222</v>
      </c>
      <c r="E3091" s="26">
        <v>150.5419</v>
      </c>
      <c r="G3091" s="27">
        <v>0.77847222222222223</v>
      </c>
      <c r="J3091" s="30">
        <f>IF(G3091&lt;$H$10,$H$16,IF(G3091&gt;$I$10,$H$16,$H$11))*E3091/600</f>
        <v>5.0180633333333335E-2</v>
      </c>
      <c r="L3091" s="32">
        <f>$J3091*($G3091-$G3090)*60*24</f>
        <v>5.0180633333333155E-2</v>
      </c>
    </row>
    <row r="3092" spans="1:12">
      <c r="A3092" s="22">
        <v>40312.779166666667</v>
      </c>
      <c r="E3092" s="26">
        <v>151.02407199999999</v>
      </c>
      <c r="G3092" s="27">
        <v>0.77916666666666667</v>
      </c>
      <c r="J3092" s="30">
        <f>IF(G3092&lt;$H$10,$H$16,IF(G3092&gt;$I$10,$H$16,$H$11))*E3092/600</f>
        <v>5.0341357333333336E-2</v>
      </c>
      <c r="L3092" s="32">
        <f>$J3092*($G3092-$G3091)*60*24</f>
        <v>5.034135733333317E-2</v>
      </c>
    </row>
    <row r="3093" spans="1:12">
      <c r="A3093" s="22">
        <v>40312.779861111114</v>
      </c>
      <c r="E3093" s="26">
        <v>149.57452000000001</v>
      </c>
      <c r="G3093" s="27">
        <v>0.77986111111111101</v>
      </c>
      <c r="J3093" s="30">
        <f>IF(G3093&lt;$H$10,$H$16,IF(G3093&gt;$I$10,$H$16,$H$11))*E3093/600</f>
        <v>4.9858173333333339E-2</v>
      </c>
      <c r="L3093" s="32">
        <f>$J3093*($G3093-$G3092)*60*24</f>
        <v>4.9858173333325193E-2</v>
      </c>
    </row>
    <row r="3094" spans="1:12">
      <c r="A3094" s="22">
        <v>40312.780555555553</v>
      </c>
      <c r="E3094" s="26">
        <v>149.63247999999999</v>
      </c>
      <c r="G3094" s="27">
        <v>0.78055555555555556</v>
      </c>
      <c r="J3094" s="30">
        <f>IF(G3094&lt;$H$10,$H$16,IF(G3094&gt;$I$10,$H$16,$H$11))*E3094/600</f>
        <v>4.9877493333333335E-2</v>
      </c>
      <c r="L3094" s="32">
        <f>$J3094*($G3094-$G3093)*60*24</f>
        <v>4.9877493333341127E-2</v>
      </c>
    </row>
    <row r="3095" spans="1:12">
      <c r="A3095" s="22">
        <v>40312.78125</v>
      </c>
      <c r="E3095" s="26">
        <v>151.18727999999999</v>
      </c>
      <c r="G3095" s="27">
        <v>0.78125</v>
      </c>
      <c r="J3095" s="30">
        <f>IF(G3095&lt;$H$10,$H$16,IF(G3095&gt;$I$10,$H$16,$H$11))*E3095/600</f>
        <v>5.0395759999999998E-2</v>
      </c>
      <c r="L3095" s="32">
        <f>$J3095*($G3095-$G3094)*60*24</f>
        <v>5.0395759999999817E-2</v>
      </c>
    </row>
    <row r="3096" spans="1:12">
      <c r="A3096" s="22">
        <v>40312.781944444447</v>
      </c>
      <c r="E3096" s="26">
        <v>161.671572</v>
      </c>
      <c r="G3096" s="27">
        <v>0.78194444444444444</v>
      </c>
      <c r="J3096" s="30">
        <f>IF(G3096&lt;$H$10,$H$16,IF(G3096&gt;$I$10,$H$16,$H$11))*E3096/600</f>
        <v>5.3890524000000009E-2</v>
      </c>
      <c r="L3096" s="32">
        <f>$J3096*($G3096-$G3095)*60*24</f>
        <v>5.3890523999999822E-2</v>
      </c>
    </row>
    <row r="3097" spans="1:12">
      <c r="A3097" s="22">
        <v>40312.782638888886</v>
      </c>
      <c r="E3097" s="26">
        <v>170.589696</v>
      </c>
      <c r="G3097" s="27">
        <v>0.78263888888888899</v>
      </c>
      <c r="J3097" s="30">
        <f>IF(G3097&lt;$H$10,$H$16,IF(G3097&gt;$I$10,$H$16,$H$11))*E3097/600</f>
        <v>5.6863232000000007E-2</v>
      </c>
      <c r="L3097" s="32">
        <f>$J3097*($G3097-$G3096)*60*24</f>
        <v>5.6863232000008895E-2</v>
      </c>
    </row>
    <row r="3098" spans="1:12">
      <c r="A3098" s="22">
        <v>40312.783333333333</v>
      </c>
      <c r="E3098" s="26">
        <v>172.528164</v>
      </c>
      <c r="G3098" s="27">
        <v>0.78333333333333333</v>
      </c>
      <c r="J3098" s="30">
        <f>IF(G3098&lt;$H$10,$H$16,IF(G3098&gt;$I$10,$H$16,$H$11))*E3098/600</f>
        <v>5.7509388000000002E-2</v>
      </c>
      <c r="L3098" s="32">
        <f>$J3098*($G3098-$G3097)*60*24</f>
        <v>5.7509387999990599E-2</v>
      </c>
    </row>
    <row r="3099" spans="1:12">
      <c r="A3099" s="22">
        <v>40312.78402777778</v>
      </c>
      <c r="E3099" s="26">
        <v>153.16355999999999</v>
      </c>
      <c r="G3099" s="27">
        <v>0.78402777777777777</v>
      </c>
      <c r="J3099" s="30">
        <f>IF(G3099&lt;$H$10,$H$16,IF(G3099&gt;$I$10,$H$16,$H$11))*E3099/600</f>
        <v>5.1054519999999999E-2</v>
      </c>
      <c r="L3099" s="32">
        <f>$J3099*($G3099-$G3098)*60*24</f>
        <v>5.1054519999999826E-2</v>
      </c>
    </row>
    <row r="3100" spans="1:12">
      <c r="A3100" s="22">
        <v>40312.784722222219</v>
      </c>
      <c r="E3100" s="26">
        <v>153.32445000000001</v>
      </c>
      <c r="G3100" s="27">
        <v>0.78472222222222221</v>
      </c>
      <c r="J3100" s="30">
        <f>IF(G3100&lt;$H$10,$H$16,IF(G3100&gt;$I$10,$H$16,$H$11))*E3100/600</f>
        <v>5.1108150000000005E-2</v>
      </c>
      <c r="L3100" s="32">
        <f>$J3100*($G3100-$G3099)*60*24</f>
        <v>5.1108149999999825E-2</v>
      </c>
    </row>
    <row r="3101" spans="1:12">
      <c r="A3101" s="22">
        <v>40312.785416666666</v>
      </c>
      <c r="E3101" s="26">
        <v>152.89144200000001</v>
      </c>
      <c r="G3101" s="27">
        <v>0.78541666666666676</v>
      </c>
      <c r="J3101" s="30">
        <f>IF(G3101&lt;$H$10,$H$16,IF(G3101&gt;$I$10,$H$16,$H$11))*E3101/600</f>
        <v>5.096381400000001E-2</v>
      </c>
      <c r="L3101" s="32">
        <f>$J3101*($G3101-$G3100)*60*24</f>
        <v>5.0963814000007976E-2</v>
      </c>
    </row>
    <row r="3102" spans="1:12">
      <c r="A3102" s="22">
        <v>40312.786111111112</v>
      </c>
      <c r="E3102" s="26">
        <v>153.82758000000001</v>
      </c>
      <c r="G3102" s="27">
        <v>0.78611111111111109</v>
      </c>
      <c r="J3102" s="30">
        <f>IF(G3102&lt;$H$10,$H$16,IF(G3102&gt;$I$10,$H$16,$H$11))*E3102/600</f>
        <v>5.1275860000000006E-2</v>
      </c>
      <c r="L3102" s="32">
        <f>$J3102*($G3102-$G3101)*60*24</f>
        <v>5.1275859999991631E-2</v>
      </c>
    </row>
    <row r="3103" spans="1:12">
      <c r="A3103" s="22">
        <v>40312.786805555559</v>
      </c>
      <c r="E3103" s="26">
        <v>153.81790799999999</v>
      </c>
      <c r="G3103" s="27">
        <v>0.78680555555555554</v>
      </c>
      <c r="J3103" s="30">
        <f>IF(G3103&lt;$H$10,$H$16,IF(G3103&gt;$I$10,$H$16,$H$11))*E3103/600</f>
        <v>5.1272635999999996E-2</v>
      </c>
      <c r="L3103" s="32">
        <f>$J3103*($G3103-$G3102)*60*24</f>
        <v>5.1272635999999816E-2</v>
      </c>
    </row>
    <row r="3104" spans="1:12">
      <c r="A3104" s="22">
        <v>40312.787499999999</v>
      </c>
      <c r="E3104" s="26">
        <v>153.25842</v>
      </c>
      <c r="G3104" s="27">
        <v>0.78749999999999998</v>
      </c>
      <c r="J3104" s="30">
        <f>IF(G3104&lt;$H$10,$H$16,IF(G3104&gt;$I$10,$H$16,$H$11))*E3104/600</f>
        <v>5.1086140000000002E-2</v>
      </c>
      <c r="L3104" s="32">
        <f>$J3104*($G3104-$G3103)*60*24</f>
        <v>5.1086139999999815E-2</v>
      </c>
    </row>
    <row r="3105" spans="1:12">
      <c r="A3105" s="22">
        <v>40312.788194444445</v>
      </c>
      <c r="E3105" s="26">
        <v>152.63280900000001</v>
      </c>
      <c r="G3105" s="27">
        <v>0.78819444444444453</v>
      </c>
      <c r="J3105" s="30">
        <f>IF(G3105&lt;$H$10,$H$16,IF(G3105&gt;$I$10,$H$16,$H$11))*E3105/600</f>
        <v>5.0877603000000007E-2</v>
      </c>
      <c r="L3105" s="32">
        <f>$J3105*($G3105-$G3104)*60*24</f>
        <v>5.0877603000007952E-2</v>
      </c>
    </row>
    <row r="3106" spans="1:12">
      <c r="A3106" s="22">
        <v>40312.788888888892</v>
      </c>
      <c r="E3106" s="26">
        <v>150.05364</v>
      </c>
      <c r="G3106" s="27">
        <v>0.78888888888888886</v>
      </c>
      <c r="J3106" s="30">
        <f>IF(G3106&lt;$H$10,$H$16,IF(G3106&gt;$I$10,$H$16,$H$11))*E3106/600</f>
        <v>5.0017880000000001E-2</v>
      </c>
      <c r="L3106" s="32">
        <f>$J3106*($G3106-$G3105)*60*24</f>
        <v>5.0017879999991827E-2</v>
      </c>
    </row>
    <row r="3107" spans="1:12">
      <c r="A3107" s="22">
        <v>40312.789583333331</v>
      </c>
      <c r="E3107" s="26">
        <v>150.12432000000001</v>
      </c>
      <c r="G3107" s="27">
        <v>0.7895833333333333</v>
      </c>
      <c r="J3107" s="30">
        <f>IF(G3107&lt;$H$10,$H$16,IF(G3107&gt;$I$10,$H$16,$H$11))*E3107/600</f>
        <v>5.0041440000000006E-2</v>
      </c>
      <c r="L3107" s="32">
        <f>$J3107*($G3107-$G3106)*60*24</f>
        <v>5.0041439999999826E-2</v>
      </c>
    </row>
    <row r="3108" spans="1:12">
      <c r="A3108" s="22">
        <v>40312.790277777778</v>
      </c>
      <c r="E3108" s="26">
        <v>149.61412200000001</v>
      </c>
      <c r="G3108" s="27">
        <v>0.79027777777777775</v>
      </c>
      <c r="J3108" s="30">
        <f>IF(G3108&lt;$H$10,$H$16,IF(G3108&gt;$I$10,$H$16,$H$11))*E3108/600</f>
        <v>4.9871374000000003E-2</v>
      </c>
      <c r="L3108" s="32">
        <f>$J3108*($G3108-$G3107)*60*24</f>
        <v>4.9871373999999816E-2</v>
      </c>
    </row>
    <row r="3109" spans="1:12">
      <c r="A3109" s="22">
        <v>40312.790972222225</v>
      </c>
      <c r="E3109" s="26">
        <v>149.68489500000001</v>
      </c>
      <c r="G3109" s="27">
        <v>0.7909722222222223</v>
      </c>
      <c r="J3109" s="30">
        <f>IF(G3109&lt;$H$10,$H$16,IF(G3109&gt;$I$10,$H$16,$H$11))*E3109/600</f>
        <v>4.9894965000000006E-2</v>
      </c>
      <c r="L3109" s="32">
        <f>$J3109*($G3109-$G3108)*60*24</f>
        <v>4.9894965000007813E-2</v>
      </c>
    </row>
    <row r="3110" spans="1:12">
      <c r="A3110" s="22">
        <v>40312.791666666664</v>
      </c>
      <c r="E3110" s="26">
        <v>149.856201</v>
      </c>
      <c r="G3110" s="27">
        <v>0.79166666666666663</v>
      </c>
      <c r="J3110" s="30">
        <f>IF(G3110&lt;$H$10,$H$16,IF(G3110&gt;$I$10,$H$16,$H$11))*E3110/600</f>
        <v>4.9952067000000003E-2</v>
      </c>
      <c r="L3110" s="32">
        <f>$J3110*($G3110-$G3109)*60*24</f>
        <v>4.9952066999991843E-2</v>
      </c>
    </row>
    <row r="3111" spans="1:12">
      <c r="A3111" s="22">
        <v>40312.792361111111</v>
      </c>
      <c r="E3111" s="26">
        <v>149.226777</v>
      </c>
      <c r="G3111" s="27">
        <v>0.79236111111111107</v>
      </c>
      <c r="J3111" s="30">
        <f>IF(G3111&lt;$H$10,$H$16,IF(G3111&gt;$I$10,$H$16,$H$11))*E3111/600</f>
        <v>4.9742259000000004E-2</v>
      </c>
      <c r="L3111" s="32">
        <f>$J3111*($G3111-$G3110)*60*24</f>
        <v>4.9742258999999824E-2</v>
      </c>
    </row>
    <row r="3112" spans="1:12">
      <c r="A3112" s="22">
        <v>40312.793055555558</v>
      </c>
      <c r="E3112" s="26">
        <v>149.75566800000001</v>
      </c>
      <c r="G3112" s="27">
        <v>0.79305555555555562</v>
      </c>
      <c r="J3112" s="30">
        <f>IF(G3112&lt;$H$10,$H$16,IF(G3112&gt;$I$10,$H$16,$H$11))*E3112/600</f>
        <v>4.991855600000001E-2</v>
      </c>
      <c r="L3112" s="32">
        <f>$J3112*($G3112-$G3111)*60*24</f>
        <v>4.9918556000007816E-2</v>
      </c>
    </row>
    <row r="3113" spans="1:12">
      <c r="A3113" s="22">
        <v>40312.793749999997</v>
      </c>
      <c r="E3113" s="26">
        <v>149.45323200000001</v>
      </c>
      <c r="G3113" s="27">
        <v>0.79375000000000007</v>
      </c>
      <c r="J3113" s="30">
        <f>IF(G3113&lt;$H$10,$H$16,IF(G3113&gt;$I$10,$H$16,$H$11))*E3113/600</f>
        <v>4.9817744000000011E-2</v>
      </c>
      <c r="L3113" s="32">
        <f>$J3113*($G3113-$G3112)*60*24</f>
        <v>4.9817743999999831E-2</v>
      </c>
    </row>
    <row r="3114" spans="1:12">
      <c r="A3114" s="22">
        <v>40312.794444444444</v>
      </c>
      <c r="E3114" s="26">
        <v>150.30287999999999</v>
      </c>
      <c r="G3114" s="27">
        <v>0.7944444444444444</v>
      </c>
      <c r="J3114" s="30">
        <f>IF(G3114&lt;$H$10,$H$16,IF(G3114&gt;$I$10,$H$16,$H$11))*E3114/600</f>
        <v>5.0100959999999993E-2</v>
      </c>
      <c r="L3114" s="32">
        <f>$J3114*($G3114-$G3113)*60*24</f>
        <v>5.0100959999991812E-2</v>
      </c>
    </row>
    <row r="3115" spans="1:12">
      <c r="A3115" s="22">
        <v>40312.795138888891</v>
      </c>
      <c r="E3115" s="26">
        <v>149.26190399999999</v>
      </c>
      <c r="G3115" s="27">
        <v>0.79513888888888884</v>
      </c>
      <c r="J3115" s="30">
        <f>IF(G3115&lt;$H$10,$H$16,IF(G3115&gt;$I$10,$H$16,$H$11))*E3115/600</f>
        <v>4.9753967999999996E-2</v>
      </c>
      <c r="L3115" s="32">
        <f>$J3115*($G3115-$G3114)*60*24</f>
        <v>4.9753967999999822E-2</v>
      </c>
    </row>
    <row r="3116" spans="1:12">
      <c r="A3116" s="22">
        <v>40312.79583333333</v>
      </c>
      <c r="E3116" s="26">
        <v>150.54916800000001</v>
      </c>
      <c r="G3116" s="27">
        <v>0.79583333333333339</v>
      </c>
      <c r="J3116" s="30">
        <f>IF(G3116&lt;$H$10,$H$16,IF(G3116&gt;$I$10,$H$16,$H$11))*E3116/600</f>
        <v>5.0183056000000004E-2</v>
      </c>
      <c r="L3116" s="32">
        <f>$J3116*($G3116-$G3115)*60*24</f>
        <v>5.0183056000007845E-2</v>
      </c>
    </row>
    <row r="3117" spans="1:12">
      <c r="A3117" s="22">
        <v>40312.796527777777</v>
      </c>
      <c r="E3117" s="26">
        <v>159.90335999999999</v>
      </c>
      <c r="G3117" s="27">
        <v>0.79652777777777783</v>
      </c>
      <c r="J3117" s="30">
        <f>IF(G3117&lt;$H$10,$H$16,IF(G3117&gt;$I$10,$H$16,$H$11))*E3117/600</f>
        <v>5.330112E-2</v>
      </c>
      <c r="L3117" s="32">
        <f>$J3117*($G3117-$G3116)*60*24</f>
        <v>5.3301119999999806E-2</v>
      </c>
    </row>
    <row r="3118" spans="1:12">
      <c r="A3118" s="22">
        <v>40312.797222222223</v>
      </c>
      <c r="E3118" s="26">
        <v>153.519296</v>
      </c>
      <c r="G3118" s="27">
        <v>0.79722222222222217</v>
      </c>
      <c r="J3118" s="30">
        <f>IF(G3118&lt;$H$10,$H$16,IF(G3118&gt;$I$10,$H$16,$H$11))*E3118/600</f>
        <v>5.1173098666666667E-2</v>
      </c>
      <c r="L3118" s="32">
        <f>$J3118*($G3118-$G3117)*60*24</f>
        <v>5.1173098666658298E-2</v>
      </c>
    </row>
    <row r="3119" spans="1:12">
      <c r="A3119" s="22">
        <v>40312.79791666667</v>
      </c>
      <c r="E3119" s="26">
        <v>154.03008</v>
      </c>
      <c r="G3119" s="27">
        <v>0.79791666666666661</v>
      </c>
      <c r="J3119" s="30">
        <f>IF(G3119&lt;$H$10,$H$16,IF(G3119&gt;$I$10,$H$16,$H$11))*E3119/600</f>
        <v>5.1343359999999998E-2</v>
      </c>
      <c r="L3119" s="32">
        <f>$J3119*($G3119-$G3118)*60*24</f>
        <v>5.1343359999999817E-2</v>
      </c>
    </row>
    <row r="3120" spans="1:12">
      <c r="A3120" s="22">
        <v>40312.798611111109</v>
      </c>
      <c r="E3120" s="26">
        <v>154.108372</v>
      </c>
      <c r="G3120" s="27">
        <v>0.79861111111111116</v>
      </c>
      <c r="J3120" s="30">
        <f>IF(G3120&lt;$H$10,$H$16,IF(G3120&gt;$I$10,$H$16,$H$11))*E3120/600</f>
        <v>5.136945733333334E-2</v>
      </c>
      <c r="L3120" s="32">
        <f>$J3120*($G3120-$G3119)*60*24</f>
        <v>5.1369457333341376E-2</v>
      </c>
    </row>
    <row r="3121" spans="1:12">
      <c r="A3121" s="22">
        <v>40312.799305555556</v>
      </c>
      <c r="E3121" s="26">
        <v>153.31800000000001</v>
      </c>
      <c r="G3121" s="27">
        <v>0.7993055555555556</v>
      </c>
      <c r="J3121" s="30">
        <f>IF(G3121&lt;$H$10,$H$16,IF(G3121&gt;$I$10,$H$16,$H$11))*E3121/600</f>
        <v>5.1106000000000006E-2</v>
      </c>
      <c r="L3121" s="32">
        <f>$J3121*($G3121-$G3120)*60*24</f>
        <v>5.1105999999999818E-2</v>
      </c>
    </row>
    <row r="3122" spans="1:12">
      <c r="A3122" s="22">
        <v>40312.800000000003</v>
      </c>
      <c r="E3122" s="26">
        <v>153.861996</v>
      </c>
      <c r="G3122" s="27">
        <v>0.79999999999999993</v>
      </c>
      <c r="J3122" s="30">
        <f>IF(G3122&lt;$H$10,$H$16,IF(G3122&gt;$I$10,$H$16,$H$11))*E3122/600</f>
        <v>5.1287332000000005E-2</v>
      </c>
      <c r="L3122" s="32">
        <f>$J3122*($G3122-$G3121)*60*24</f>
        <v>5.128733199999163E-2</v>
      </c>
    </row>
    <row r="3123" spans="1:12">
      <c r="A3123" s="22">
        <v>40312.800694444442</v>
      </c>
      <c r="E3123" s="26">
        <v>153.06297599999999</v>
      </c>
      <c r="G3123" s="27">
        <v>0.80069444444444438</v>
      </c>
      <c r="J3123" s="30">
        <f>IF(G3123&lt;$H$10,$H$16,IF(G3123&gt;$I$10,$H$16,$H$11))*E3123/600</f>
        <v>5.1020992000000001E-2</v>
      </c>
      <c r="L3123" s="32">
        <f>$J3123*($G3123-$G3122)*60*24</f>
        <v>5.1020991999999821E-2</v>
      </c>
    </row>
    <row r="3124" spans="1:12">
      <c r="A3124" s="22">
        <v>40312.801388888889</v>
      </c>
      <c r="E3124" s="26">
        <v>153.1593</v>
      </c>
      <c r="G3124" s="27">
        <v>0.80138888888888893</v>
      </c>
      <c r="J3124" s="30">
        <f>IF(G3124&lt;$H$10,$H$16,IF(G3124&gt;$I$10,$H$16,$H$11))*E3124/600</f>
        <v>5.1053100000000004E-2</v>
      </c>
      <c r="L3124" s="32">
        <f>$J3124*($G3124-$G3123)*60*24</f>
        <v>5.1053100000007984E-2</v>
      </c>
    </row>
    <row r="3125" spans="1:12">
      <c r="A3125" s="22">
        <v>40312.802083333336</v>
      </c>
      <c r="E3125" s="26">
        <v>152.689088</v>
      </c>
      <c r="G3125" s="27">
        <v>0.80208333333333337</v>
      </c>
      <c r="J3125" s="30">
        <f>IF(G3125&lt;$H$10,$H$16,IF(G3125&gt;$I$10,$H$16,$H$11))*E3125/600</f>
        <v>5.0896362666666667E-2</v>
      </c>
      <c r="L3125" s="32">
        <f>$J3125*($G3125-$G3124)*60*24</f>
        <v>5.0896362666666486E-2</v>
      </c>
    </row>
    <row r="3126" spans="1:12">
      <c r="A3126" s="22">
        <v>40312.802777777775</v>
      </c>
      <c r="E3126" s="26">
        <v>152.53416000000001</v>
      </c>
      <c r="G3126" s="27">
        <v>0.8027777777777777</v>
      </c>
      <c r="J3126" s="30">
        <f>IF(G3126&lt;$H$10,$H$16,IF(G3126&gt;$I$10,$H$16,$H$11))*E3126/600</f>
        <v>5.0844720000000003E-2</v>
      </c>
      <c r="L3126" s="32">
        <f>$J3126*($G3126-$G3125)*60*24</f>
        <v>5.0844719999991697E-2</v>
      </c>
    </row>
    <row r="3127" spans="1:12">
      <c r="A3127" s="22">
        <v>40312.803472222222</v>
      </c>
      <c r="E3127" s="26">
        <v>152.23516000000001</v>
      </c>
      <c r="G3127" s="27">
        <v>0.80347222222222225</v>
      </c>
      <c r="J3127" s="30">
        <f>IF(G3127&lt;$H$10,$H$16,IF(G3127&gt;$I$10,$H$16,$H$11))*E3127/600</f>
        <v>5.0745053333333338E-2</v>
      </c>
      <c r="L3127" s="32">
        <f>$J3127*($G3127-$G3126)*60*24</f>
        <v>5.074505333334127E-2</v>
      </c>
    </row>
    <row r="3128" spans="1:12">
      <c r="A3128" s="22">
        <v>40312.804166666669</v>
      </c>
      <c r="E3128" s="26">
        <v>152.12236799999999</v>
      </c>
      <c r="G3128" s="27">
        <v>0.8041666666666667</v>
      </c>
      <c r="J3128" s="30">
        <f>IF(G3128&lt;$H$10,$H$16,IF(G3128&gt;$I$10,$H$16,$H$11))*E3128/600</f>
        <v>5.0707455999999998E-2</v>
      </c>
      <c r="L3128" s="32">
        <f>$J3128*($G3128-$G3127)*60*24</f>
        <v>5.0707455999999818E-2</v>
      </c>
    </row>
    <row r="3129" spans="1:12">
      <c r="A3129" s="22">
        <v>40312.804861111108</v>
      </c>
      <c r="E3129" s="26">
        <v>158.86120500000001</v>
      </c>
      <c r="G3129" s="27">
        <v>0.80486111111111114</v>
      </c>
      <c r="J3129" s="30">
        <f>IF(G3129&lt;$H$10,$H$16,IF(G3129&gt;$I$10,$H$16,$H$11))*E3129/600</f>
        <v>5.2953735000000009E-2</v>
      </c>
      <c r="L3129" s="32">
        <f>$J3129*($G3129-$G3128)*60*24</f>
        <v>5.2953734999999821E-2</v>
      </c>
    </row>
    <row r="3130" spans="1:12">
      <c r="A3130" s="22">
        <v>40312.805555555555</v>
      </c>
      <c r="E3130" s="26">
        <v>152.32532</v>
      </c>
      <c r="G3130" s="27">
        <v>0.80555555555555547</v>
      </c>
      <c r="J3130" s="30">
        <f>IF(G3130&lt;$H$10,$H$16,IF(G3130&gt;$I$10,$H$16,$H$11))*E3130/600</f>
        <v>5.0775106666666667E-2</v>
      </c>
      <c r="L3130" s="32">
        <f>$J3130*($G3130-$G3129)*60*24</f>
        <v>5.0775106666658368E-2</v>
      </c>
    </row>
    <row r="3131" spans="1:12">
      <c r="A3131" s="22">
        <v>40312.806250000001</v>
      </c>
      <c r="E3131" s="26">
        <v>152.48613599999999</v>
      </c>
      <c r="G3131" s="27">
        <v>0.80625000000000002</v>
      </c>
      <c r="J3131" s="30">
        <f>IF(G3131&lt;$H$10,$H$16,IF(G3131&gt;$I$10,$H$16,$H$11))*E3131/600</f>
        <v>5.0828711999999998E-2</v>
      </c>
      <c r="L3131" s="32">
        <f>$J3131*($G3131-$G3130)*60*24</f>
        <v>5.082871200000795E-2</v>
      </c>
    </row>
    <row r="3132" spans="1:12">
      <c r="A3132" s="22">
        <v>40312.806944444441</v>
      </c>
      <c r="E3132" s="26">
        <v>153.176964</v>
      </c>
      <c r="G3132" s="27">
        <v>0.80694444444444446</v>
      </c>
      <c r="J3132" s="30">
        <f>IF(G3132&lt;$H$10,$H$16,IF(G3132&gt;$I$10,$H$16,$H$11))*E3132/600</f>
        <v>5.1058988E-2</v>
      </c>
      <c r="L3132" s="32">
        <f>$J3132*($G3132-$G3131)*60*24</f>
        <v>5.1058987999999826E-2</v>
      </c>
    </row>
    <row r="3133" spans="1:12">
      <c r="A3133" s="22">
        <v>40312.807638888888</v>
      </c>
      <c r="E3133" s="26">
        <v>151.82391999999999</v>
      </c>
      <c r="G3133" s="27">
        <v>0.80763888888888891</v>
      </c>
      <c r="J3133" s="30">
        <f>IF(G3133&lt;$H$10,$H$16,IF(G3133&gt;$I$10,$H$16,$H$11))*E3133/600</f>
        <v>5.0607973333333334E-2</v>
      </c>
      <c r="L3133" s="32">
        <f>$J3133*($G3133-$G3132)*60*24</f>
        <v>5.0607973333333153E-2</v>
      </c>
    </row>
    <row r="3134" spans="1:12">
      <c r="A3134" s="22">
        <v>40312.808333333334</v>
      </c>
      <c r="E3134" s="26">
        <v>152.38107199999999</v>
      </c>
      <c r="G3134" s="27">
        <v>0.80833333333333324</v>
      </c>
      <c r="J3134" s="30">
        <f>IF(G3134&lt;$H$10,$H$16,IF(G3134&gt;$I$10,$H$16,$H$11))*E3134/600</f>
        <v>5.0793690666666669E-2</v>
      </c>
      <c r="L3134" s="32">
        <f>$J3134*($G3134-$G3133)*60*24</f>
        <v>5.079369066665837E-2</v>
      </c>
    </row>
    <row r="3135" spans="1:12">
      <c r="A3135" s="22">
        <v>40312.809027777781</v>
      </c>
      <c r="E3135" s="26">
        <v>152.33792399999999</v>
      </c>
      <c r="G3135" s="27">
        <v>0.80902777777777779</v>
      </c>
      <c r="J3135" s="30">
        <f>IF(G3135&lt;$H$10,$H$16,IF(G3135&gt;$I$10,$H$16,$H$11))*E3135/600</f>
        <v>5.0779307999999995E-2</v>
      </c>
      <c r="L3135" s="32">
        <f>$J3135*($G3135-$G3134)*60*24</f>
        <v>5.0779308000007933E-2</v>
      </c>
    </row>
    <row r="3136" spans="1:12">
      <c r="A3136" s="22">
        <v>40312.80972222222</v>
      </c>
      <c r="E3136" s="26">
        <v>152.69332</v>
      </c>
      <c r="G3136" s="27">
        <v>0.80972222222222223</v>
      </c>
      <c r="J3136" s="30">
        <f>IF(G3136&lt;$H$10,$H$16,IF(G3136&gt;$I$10,$H$16,$H$11))*E3136/600</f>
        <v>5.0897773333333333E-2</v>
      </c>
      <c r="L3136" s="32">
        <f>$J3136*($G3136-$G3135)*60*24</f>
        <v>5.0897773333333153E-2</v>
      </c>
    </row>
    <row r="3137" spans="1:12">
      <c r="A3137" s="22">
        <v>40312.810416666667</v>
      </c>
      <c r="E3137" s="26">
        <v>152.56231199999999</v>
      </c>
      <c r="G3137" s="27">
        <v>0.81041666666666667</v>
      </c>
      <c r="J3137" s="30">
        <f>IF(G3137&lt;$H$10,$H$16,IF(G3137&gt;$I$10,$H$16,$H$11))*E3137/600</f>
        <v>5.0854104000000004E-2</v>
      </c>
      <c r="L3137" s="32">
        <f>$J3137*($G3137-$G3136)*60*24</f>
        <v>5.0854103999999831E-2</v>
      </c>
    </row>
    <row r="3138" spans="1:12">
      <c r="A3138" s="22">
        <v>40312.811111111114</v>
      </c>
      <c r="E3138" s="26">
        <v>153.08984000000001</v>
      </c>
      <c r="G3138" s="27">
        <v>0.81111111111111101</v>
      </c>
      <c r="J3138" s="30">
        <f>IF(G3138&lt;$H$10,$H$16,IF(G3138&gt;$I$10,$H$16,$H$11))*E3138/600</f>
        <v>5.1029946666666673E-2</v>
      </c>
      <c r="L3138" s="32">
        <f>$J3138*($G3138-$G3137)*60*24</f>
        <v>5.1029946666658332E-2</v>
      </c>
    </row>
    <row r="3139" spans="1:12">
      <c r="A3139" s="22">
        <v>40312.811805555553</v>
      </c>
      <c r="E3139" s="26">
        <v>152.59000399999999</v>
      </c>
      <c r="G3139" s="27">
        <v>0.81180555555555556</v>
      </c>
      <c r="J3139" s="30">
        <f>IF(G3139&lt;$H$10,$H$16,IF(G3139&gt;$I$10,$H$16,$H$11))*E3139/600</f>
        <v>5.0863334666666662E-2</v>
      </c>
      <c r="L3139" s="32">
        <f>$J3139*($G3139-$G3138)*60*24</f>
        <v>5.0863334666674614E-2</v>
      </c>
    </row>
    <row r="3140" spans="1:12">
      <c r="A3140" s="22">
        <v>40312.8125</v>
      </c>
      <c r="E3140" s="26">
        <v>152.75827200000001</v>
      </c>
      <c r="G3140" s="27">
        <v>0.8125</v>
      </c>
      <c r="J3140" s="30">
        <f>IF(G3140&lt;$H$10,$H$16,IF(G3140&gt;$I$10,$H$16,$H$11))*E3140/600</f>
        <v>5.0919424000000005E-2</v>
      </c>
      <c r="L3140" s="32">
        <f>$J3140*($G3140-$G3139)*60*24</f>
        <v>5.0919423999999824E-2</v>
      </c>
    </row>
    <row r="3141" spans="1:12">
      <c r="A3141" s="22">
        <v>40312.813194444447</v>
      </c>
      <c r="E3141" s="26">
        <v>154.57104000000001</v>
      </c>
      <c r="G3141" s="27">
        <v>0.81319444444444444</v>
      </c>
      <c r="J3141" s="30">
        <f>IF(G3141&lt;$H$10,$H$16,IF(G3141&gt;$I$10,$H$16,$H$11))*E3141/600</f>
        <v>5.1523680000000002E-2</v>
      </c>
      <c r="L3141" s="32">
        <f>$J3141*($G3141-$G3140)*60*24</f>
        <v>5.1523679999999822E-2</v>
      </c>
    </row>
    <row r="3142" spans="1:12">
      <c r="A3142" s="22">
        <v>40312.813888888886</v>
      </c>
      <c r="E3142" s="26">
        <v>154.17599200000001</v>
      </c>
      <c r="G3142" s="27">
        <v>0.81388888888888899</v>
      </c>
      <c r="J3142" s="30">
        <f>IF(G3142&lt;$H$10,$H$16,IF(G3142&gt;$I$10,$H$16,$H$11))*E3142/600</f>
        <v>5.1391997333333335E-2</v>
      </c>
      <c r="L3142" s="32">
        <f>$J3142*($G3142-$G3141)*60*24</f>
        <v>5.1391997333341363E-2</v>
      </c>
    </row>
    <row r="3143" spans="1:12">
      <c r="A3143" s="22">
        <v>40312.814583333333</v>
      </c>
      <c r="E3143" s="26">
        <v>153.61055999999999</v>
      </c>
      <c r="G3143" s="27">
        <v>0.81458333333333333</v>
      </c>
      <c r="J3143" s="30">
        <f>IF(G3143&lt;$H$10,$H$16,IF(G3143&gt;$I$10,$H$16,$H$11))*E3143/600</f>
        <v>5.1203519999999995E-2</v>
      </c>
      <c r="L3143" s="32">
        <f>$J3143*($G3143-$G3142)*60*24</f>
        <v>5.1203519999991634E-2</v>
      </c>
    </row>
    <row r="3144" spans="1:12">
      <c r="A3144" s="22">
        <v>40312.81527777778</v>
      </c>
      <c r="E3144" s="26">
        <v>153.32609600000001</v>
      </c>
      <c r="G3144" s="27">
        <v>0.81527777777777777</v>
      </c>
      <c r="J3144" s="30">
        <f>IF(G3144&lt;$H$10,$H$16,IF(G3144&gt;$I$10,$H$16,$H$11))*E3144/600</f>
        <v>5.1108698666666674E-2</v>
      </c>
      <c r="L3144" s="32">
        <f>$J3144*($G3144-$G3143)*60*24</f>
        <v>5.1108698666666487E-2</v>
      </c>
    </row>
    <row r="3145" spans="1:12">
      <c r="A3145" s="22">
        <v>40312.815972222219</v>
      </c>
      <c r="E3145" s="26">
        <v>152.046008</v>
      </c>
      <c r="G3145" s="27">
        <v>0.81597222222222221</v>
      </c>
      <c r="J3145" s="30">
        <f>IF(G3145&lt;$H$10,$H$16,IF(G3145&gt;$I$10,$H$16,$H$11))*E3145/600</f>
        <v>5.068200266666667E-2</v>
      </c>
      <c r="L3145" s="32">
        <f>$J3145*($G3145-$G3144)*60*24</f>
        <v>5.068200266666649E-2</v>
      </c>
    </row>
    <row r="3146" spans="1:12">
      <c r="A3146" s="22">
        <v>40312.816666666666</v>
      </c>
      <c r="E3146" s="26">
        <v>152.313728</v>
      </c>
      <c r="G3146" s="27">
        <v>0.81666666666666676</v>
      </c>
      <c r="J3146" s="30">
        <f>IF(G3146&lt;$H$10,$H$16,IF(G3146&gt;$I$10,$H$16,$H$11))*E3146/600</f>
        <v>5.0771242666666667E-2</v>
      </c>
      <c r="L3146" s="32">
        <f>$J3146*($G3146-$G3145)*60*24</f>
        <v>5.0771242666674599E-2</v>
      </c>
    </row>
    <row r="3147" spans="1:12">
      <c r="A3147" s="22">
        <v>40312.817361111112</v>
      </c>
      <c r="E3147" s="26">
        <v>153.17862</v>
      </c>
      <c r="G3147" s="27">
        <v>0.81736111111111109</v>
      </c>
      <c r="J3147" s="30">
        <f>IF(G3147&lt;$H$10,$H$16,IF(G3147&gt;$I$10,$H$16,$H$11))*E3147/600</f>
        <v>5.105954E-2</v>
      </c>
      <c r="L3147" s="32">
        <f>$J3147*($G3147-$G3146)*60*24</f>
        <v>5.105953999999166E-2</v>
      </c>
    </row>
    <row r="3148" spans="1:12">
      <c r="A3148" s="22">
        <v>40312.818055555559</v>
      </c>
      <c r="E3148" s="26">
        <v>161.15039999999999</v>
      </c>
      <c r="G3148" s="27">
        <v>0.81805555555555554</v>
      </c>
      <c r="J3148" s="30">
        <f>IF(G3148&lt;$H$10,$H$16,IF(G3148&gt;$I$10,$H$16,$H$11))*E3148/600</f>
        <v>5.3716800000000002E-2</v>
      </c>
      <c r="L3148" s="32">
        <f>$J3148*($G3148-$G3147)*60*24</f>
        <v>5.3716799999999815E-2</v>
      </c>
    </row>
    <row r="3149" spans="1:12">
      <c r="A3149" s="22">
        <v>40312.818749999999</v>
      </c>
      <c r="E3149" s="26">
        <v>154.43911199999999</v>
      </c>
      <c r="G3149" s="27">
        <v>0.81874999999999998</v>
      </c>
      <c r="J3149" s="30">
        <f>IF(G3149&lt;$H$10,$H$16,IF(G3149&gt;$I$10,$H$16,$H$11))*E3149/600</f>
        <v>5.1479704000000001E-2</v>
      </c>
      <c r="L3149" s="32">
        <f>$J3149*($G3149-$G3148)*60*24</f>
        <v>5.1479703999999821E-2</v>
      </c>
    </row>
    <row r="3150" spans="1:12">
      <c r="A3150" s="22">
        <v>40312.819444444445</v>
      </c>
      <c r="E3150" s="26">
        <v>156.21149199999999</v>
      </c>
      <c r="G3150" s="27">
        <v>0.81944444444444453</v>
      </c>
      <c r="J3150" s="30">
        <f>IF(G3150&lt;$H$10,$H$16,IF(G3150&gt;$I$10,$H$16,$H$11))*E3150/600</f>
        <v>5.2070497333333333E-2</v>
      </c>
      <c r="L3150" s="32">
        <f>$J3150*($G3150-$G3149)*60*24</f>
        <v>5.2070497333341473E-2</v>
      </c>
    </row>
    <row r="3151" spans="1:12">
      <c r="A3151" s="22">
        <v>40312.820138888892</v>
      </c>
      <c r="E3151" s="26">
        <v>155.45644799999999</v>
      </c>
      <c r="G3151" s="27">
        <v>0.82013888888888886</v>
      </c>
      <c r="J3151" s="30">
        <f>IF(G3151&lt;$H$10,$H$16,IF(G3151&gt;$I$10,$H$16,$H$11))*E3151/600</f>
        <v>5.1818815999999997E-2</v>
      </c>
      <c r="L3151" s="32">
        <f>$J3151*($G3151-$G3150)*60*24</f>
        <v>5.1818815999991531E-2</v>
      </c>
    </row>
    <row r="3152" spans="1:12">
      <c r="A3152" s="22">
        <v>40312.820833333331</v>
      </c>
      <c r="E3152" s="26">
        <v>162.93562800000001</v>
      </c>
      <c r="G3152" s="27">
        <v>0.8208333333333333</v>
      </c>
      <c r="J3152" s="30">
        <f>IF(G3152&lt;$H$10,$H$16,IF(G3152&gt;$I$10,$H$16,$H$11))*E3152/600</f>
        <v>5.4311876000000002E-2</v>
      </c>
      <c r="L3152" s="32">
        <f>$J3152*($G3152-$G3151)*60*24</f>
        <v>5.4311875999999815E-2</v>
      </c>
    </row>
    <row r="3153" spans="1:12">
      <c r="A3153" s="22">
        <v>40312.821527777778</v>
      </c>
      <c r="E3153" s="26">
        <v>152.87639999999999</v>
      </c>
      <c r="G3153" s="27">
        <v>0.82152777777777775</v>
      </c>
      <c r="J3153" s="30">
        <f>IF(G3153&lt;$H$10,$H$16,IF(G3153&gt;$I$10,$H$16,$H$11))*E3153/600</f>
        <v>5.0958799999999999E-2</v>
      </c>
      <c r="L3153" s="32">
        <f>$J3153*($G3153-$G3152)*60*24</f>
        <v>5.0958799999999818E-2</v>
      </c>
    </row>
    <row r="3154" spans="1:12">
      <c r="A3154" s="22">
        <v>40312.822222222225</v>
      </c>
      <c r="E3154" s="26">
        <v>152.769036</v>
      </c>
      <c r="G3154" s="27">
        <v>0.8222222222222223</v>
      </c>
      <c r="J3154" s="30">
        <f>IF(G3154&lt;$H$10,$H$16,IF(G3154&gt;$I$10,$H$16,$H$11))*E3154/600</f>
        <v>5.0923012000000004E-2</v>
      </c>
      <c r="L3154" s="32">
        <f>$J3154*($G3154-$G3153)*60*24</f>
        <v>5.0923012000007956E-2</v>
      </c>
    </row>
    <row r="3155" spans="1:12">
      <c r="A3155" s="22">
        <v>40312.822916666664</v>
      </c>
      <c r="E3155" s="26">
        <v>152.70012800000001</v>
      </c>
      <c r="G3155" s="27">
        <v>0.82291666666666663</v>
      </c>
      <c r="J3155" s="30">
        <f>IF(G3155&lt;$H$10,$H$16,IF(G3155&gt;$I$10,$H$16,$H$11))*E3155/600</f>
        <v>5.0900042666666673E-2</v>
      </c>
      <c r="L3155" s="32">
        <f>$J3155*($G3155-$G3154)*60*24</f>
        <v>5.090004266665836E-2</v>
      </c>
    </row>
    <row r="3156" spans="1:12">
      <c r="A3156" s="22">
        <v>40312.823611111111</v>
      </c>
      <c r="E3156" s="26">
        <v>152.84438399999999</v>
      </c>
      <c r="G3156" s="27">
        <v>0.82361111111111107</v>
      </c>
      <c r="J3156" s="30">
        <f>IF(G3156&lt;$H$10,$H$16,IF(G3156&gt;$I$10,$H$16,$H$11))*E3156/600</f>
        <v>5.0948127999999995E-2</v>
      </c>
      <c r="L3156" s="32">
        <f>$J3156*($G3156-$G3155)*60*24</f>
        <v>5.0948127999999815E-2</v>
      </c>
    </row>
    <row r="3157" spans="1:12">
      <c r="A3157" s="22">
        <v>40312.824305555558</v>
      </c>
      <c r="E3157" s="26">
        <v>152.63535999999999</v>
      </c>
      <c r="G3157" s="27">
        <v>0.82430555555555562</v>
      </c>
      <c r="J3157" s="30">
        <f>IF(G3157&lt;$H$10,$H$16,IF(G3157&gt;$I$10,$H$16,$H$11))*E3157/600</f>
        <v>5.0878453333333337E-2</v>
      </c>
      <c r="L3157" s="32">
        <f>$J3157*($G3157-$G3156)*60*24</f>
        <v>5.0878453333341289E-2</v>
      </c>
    </row>
    <row r="3158" spans="1:12">
      <c r="A3158" s="22">
        <v>40312.824999999997</v>
      </c>
      <c r="E3158" s="26">
        <v>152.500304</v>
      </c>
      <c r="G3158" s="27">
        <v>0.82500000000000007</v>
      </c>
      <c r="J3158" s="30">
        <f>IF(G3158&lt;$H$10,$H$16,IF(G3158&gt;$I$10,$H$16,$H$11))*E3158/600</f>
        <v>5.083343466666667E-2</v>
      </c>
      <c r="L3158" s="32">
        <f>$J3158*($G3158-$G3157)*60*24</f>
        <v>5.083343466666649E-2</v>
      </c>
    </row>
    <row r="3159" spans="1:12">
      <c r="A3159" s="22">
        <v>40312.825694444444</v>
      </c>
      <c r="E3159" s="26">
        <v>152.8442</v>
      </c>
      <c r="G3159" s="27">
        <v>0.8256944444444444</v>
      </c>
      <c r="J3159" s="30">
        <f>IF(G3159&lt;$H$10,$H$16,IF(G3159&gt;$I$10,$H$16,$H$11))*E3159/600</f>
        <v>5.0948066666666667E-2</v>
      </c>
      <c r="L3159" s="32">
        <f>$J3159*($G3159-$G3158)*60*24</f>
        <v>5.094806666665834E-2</v>
      </c>
    </row>
    <row r="3160" spans="1:12">
      <c r="A3160" s="22">
        <v>40312.826388888891</v>
      </c>
      <c r="E3160" s="26">
        <v>152.500304</v>
      </c>
      <c r="G3160" s="27">
        <v>0.82638888888888884</v>
      </c>
      <c r="J3160" s="30">
        <f>IF(G3160&lt;$H$10,$H$16,IF(G3160&gt;$I$10,$H$16,$H$11))*E3160/600</f>
        <v>5.083343466666667E-2</v>
      </c>
      <c r="L3160" s="32">
        <f>$J3160*($G3160-$G3159)*60*24</f>
        <v>5.083343466666649E-2</v>
      </c>
    </row>
    <row r="3161" spans="1:12">
      <c r="A3161" s="22">
        <v>40312.82708333333</v>
      </c>
      <c r="E3161" s="26">
        <v>160.61499900000001</v>
      </c>
      <c r="G3161" s="27">
        <v>0.82708333333333339</v>
      </c>
      <c r="J3161" s="30">
        <f>IF(G3161&lt;$H$10,$H$16,IF(G3161&gt;$I$10,$H$16,$H$11))*E3161/600</f>
        <v>5.3538333E-2</v>
      </c>
      <c r="L3161" s="32">
        <f>$J3161*($G3161-$G3160)*60*24</f>
        <v>5.3538333000008362E-2</v>
      </c>
    </row>
    <row r="3162" spans="1:12">
      <c r="A3162" s="22">
        <v>40312.827777777777</v>
      </c>
      <c r="E3162" s="26">
        <v>164.14416299999999</v>
      </c>
      <c r="G3162" s="27">
        <v>0.82777777777777783</v>
      </c>
      <c r="J3162" s="30">
        <f>IF(G3162&lt;$H$10,$H$16,IF(G3162&gt;$I$10,$H$16,$H$11))*E3162/600</f>
        <v>5.4714720999999994E-2</v>
      </c>
      <c r="L3162" s="32">
        <f>$J3162*($G3162-$G3161)*60*24</f>
        <v>5.47147209999998E-2</v>
      </c>
    </row>
    <row r="3163" spans="1:12">
      <c r="A3163" s="22">
        <v>40312.828472222223</v>
      </c>
      <c r="E3163" s="26">
        <v>159.09361200000001</v>
      </c>
      <c r="G3163" s="27">
        <v>0.82847222222222217</v>
      </c>
      <c r="J3163" s="30">
        <f>IF(G3163&lt;$H$10,$H$16,IF(G3163&gt;$I$10,$H$16,$H$11))*E3163/600</f>
        <v>5.3031204000000005E-2</v>
      </c>
      <c r="L3163" s="32">
        <f>$J3163*($G3163-$G3162)*60*24</f>
        <v>5.3031203999991332E-2</v>
      </c>
    </row>
    <row r="3164" spans="1:12">
      <c r="A3164" s="22">
        <v>40312.82916666667</v>
      </c>
      <c r="E3164" s="26">
        <v>154.48410000000001</v>
      </c>
      <c r="G3164" s="27">
        <v>0.82916666666666661</v>
      </c>
      <c r="J3164" s="30">
        <f>IF(G3164&lt;$H$10,$H$16,IF(G3164&gt;$I$10,$H$16,$H$11))*E3164/600</f>
        <v>5.1494700000000011E-2</v>
      </c>
      <c r="L3164" s="32">
        <f>$J3164*($G3164-$G3163)*60*24</f>
        <v>5.1494699999999824E-2</v>
      </c>
    </row>
    <row r="3165" spans="1:12">
      <c r="A3165" s="22">
        <v>40312.829861111109</v>
      </c>
      <c r="E3165" s="26">
        <v>153.97708800000001</v>
      </c>
      <c r="G3165" s="27">
        <v>0.82986111111111116</v>
      </c>
      <c r="J3165" s="30">
        <f>IF(G3165&lt;$H$10,$H$16,IF(G3165&gt;$I$10,$H$16,$H$11))*E3165/600</f>
        <v>5.1325696000000004E-2</v>
      </c>
      <c r="L3165" s="32">
        <f>$J3165*($G3165-$G3164)*60*24</f>
        <v>5.1325696000008025E-2</v>
      </c>
    </row>
    <row r="3166" spans="1:12">
      <c r="A3166" s="22">
        <v>40312.830555555556</v>
      </c>
      <c r="E3166" s="26">
        <v>154.22061199999999</v>
      </c>
      <c r="G3166" s="27">
        <v>0.8305555555555556</v>
      </c>
      <c r="J3166" s="30">
        <f>IF(G3166&lt;$H$10,$H$16,IF(G3166&gt;$I$10,$H$16,$H$11))*E3166/600</f>
        <v>5.1406870666666667E-2</v>
      </c>
      <c r="L3166" s="32">
        <f>$J3166*($G3166-$G3165)*60*24</f>
        <v>5.1406870666666479E-2</v>
      </c>
    </row>
    <row r="3167" spans="1:12">
      <c r="A3167" s="22">
        <v>40312.831250000003</v>
      </c>
      <c r="E3167" s="26">
        <v>154.64942400000001</v>
      </c>
      <c r="G3167" s="27">
        <v>0.83124999999999993</v>
      </c>
      <c r="J3167" s="30">
        <f>IF(G3167&lt;$H$10,$H$16,IF(G3167&gt;$I$10,$H$16,$H$11))*E3167/600</f>
        <v>5.1549808000000003E-2</v>
      </c>
      <c r="L3167" s="32">
        <f>$J3167*($G3167-$G3166)*60*24</f>
        <v>5.1549807999991572E-2</v>
      </c>
    </row>
    <row r="3168" spans="1:12">
      <c r="A3168" s="22">
        <v>40312.831944444442</v>
      </c>
      <c r="E3168" s="26">
        <v>151.545252</v>
      </c>
      <c r="G3168" s="27">
        <v>0.83194444444444438</v>
      </c>
      <c r="J3168" s="30">
        <f>IF(G3168&lt;$H$10,$H$16,IF(G3168&gt;$I$10,$H$16,$H$11))*E3168/600</f>
        <v>5.0515084000000009E-2</v>
      </c>
      <c r="L3168" s="32">
        <f>$J3168*($G3168-$G3167)*60*24</f>
        <v>5.0515083999999835E-2</v>
      </c>
    </row>
    <row r="3169" spans="1:12">
      <c r="A3169" s="22">
        <v>40312.832638888889</v>
      </c>
      <c r="E3169" s="26">
        <v>151.46769599999999</v>
      </c>
      <c r="G3169" s="27">
        <v>0.83263888888888893</v>
      </c>
      <c r="J3169" s="30">
        <f>IF(G3169&lt;$H$10,$H$16,IF(G3169&gt;$I$10,$H$16,$H$11))*E3169/600</f>
        <v>5.0489231999999995E-2</v>
      </c>
      <c r="L3169" s="32">
        <f>$J3169*($G3169-$G3168)*60*24</f>
        <v>5.0489232000007891E-2</v>
      </c>
    </row>
    <row r="3170" spans="1:12">
      <c r="A3170" s="22">
        <v>40312.833333333336</v>
      </c>
      <c r="E3170" s="26">
        <v>151.40697599999999</v>
      </c>
      <c r="G3170" s="27">
        <v>0.83333333333333337</v>
      </c>
      <c r="J3170" s="30">
        <f>IF(G3170&lt;$H$10,$H$16,IF(G3170&gt;$I$10,$H$16,$H$11))*E3170/600</f>
        <v>5.0468991999999997E-2</v>
      </c>
      <c r="L3170" s="32">
        <f>$J3170*($G3170-$G3169)*60*24</f>
        <v>5.0468991999999824E-2</v>
      </c>
    </row>
    <row r="3171" spans="1:12">
      <c r="A3171" s="22">
        <v>40312.834027777775</v>
      </c>
      <c r="E3171" s="26">
        <v>151.40853999999999</v>
      </c>
      <c r="G3171" s="27">
        <v>0.8340277777777777</v>
      </c>
      <c r="J3171" s="30">
        <f>IF(G3171&lt;$H$10,$H$16,IF(G3171&gt;$I$10,$H$16,$H$11))*E3171/600</f>
        <v>5.0469513333333334E-2</v>
      </c>
      <c r="L3171" s="32">
        <f>$J3171*($G3171-$G3170)*60*24</f>
        <v>5.0469513333325083E-2</v>
      </c>
    </row>
    <row r="3172" spans="1:12">
      <c r="A3172" s="22">
        <v>40312.834722222222</v>
      </c>
      <c r="E3172" s="26">
        <v>152.63535999999999</v>
      </c>
      <c r="G3172" s="27">
        <v>0.83472222222222225</v>
      </c>
      <c r="J3172" s="30">
        <f>IF(G3172&lt;$H$10,$H$16,IF(G3172&gt;$I$10,$H$16,$H$11))*E3172/600</f>
        <v>5.0878453333333337E-2</v>
      </c>
      <c r="L3172" s="32">
        <f>$J3172*($G3172-$G3171)*60*24</f>
        <v>5.0878453333341289E-2</v>
      </c>
    </row>
    <row r="3173" spans="1:12">
      <c r="A3173" s="22">
        <v>40312.835416666669</v>
      </c>
      <c r="E3173" s="26">
        <v>151.81315599999999</v>
      </c>
      <c r="G3173" s="27">
        <v>0.8354166666666667</v>
      </c>
      <c r="J3173" s="30">
        <f>IF(G3173&lt;$H$10,$H$16,IF(G3173&gt;$I$10,$H$16,$H$11))*E3173/600</f>
        <v>5.0604385333333335E-2</v>
      </c>
      <c r="L3173" s="32">
        <f>$J3173*($G3173-$G3172)*60*24</f>
        <v>5.0604385333333154E-2</v>
      </c>
    </row>
    <row r="3174" spans="1:12">
      <c r="A3174" s="22">
        <v>40312.836111111108</v>
      </c>
      <c r="E3174" s="26">
        <v>156.953104</v>
      </c>
      <c r="G3174" s="27">
        <v>0.83611111111111114</v>
      </c>
      <c r="J3174" s="30">
        <f>IF(G3174&lt;$H$10,$H$16,IF(G3174&gt;$I$10,$H$16,$H$11))*E3174/600</f>
        <v>5.2317701333333334E-2</v>
      </c>
      <c r="L3174" s="32">
        <f>$J3174*($G3174-$G3173)*60*24</f>
        <v>5.2317701333333147E-2</v>
      </c>
    </row>
    <row r="3175" spans="1:12">
      <c r="A3175" s="22">
        <v>40312.836805555555</v>
      </c>
      <c r="E3175" s="26">
        <v>154.07828799999999</v>
      </c>
      <c r="G3175" s="27">
        <v>0.83680555555555547</v>
      </c>
      <c r="J3175" s="30">
        <f>IF(G3175&lt;$H$10,$H$16,IF(G3175&gt;$I$10,$H$16,$H$11))*E3175/600</f>
        <v>5.1359429333333331E-2</v>
      </c>
      <c r="L3175" s="32">
        <f>$J3175*($G3175-$G3174)*60*24</f>
        <v>5.1359429333324935E-2</v>
      </c>
    </row>
    <row r="3176" spans="1:12">
      <c r="A3176" s="22">
        <v>40312.837500000001</v>
      </c>
      <c r="E3176" s="26">
        <v>161.204712</v>
      </c>
      <c r="G3176" s="27">
        <v>0.83750000000000002</v>
      </c>
      <c r="J3176" s="30">
        <f>IF(G3176&lt;$H$10,$H$16,IF(G3176&gt;$I$10,$H$16,$H$11))*E3176/600</f>
        <v>5.3734904E-2</v>
      </c>
      <c r="L3176" s="32">
        <f>$J3176*($G3176-$G3175)*60*24</f>
        <v>5.3734904000008396E-2</v>
      </c>
    </row>
    <row r="3177" spans="1:12">
      <c r="A3177" s="22">
        <v>40312.838194444441</v>
      </c>
      <c r="E3177" s="26">
        <v>153.80099999999999</v>
      </c>
      <c r="G3177" s="27">
        <v>0.83819444444444446</v>
      </c>
      <c r="J3177" s="30">
        <f>IF(G3177&lt;$H$10,$H$16,IF(G3177&gt;$I$10,$H$16,$H$11))*E3177/600</f>
        <v>5.1266999999999993E-2</v>
      </c>
      <c r="L3177" s="32">
        <f>$J3177*($G3177-$G3176)*60*24</f>
        <v>5.1266999999999813E-2</v>
      </c>
    </row>
    <row r="3178" spans="1:12">
      <c r="A3178" s="22">
        <v>40312.838888888888</v>
      </c>
      <c r="E3178" s="26">
        <v>153.73374799999999</v>
      </c>
      <c r="G3178" s="27">
        <v>0.83888888888888891</v>
      </c>
      <c r="J3178" s="30">
        <f>IF(G3178&lt;$H$10,$H$16,IF(G3178&gt;$I$10,$H$16,$H$11))*E3178/600</f>
        <v>5.124458266666667E-2</v>
      </c>
      <c r="L3178" s="32">
        <f>$J3178*($G3178-$G3177)*60*24</f>
        <v>5.124458266666649E-2</v>
      </c>
    </row>
    <row r="3179" spans="1:12">
      <c r="A3179" s="22">
        <v>40312.839583333334</v>
      </c>
      <c r="E3179" s="26">
        <v>155.656611</v>
      </c>
      <c r="G3179" s="27">
        <v>0.83958333333333324</v>
      </c>
      <c r="J3179" s="30">
        <f>IF(G3179&lt;$H$10,$H$16,IF(G3179&gt;$I$10,$H$16,$H$11))*E3179/600</f>
        <v>5.1885537000000002E-2</v>
      </c>
      <c r="L3179" s="32">
        <f>$J3179*($G3179-$G3178)*60*24</f>
        <v>5.1885536999991516E-2</v>
      </c>
    </row>
    <row r="3180" spans="1:12">
      <c r="A3180" s="22">
        <v>40312.840277777781</v>
      </c>
      <c r="E3180" s="26">
        <v>154.33517399999999</v>
      </c>
      <c r="G3180" s="27">
        <v>0.84027777777777779</v>
      </c>
      <c r="J3180" s="30">
        <f>IF(G3180&lt;$H$10,$H$16,IF(G3180&gt;$I$10,$H$16,$H$11))*E3180/600</f>
        <v>5.1445057999999995E-2</v>
      </c>
      <c r="L3180" s="32">
        <f>$J3180*($G3180-$G3179)*60*24</f>
        <v>5.144505800000803E-2</v>
      </c>
    </row>
    <row r="3181" spans="1:12">
      <c r="A3181" s="22">
        <v>40312.84097222222</v>
      </c>
      <c r="E3181" s="26">
        <v>154.67760000000001</v>
      </c>
      <c r="G3181" s="27">
        <v>0.84097222222222223</v>
      </c>
      <c r="J3181" s="30">
        <f>IF(G3181&lt;$H$10,$H$16,IF(G3181&gt;$I$10,$H$16,$H$11))*E3181/600</f>
        <v>5.1559200000000006E-2</v>
      </c>
      <c r="L3181" s="32">
        <f>$J3181*($G3181-$G3180)*60*24</f>
        <v>5.1559199999999826E-2</v>
      </c>
    </row>
    <row r="3182" spans="1:12">
      <c r="A3182" s="22">
        <v>40312.841666666667</v>
      </c>
      <c r="E3182" s="26">
        <v>154.21669199999999</v>
      </c>
      <c r="G3182" s="27">
        <v>0.84166666666666667</v>
      </c>
      <c r="J3182" s="30">
        <f>IF(G3182&lt;$H$10,$H$16,IF(G3182&gt;$I$10,$H$16,$H$11))*E3182/600</f>
        <v>5.1405564000000001E-2</v>
      </c>
      <c r="L3182" s="32">
        <f>$J3182*($G3182-$G3181)*60*24</f>
        <v>5.140556399999982E-2</v>
      </c>
    </row>
    <row r="3183" spans="1:12">
      <c r="A3183" s="22">
        <v>40312.842361111114</v>
      </c>
      <c r="E3183" s="26">
        <v>153.77270999999999</v>
      </c>
      <c r="G3183" s="27">
        <v>0.84236111111111101</v>
      </c>
      <c r="J3183" s="30">
        <f>IF(G3183&lt;$H$10,$H$16,IF(G3183&gt;$I$10,$H$16,$H$11))*E3183/600</f>
        <v>5.1257570000000002E-2</v>
      </c>
      <c r="L3183" s="32">
        <f>$J3183*($G3183-$G3182)*60*24</f>
        <v>5.1257569999991634E-2</v>
      </c>
    </row>
    <row r="3184" spans="1:12">
      <c r="A3184" s="22">
        <v>40312.843055555553</v>
      </c>
      <c r="E3184" s="26">
        <v>153.625584</v>
      </c>
      <c r="G3184" s="27">
        <v>0.84305555555555556</v>
      </c>
      <c r="J3184" s="30">
        <f>IF(G3184&lt;$H$10,$H$16,IF(G3184&gt;$I$10,$H$16,$H$11))*E3184/600</f>
        <v>5.1208528000000003E-2</v>
      </c>
      <c r="L3184" s="32">
        <f>$J3184*($G3184-$G3183)*60*24</f>
        <v>5.1208528000008011E-2</v>
      </c>
    </row>
    <row r="3185" spans="1:12">
      <c r="A3185" s="22">
        <v>40312.84375</v>
      </c>
      <c r="E3185" s="26">
        <v>153.96949799999999</v>
      </c>
      <c r="G3185" s="27">
        <v>0.84375</v>
      </c>
      <c r="J3185" s="30">
        <f>IF(G3185&lt;$H$10,$H$16,IF(G3185&gt;$I$10,$H$16,$H$11))*E3185/600</f>
        <v>5.1323165999999996E-2</v>
      </c>
      <c r="L3185" s="32">
        <f>$J3185*($G3185-$G3184)*60*24</f>
        <v>5.1323165999999823E-2</v>
      </c>
    </row>
    <row r="3186" spans="1:12">
      <c r="A3186" s="22">
        <v>40312.844444444447</v>
      </c>
      <c r="E3186" s="26">
        <v>152.39119199999999</v>
      </c>
      <c r="G3186" s="27">
        <v>0.84444444444444444</v>
      </c>
      <c r="J3186" s="30">
        <f>IF(G3186&lt;$H$10,$H$16,IF(G3186&gt;$I$10,$H$16,$H$11))*E3186/600</f>
        <v>5.0797063999999996E-2</v>
      </c>
      <c r="L3186" s="32">
        <f>$J3186*($G3186-$G3185)*60*24</f>
        <v>5.0797063999999809E-2</v>
      </c>
    </row>
    <row r="3187" spans="1:12">
      <c r="A3187" s="22">
        <v>40312.845138888886</v>
      </c>
      <c r="E3187" s="26">
        <v>153.61911599999999</v>
      </c>
      <c r="G3187" s="27">
        <v>0.84513888888888899</v>
      </c>
      <c r="J3187" s="30">
        <f>IF(G3187&lt;$H$10,$H$16,IF(G3187&gt;$I$10,$H$16,$H$11))*E3187/600</f>
        <v>5.1206372E-2</v>
      </c>
      <c r="L3187" s="32">
        <f>$J3187*($G3187-$G3186)*60*24</f>
        <v>5.1206372000008007E-2</v>
      </c>
    </row>
    <row r="3188" spans="1:12">
      <c r="A3188" s="22">
        <v>40312.845833333333</v>
      </c>
      <c r="E3188" s="26">
        <v>159.03418500000001</v>
      </c>
      <c r="G3188" s="27">
        <v>0.84583333333333333</v>
      </c>
      <c r="J3188" s="30">
        <f>IF(G3188&lt;$H$10,$H$16,IF(G3188&gt;$I$10,$H$16,$H$11))*E3188/600</f>
        <v>5.3011395000000003E-2</v>
      </c>
      <c r="L3188" s="32">
        <f>$J3188*($G3188-$G3187)*60*24</f>
        <v>5.3011394999991343E-2</v>
      </c>
    </row>
    <row r="3189" spans="1:12">
      <c r="A3189" s="22">
        <v>40312.84652777778</v>
      </c>
      <c r="E3189" s="26">
        <v>161.21317500000001</v>
      </c>
      <c r="G3189" s="27">
        <v>0.84652777777777777</v>
      </c>
      <c r="J3189" s="30">
        <f>IF(G3189&lt;$H$10,$H$16,IF(G3189&gt;$I$10,$H$16,$H$11))*E3189/600</f>
        <v>5.3737725E-2</v>
      </c>
      <c r="L3189" s="32">
        <f>$J3189*($G3189-$G3188)*60*24</f>
        <v>5.3737724999999806E-2</v>
      </c>
    </row>
    <row r="3190" spans="1:12">
      <c r="A3190" s="22">
        <v>40312.847222222219</v>
      </c>
      <c r="E3190" s="26">
        <v>161.65780799999999</v>
      </c>
      <c r="G3190" s="27">
        <v>0.84722222222222221</v>
      </c>
      <c r="J3190" s="30">
        <f>IF(G3190&lt;$H$10,$H$16,IF(G3190&gt;$I$10,$H$16,$H$11))*E3190/600</f>
        <v>5.3885936000000002E-2</v>
      </c>
      <c r="L3190" s="32">
        <f>$J3190*($G3190-$G3189)*60*24</f>
        <v>5.3885935999999815E-2</v>
      </c>
    </row>
    <row r="3191" spans="1:12">
      <c r="A3191" s="22">
        <v>40312.847916666666</v>
      </c>
      <c r="E3191" s="26">
        <v>159.81510599999999</v>
      </c>
      <c r="G3191" s="27">
        <v>0.84791666666666676</v>
      </c>
      <c r="J3191" s="30">
        <f>IF(G3191&lt;$H$10,$H$16,IF(G3191&gt;$I$10,$H$16,$H$11))*E3191/600</f>
        <v>5.3271701999999997E-2</v>
      </c>
      <c r="L3191" s="32">
        <f>$J3191*($G3191-$G3190)*60*24</f>
        <v>5.3271702000008317E-2</v>
      </c>
    </row>
    <row r="3192" spans="1:12">
      <c r="A3192" s="22">
        <v>40312.848611111112</v>
      </c>
      <c r="E3192" s="26">
        <v>158.66916000000001</v>
      </c>
      <c r="G3192" s="27">
        <v>0.84861111111111109</v>
      </c>
      <c r="J3192" s="30">
        <f>IF(G3192&lt;$H$10,$H$16,IF(G3192&gt;$I$10,$H$16,$H$11))*E3192/600</f>
        <v>5.2889720000000008E-2</v>
      </c>
      <c r="L3192" s="32">
        <f>$J3192*($G3192-$G3191)*60*24</f>
        <v>5.2889719999991362E-2</v>
      </c>
    </row>
    <row r="3193" spans="1:12">
      <c r="A3193" s="22">
        <v>40312.849305555559</v>
      </c>
      <c r="E3193" s="26">
        <v>159.12448800000001</v>
      </c>
      <c r="G3193" s="27">
        <v>0.84930555555555554</v>
      </c>
      <c r="J3193" s="30">
        <f>IF(G3193&lt;$H$10,$H$16,IF(G3193&gt;$I$10,$H$16,$H$11))*E3193/600</f>
        <v>5.3041496000000007E-2</v>
      </c>
      <c r="L3193" s="32">
        <f>$J3193*($G3193-$G3192)*60*24</f>
        <v>5.3041495999999813E-2</v>
      </c>
    </row>
    <row r="3194" spans="1:12">
      <c r="A3194" s="22">
        <v>40312.85</v>
      </c>
      <c r="E3194" s="26">
        <v>160.052256</v>
      </c>
      <c r="G3194" s="27">
        <v>0.85</v>
      </c>
      <c r="J3194" s="30">
        <f>IF(G3194&lt;$H$10,$H$16,IF(G3194&gt;$I$10,$H$16,$H$11))*E3194/600</f>
        <v>5.3350751999999994E-2</v>
      </c>
      <c r="L3194" s="32">
        <f>$J3194*($G3194-$G3193)*60*24</f>
        <v>5.3350751999999793E-2</v>
      </c>
    </row>
    <row r="3195" spans="1:12">
      <c r="A3195" s="22">
        <v>40312.850694444445</v>
      </c>
      <c r="E3195" s="26">
        <v>159.48811799999999</v>
      </c>
      <c r="G3195" s="27">
        <v>0.85069444444444453</v>
      </c>
      <c r="J3195" s="30">
        <f>IF(G3195&lt;$H$10,$H$16,IF(G3195&gt;$I$10,$H$16,$H$11))*E3195/600</f>
        <v>5.3162705999999997E-2</v>
      </c>
      <c r="L3195" s="32">
        <f>$J3195*($G3195-$G3194)*60*24</f>
        <v>5.3162706000008303E-2</v>
      </c>
    </row>
    <row r="3196" spans="1:12">
      <c r="A3196" s="22">
        <v>40312.851388888892</v>
      </c>
      <c r="E3196" s="26">
        <v>158.034807</v>
      </c>
      <c r="G3196" s="27">
        <v>0.85138888888888886</v>
      </c>
      <c r="J3196" s="30">
        <f>IF(G3196&lt;$H$10,$H$16,IF(G3196&gt;$I$10,$H$16,$H$11))*E3196/600</f>
        <v>5.2678269000000007E-2</v>
      </c>
      <c r="L3196" s="32">
        <f>$J3196*($G3196-$G3195)*60*24</f>
        <v>5.2678268999991396E-2</v>
      </c>
    </row>
    <row r="3197" spans="1:12">
      <c r="A3197" s="22">
        <v>40312.852083333331</v>
      </c>
      <c r="E3197" s="26">
        <v>158.23819800000001</v>
      </c>
      <c r="G3197" s="27">
        <v>0.8520833333333333</v>
      </c>
      <c r="J3197" s="30">
        <f>IF(G3197&lt;$H$10,$H$16,IF(G3197&gt;$I$10,$H$16,$H$11))*E3197/600</f>
        <v>5.2746066000000008E-2</v>
      </c>
      <c r="L3197" s="32">
        <f>$J3197*($G3197-$G3196)*60*24</f>
        <v>5.2746065999999821E-2</v>
      </c>
    </row>
    <row r="3198" spans="1:12">
      <c r="A3198" s="22">
        <v>40312.852777777778</v>
      </c>
      <c r="E3198" s="26">
        <v>158.35481999999999</v>
      </c>
      <c r="G3198" s="27">
        <v>0.85277777777777775</v>
      </c>
      <c r="J3198" s="30">
        <f>IF(G3198&lt;$H$10,$H$16,IF(G3198&gt;$I$10,$H$16,$H$11))*E3198/600</f>
        <v>5.2784939999999995E-2</v>
      </c>
      <c r="L3198" s="32">
        <f>$J3198*($G3198-$G3197)*60*24</f>
        <v>5.2784939999999808E-2</v>
      </c>
    </row>
    <row r="3199" spans="1:12">
      <c r="A3199" s="22">
        <v>40312.853472222225</v>
      </c>
      <c r="E3199" s="26">
        <v>160.39784399999999</v>
      </c>
      <c r="G3199" s="27">
        <v>0.8534722222222223</v>
      </c>
      <c r="J3199" s="30">
        <f>IF(G3199&lt;$H$10,$H$16,IF(G3199&gt;$I$10,$H$16,$H$11))*E3199/600</f>
        <v>5.3465947999999992E-2</v>
      </c>
      <c r="L3199" s="32">
        <f>$J3199*($G3199-$G3198)*60*24</f>
        <v>5.3465948000008347E-2</v>
      </c>
    </row>
    <row r="3200" spans="1:12">
      <c r="A3200" s="22">
        <v>40312.854166666664</v>
      </c>
      <c r="E3200" s="26">
        <v>167.36577600000001</v>
      </c>
      <c r="G3200" s="27">
        <v>0.85416666666666663</v>
      </c>
      <c r="J3200" s="30">
        <f>IF(G3200&lt;$H$10,$H$16,IF(G3200&gt;$I$10,$H$16,$H$11))*E3200/600</f>
        <v>5.5788591999999998E-2</v>
      </c>
      <c r="L3200" s="32">
        <f>$J3200*($G3200-$G3199)*60*24</f>
        <v>5.578859199999088E-2</v>
      </c>
    </row>
    <row r="3201" spans="1:12">
      <c r="A3201" s="22">
        <v>40312.854861111111</v>
      </c>
      <c r="E3201" s="26">
        <v>179.88075000000001</v>
      </c>
      <c r="G3201" s="27">
        <v>0.85486111111111107</v>
      </c>
      <c r="J3201" s="30">
        <f>IF(G3201&lt;$H$10,$H$16,IF(G3201&gt;$I$10,$H$16,$H$11))*E3201/600</f>
        <v>5.9960250000000007E-2</v>
      </c>
      <c r="L3201" s="32">
        <f>$J3201*($G3201-$G3200)*60*24</f>
        <v>5.9960249999999798E-2</v>
      </c>
    </row>
    <row r="3202" spans="1:12">
      <c r="A3202" s="22">
        <v>40312.855555555558</v>
      </c>
      <c r="E3202" s="26">
        <v>179.50710000000001</v>
      </c>
      <c r="G3202" s="27">
        <v>0.85555555555555562</v>
      </c>
      <c r="J3202" s="30">
        <f>IF(G3202&lt;$H$10,$H$16,IF(G3202&gt;$I$10,$H$16,$H$11))*E3202/600</f>
        <v>5.9835700000000006E-2</v>
      </c>
      <c r="L3202" s="32">
        <f>$J3202*($G3202-$G3201)*60*24</f>
        <v>5.9835700000009359E-2</v>
      </c>
    </row>
    <row r="3203" spans="1:12">
      <c r="A3203" s="22">
        <v>40312.856249999997</v>
      </c>
      <c r="E3203" s="26">
        <v>179.13260399999999</v>
      </c>
      <c r="G3203" s="27">
        <v>0.85625000000000007</v>
      </c>
      <c r="J3203" s="30">
        <f>IF(G3203&lt;$H$10,$H$16,IF(G3203&gt;$I$10,$H$16,$H$11))*E3203/600</f>
        <v>5.9710867999999993E-2</v>
      </c>
      <c r="L3203" s="32">
        <f>$J3203*($G3203-$G3202)*60*24</f>
        <v>5.9710867999999778E-2</v>
      </c>
    </row>
    <row r="3204" spans="1:12">
      <c r="A3204" s="22">
        <v>40312.856944444444</v>
      </c>
      <c r="E3204" s="26">
        <v>179.48736</v>
      </c>
      <c r="G3204" s="27">
        <v>0.8569444444444444</v>
      </c>
      <c r="J3204" s="30">
        <f>IF(G3204&lt;$H$10,$H$16,IF(G3204&gt;$I$10,$H$16,$H$11))*E3204/600</f>
        <v>5.982912E-2</v>
      </c>
      <c r="L3204" s="32">
        <f>$J3204*($G3204-$G3203)*60*24</f>
        <v>5.9829119999990223E-2</v>
      </c>
    </row>
    <row r="3205" spans="1:12">
      <c r="A3205" s="22">
        <v>40312.857638888891</v>
      </c>
      <c r="E3205" s="26">
        <v>179.6951</v>
      </c>
      <c r="G3205" s="27">
        <v>0.85763888888888884</v>
      </c>
      <c r="J3205" s="30">
        <f>IF(G3205&lt;$H$10,$H$16,IF(G3205&gt;$I$10,$H$16,$H$11))*E3205/600</f>
        <v>5.9898366666666668E-2</v>
      </c>
      <c r="L3205" s="32">
        <f>$J3205*($G3205-$G3204)*60*24</f>
        <v>5.9898366666666453E-2</v>
      </c>
    </row>
    <row r="3206" spans="1:12">
      <c r="A3206" s="22">
        <v>40312.85833333333</v>
      </c>
      <c r="E3206" s="26">
        <v>178.88613599999999</v>
      </c>
      <c r="G3206" s="27">
        <v>0.85833333333333339</v>
      </c>
      <c r="J3206" s="30">
        <f>IF(G3206&lt;$H$10,$H$16,IF(G3206&gt;$I$10,$H$16,$H$11))*E3206/600</f>
        <v>5.9628712E-2</v>
      </c>
      <c r="L3206" s="32">
        <f>$J3206*($G3206-$G3205)*60*24</f>
        <v>5.9628712000009319E-2</v>
      </c>
    </row>
    <row r="3207" spans="1:12">
      <c r="A3207" s="22">
        <v>40312.859027777777</v>
      </c>
      <c r="E3207" s="26">
        <v>179.013882</v>
      </c>
      <c r="G3207" s="27">
        <v>0.85902777777777783</v>
      </c>
      <c r="J3207" s="30">
        <f>IF(G3207&lt;$H$10,$H$16,IF(G3207&gt;$I$10,$H$16,$H$11))*E3207/600</f>
        <v>5.9671294E-2</v>
      </c>
      <c r="L3207" s="32">
        <f>$J3207*($G3207-$G3206)*60*24</f>
        <v>5.9671293999999778E-2</v>
      </c>
    </row>
    <row r="3208" spans="1:12">
      <c r="A3208" s="22">
        <v>40312.859722222223</v>
      </c>
      <c r="E3208" s="26">
        <v>178.99085199999999</v>
      </c>
      <c r="G3208" s="27">
        <v>0.85972222222222217</v>
      </c>
      <c r="J3208" s="30">
        <f>IF(G3208&lt;$H$10,$H$16,IF(G3208&gt;$I$10,$H$16,$H$11))*E3208/600</f>
        <v>5.9663617333333328E-2</v>
      </c>
      <c r="L3208" s="32">
        <f>$J3208*($G3208-$G3207)*60*24</f>
        <v>5.9663617333323579E-2</v>
      </c>
    </row>
    <row r="3209" spans="1:12">
      <c r="A3209" s="22">
        <v>40312.86041666667</v>
      </c>
      <c r="E3209" s="26">
        <v>176.848028</v>
      </c>
      <c r="G3209" s="27">
        <v>0.86041666666666661</v>
      </c>
      <c r="J3209" s="30">
        <f>IF(G3209&lt;$H$10,$H$16,IF(G3209&gt;$I$10,$H$16,$H$11))*E3209/600</f>
        <v>5.8949342666666668E-2</v>
      </c>
      <c r="L3209" s="32">
        <f>$J3209*($G3209-$G3208)*60*24</f>
        <v>5.8949342666666467E-2</v>
      </c>
    </row>
    <row r="3210" spans="1:12">
      <c r="A3210" s="22">
        <v>40312.861111111109</v>
      </c>
      <c r="E3210" s="26">
        <v>164.04604800000001</v>
      </c>
      <c r="G3210" s="27">
        <v>0.86111111111111116</v>
      </c>
      <c r="J3210" s="30">
        <f>IF(G3210&lt;$H$10,$H$16,IF(G3210&gt;$I$10,$H$16,$H$11))*E3210/600</f>
        <v>5.4682016000000007E-2</v>
      </c>
      <c r="L3210" s="32">
        <f>$J3210*($G3210-$G3209)*60*24</f>
        <v>5.4682016000008563E-2</v>
      </c>
    </row>
    <row r="3211" spans="1:12">
      <c r="A3211" s="22">
        <v>40312.861805555556</v>
      </c>
      <c r="E3211" s="26">
        <v>164.59000499999999</v>
      </c>
      <c r="G3211" s="27">
        <v>0.8618055555555556</v>
      </c>
      <c r="J3211" s="30">
        <f>IF(G3211&lt;$H$10,$H$16,IF(G3211&gt;$I$10,$H$16,$H$11))*E3211/600</f>
        <v>5.4863334999999992E-2</v>
      </c>
      <c r="L3211" s="32">
        <f>$J3211*($G3211-$G3210)*60*24</f>
        <v>5.4863334999999791E-2</v>
      </c>
    </row>
    <row r="3212" spans="1:12">
      <c r="A3212" s="22">
        <v>40312.862500000003</v>
      </c>
      <c r="E3212" s="26">
        <v>160.28512799999999</v>
      </c>
      <c r="G3212" s="27">
        <v>0.86249999999999993</v>
      </c>
      <c r="J3212" s="30">
        <f>IF(G3212&lt;$H$10,$H$16,IF(G3212&gt;$I$10,$H$16,$H$11))*E3212/600</f>
        <v>5.3428375999999993E-2</v>
      </c>
      <c r="L3212" s="32">
        <f>$J3212*($G3212-$G3211)*60*24</f>
        <v>5.3428375999991271E-2</v>
      </c>
    </row>
    <row r="3213" spans="1:12">
      <c r="A3213" s="22">
        <v>40312.863194444442</v>
      </c>
      <c r="E3213" s="26">
        <v>155.98673600000001</v>
      </c>
      <c r="G3213" s="27">
        <v>0.86319444444444438</v>
      </c>
      <c r="J3213" s="30">
        <f>IF(G3213&lt;$H$10,$H$16,IF(G3213&gt;$I$10,$H$16,$H$11))*E3213/600</f>
        <v>5.1995578666666674E-2</v>
      </c>
      <c r="L3213" s="32">
        <f>$J3213*($G3213-$G3212)*60*24</f>
        <v>5.1995578666666487E-2</v>
      </c>
    </row>
    <row r="3214" spans="1:12">
      <c r="A3214" s="22">
        <v>40312.863888888889</v>
      </c>
      <c r="E3214" s="26">
        <v>155.66399999999999</v>
      </c>
      <c r="G3214" s="27">
        <v>0.86388888888888893</v>
      </c>
      <c r="J3214" s="30">
        <f>IF(G3214&lt;$H$10,$H$16,IF(G3214&gt;$I$10,$H$16,$H$11))*E3214/600</f>
        <v>5.1887999999999997E-2</v>
      </c>
      <c r="L3214" s="32">
        <f>$J3214*($G3214-$G3213)*60*24</f>
        <v>5.1888000000008108E-2</v>
      </c>
    </row>
    <row r="3215" spans="1:12">
      <c r="A3215" s="22">
        <v>40312.864583333336</v>
      </c>
      <c r="E3215" s="26">
        <v>156.631564</v>
      </c>
      <c r="G3215" s="27">
        <v>0.86458333333333337</v>
      </c>
      <c r="J3215" s="30">
        <f>IF(G3215&lt;$H$10,$H$16,IF(G3215&gt;$I$10,$H$16,$H$11))*E3215/600</f>
        <v>5.2210521333333336E-2</v>
      </c>
      <c r="L3215" s="32">
        <f>$J3215*($G3215-$G3214)*60*24</f>
        <v>5.2210521333333149E-2</v>
      </c>
    </row>
    <row r="3216" spans="1:12">
      <c r="A3216" s="22">
        <v>40312.865277777775</v>
      </c>
      <c r="E3216" s="26">
        <v>156.909312</v>
      </c>
      <c r="G3216" s="27">
        <v>0.8652777777777777</v>
      </c>
      <c r="J3216" s="30">
        <f>IF(G3216&lt;$H$10,$H$16,IF(G3216&gt;$I$10,$H$16,$H$11))*E3216/600</f>
        <v>5.2303104000000003E-2</v>
      </c>
      <c r="L3216" s="32">
        <f>$J3216*($G3216-$G3215)*60*24</f>
        <v>5.2303103999991454E-2</v>
      </c>
    </row>
    <row r="3217" spans="1:12">
      <c r="A3217" s="22">
        <v>40312.865972222222</v>
      </c>
      <c r="E3217" s="26">
        <v>155.65986000000001</v>
      </c>
      <c r="G3217" s="27">
        <v>0.86597222222222225</v>
      </c>
      <c r="J3217" s="30">
        <f>IF(G3217&lt;$H$10,$H$16,IF(G3217&gt;$I$10,$H$16,$H$11))*E3217/600</f>
        <v>5.1886620000000008E-2</v>
      </c>
      <c r="L3217" s="32">
        <f>$J3217*($G3217-$G3216)*60*24</f>
        <v>5.1886620000008127E-2</v>
      </c>
    </row>
    <row r="3218" spans="1:12">
      <c r="A3218" s="22">
        <v>40312.866666666669</v>
      </c>
      <c r="E3218" s="26">
        <v>155.11199999999999</v>
      </c>
      <c r="G3218" s="27">
        <v>0.8666666666666667</v>
      </c>
      <c r="J3218" s="30">
        <f>IF(G3218&lt;$H$10,$H$16,IF(G3218&gt;$I$10,$H$16,$H$11))*E3218/600</f>
        <v>5.1704E-2</v>
      </c>
      <c r="L3218" s="32">
        <f>$J3218*($G3218-$G3217)*60*24</f>
        <v>5.1703999999999806E-2</v>
      </c>
    </row>
    <row r="3219" spans="1:12">
      <c r="A3219" s="22">
        <v>40312.867361111108</v>
      </c>
      <c r="E3219" s="26">
        <v>154.97216</v>
      </c>
      <c r="G3219" s="27">
        <v>0.86736111111111114</v>
      </c>
      <c r="J3219" s="30">
        <f>IF(G3219&lt;$H$10,$H$16,IF(G3219&gt;$I$10,$H$16,$H$11))*E3219/600</f>
        <v>5.1657386666666673E-2</v>
      </c>
      <c r="L3219" s="32">
        <f>$J3219*($G3219-$G3218)*60*24</f>
        <v>5.1657386666666492E-2</v>
      </c>
    </row>
    <row r="3220" spans="1:12">
      <c r="A3220" s="22">
        <v>40312.868055555555</v>
      </c>
      <c r="E3220" s="26">
        <v>154.835172</v>
      </c>
      <c r="G3220" s="27">
        <v>0.86805555555555547</v>
      </c>
      <c r="J3220" s="30">
        <f>IF(G3220&lt;$H$10,$H$16,IF(G3220&gt;$I$10,$H$16,$H$11))*E3220/600</f>
        <v>5.1611724000000005E-2</v>
      </c>
      <c r="L3220" s="32">
        <f>$J3220*($G3220-$G3219)*60*24</f>
        <v>5.161172399999156E-2</v>
      </c>
    </row>
    <row r="3221" spans="1:12">
      <c r="A3221" s="22">
        <v>40312.868750000001</v>
      </c>
      <c r="E3221" s="26">
        <v>158.17765499999999</v>
      </c>
      <c r="G3221" s="27">
        <v>0.86875000000000002</v>
      </c>
      <c r="J3221" s="30">
        <f>IF(G3221&lt;$H$10,$H$16,IF(G3221&gt;$I$10,$H$16,$H$11))*E3221/600</f>
        <v>5.2725885E-2</v>
      </c>
      <c r="L3221" s="32">
        <f>$J3221*($G3221-$G3220)*60*24</f>
        <v>5.2725885000008244E-2</v>
      </c>
    </row>
    <row r="3222" spans="1:12">
      <c r="A3222" s="22">
        <v>40312.869444444441</v>
      </c>
      <c r="E3222" s="26">
        <v>156.48454799999999</v>
      </c>
      <c r="G3222" s="27">
        <v>0.86944444444444446</v>
      </c>
      <c r="J3222" s="30">
        <f>IF(G3222&lt;$H$10,$H$16,IF(G3222&gt;$I$10,$H$16,$H$11))*E3222/600</f>
        <v>5.2161515999999998E-2</v>
      </c>
      <c r="L3222" s="32">
        <f>$J3222*($G3222-$G3221)*60*24</f>
        <v>5.2161515999999811E-2</v>
      </c>
    </row>
    <row r="3223" spans="1:12">
      <c r="A3223" s="22">
        <v>40312.870138888888</v>
      </c>
      <c r="E3223" s="26">
        <v>159.809247</v>
      </c>
      <c r="G3223" s="27">
        <v>0.87013888888888891</v>
      </c>
      <c r="J3223" s="30">
        <f>IF(G3223&lt;$H$10,$H$16,IF(G3223&gt;$I$10,$H$16,$H$11))*E3223/600</f>
        <v>5.3269749000000005E-2</v>
      </c>
      <c r="L3223" s="32">
        <f>$J3223*($G3223-$G3222)*60*24</f>
        <v>5.3269748999999825E-2</v>
      </c>
    </row>
    <row r="3224" spans="1:12">
      <c r="A3224" s="22">
        <v>40312.870833333334</v>
      </c>
      <c r="E3224" s="26">
        <v>156.494576</v>
      </c>
      <c r="G3224" s="27">
        <v>0.87083333333333324</v>
      </c>
      <c r="J3224" s="30">
        <f>IF(G3224&lt;$H$10,$H$16,IF(G3224&gt;$I$10,$H$16,$H$11))*E3224/600</f>
        <v>5.2164858666666668E-2</v>
      </c>
      <c r="L3224" s="32">
        <f>$J3224*($G3224-$G3223)*60*24</f>
        <v>5.216485866665814E-2</v>
      </c>
    </row>
    <row r="3225" spans="1:12">
      <c r="A3225" s="22">
        <v>40312.871527777781</v>
      </c>
      <c r="E3225" s="26">
        <v>154.866544</v>
      </c>
      <c r="G3225" s="27">
        <v>0.87152777777777779</v>
      </c>
      <c r="J3225" s="30">
        <f>IF(G3225&lt;$H$10,$H$16,IF(G3225&gt;$I$10,$H$16,$H$11))*E3225/600</f>
        <v>5.1622181333333336E-2</v>
      </c>
      <c r="L3225" s="32">
        <f>$J3225*($G3225-$G3224)*60*24</f>
        <v>5.1622181333341413E-2</v>
      </c>
    </row>
    <row r="3226" spans="1:12">
      <c r="A3226" s="22">
        <v>40312.87222222222</v>
      </c>
      <c r="E3226" s="26">
        <v>155.77108799999999</v>
      </c>
      <c r="G3226" s="27">
        <v>0.87222222222222223</v>
      </c>
      <c r="J3226" s="30">
        <f>IF(G3226&lt;$H$10,$H$16,IF(G3226&gt;$I$10,$H$16,$H$11))*E3226/600</f>
        <v>5.1923695999999998E-2</v>
      </c>
      <c r="L3226" s="32">
        <f>$J3226*($G3226-$G3225)*60*24</f>
        <v>5.1923695999999818E-2</v>
      </c>
    </row>
    <row r="3227" spans="1:12">
      <c r="A3227" s="22">
        <v>40312.872916666667</v>
      </c>
      <c r="E3227" s="26">
        <v>158.21215799999999</v>
      </c>
      <c r="G3227" s="27">
        <v>0.87291666666666667</v>
      </c>
      <c r="J3227" s="30">
        <f>IF(G3227&lt;$H$10,$H$16,IF(G3227&gt;$I$10,$H$16,$H$11))*E3227/600</f>
        <v>5.2737385999999997E-2</v>
      </c>
      <c r="L3227" s="32">
        <f>$J3227*($G3227-$G3226)*60*24</f>
        <v>5.273738599999981E-2</v>
      </c>
    </row>
    <row r="3228" spans="1:12">
      <c r="A3228" s="22">
        <v>40312.873611111114</v>
      </c>
      <c r="E3228" s="26">
        <v>158.18648999999999</v>
      </c>
      <c r="G3228" s="27">
        <v>0.87361111111111101</v>
      </c>
      <c r="J3228" s="30">
        <f>IF(G3228&lt;$H$10,$H$16,IF(G3228&gt;$I$10,$H$16,$H$11))*E3228/600</f>
        <v>5.2728830000000004E-2</v>
      </c>
      <c r="L3228" s="32">
        <f>$J3228*($G3228-$G3227)*60*24</f>
        <v>5.2728829999991386E-2</v>
      </c>
    </row>
    <row r="3229" spans="1:12">
      <c r="A3229" s="22">
        <v>40312.874305555553</v>
      </c>
      <c r="E3229" s="26">
        <v>157.56859800000001</v>
      </c>
      <c r="G3229" s="27">
        <v>0.87430555555555556</v>
      </c>
      <c r="J3229" s="30">
        <f>IF(G3229&lt;$H$10,$H$16,IF(G3229&gt;$I$10,$H$16,$H$11))*E3229/600</f>
        <v>5.2522866000000001E-2</v>
      </c>
      <c r="L3229" s="32">
        <f>$J3229*($G3229-$G3228)*60*24</f>
        <v>5.2522866000008203E-2</v>
      </c>
    </row>
    <row r="3230" spans="1:12">
      <c r="A3230" s="22">
        <v>40312.875</v>
      </c>
      <c r="E3230" s="26">
        <v>157.32717</v>
      </c>
      <c r="G3230" s="27">
        <v>0.875</v>
      </c>
      <c r="J3230" s="30">
        <f>IF(G3230&lt;$H$10,$H$16,IF(G3230&gt;$I$10,$H$16,$H$11))*E3230/600</f>
        <v>5.2442390000000005E-2</v>
      </c>
      <c r="L3230" s="32">
        <f>$J3230*($G3230-$G3229)*60*24</f>
        <v>5.2442389999999825E-2</v>
      </c>
    </row>
    <row r="3231" spans="1:12">
      <c r="A3231" s="22">
        <v>40312.875694444447</v>
      </c>
      <c r="E3231" s="26">
        <v>158.65902299999999</v>
      </c>
      <c r="G3231" s="27">
        <v>0.87569444444444444</v>
      </c>
      <c r="J3231" s="30">
        <f>IF(G3231&lt;$H$10,$H$16,IF(G3231&gt;$I$10,$H$16,$H$11))*E3231/600</f>
        <v>5.2886341000000003E-2</v>
      </c>
      <c r="L3231" s="32">
        <f>$J3231*($G3231-$G3230)*60*24</f>
        <v>5.2886340999999809E-2</v>
      </c>
    </row>
    <row r="3232" spans="1:12">
      <c r="A3232" s="22">
        <v>40312.876388888886</v>
      </c>
      <c r="E3232" s="26">
        <v>157.25044500000001</v>
      </c>
      <c r="G3232" s="27">
        <v>0.87638888888888899</v>
      </c>
      <c r="J3232" s="30">
        <f>IF(G3232&lt;$H$10,$H$16,IF(G3232&gt;$I$10,$H$16,$H$11))*E3232/600</f>
        <v>5.2416815000000012E-2</v>
      </c>
      <c r="L3232" s="32">
        <f>$J3232*($G3232-$G3231)*60*24</f>
        <v>5.2416815000008214E-2</v>
      </c>
    </row>
    <row r="3233" spans="1:12">
      <c r="A3233" s="22">
        <v>40312.877083333333</v>
      </c>
      <c r="E3233" s="26">
        <v>157.507497</v>
      </c>
      <c r="G3233" s="27">
        <v>0.87708333333333333</v>
      </c>
      <c r="J3233" s="30">
        <f>IF(G3233&lt;$H$10,$H$16,IF(G3233&gt;$I$10,$H$16,$H$11))*E3233/600</f>
        <v>5.2502499000000001E-2</v>
      </c>
      <c r="L3233" s="32">
        <f>$J3233*($G3233-$G3232)*60*24</f>
        <v>5.2502498999991418E-2</v>
      </c>
    </row>
    <row r="3234" spans="1:12">
      <c r="A3234" s="22">
        <v>40312.87777777778</v>
      </c>
      <c r="E3234" s="26">
        <v>156.68268</v>
      </c>
      <c r="G3234" s="27">
        <v>0.87777777777777777</v>
      </c>
      <c r="J3234" s="30">
        <f>IF(G3234&lt;$H$10,$H$16,IF(G3234&gt;$I$10,$H$16,$H$11))*E3234/600</f>
        <v>5.2227560000000006E-2</v>
      </c>
      <c r="L3234" s="32">
        <f>$J3234*($G3234-$G3233)*60*24</f>
        <v>5.2227559999999826E-2</v>
      </c>
    </row>
    <row r="3235" spans="1:12">
      <c r="A3235" s="22">
        <v>40312.878472222219</v>
      </c>
      <c r="E3235" s="26">
        <v>160.43467200000001</v>
      </c>
      <c r="G3235" s="27">
        <v>0.87847222222222221</v>
      </c>
      <c r="J3235" s="30">
        <f>IF(G3235&lt;$H$10,$H$16,IF(G3235&gt;$I$10,$H$16,$H$11))*E3235/600</f>
        <v>5.3478224000000005E-2</v>
      </c>
      <c r="L3235" s="32">
        <f>$J3235*($G3235-$G3234)*60*24</f>
        <v>5.347822399999981E-2</v>
      </c>
    </row>
    <row r="3236" spans="1:12">
      <c r="A3236" s="22">
        <v>40312.879166666666</v>
      </c>
      <c r="E3236" s="26">
        <v>166.28623200000001</v>
      </c>
      <c r="G3236" s="27">
        <v>0.87916666666666676</v>
      </c>
      <c r="J3236" s="30">
        <f>IF(G3236&lt;$H$10,$H$16,IF(G3236&gt;$I$10,$H$16,$H$11))*E3236/600</f>
        <v>5.5428744000000009E-2</v>
      </c>
      <c r="L3236" s="32">
        <f>$J3236*($G3236-$G3235)*60*24</f>
        <v>5.5428744000008676E-2</v>
      </c>
    </row>
    <row r="3237" spans="1:12">
      <c r="A3237" s="22">
        <v>40312.879861111112</v>
      </c>
      <c r="E3237" s="26">
        <v>175.870992</v>
      </c>
      <c r="G3237" s="27">
        <v>0.87986111111111109</v>
      </c>
      <c r="J3237" s="30">
        <f>IF(G3237&lt;$H$10,$H$16,IF(G3237&gt;$I$10,$H$16,$H$11))*E3237/600</f>
        <v>5.8623664000000006E-2</v>
      </c>
      <c r="L3237" s="32">
        <f>$J3237*($G3237-$G3236)*60*24</f>
        <v>5.862366399999043E-2</v>
      </c>
    </row>
    <row r="3238" spans="1:12">
      <c r="A3238" s="22">
        <v>40312.880555555559</v>
      </c>
      <c r="E3238" s="26">
        <v>164.606559</v>
      </c>
      <c r="G3238" s="27">
        <v>0.88055555555555554</v>
      </c>
      <c r="J3238" s="30">
        <f>IF(G3238&lt;$H$10,$H$16,IF(G3238&gt;$I$10,$H$16,$H$11))*E3238/600</f>
        <v>5.4868853000000009E-2</v>
      </c>
      <c r="L3238" s="32">
        <f>$J3238*($G3238-$G3237)*60*24</f>
        <v>5.4868852999999815E-2</v>
      </c>
    </row>
    <row r="3239" spans="1:12">
      <c r="A3239" s="22">
        <v>40312.881249999999</v>
      </c>
      <c r="E3239" s="26">
        <v>154.00800000000001</v>
      </c>
      <c r="G3239" s="27">
        <v>0.88124999999999998</v>
      </c>
      <c r="J3239" s="30">
        <f>IF(G3239&lt;$H$10,$H$16,IF(G3239&gt;$I$10,$H$16,$H$11))*E3239/600</f>
        <v>5.1336000000000007E-2</v>
      </c>
      <c r="L3239" s="32">
        <f>$J3239*($G3239-$G3238)*60*24</f>
        <v>5.1335999999999819E-2</v>
      </c>
    </row>
    <row r="3240" spans="1:12">
      <c r="A3240" s="22">
        <v>40312.881944444445</v>
      </c>
      <c r="E3240" s="26">
        <v>154.68622400000001</v>
      </c>
      <c r="G3240" s="27">
        <v>0.88194444444444453</v>
      </c>
      <c r="J3240" s="30">
        <f>IF(G3240&lt;$H$10,$H$16,IF(G3240&gt;$I$10,$H$16,$H$11))*E3240/600</f>
        <v>5.1562074666666673E-2</v>
      </c>
      <c r="L3240" s="32">
        <f>$J3240*($G3240-$G3239)*60*24</f>
        <v>5.1562074666674736E-2</v>
      </c>
    </row>
    <row r="3241" spans="1:12">
      <c r="A3241" s="22">
        <v>40312.882638888892</v>
      </c>
      <c r="E3241" s="26">
        <v>154.689628</v>
      </c>
      <c r="G3241" s="27">
        <v>0.88263888888888886</v>
      </c>
      <c r="J3241" s="30">
        <f>IF(G3241&lt;$H$10,$H$16,IF(G3241&gt;$I$10,$H$16,$H$11))*E3241/600</f>
        <v>5.1563209333333332E-2</v>
      </c>
      <c r="L3241" s="32">
        <f>$J3241*($G3241-$G3240)*60*24</f>
        <v>5.1563209333324915E-2</v>
      </c>
    </row>
    <row r="3242" spans="1:12">
      <c r="A3242" s="22">
        <v>40312.883333333331</v>
      </c>
      <c r="E3242" s="26">
        <v>154.00054800000001</v>
      </c>
      <c r="G3242" s="27">
        <v>0.8833333333333333</v>
      </c>
      <c r="J3242" s="30">
        <f>IF(G3242&lt;$H$10,$H$16,IF(G3242&gt;$I$10,$H$16,$H$11))*E3242/600</f>
        <v>5.1333516000000003E-2</v>
      </c>
      <c r="L3242" s="32">
        <f>$J3242*($G3242-$G3241)*60*24</f>
        <v>5.1333515999999829E-2</v>
      </c>
    </row>
    <row r="3243" spans="1:12">
      <c r="A3243" s="22">
        <v>40312.884027777778</v>
      </c>
      <c r="E3243" s="26">
        <v>155.11199999999999</v>
      </c>
      <c r="G3243" s="27">
        <v>0.88402777777777775</v>
      </c>
      <c r="J3243" s="30">
        <f>IF(G3243&lt;$H$10,$H$16,IF(G3243&gt;$I$10,$H$16,$H$11))*E3243/600</f>
        <v>5.1704E-2</v>
      </c>
      <c r="L3243" s="32">
        <f>$J3243*($G3243-$G3242)*60*24</f>
        <v>5.1703999999999806E-2</v>
      </c>
    </row>
    <row r="3244" spans="1:12">
      <c r="A3244" s="22">
        <v>40312.884722222225</v>
      </c>
      <c r="E3244" s="26">
        <v>155.11052799999999</v>
      </c>
      <c r="G3244" s="27">
        <v>0.8847222222222223</v>
      </c>
      <c r="J3244" s="30">
        <f>IF(G3244&lt;$H$10,$H$16,IF(G3244&gt;$I$10,$H$16,$H$11))*E3244/600</f>
        <v>5.1703509333333335E-2</v>
      </c>
      <c r="L3244" s="32">
        <f>$J3244*($G3244-$G3243)*60*24</f>
        <v>5.1703509333341412E-2</v>
      </c>
    </row>
    <row r="3245" spans="1:12">
      <c r="A3245" s="22">
        <v>40312.885416666664</v>
      </c>
      <c r="E3245" s="26">
        <v>154.29890399999999</v>
      </c>
      <c r="G3245" s="27">
        <v>0.88541666666666663</v>
      </c>
      <c r="J3245" s="30">
        <f>IF(G3245&lt;$H$10,$H$16,IF(G3245&gt;$I$10,$H$16,$H$11))*E3245/600</f>
        <v>5.1432967999999996E-2</v>
      </c>
      <c r="L3245" s="32">
        <f>$J3245*($G3245-$G3244)*60*24</f>
        <v>5.1432967999991586E-2</v>
      </c>
    </row>
    <row r="3246" spans="1:12">
      <c r="A3246" s="22">
        <v>40312.886111111111</v>
      </c>
      <c r="E3246" s="26">
        <v>154.719528</v>
      </c>
      <c r="G3246" s="27">
        <v>0.88611111111111107</v>
      </c>
      <c r="J3246" s="30">
        <f>IF(G3246&lt;$H$10,$H$16,IF(G3246&gt;$I$10,$H$16,$H$11))*E3246/600</f>
        <v>5.1573175999999998E-2</v>
      </c>
      <c r="L3246" s="32">
        <f>$J3246*($G3246-$G3245)*60*24</f>
        <v>5.1573175999999818E-2</v>
      </c>
    </row>
    <row r="3247" spans="1:12">
      <c r="A3247" s="22">
        <v>40312.886805555558</v>
      </c>
      <c r="E3247" s="26">
        <v>157.05228</v>
      </c>
      <c r="G3247" s="27">
        <v>0.88680555555555562</v>
      </c>
      <c r="J3247" s="30">
        <f>IF(G3247&lt;$H$10,$H$16,IF(G3247&gt;$I$10,$H$16,$H$11))*E3247/600</f>
        <v>5.2350760000000003E-2</v>
      </c>
      <c r="L3247" s="32">
        <f>$J3247*($G3247-$G3246)*60*24</f>
        <v>5.2350760000008184E-2</v>
      </c>
    </row>
    <row r="3248" spans="1:12">
      <c r="A3248" s="22">
        <v>40312.887499999997</v>
      </c>
      <c r="E3248" s="26">
        <v>156.15813199999999</v>
      </c>
      <c r="G3248" s="27">
        <v>0.88750000000000007</v>
      </c>
      <c r="J3248" s="30">
        <f>IF(G3248&lt;$H$10,$H$16,IF(G3248&gt;$I$10,$H$16,$H$11))*E3248/600</f>
        <v>5.2052710666666668E-2</v>
      </c>
      <c r="L3248" s="32">
        <f>$J3248*($G3248-$G3247)*60*24</f>
        <v>5.2052710666666488E-2</v>
      </c>
    </row>
    <row r="3249" spans="1:12">
      <c r="A3249" s="22">
        <v>40312.888194444444</v>
      </c>
      <c r="E3249" s="26">
        <v>134.09612200000001</v>
      </c>
      <c r="G3249" s="27">
        <v>0.8881944444444444</v>
      </c>
      <c r="J3249" s="30">
        <f>IF(G3249&lt;$H$10,$H$16,IF(G3249&gt;$I$10,$H$16,$H$11))*E3249/600</f>
        <v>4.4698707333333337E-2</v>
      </c>
      <c r="L3249" s="32">
        <f>$J3249*($G3249-$G3248)*60*24</f>
        <v>4.4698707333326031E-2</v>
      </c>
    </row>
    <row r="3250" spans="1:12">
      <c r="A3250" s="22">
        <v>40312.888888888891</v>
      </c>
      <c r="E3250" s="26">
        <v>19.055872000000001</v>
      </c>
      <c r="G3250" s="27">
        <v>0.88888888888888884</v>
      </c>
      <c r="J3250" s="30">
        <f>IF(G3250&lt;$H$10,$H$16,IF(G3250&gt;$I$10,$H$16,$H$11))*E3250/600</f>
        <v>6.3519573333333341E-3</v>
      </c>
      <c r="L3250" s="32">
        <f>$J3250*($G3250-$G3249)*60*24</f>
        <v>6.3519573333333107E-3</v>
      </c>
    </row>
    <row r="3251" spans="1:12">
      <c r="A3251" s="22">
        <v>40312.88958333333</v>
      </c>
      <c r="E3251" s="26">
        <v>18.864453000000001</v>
      </c>
      <c r="G3251" s="27">
        <v>0.88958333333333339</v>
      </c>
      <c r="J3251" s="30">
        <f>IF(G3251&lt;$H$10,$H$16,IF(G3251&gt;$I$10,$H$16,$H$11))*E3251/600</f>
        <v>6.2881510000000005E-3</v>
      </c>
      <c r="L3251" s="32">
        <f>$J3251*($G3251-$G3250)*60*24</f>
        <v>6.2881510000009824E-3</v>
      </c>
    </row>
    <row r="3252" spans="1:12">
      <c r="A3252" s="22">
        <v>40312.890277777777</v>
      </c>
      <c r="E3252" s="26">
        <v>18.467711999999999</v>
      </c>
      <c r="G3252" s="27">
        <v>0.89027777777777783</v>
      </c>
      <c r="J3252" s="30">
        <f>IF(G3252&lt;$H$10,$H$16,IF(G3252&gt;$I$10,$H$16,$H$11))*E3252/600</f>
        <v>6.1559040000000002E-3</v>
      </c>
      <c r="L3252" s="32">
        <f>$J3252*($G3252-$G3251)*60*24</f>
        <v>6.1559039999999794E-3</v>
      </c>
    </row>
    <row r="3253" spans="1:12">
      <c r="A3253" s="22">
        <v>40312.890972222223</v>
      </c>
      <c r="E3253" s="26">
        <v>18.425415999999998</v>
      </c>
      <c r="G3253" s="27">
        <v>0.89097222222222217</v>
      </c>
      <c r="J3253" s="30">
        <f>IF(G3253&lt;$H$10,$H$16,IF(G3253&gt;$I$10,$H$16,$H$11))*E3253/600</f>
        <v>6.1418053333333333E-3</v>
      </c>
      <c r="L3253" s="32">
        <f>$J3253*($G3253-$G3252)*60*24</f>
        <v>6.1418053333323289E-3</v>
      </c>
    </row>
    <row r="3254" spans="1:12">
      <c r="A3254" s="22">
        <v>40312.89166666667</v>
      </c>
      <c r="E3254" s="26">
        <v>18.483488000000001</v>
      </c>
      <c r="G3254" s="27">
        <v>0.89166666666666661</v>
      </c>
      <c r="J3254" s="30">
        <f>IF(G3254&lt;$H$10,$H$16,IF(G3254&gt;$I$10,$H$16,$H$11))*E3254/600</f>
        <v>6.1611626666666667E-3</v>
      </c>
      <c r="L3254" s="32">
        <f>$J3254*($G3254-$G3253)*60*24</f>
        <v>6.161162666666645E-3</v>
      </c>
    </row>
    <row r="3255" spans="1:12">
      <c r="A3255" s="22">
        <v>40312.892361111109</v>
      </c>
      <c r="E3255" s="26">
        <v>18.558152</v>
      </c>
      <c r="G3255" s="27">
        <v>0.89236111111111116</v>
      </c>
      <c r="J3255" s="30">
        <f>IF(G3255&lt;$H$10,$H$16,IF(G3255&gt;$I$10,$H$16,$H$11))*E3255/600</f>
        <v>6.1860506666666674E-3</v>
      </c>
      <c r="L3255" s="32">
        <f>$J3255*($G3255-$G3254)*60*24</f>
        <v>6.1860506666676345E-3</v>
      </c>
    </row>
    <row r="3256" spans="1:12">
      <c r="A3256" s="22">
        <v>40312.893055555556</v>
      </c>
      <c r="E3256" s="26">
        <v>18.422491999999998</v>
      </c>
      <c r="G3256" s="27">
        <v>0.8930555555555556</v>
      </c>
      <c r="J3256" s="30">
        <f>IF(G3256&lt;$H$10,$H$16,IF(G3256&gt;$I$10,$H$16,$H$11))*E3256/600</f>
        <v>6.1408306666666662E-3</v>
      </c>
      <c r="L3256" s="32">
        <f>$J3256*($G3256-$G3255)*60*24</f>
        <v>6.1408306666666437E-3</v>
      </c>
    </row>
    <row r="3257" spans="1:12">
      <c r="A3257" s="22">
        <v>40312.893750000003</v>
      </c>
      <c r="E3257" s="26">
        <v>18.751854000000002</v>
      </c>
      <c r="G3257" s="27">
        <v>0.89374999999999993</v>
      </c>
      <c r="J3257" s="30">
        <f>IF(G3257&lt;$H$10,$H$16,IF(G3257&gt;$I$10,$H$16,$H$11))*E3257/600</f>
        <v>6.2506180000000012E-3</v>
      </c>
      <c r="L3257" s="32">
        <f>$J3257*($G3257-$G3256)*60*24</f>
        <v>6.2506179999989786E-3</v>
      </c>
    </row>
    <row r="3258" spans="1:12">
      <c r="A3258" s="22">
        <v>40312.894444444442</v>
      </c>
      <c r="E3258" s="26">
        <v>18.634968000000001</v>
      </c>
      <c r="G3258" s="27">
        <v>0.89444444444444438</v>
      </c>
      <c r="J3258" s="30">
        <f>IF(G3258&lt;$H$10,$H$16,IF(G3258&gt;$I$10,$H$16,$H$11))*E3258/600</f>
        <v>6.2116560000000003E-3</v>
      </c>
      <c r="L3258" s="32">
        <f>$J3258*($G3258-$G3257)*60*24</f>
        <v>6.2116559999999769E-3</v>
      </c>
    </row>
    <row r="3259" spans="1:12">
      <c r="A3259" s="22">
        <v>40312.895138888889</v>
      </c>
      <c r="E3259" s="26">
        <v>18.458600000000001</v>
      </c>
      <c r="G3259" s="27">
        <v>0.89513888888888893</v>
      </c>
      <c r="J3259" s="30">
        <f>IF(G3259&lt;$H$10,$H$16,IF(G3259&gt;$I$10,$H$16,$H$11))*E3259/600</f>
        <v>6.1528666666666671E-3</v>
      </c>
      <c r="L3259" s="32">
        <f>$J3259*($G3259-$G3258)*60*24</f>
        <v>6.152866666667629E-3</v>
      </c>
    </row>
    <row r="3260" spans="1:12">
      <c r="A3260" s="22">
        <v>40312.895833333336</v>
      </c>
      <c r="E3260" s="26">
        <v>18.392232</v>
      </c>
      <c r="G3260" s="27">
        <v>0.89583333333333337</v>
      </c>
      <c r="J3260" s="30">
        <f>IF(G3260&lt;$H$10,$H$16,IF(G3260&gt;$I$10,$H$16,$H$11))*E3260/600</f>
        <v>6.1307440000000005E-3</v>
      </c>
      <c r="L3260" s="32">
        <f>$J3260*($G3260-$G3259)*60*24</f>
        <v>6.1307439999999788E-3</v>
      </c>
    </row>
    <row r="3261" spans="1:12">
      <c r="A3261" s="22">
        <v>40312.896527777775</v>
      </c>
      <c r="E3261" s="26">
        <v>18.425892000000001</v>
      </c>
      <c r="G3261" s="27">
        <v>0.8965277777777777</v>
      </c>
      <c r="J3261" s="30">
        <f>IF(G3261&lt;$H$10,$H$16,IF(G3261&gt;$I$10,$H$16,$H$11))*E3261/600</f>
        <v>6.1419640000000006E-3</v>
      </c>
      <c r="L3261" s="32">
        <f>$J3261*($G3261-$G3260)*60*24</f>
        <v>6.1419639999989971E-3</v>
      </c>
    </row>
    <row r="3262" spans="1:12">
      <c r="A3262" s="22">
        <v>40312.897222222222</v>
      </c>
      <c r="E3262" s="26">
        <v>18.483488000000001</v>
      </c>
      <c r="G3262" s="27">
        <v>0.89722222222222225</v>
      </c>
      <c r="J3262" s="30">
        <f>IF(G3262&lt;$H$10,$H$16,IF(G3262&gt;$I$10,$H$16,$H$11))*E3262/600</f>
        <v>6.1611626666666667E-3</v>
      </c>
      <c r="L3262" s="32">
        <f>$J3262*($G3262-$G3261)*60*24</f>
        <v>6.1611626666676295E-3</v>
      </c>
    </row>
    <row r="3263" spans="1:12">
      <c r="A3263" s="22">
        <v>40312.897916666669</v>
      </c>
      <c r="E3263" s="26">
        <v>18.342455999999999</v>
      </c>
      <c r="G3263" s="27">
        <v>0.8979166666666667</v>
      </c>
      <c r="J3263" s="30">
        <f>IF(G3263&lt;$H$10,$H$16,IF(G3263&gt;$I$10,$H$16,$H$11))*E3263/600</f>
        <v>6.1141520000000003E-3</v>
      </c>
      <c r="L3263" s="32">
        <f>$J3263*($G3263-$G3262)*60*24</f>
        <v>6.1141519999999786E-3</v>
      </c>
    </row>
    <row r="3264" spans="1:12">
      <c r="A3264" s="22">
        <v>40312.898611111108</v>
      </c>
      <c r="E3264" s="26">
        <v>18.284383999999999</v>
      </c>
      <c r="G3264" s="27">
        <v>0.89861111111111114</v>
      </c>
      <c r="J3264" s="30">
        <f>IF(G3264&lt;$H$10,$H$16,IF(G3264&gt;$I$10,$H$16,$H$11))*E3264/600</f>
        <v>6.0947946666666669E-3</v>
      </c>
      <c r="L3264" s="32">
        <f>$J3264*($G3264-$G3263)*60*24</f>
        <v>6.0947946666666461E-3</v>
      </c>
    </row>
    <row r="3265" spans="1:12">
      <c r="A3265" s="22">
        <v>40312.899305555555</v>
      </c>
      <c r="E3265" s="26">
        <v>18.276088000000001</v>
      </c>
      <c r="G3265" s="27">
        <v>0.89930555555555547</v>
      </c>
      <c r="J3265" s="30">
        <f>IF(G3265&lt;$H$10,$H$16,IF(G3265&gt;$I$10,$H$16,$H$11))*E3265/600</f>
        <v>6.0920293333333337E-3</v>
      </c>
      <c r="L3265" s="32">
        <f>$J3265*($G3265-$G3264)*60*24</f>
        <v>6.0920293333323388E-3</v>
      </c>
    </row>
    <row r="3266" spans="1:12">
      <c r="A3266" s="22">
        <v>40312.9</v>
      </c>
      <c r="E3266" s="26">
        <v>18.417120000000001</v>
      </c>
      <c r="G3266" s="27">
        <v>0.9</v>
      </c>
      <c r="J3266" s="30">
        <f>IF(G3266&lt;$H$10,$H$16,IF(G3266&gt;$I$10,$H$16,$H$11))*E3266/600</f>
        <v>6.139040000000001E-3</v>
      </c>
      <c r="L3266" s="32">
        <f>$J3266*($G3266-$G3265)*60*24</f>
        <v>6.1390400000009612E-3</v>
      </c>
    </row>
    <row r="3267" spans="1:12">
      <c r="A3267" s="22">
        <v>40312.900694444441</v>
      </c>
      <c r="E3267" s="26">
        <v>18.852042000000001</v>
      </c>
      <c r="G3267" s="27">
        <v>0.90069444444444446</v>
      </c>
      <c r="J3267" s="30">
        <f>IF(G3267&lt;$H$10,$H$16,IF(G3267&gt;$I$10,$H$16,$H$11))*E3267/600</f>
        <v>6.284014000000001E-3</v>
      </c>
      <c r="L3267" s="32">
        <f>$J3267*($G3267-$G3266)*60*24</f>
        <v>6.2840139999999784E-3</v>
      </c>
    </row>
    <row r="3268" spans="1:12">
      <c r="A3268" s="22">
        <v>40312.901388888888</v>
      </c>
      <c r="E3268" s="26">
        <v>18.679680000000001</v>
      </c>
      <c r="G3268" s="27">
        <v>0.90138888888888891</v>
      </c>
      <c r="J3268" s="30">
        <f>IF(G3268&lt;$H$10,$H$16,IF(G3268&gt;$I$10,$H$16,$H$11))*E3268/600</f>
        <v>6.2265600000000008E-3</v>
      </c>
      <c r="L3268" s="32">
        <f>$J3268*($G3268-$G3267)*60*24</f>
        <v>6.2265599999999791E-3</v>
      </c>
    </row>
    <row r="3269" spans="1:12">
      <c r="A3269" s="22">
        <v>40312.902083333334</v>
      </c>
      <c r="E3269" s="26">
        <v>18.754200000000001</v>
      </c>
      <c r="G3269" s="27">
        <v>0.90208333333333324</v>
      </c>
      <c r="J3269" s="30">
        <f>IF(G3269&lt;$H$10,$H$16,IF(G3269&gt;$I$10,$H$16,$H$11))*E3269/600</f>
        <v>6.2514000000000007E-3</v>
      </c>
      <c r="L3269" s="32">
        <f>$J3269*($G3269-$G3268)*60*24</f>
        <v>6.251399999998979E-3</v>
      </c>
    </row>
    <row r="3270" spans="1:12">
      <c r="A3270" s="22">
        <v>40312.902777777781</v>
      </c>
      <c r="E3270" s="26">
        <v>18.604800000000001</v>
      </c>
      <c r="G3270" s="27">
        <v>0.90277777777777779</v>
      </c>
      <c r="J3270" s="30">
        <f>IF(G3270&lt;$H$10,$H$16,IF(G3270&gt;$I$10,$H$16,$H$11))*E3270/600</f>
        <v>6.2016000000000007E-3</v>
      </c>
      <c r="L3270" s="32">
        <f>$J3270*($G3270-$G3269)*60*24</f>
        <v>6.2016000000009704E-3</v>
      </c>
    </row>
    <row r="3271" spans="1:12">
      <c r="A3271" s="22">
        <v>40312.90347222222</v>
      </c>
      <c r="E3271" s="26">
        <v>18.776160000000001</v>
      </c>
      <c r="G3271" s="27">
        <v>0.90347222222222223</v>
      </c>
      <c r="J3271" s="30">
        <f>IF(G3271&lt;$H$10,$H$16,IF(G3271&gt;$I$10,$H$16,$H$11))*E3271/600</f>
        <v>6.2587200000000006E-3</v>
      </c>
      <c r="L3271" s="32">
        <f>$J3271*($G3271-$G3270)*60*24</f>
        <v>6.2587199999999781E-3</v>
      </c>
    </row>
    <row r="3272" spans="1:12">
      <c r="A3272" s="22">
        <v>40312.904166666667</v>
      </c>
      <c r="E3272" s="26">
        <v>18.792752</v>
      </c>
      <c r="G3272" s="27">
        <v>0.90416666666666667</v>
      </c>
      <c r="J3272" s="30">
        <f>IF(G3272&lt;$H$10,$H$16,IF(G3272&gt;$I$10,$H$16,$H$11))*E3272/600</f>
        <v>6.264250666666667E-3</v>
      </c>
      <c r="L3272" s="32">
        <f>$J3272*($G3272-$G3271)*60*24</f>
        <v>6.2642506666666445E-3</v>
      </c>
    </row>
    <row r="3273" spans="1:12">
      <c r="A3273" s="22">
        <v>40312.904861111114</v>
      </c>
      <c r="E3273" s="26">
        <v>18.800979999999999</v>
      </c>
      <c r="G3273" s="27">
        <v>0.90486111111111101</v>
      </c>
      <c r="J3273" s="30">
        <f>IF(G3273&lt;$H$10,$H$16,IF(G3273&gt;$I$10,$H$16,$H$11))*E3273/600</f>
        <v>6.2669933333333334E-3</v>
      </c>
      <c r="L3273" s="32">
        <f>$J3273*($G3273-$G3272)*60*24</f>
        <v>6.2669933333323082E-3</v>
      </c>
    </row>
    <row r="3274" spans="1:12">
      <c r="A3274" s="22">
        <v>40312.905555555553</v>
      </c>
      <c r="E3274" s="26">
        <v>18.644648</v>
      </c>
      <c r="G3274" s="27">
        <v>0.90555555555555556</v>
      </c>
      <c r="J3274" s="30">
        <f>IF(G3274&lt;$H$10,$H$16,IF(G3274&gt;$I$10,$H$16,$H$11))*E3274/600</f>
        <v>6.2148826666666669E-3</v>
      </c>
      <c r="L3274" s="32">
        <f>$J3274*($G3274-$G3273)*60*24</f>
        <v>6.2148826666676383E-3</v>
      </c>
    </row>
    <row r="3275" spans="1:12">
      <c r="A3275" s="22">
        <v>40312.90625</v>
      </c>
      <c r="E3275" s="26">
        <v>18.562367999999999</v>
      </c>
      <c r="G3275" s="27">
        <v>0.90625</v>
      </c>
      <c r="J3275" s="30">
        <f>IF(G3275&lt;$H$10,$H$16,IF(G3275&gt;$I$10,$H$16,$H$11))*E3275/600</f>
        <v>6.187456E-3</v>
      </c>
      <c r="L3275" s="32">
        <f>$J3275*($G3275-$G3274)*60*24</f>
        <v>6.1874559999999783E-3</v>
      </c>
    </row>
    <row r="3276" spans="1:12">
      <c r="A3276" s="22">
        <v>40312.906944444447</v>
      </c>
      <c r="E3276" s="26">
        <v>18.529456</v>
      </c>
      <c r="G3276" s="27">
        <v>0.90694444444444444</v>
      </c>
      <c r="J3276" s="30">
        <f>IF(G3276&lt;$H$10,$H$16,IF(G3276&gt;$I$10,$H$16,$H$11))*E3276/600</f>
        <v>6.1764853333333329E-3</v>
      </c>
      <c r="L3276" s="32">
        <f>$J3276*($G3276-$G3275)*60*24</f>
        <v>6.1764853333333113E-3</v>
      </c>
    </row>
    <row r="3277" spans="1:12">
      <c r="A3277" s="22">
        <v>40312.907638888886</v>
      </c>
      <c r="E3277" s="26">
        <v>18.521228000000001</v>
      </c>
      <c r="G3277" s="27">
        <v>0.90763888888888899</v>
      </c>
      <c r="J3277" s="30">
        <f>IF(G3277&lt;$H$10,$H$16,IF(G3277&gt;$I$10,$H$16,$H$11))*E3277/600</f>
        <v>6.1737426666666666E-3</v>
      </c>
      <c r="L3277" s="32">
        <f>$J3277*($G3277-$G3276)*60*24</f>
        <v>6.173742666667632E-3</v>
      </c>
    </row>
    <row r="3278" spans="1:12">
      <c r="A3278" s="22">
        <v>40312.908333333333</v>
      </c>
      <c r="E3278" s="26">
        <v>18.455404000000001</v>
      </c>
      <c r="G3278" s="27">
        <v>0.90833333333333333</v>
      </c>
      <c r="J3278" s="30">
        <f>IF(G3278&lt;$H$10,$H$16,IF(G3278&gt;$I$10,$H$16,$H$11))*E3278/600</f>
        <v>6.1518013333333342E-3</v>
      </c>
      <c r="L3278" s="32">
        <f>$J3278*($G3278-$G3277)*60*24</f>
        <v>6.1518013333323289E-3</v>
      </c>
    </row>
    <row r="3279" spans="1:12">
      <c r="A3279" s="22">
        <v>40312.90902777778</v>
      </c>
      <c r="E3279" s="26">
        <v>18.414263999999999</v>
      </c>
      <c r="G3279" s="27">
        <v>0.90902777777777777</v>
      </c>
      <c r="J3279" s="30">
        <f>IF(G3279&lt;$H$10,$H$16,IF(G3279&gt;$I$10,$H$16,$H$11))*E3279/600</f>
        <v>6.1380879999999999E-3</v>
      </c>
      <c r="L3279" s="32">
        <f>$J3279*($G3279-$G3278)*60*24</f>
        <v>6.1380879999999773E-3</v>
      </c>
    </row>
    <row r="3280" spans="1:12">
      <c r="A3280" s="22">
        <v>40312.909722222219</v>
      </c>
      <c r="E3280" s="26">
        <v>18.323755999999999</v>
      </c>
      <c r="G3280" s="27">
        <v>0.90972222222222221</v>
      </c>
      <c r="J3280" s="30">
        <f>IF(G3280&lt;$H$10,$H$16,IF(G3280&gt;$I$10,$H$16,$H$11))*E3280/600</f>
        <v>6.1079186666666667E-3</v>
      </c>
      <c r="L3280" s="32">
        <f>$J3280*($G3280-$G3279)*60*24</f>
        <v>6.1079186666666459E-3</v>
      </c>
    </row>
    <row r="3281" spans="1:12">
      <c r="A3281" s="22">
        <v>40312.910416666666</v>
      </c>
      <c r="E3281" s="26">
        <v>18.576525</v>
      </c>
      <c r="G3281" s="27">
        <v>0.91041666666666676</v>
      </c>
      <c r="J3281" s="30">
        <f>IF(G3281&lt;$H$10,$H$16,IF(G3281&gt;$I$10,$H$16,$H$11))*E3281/600</f>
        <v>6.1921750000000003E-3</v>
      </c>
      <c r="L3281" s="32">
        <f>$J3281*($G3281-$G3280)*60*24</f>
        <v>6.1921750000009674E-3</v>
      </c>
    </row>
    <row r="3282" spans="1:12">
      <c r="A3282" s="22">
        <v>40312.911111111112</v>
      </c>
      <c r="E3282" s="26">
        <v>18.593222999999998</v>
      </c>
      <c r="G3282" s="27">
        <v>0.91111111111111109</v>
      </c>
      <c r="J3282" s="30">
        <f>IF(G3282&lt;$H$10,$H$16,IF(G3282&gt;$I$10,$H$16,$H$11))*E3282/600</f>
        <v>6.1977409999999997E-3</v>
      </c>
      <c r="L3282" s="32">
        <f>$J3282*($G3282-$G3281)*60*24</f>
        <v>6.1977409999989866E-3</v>
      </c>
    </row>
    <row r="3283" spans="1:12">
      <c r="A3283" s="22">
        <v>40312.911805555559</v>
      </c>
      <c r="E3283" s="26">
        <v>18.618269999999999</v>
      </c>
      <c r="G3283" s="27">
        <v>0.91180555555555554</v>
      </c>
      <c r="J3283" s="30">
        <f>IF(G3283&lt;$H$10,$H$16,IF(G3283&gt;$I$10,$H$16,$H$11))*E3283/600</f>
        <v>6.20609E-3</v>
      </c>
      <c r="L3283" s="32">
        <f>$J3283*($G3283-$G3282)*60*24</f>
        <v>6.2060899999999784E-3</v>
      </c>
    </row>
    <row r="3284" spans="1:12">
      <c r="A3284" s="22">
        <v>40312.912499999999</v>
      </c>
      <c r="E3284" s="26">
        <v>18.751854000000002</v>
      </c>
      <c r="G3284" s="27">
        <v>0.91249999999999998</v>
      </c>
      <c r="J3284" s="30">
        <f>IF(G3284&lt;$H$10,$H$16,IF(G3284&gt;$I$10,$H$16,$H$11))*E3284/600</f>
        <v>6.2506180000000012E-3</v>
      </c>
      <c r="L3284" s="32">
        <f>$J3284*($G3284-$G3283)*60*24</f>
        <v>6.2506179999999786E-3</v>
      </c>
    </row>
    <row r="3285" spans="1:12">
      <c r="A3285" s="22">
        <v>40312.913194444445</v>
      </c>
      <c r="E3285" s="26">
        <v>18.793599</v>
      </c>
      <c r="G3285" s="27">
        <v>0.91319444444444453</v>
      </c>
      <c r="J3285" s="30">
        <f>IF(G3285&lt;$H$10,$H$16,IF(G3285&gt;$I$10,$H$16,$H$11))*E3285/600</f>
        <v>6.2645330000000001E-3</v>
      </c>
      <c r="L3285" s="32">
        <f>$J3285*($G3285-$G3284)*60*24</f>
        <v>6.2645330000009793E-3</v>
      </c>
    </row>
    <row r="3286" spans="1:12">
      <c r="A3286" s="22">
        <v>40312.913888888892</v>
      </c>
      <c r="E3286" s="26">
        <v>18.63</v>
      </c>
      <c r="G3286" s="27">
        <v>0.91388888888888886</v>
      </c>
      <c r="J3286" s="30">
        <f>IF(G3286&lt;$H$10,$H$16,IF(G3286&gt;$I$10,$H$16,$H$11))*E3286/600</f>
        <v>6.2100000000000002E-3</v>
      </c>
      <c r="L3286" s="32">
        <f>$J3286*($G3286-$G3285)*60*24</f>
        <v>6.2099999999989846E-3</v>
      </c>
    </row>
    <row r="3287" spans="1:12">
      <c r="A3287" s="22">
        <v>40312.914583333331</v>
      </c>
      <c r="E3287" s="26">
        <v>18.68796</v>
      </c>
      <c r="G3287" s="27">
        <v>0.9145833333333333</v>
      </c>
      <c r="J3287" s="30">
        <f>IF(G3287&lt;$H$10,$H$16,IF(G3287&gt;$I$10,$H$16,$H$11))*E3287/600</f>
        <v>6.22932E-3</v>
      </c>
      <c r="L3287" s="32">
        <f>$J3287*($G3287-$G3286)*60*24</f>
        <v>6.2293199999999774E-3</v>
      </c>
    </row>
    <row r="3288" spans="1:12">
      <c r="A3288" s="22">
        <v>40312.915277777778</v>
      </c>
      <c r="E3288" s="26">
        <v>18.704519999999999</v>
      </c>
      <c r="G3288" s="27">
        <v>0.91527777777777775</v>
      </c>
      <c r="J3288" s="30">
        <f>IF(G3288&lt;$H$10,$H$16,IF(G3288&gt;$I$10,$H$16,$H$11))*E3288/600</f>
        <v>6.2348400000000002E-3</v>
      </c>
      <c r="L3288" s="32">
        <f>$J3288*($G3288-$G3287)*60*24</f>
        <v>6.2348399999999776E-3</v>
      </c>
    </row>
    <row r="3289" spans="1:12">
      <c r="A3289" s="22">
        <v>40312.915972222225</v>
      </c>
      <c r="E3289" s="26">
        <v>18.524016</v>
      </c>
      <c r="G3289" s="27">
        <v>0.9159722222222223</v>
      </c>
      <c r="J3289" s="30">
        <f>IF(G3289&lt;$H$10,$H$16,IF(G3289&gt;$I$10,$H$16,$H$11))*E3289/600</f>
        <v>6.174672E-3</v>
      </c>
      <c r="L3289" s="32">
        <f>$J3289*($G3289-$G3288)*60*24</f>
        <v>6.1746720000009653E-3</v>
      </c>
    </row>
    <row r="3290" spans="1:12">
      <c r="A3290" s="22">
        <v>40312.916666666664</v>
      </c>
      <c r="E3290" s="26">
        <v>18.532226999999999</v>
      </c>
      <c r="G3290" s="27">
        <v>0.91666666666666663</v>
      </c>
      <c r="J3290" s="30">
        <f>IF(G3290&lt;$H$10,$H$16,IF(G3290&gt;$I$10,$H$16,$H$11))*E3290/600</f>
        <v>6.177409E-3</v>
      </c>
      <c r="L3290" s="32">
        <f>$J3290*($G3290-$G3289)*60*24</f>
        <v>6.1774089999989904E-3</v>
      </c>
    </row>
    <row r="3291" spans="1:12">
      <c r="A3291" s="22">
        <v>40312.917361111111</v>
      </c>
      <c r="E3291" s="26">
        <v>18.597915</v>
      </c>
      <c r="G3291" s="27">
        <v>0.91736111111111107</v>
      </c>
      <c r="J3291" s="30">
        <f>IF(G3291&lt;$H$10,$H$16,IF(G3291&gt;$I$10,$H$16,$H$11))*E3291/600</f>
        <v>6.1993050000000004E-3</v>
      </c>
      <c r="L3291" s="32">
        <f>$J3291*($G3291-$G3290)*60*24</f>
        <v>6.1993049999999779E-3</v>
      </c>
    </row>
    <row r="3292" spans="1:12">
      <c r="A3292" s="22">
        <v>40312.918055555558</v>
      </c>
      <c r="E3292" s="26">
        <v>18.571902000000001</v>
      </c>
      <c r="G3292" s="27">
        <v>0.91805555555555562</v>
      </c>
      <c r="J3292" s="30">
        <f>IF(G3292&lt;$H$10,$H$16,IF(G3292&gt;$I$10,$H$16,$H$11))*E3292/600</f>
        <v>6.1906340000000004E-3</v>
      </c>
      <c r="L3292" s="32">
        <f>$J3292*($G3292-$G3291)*60*24</f>
        <v>6.1906340000009684E-3</v>
      </c>
    </row>
    <row r="3293" spans="1:12">
      <c r="A3293" s="22">
        <v>40312.918749999997</v>
      </c>
      <c r="E3293" s="26">
        <v>18.612611999999999</v>
      </c>
      <c r="G3293" s="27">
        <v>0.91875000000000007</v>
      </c>
      <c r="J3293" s="30">
        <f>IF(G3293&lt;$H$10,$H$16,IF(G3293&gt;$I$10,$H$16,$H$11))*E3293/600</f>
        <v>6.2042039999999996E-3</v>
      </c>
      <c r="L3293" s="32">
        <f>$J3293*($G3293-$G3292)*60*24</f>
        <v>6.2042039999999771E-3</v>
      </c>
    </row>
    <row r="3294" spans="1:12">
      <c r="A3294" s="22">
        <v>40312.919444444444</v>
      </c>
      <c r="E3294" s="26">
        <v>18.622547999999998</v>
      </c>
      <c r="G3294" s="27">
        <v>0.9194444444444444</v>
      </c>
      <c r="J3294" s="30">
        <f>IF(G3294&lt;$H$10,$H$16,IF(G3294&gt;$I$10,$H$16,$H$11))*E3294/600</f>
        <v>6.2075159999999997E-3</v>
      </c>
      <c r="L3294" s="32">
        <f>$J3294*($G3294-$G3293)*60*24</f>
        <v>6.2075159999989858E-3</v>
      </c>
    </row>
    <row r="3295" spans="1:12">
      <c r="A3295" s="22">
        <v>40312.920138888891</v>
      </c>
      <c r="E3295" s="26">
        <v>18.647181</v>
      </c>
      <c r="G3295" s="27">
        <v>0.92013888888888884</v>
      </c>
      <c r="J3295" s="30">
        <f>IF(G3295&lt;$H$10,$H$16,IF(G3295&gt;$I$10,$H$16,$H$11))*E3295/600</f>
        <v>6.2157270000000008E-3</v>
      </c>
      <c r="L3295" s="32">
        <f>$J3295*($G3295-$G3294)*60*24</f>
        <v>6.2157269999999782E-3</v>
      </c>
    </row>
    <row r="3296" spans="1:12">
      <c r="A3296" s="22">
        <v>40312.92083333333</v>
      </c>
      <c r="E3296" s="26">
        <v>18.622547999999998</v>
      </c>
      <c r="G3296" s="27">
        <v>0.92083333333333339</v>
      </c>
      <c r="J3296" s="30">
        <f>IF(G3296&lt;$H$10,$H$16,IF(G3296&gt;$I$10,$H$16,$H$11))*E3296/600</f>
        <v>6.2075159999999997E-3</v>
      </c>
      <c r="L3296" s="32">
        <f>$J3296*($G3296-$G3295)*60*24</f>
        <v>6.2075160000009694E-3</v>
      </c>
    </row>
    <row r="3297" spans="1:12">
      <c r="A3297" s="22">
        <v>40312.921527777777</v>
      </c>
      <c r="E3297" s="26">
        <v>18.580044000000001</v>
      </c>
      <c r="G3297" s="27">
        <v>0.92152777777777783</v>
      </c>
      <c r="J3297" s="30">
        <f>IF(G3297&lt;$H$10,$H$16,IF(G3297&gt;$I$10,$H$16,$H$11))*E3297/600</f>
        <v>6.1933480000000004E-3</v>
      </c>
      <c r="L3297" s="32">
        <f>$J3297*($G3297-$G3296)*60*24</f>
        <v>6.1933479999999787E-3</v>
      </c>
    </row>
    <row r="3298" spans="1:12">
      <c r="A3298" s="22">
        <v>40312.922222222223</v>
      </c>
      <c r="E3298" s="26">
        <v>18.547476</v>
      </c>
      <c r="G3298" s="27">
        <v>0.92222222222222217</v>
      </c>
      <c r="J3298" s="30">
        <f>IF(G3298&lt;$H$10,$H$16,IF(G3298&gt;$I$10,$H$16,$H$11))*E3298/600</f>
        <v>6.1824920000000004E-3</v>
      </c>
      <c r="L3298" s="32">
        <f>$J3298*($G3298-$G3297)*60*24</f>
        <v>6.1824919999989899E-3</v>
      </c>
    </row>
    <row r="3299" spans="1:12">
      <c r="A3299" s="22">
        <v>40312.92291666667</v>
      </c>
      <c r="E3299" s="26">
        <v>18.555617999999999</v>
      </c>
      <c r="G3299" s="27">
        <v>0.92291666666666661</v>
      </c>
      <c r="J3299" s="30">
        <f>IF(G3299&lt;$H$10,$H$16,IF(G3299&gt;$I$10,$H$16,$H$11))*E3299/600</f>
        <v>6.1852060000000004E-3</v>
      </c>
      <c r="L3299" s="32">
        <f>$J3299*($G3299-$G3298)*60*24</f>
        <v>6.1852059999999778E-3</v>
      </c>
    </row>
    <row r="3300" spans="1:12">
      <c r="A3300" s="22">
        <v>40312.923611111109</v>
      </c>
      <c r="E3300" s="26">
        <v>18.498624</v>
      </c>
      <c r="G3300" s="27">
        <v>0.92361111111111116</v>
      </c>
      <c r="J3300" s="30">
        <f>IF(G3300&lt;$H$10,$H$16,IF(G3300&gt;$I$10,$H$16,$H$11))*E3300/600</f>
        <v>6.1662080000000003E-3</v>
      </c>
      <c r="L3300" s="32">
        <f>$J3300*($G3300-$G3299)*60*24</f>
        <v>6.1662080000009639E-3</v>
      </c>
    </row>
    <row r="3301" spans="1:12">
      <c r="A3301" s="22">
        <v>40312.924305555556</v>
      </c>
      <c r="E3301" s="26">
        <v>15.112314</v>
      </c>
      <c r="G3301" s="27">
        <v>0.9243055555555556</v>
      </c>
      <c r="J3301" s="30">
        <f>IF(G3301&lt;$H$10,$H$16,IF(G3301&gt;$I$10,$H$16,$H$11))*E3301/600</f>
        <v>5.037438E-3</v>
      </c>
      <c r="L3301" s="32">
        <f>$J3301*($G3301-$G3300)*60*24</f>
        <v>5.0374379999999818E-3</v>
      </c>
    </row>
    <row r="3302" spans="1:12">
      <c r="A3302" s="22">
        <v>40312.925000000003</v>
      </c>
      <c r="E3302" s="26">
        <v>15.132348</v>
      </c>
      <c r="G3302" s="27">
        <v>0.92499999999999993</v>
      </c>
      <c r="J3302" s="30">
        <f>IF(G3302&lt;$H$10,$H$16,IF(G3302&gt;$I$10,$H$16,$H$11))*E3302/600</f>
        <v>5.0441160000000004E-3</v>
      </c>
      <c r="L3302" s="32">
        <f>$J3302*($G3302-$G3301)*60*24</f>
        <v>5.0441159999991755E-3</v>
      </c>
    </row>
    <row r="3303" spans="1:12">
      <c r="A3303" s="22">
        <v>40312.925694444442</v>
      </c>
      <c r="E3303" s="26">
        <v>15.005466</v>
      </c>
      <c r="G3303" s="27">
        <v>0.92569444444444438</v>
      </c>
      <c r="J3303" s="30">
        <f>IF(G3303&lt;$H$10,$H$16,IF(G3303&gt;$I$10,$H$16,$H$11))*E3303/600</f>
        <v>5.0018220000000004E-3</v>
      </c>
      <c r="L3303" s="32">
        <f>$J3303*($G3303-$G3302)*60*24</f>
        <v>5.0018219999999822E-3</v>
      </c>
    </row>
    <row r="3304" spans="1:12">
      <c r="A3304" s="22">
        <v>40312.926388888889</v>
      </c>
      <c r="E3304" s="26">
        <v>14.838516</v>
      </c>
      <c r="G3304" s="27">
        <v>0.92638888888888893</v>
      </c>
      <c r="J3304" s="30">
        <f>IF(G3304&lt;$H$10,$H$16,IF(G3304&gt;$I$10,$H$16,$H$11))*E3304/600</f>
        <v>4.9461720000000004E-3</v>
      </c>
      <c r="L3304" s="32">
        <f>$J3304*($G3304-$G3303)*60*24</f>
        <v>4.9461720000007741E-3</v>
      </c>
    </row>
    <row r="3305" spans="1:12">
      <c r="A3305" s="22">
        <v>40312.927083333336</v>
      </c>
      <c r="E3305" s="26">
        <v>14.737895999999999</v>
      </c>
      <c r="G3305" s="27">
        <v>0.92708333333333337</v>
      </c>
      <c r="J3305" s="30">
        <f>IF(G3305&lt;$H$10,$H$16,IF(G3305&gt;$I$10,$H$16,$H$11))*E3305/600</f>
        <v>4.9126320000000001E-3</v>
      </c>
      <c r="L3305" s="32">
        <f>$J3305*($G3305-$G3304)*60*24</f>
        <v>4.9126319999999828E-3</v>
      </c>
    </row>
    <row r="3306" spans="1:12">
      <c r="A3306" s="22">
        <v>40312.927777777775</v>
      </c>
      <c r="E3306" s="26">
        <v>14.550407999999999</v>
      </c>
      <c r="G3306" s="27">
        <v>0.9277777777777777</v>
      </c>
      <c r="J3306" s="30">
        <f>IF(G3306&lt;$H$10,$H$16,IF(G3306&gt;$I$10,$H$16,$H$11))*E3306/600</f>
        <v>4.8501359999999997E-3</v>
      </c>
      <c r="L3306" s="32">
        <f>$J3306*($G3306-$G3305)*60*24</f>
        <v>4.8501359999992078E-3</v>
      </c>
    </row>
    <row r="3307" spans="1:12">
      <c r="A3307" s="22">
        <v>40312.928472222222</v>
      </c>
      <c r="E3307" s="26">
        <v>14.610671999999999</v>
      </c>
      <c r="G3307" s="27">
        <v>0.92847222222222225</v>
      </c>
      <c r="J3307" s="30">
        <f>IF(G3307&lt;$H$10,$H$16,IF(G3307&gt;$I$10,$H$16,$H$11))*E3307/600</f>
        <v>4.8702240000000003E-3</v>
      </c>
      <c r="L3307" s="32">
        <f>$J3307*($G3307-$G3306)*60*24</f>
        <v>4.8702240000007609E-3</v>
      </c>
    </row>
    <row r="3308" spans="1:12">
      <c r="A3308" s="22">
        <v>40312.929166666669</v>
      </c>
      <c r="E3308" s="26">
        <v>14.644152</v>
      </c>
      <c r="G3308" s="27">
        <v>0.9291666666666667</v>
      </c>
      <c r="J3308" s="30">
        <f>IF(G3308&lt;$H$10,$H$16,IF(G3308&gt;$I$10,$H$16,$H$11))*E3308/600</f>
        <v>4.8813840000000008E-3</v>
      </c>
      <c r="L3308" s="32">
        <f>$J3308*($G3308-$G3307)*60*24</f>
        <v>4.8813839999999834E-3</v>
      </c>
    </row>
    <row r="3309" spans="1:12">
      <c r="A3309" s="22">
        <v>40312.929861111108</v>
      </c>
      <c r="E3309" s="26">
        <v>14.577192</v>
      </c>
      <c r="G3309" s="27">
        <v>0.92986111111111114</v>
      </c>
      <c r="J3309" s="30">
        <f>IF(G3309&lt;$H$10,$H$16,IF(G3309&gt;$I$10,$H$16,$H$11))*E3309/600</f>
        <v>4.8590640000000006E-3</v>
      </c>
      <c r="L3309" s="32">
        <f>$J3309*($G3309-$G3308)*60*24</f>
        <v>4.8590639999999833E-3</v>
      </c>
    </row>
    <row r="3310" spans="1:12">
      <c r="A3310" s="22">
        <v>40312.930555555555</v>
      </c>
      <c r="E3310" s="26">
        <v>14.515192000000001</v>
      </c>
      <c r="G3310" s="27">
        <v>0.93055555555555547</v>
      </c>
      <c r="J3310" s="30">
        <f>IF(G3310&lt;$H$10,$H$16,IF(G3310&gt;$I$10,$H$16,$H$11))*E3310/600</f>
        <v>4.8383973333333335E-3</v>
      </c>
      <c r="L3310" s="32">
        <f>$J3310*($G3310-$G3309)*60*24</f>
        <v>4.8383973333325433E-3</v>
      </c>
    </row>
    <row r="3311" spans="1:12">
      <c r="A3311" s="22">
        <v>40312.931250000001</v>
      </c>
      <c r="E3311" s="26">
        <v>14.749307999999999</v>
      </c>
      <c r="G3311" s="27">
        <v>0.93125000000000002</v>
      </c>
      <c r="J3311" s="30">
        <f>IF(G3311&lt;$H$10,$H$16,IF(G3311&gt;$I$10,$H$16,$H$11))*E3311/600</f>
        <v>4.9164360000000006E-3</v>
      </c>
      <c r="L3311" s="32">
        <f>$J3311*($G3311-$G3310)*60*24</f>
        <v>4.9164360000007691E-3</v>
      </c>
    </row>
    <row r="3312" spans="1:12">
      <c r="A3312" s="22">
        <v>40312.931944444441</v>
      </c>
      <c r="E3312" s="26">
        <v>14.823459</v>
      </c>
      <c r="G3312" s="27">
        <v>0.93194444444444446</v>
      </c>
      <c r="J3312" s="30">
        <f>IF(G3312&lt;$H$10,$H$16,IF(G3312&gt;$I$10,$H$16,$H$11))*E3312/600</f>
        <v>4.9411530000000002E-3</v>
      </c>
      <c r="L3312" s="32">
        <f>$J3312*($G3312-$G3311)*60*24</f>
        <v>4.9411529999999829E-3</v>
      </c>
    </row>
    <row r="3313" spans="1:12">
      <c r="A3313" s="22">
        <v>40312.932638888888</v>
      </c>
      <c r="E3313" s="26">
        <v>14.523624</v>
      </c>
      <c r="G3313" s="27">
        <v>0.93263888888888891</v>
      </c>
      <c r="J3313" s="30">
        <f>IF(G3313&lt;$H$10,$H$16,IF(G3313&gt;$I$10,$H$16,$H$11))*E3313/600</f>
        <v>4.8412080000000005E-3</v>
      </c>
      <c r="L3313" s="32">
        <f>$J3313*($G3313-$G3312)*60*24</f>
        <v>4.8412079999999831E-3</v>
      </c>
    </row>
    <row r="3314" spans="1:12">
      <c r="A3314" s="22">
        <v>40312.933333333334</v>
      </c>
      <c r="E3314" s="26">
        <v>14.664859999999999</v>
      </c>
      <c r="G3314" s="27">
        <v>0.93333333333333324</v>
      </c>
      <c r="J3314" s="30">
        <f>IF(G3314&lt;$H$10,$H$16,IF(G3314&gt;$I$10,$H$16,$H$11))*E3314/600</f>
        <v>4.8882866666666667E-3</v>
      </c>
      <c r="L3314" s="32">
        <f>$J3314*($G3314-$G3313)*60*24</f>
        <v>4.8882866666658678E-3</v>
      </c>
    </row>
    <row r="3315" spans="1:12">
      <c r="A3315" s="22">
        <v>40312.934027777781</v>
      </c>
      <c r="E3315" s="26">
        <v>14.536458</v>
      </c>
      <c r="G3315" s="27">
        <v>0.93402777777777779</v>
      </c>
      <c r="J3315" s="30">
        <f>IF(G3315&lt;$H$10,$H$16,IF(G3315&gt;$I$10,$H$16,$H$11))*E3315/600</f>
        <v>4.8454860000000004E-3</v>
      </c>
      <c r="L3315" s="32">
        <f>$J3315*($G3315-$G3314)*60*24</f>
        <v>4.8454860000007576E-3</v>
      </c>
    </row>
    <row r="3316" spans="1:12">
      <c r="A3316" s="22">
        <v>40312.93472222222</v>
      </c>
      <c r="E3316" s="26">
        <v>14.483447999999999</v>
      </c>
      <c r="G3316" s="27">
        <v>0.93472222222222223</v>
      </c>
      <c r="J3316" s="30">
        <f>IF(G3316&lt;$H$10,$H$16,IF(G3316&gt;$I$10,$H$16,$H$11))*E3316/600</f>
        <v>4.8278160000000004E-3</v>
      </c>
      <c r="L3316" s="32">
        <f>$J3316*($G3316-$G3315)*60*24</f>
        <v>4.8278159999999831E-3</v>
      </c>
    </row>
    <row r="3317" spans="1:12">
      <c r="A3317" s="22">
        <v>40312.935416666667</v>
      </c>
      <c r="E3317" s="26">
        <v>14.742566999999999</v>
      </c>
      <c r="G3317" s="27">
        <v>0.93541666666666667</v>
      </c>
      <c r="J3317" s="30">
        <f>IF(G3317&lt;$H$10,$H$16,IF(G3317&gt;$I$10,$H$16,$H$11))*E3317/600</f>
        <v>4.9141890000000002E-3</v>
      </c>
      <c r="L3317" s="32">
        <f>$J3317*($G3317-$G3316)*60*24</f>
        <v>4.9141889999999829E-3</v>
      </c>
    </row>
    <row r="3318" spans="1:12">
      <c r="A3318" s="22">
        <v>40312.936111111114</v>
      </c>
      <c r="E3318" s="26">
        <v>14.704416</v>
      </c>
      <c r="G3318" s="27">
        <v>0.93611111111111101</v>
      </c>
      <c r="J3318" s="30">
        <f>IF(G3318&lt;$H$10,$H$16,IF(G3318&gt;$I$10,$H$16,$H$11))*E3318/600</f>
        <v>4.9014720000000005E-3</v>
      </c>
      <c r="L3318" s="32">
        <f>$J3318*($G3318-$G3317)*60*24</f>
        <v>4.901471999999199E-3</v>
      </c>
    </row>
    <row r="3319" spans="1:12">
      <c r="A3319" s="22">
        <v>40312.936805555553</v>
      </c>
      <c r="E3319" s="26">
        <v>14.744592000000001</v>
      </c>
      <c r="G3319" s="27">
        <v>0.93680555555555556</v>
      </c>
      <c r="J3319" s="30">
        <f>IF(G3319&lt;$H$10,$H$16,IF(G3319&gt;$I$10,$H$16,$H$11))*E3319/600</f>
        <v>4.9148640000000006E-3</v>
      </c>
      <c r="L3319" s="32">
        <f>$J3319*($G3319-$G3318)*60*24</f>
        <v>4.914864000000769E-3</v>
      </c>
    </row>
    <row r="3320" spans="1:12">
      <c r="A3320" s="22">
        <v>40312.9375</v>
      </c>
      <c r="E3320" s="26">
        <v>14.823459</v>
      </c>
      <c r="G3320" s="27">
        <v>0.9375</v>
      </c>
      <c r="J3320" s="30">
        <f>IF(G3320&lt;$H$10,$H$16,IF(G3320&gt;$I$10,$H$16,$H$11))*E3320/600</f>
        <v>4.9411530000000002E-3</v>
      </c>
      <c r="L3320" s="32">
        <f>$J3320*($G3320-$G3319)*60*24</f>
        <v>4.9411529999999829E-3</v>
      </c>
    </row>
    <row r="3321" spans="1:12">
      <c r="A3321" s="22">
        <v>40312.938194444447</v>
      </c>
      <c r="E3321" s="26">
        <v>14.745024000000001</v>
      </c>
      <c r="G3321" s="27">
        <v>0.93819444444444444</v>
      </c>
      <c r="J3321" s="30">
        <f>IF(G3321&lt;$H$10,$H$16,IF(G3321&gt;$I$10,$H$16,$H$11))*E3321/600</f>
        <v>4.9150080000000011E-3</v>
      </c>
      <c r="L3321" s="32">
        <f>$J3321*($G3321-$G3320)*60*24</f>
        <v>4.9150079999999837E-3</v>
      </c>
    </row>
    <row r="3322" spans="1:12">
      <c r="A3322" s="22">
        <v>40312.938888888886</v>
      </c>
      <c r="E3322" s="26">
        <v>14.771736000000001</v>
      </c>
      <c r="G3322" s="27">
        <v>0.93888888888888899</v>
      </c>
      <c r="J3322" s="30">
        <f>IF(G3322&lt;$H$10,$H$16,IF(G3322&gt;$I$10,$H$16,$H$11))*E3322/600</f>
        <v>4.9239120000000008E-3</v>
      </c>
      <c r="L3322" s="32">
        <f>$J3322*($G3322-$G3321)*60*24</f>
        <v>4.923912000000771E-3</v>
      </c>
    </row>
    <row r="3323" spans="1:12">
      <c r="A3323" s="22">
        <v>40312.939583333333</v>
      </c>
      <c r="E3323" s="26">
        <v>14.678243999999999</v>
      </c>
      <c r="G3323" s="27">
        <v>0.93958333333333333</v>
      </c>
      <c r="J3323" s="30">
        <f>IF(G3323&lt;$H$10,$H$16,IF(G3323&gt;$I$10,$H$16,$H$11))*E3323/600</f>
        <v>4.8927479999999997E-3</v>
      </c>
      <c r="L3323" s="32">
        <f>$J3323*($G3323-$G3322)*60*24</f>
        <v>4.8927479999992E-3</v>
      </c>
    </row>
    <row r="3324" spans="1:12">
      <c r="A3324" s="22">
        <v>40312.94027777778</v>
      </c>
      <c r="E3324" s="26">
        <v>14.708862</v>
      </c>
      <c r="G3324" s="27">
        <v>0.94027777777777777</v>
      </c>
      <c r="J3324" s="30">
        <f>IF(G3324&lt;$H$10,$H$16,IF(G3324&gt;$I$10,$H$16,$H$11))*E3324/600</f>
        <v>4.9029540000000002E-3</v>
      </c>
      <c r="L3324" s="32">
        <f>$J3324*($G3324-$G3323)*60*24</f>
        <v>4.9029539999999837E-3</v>
      </c>
    </row>
    <row r="3325" spans="1:12">
      <c r="A3325" s="22">
        <v>40312.940972222219</v>
      </c>
      <c r="E3325" s="26">
        <v>14.577192</v>
      </c>
      <c r="G3325" s="27">
        <v>0.94097222222222221</v>
      </c>
      <c r="J3325" s="30">
        <f>IF(G3325&lt;$H$10,$H$16,IF(G3325&gt;$I$10,$H$16,$H$11))*E3325/600</f>
        <v>4.8590640000000006E-3</v>
      </c>
      <c r="L3325" s="32">
        <f>$J3325*($G3325-$G3324)*60*24</f>
        <v>4.8590639999999833E-3</v>
      </c>
    </row>
    <row r="3326" spans="1:12">
      <c r="A3326" s="22">
        <v>40312.941666666666</v>
      </c>
      <c r="E3326" s="26">
        <v>14.711634</v>
      </c>
      <c r="G3326" s="27">
        <v>0.94166666666666676</v>
      </c>
      <c r="J3326" s="30">
        <f>IF(G3326&lt;$H$10,$H$16,IF(G3326&gt;$I$10,$H$16,$H$11))*E3326/600</f>
        <v>4.9038780000000004E-3</v>
      </c>
      <c r="L3326" s="32">
        <f>$J3326*($G3326-$G3325)*60*24</f>
        <v>4.9038780000007672E-3</v>
      </c>
    </row>
    <row r="3327" spans="1:12">
      <c r="A3327" s="22">
        <v>40312.942361111112</v>
      </c>
      <c r="E3327" s="26">
        <v>14.999423999999999</v>
      </c>
      <c r="G3327" s="27">
        <v>0.94236111111111109</v>
      </c>
      <c r="J3327" s="30">
        <f>IF(G3327&lt;$H$10,$H$16,IF(G3327&gt;$I$10,$H$16,$H$11))*E3327/600</f>
        <v>4.9998080000000006E-3</v>
      </c>
      <c r="L3327" s="32">
        <f>$J3327*($G3327-$G3326)*60*24</f>
        <v>4.9998079999991835E-3</v>
      </c>
    </row>
    <row r="3328" spans="1:12">
      <c r="A3328" s="22">
        <v>40312.943055555559</v>
      </c>
      <c r="E3328" s="26">
        <v>14.785092000000001</v>
      </c>
      <c r="G3328" s="27">
        <v>0.94305555555555554</v>
      </c>
      <c r="J3328" s="30">
        <f>IF(G3328&lt;$H$10,$H$16,IF(G3328&gt;$I$10,$H$16,$H$11))*E3328/600</f>
        <v>4.928364000000001E-3</v>
      </c>
      <c r="L3328" s="32">
        <f>$J3328*($G3328-$G3327)*60*24</f>
        <v>4.9283639999999837E-3</v>
      </c>
    </row>
    <row r="3329" spans="1:12">
      <c r="A3329" s="22">
        <v>40312.943749999999</v>
      </c>
      <c r="E3329" s="26">
        <v>14.823459</v>
      </c>
      <c r="G3329" s="27">
        <v>0.94374999999999998</v>
      </c>
      <c r="J3329" s="30">
        <f>IF(G3329&lt;$H$10,$H$16,IF(G3329&gt;$I$10,$H$16,$H$11))*E3329/600</f>
        <v>4.9411530000000002E-3</v>
      </c>
      <c r="L3329" s="32">
        <f>$J3329*($G3329-$G3328)*60*24</f>
        <v>4.9411529999999829E-3</v>
      </c>
    </row>
    <row r="3330" spans="1:12">
      <c r="A3330" s="22">
        <v>40312.944444444445</v>
      </c>
      <c r="E3330" s="26">
        <v>14.711634</v>
      </c>
      <c r="G3330" s="27">
        <v>0.94444444444444453</v>
      </c>
      <c r="J3330" s="30">
        <f>IF(G3330&lt;$H$10,$H$16,IF(G3330&gt;$I$10,$H$16,$H$11))*E3330/600</f>
        <v>4.9038780000000004E-3</v>
      </c>
      <c r="L3330" s="32">
        <f>$J3330*($G3330-$G3329)*60*24</f>
        <v>4.9038780000007672E-3</v>
      </c>
    </row>
    <row r="3331" spans="1:12">
      <c r="A3331" s="22">
        <v>40312.945138888892</v>
      </c>
      <c r="E3331" s="26">
        <v>14.749307999999999</v>
      </c>
      <c r="G3331" s="27">
        <v>0.94513888888888886</v>
      </c>
      <c r="J3331" s="30">
        <f>IF(G3331&lt;$H$10,$H$16,IF(G3331&gt;$I$10,$H$16,$H$11))*E3331/600</f>
        <v>4.9164360000000006E-3</v>
      </c>
      <c r="L3331" s="32">
        <f>$J3331*($G3331-$G3330)*60*24</f>
        <v>4.9164359999991965E-3</v>
      </c>
    </row>
    <row r="3332" spans="1:12">
      <c r="A3332" s="22">
        <v>40312.945833333331</v>
      </c>
      <c r="E3332" s="26">
        <v>14.617554</v>
      </c>
      <c r="G3332" s="27">
        <v>0.9458333333333333</v>
      </c>
      <c r="J3332" s="30">
        <f>IF(G3332&lt;$H$10,$H$16,IF(G3332&gt;$I$10,$H$16,$H$11))*E3332/600</f>
        <v>4.8725180000000002E-3</v>
      </c>
      <c r="L3332" s="32">
        <f>$J3332*($G3332-$G3331)*60*24</f>
        <v>4.8725179999999828E-3</v>
      </c>
    </row>
    <row r="3333" spans="1:12">
      <c r="A3333" s="22">
        <v>40312.946527777778</v>
      </c>
      <c r="E3333" s="26">
        <v>14.470056</v>
      </c>
      <c r="G3333" s="27">
        <v>0.94652777777777775</v>
      </c>
      <c r="J3333" s="30">
        <f>IF(G3333&lt;$H$10,$H$16,IF(G3333&gt;$I$10,$H$16,$H$11))*E3333/600</f>
        <v>4.8233520000000004E-3</v>
      </c>
      <c r="L3333" s="32">
        <f>$J3333*($G3333-$G3332)*60*24</f>
        <v>4.8233519999999839E-3</v>
      </c>
    </row>
    <row r="3334" spans="1:12">
      <c r="A3334" s="22">
        <v>40312.947222222225</v>
      </c>
      <c r="E3334" s="26">
        <v>14.610796000000001</v>
      </c>
      <c r="G3334" s="27">
        <v>0.9472222222222223</v>
      </c>
      <c r="J3334" s="30">
        <f>IF(G3334&lt;$H$10,$H$16,IF(G3334&gt;$I$10,$H$16,$H$11))*E3334/600</f>
        <v>4.8702653333333335E-3</v>
      </c>
      <c r="L3334" s="32">
        <f>$J3334*($G3334-$G3333)*60*24</f>
        <v>4.8702653333340951E-3</v>
      </c>
    </row>
    <row r="3335" spans="1:12">
      <c r="A3335" s="22">
        <v>40312.947916666664</v>
      </c>
      <c r="E3335" s="26">
        <v>14.541728000000001</v>
      </c>
      <c r="G3335" s="27">
        <v>0.94791666666666663</v>
      </c>
      <c r="J3335" s="30">
        <f>IF(G3335&lt;$H$10,$H$16,IF(G3335&gt;$I$10,$H$16,$H$11))*E3335/600</f>
        <v>4.8472426666666679E-3</v>
      </c>
      <c r="L3335" s="32">
        <f>$J3335*($G3335-$G3334)*60*24</f>
        <v>4.847242666665876E-3</v>
      </c>
    </row>
    <row r="3336" spans="1:12">
      <c r="A3336" s="22">
        <v>40312.948611111111</v>
      </c>
      <c r="E3336" s="26">
        <v>14.603975999999999</v>
      </c>
      <c r="G3336" s="27">
        <v>0.94861111111111107</v>
      </c>
      <c r="J3336" s="30">
        <f>IF(G3336&lt;$H$10,$H$16,IF(G3336&gt;$I$10,$H$16,$H$11))*E3336/600</f>
        <v>4.8679920000000007E-3</v>
      </c>
      <c r="L3336" s="32">
        <f>$J3336*($G3336-$G3335)*60*24</f>
        <v>4.8679919999999833E-3</v>
      </c>
    </row>
    <row r="3337" spans="1:12">
      <c r="A3337" s="22">
        <v>40312.949305555558</v>
      </c>
      <c r="E3337" s="26">
        <v>14.617368000000001</v>
      </c>
      <c r="G3337" s="27">
        <v>0.94930555555555562</v>
      </c>
      <c r="J3337" s="30">
        <f>IF(G3337&lt;$H$10,$H$16,IF(G3337&gt;$I$10,$H$16,$H$11))*E3337/600</f>
        <v>4.8724560000000007E-3</v>
      </c>
      <c r="L3337" s="32">
        <f>$J3337*($G3337-$G3336)*60*24</f>
        <v>4.8724560000007622E-3</v>
      </c>
    </row>
    <row r="3338" spans="1:12">
      <c r="A3338" s="22">
        <v>40312.949999999997</v>
      </c>
      <c r="E3338" s="26">
        <v>14.590584</v>
      </c>
      <c r="G3338" s="27">
        <v>0.95000000000000007</v>
      </c>
      <c r="J3338" s="30">
        <f>IF(G3338&lt;$H$10,$H$16,IF(G3338&gt;$I$10,$H$16,$H$11))*E3338/600</f>
        <v>4.8635279999999998E-3</v>
      </c>
      <c r="L3338" s="32">
        <f>$J3338*($G3338-$G3337)*60*24</f>
        <v>4.8635279999999824E-3</v>
      </c>
    </row>
    <row r="3339" spans="1:12">
      <c r="A3339" s="22">
        <v>40312.950694444444</v>
      </c>
      <c r="E3339" s="26">
        <v>14.650848</v>
      </c>
      <c r="G3339" s="27">
        <v>0.9506944444444444</v>
      </c>
      <c r="J3339" s="30">
        <f>IF(G3339&lt;$H$10,$H$16,IF(G3339&gt;$I$10,$H$16,$H$11))*E3339/600</f>
        <v>4.8836160000000003E-3</v>
      </c>
      <c r="L3339" s="32">
        <f>$J3339*($G3339-$G3338)*60*24</f>
        <v>4.8836159999992024E-3</v>
      </c>
    </row>
    <row r="3340" spans="1:12">
      <c r="A3340" s="22">
        <v>40312.951388888891</v>
      </c>
      <c r="E3340" s="26">
        <v>14.627969999999999</v>
      </c>
      <c r="G3340" s="27">
        <v>0.95138888888888884</v>
      </c>
      <c r="J3340" s="30">
        <f>IF(G3340&lt;$H$10,$H$16,IF(G3340&gt;$I$10,$H$16,$H$11))*E3340/600</f>
        <v>4.8759900000000002E-3</v>
      </c>
      <c r="L3340" s="32">
        <f>$J3340*($G3340-$G3339)*60*24</f>
        <v>4.8759899999999828E-3</v>
      </c>
    </row>
    <row r="3341" spans="1:12">
      <c r="A3341" s="22">
        <v>40312.95208333333</v>
      </c>
      <c r="E3341" s="26">
        <v>14.878584</v>
      </c>
      <c r="G3341" s="27">
        <v>0.95208333333333339</v>
      </c>
      <c r="J3341" s="30">
        <f>IF(G3341&lt;$H$10,$H$16,IF(G3341&gt;$I$10,$H$16,$H$11))*E3341/600</f>
        <v>4.9595280000000004E-3</v>
      </c>
      <c r="L3341" s="32">
        <f>$J3341*($G3341-$G3340)*60*24</f>
        <v>4.9595280000007758E-3</v>
      </c>
    </row>
    <row r="3342" spans="1:12">
      <c r="A3342" s="22">
        <v>40312.952777777777</v>
      </c>
      <c r="E3342" s="26">
        <v>14.945364</v>
      </c>
      <c r="G3342" s="27">
        <v>0.95277777777777783</v>
      </c>
      <c r="J3342" s="30">
        <f>IF(G3342&lt;$H$10,$H$16,IF(G3342&gt;$I$10,$H$16,$H$11))*E3342/600</f>
        <v>4.981788E-3</v>
      </c>
      <c r="L3342" s="32">
        <f>$J3342*($G3342-$G3341)*60*24</f>
        <v>4.9817879999999818E-3</v>
      </c>
    </row>
    <row r="3343" spans="1:12">
      <c r="A3343" s="22">
        <v>40312.953472222223</v>
      </c>
      <c r="E3343" s="26">
        <v>14.925330000000001</v>
      </c>
      <c r="G3343" s="27">
        <v>0.95347222222222217</v>
      </c>
      <c r="J3343" s="30">
        <f>IF(G3343&lt;$H$10,$H$16,IF(G3343&gt;$I$10,$H$16,$H$11))*E3343/600</f>
        <v>4.9751100000000005E-3</v>
      </c>
      <c r="L3343" s="32">
        <f>$J3343*($G3343-$G3342)*60*24</f>
        <v>4.9751099999991878E-3</v>
      </c>
    </row>
    <row r="3344" spans="1:12">
      <c r="A3344" s="22">
        <v>40312.95416666667</v>
      </c>
      <c r="E3344" s="26">
        <v>14.932008</v>
      </c>
      <c r="G3344" s="27">
        <v>0.95416666666666661</v>
      </c>
      <c r="J3344" s="30">
        <f>IF(G3344&lt;$H$10,$H$16,IF(G3344&gt;$I$10,$H$16,$H$11))*E3344/600</f>
        <v>4.9773360000000006E-3</v>
      </c>
      <c r="L3344" s="32">
        <f>$J3344*($G3344-$G3343)*60*24</f>
        <v>4.9773359999999833E-3</v>
      </c>
    </row>
    <row r="3345" spans="1:12">
      <c r="A3345" s="22">
        <v>40312.954861111109</v>
      </c>
      <c r="E3345" s="26">
        <v>15.14016</v>
      </c>
      <c r="G3345" s="27">
        <v>0.95486111111111116</v>
      </c>
      <c r="J3345" s="30">
        <f>IF(G3345&lt;$H$10,$H$16,IF(G3345&gt;$I$10,$H$16,$H$11))*E3345/600</f>
        <v>5.0467200000000002E-3</v>
      </c>
      <c r="L3345" s="32">
        <f>$J3345*($G3345-$G3344)*60*24</f>
        <v>5.0467200000007886E-3</v>
      </c>
    </row>
    <row r="3346" spans="1:12">
      <c r="A3346" s="22">
        <v>40312.955555555556</v>
      </c>
      <c r="E3346" s="26">
        <v>15.187200000000001</v>
      </c>
      <c r="G3346" s="27">
        <v>0.9555555555555556</v>
      </c>
      <c r="J3346" s="30">
        <f>IF(G3346&lt;$H$10,$H$16,IF(G3346&gt;$I$10,$H$16,$H$11))*E3346/600</f>
        <v>5.0623999999999999E-3</v>
      </c>
      <c r="L3346" s="32">
        <f>$J3346*($G3346-$G3345)*60*24</f>
        <v>5.0623999999999825E-3</v>
      </c>
    </row>
    <row r="3347" spans="1:12">
      <c r="A3347" s="22">
        <v>40312.956250000003</v>
      </c>
      <c r="E3347" s="26">
        <v>14.956515</v>
      </c>
      <c r="G3347" s="27">
        <v>0.95624999999999993</v>
      </c>
      <c r="J3347" s="30">
        <f>IF(G3347&lt;$H$10,$H$16,IF(G3347&gt;$I$10,$H$16,$H$11))*E3347/600</f>
        <v>4.9855050000000003E-3</v>
      </c>
      <c r="L3347" s="32">
        <f>$J3347*($G3347-$G3346)*60*24</f>
        <v>4.9855049999991859E-3</v>
      </c>
    </row>
    <row r="3348" spans="1:12">
      <c r="A3348" s="22">
        <v>40312.956944444442</v>
      </c>
      <c r="E3348" s="26">
        <v>15.180479999999999</v>
      </c>
      <c r="G3348" s="27">
        <v>0.95694444444444438</v>
      </c>
      <c r="J3348" s="30">
        <f>IF(G3348&lt;$H$10,$H$16,IF(G3348&gt;$I$10,$H$16,$H$11))*E3348/600</f>
        <v>5.0601600000000002E-3</v>
      </c>
      <c r="L3348" s="32">
        <f>$J3348*($G3348-$G3347)*60*24</f>
        <v>5.060159999999982E-3</v>
      </c>
    </row>
    <row r="3349" spans="1:12">
      <c r="A3349" s="22">
        <v>40312.957638888889</v>
      </c>
      <c r="E3349" s="26">
        <v>15.20736</v>
      </c>
      <c r="G3349" s="27">
        <v>0.95763888888888893</v>
      </c>
      <c r="J3349" s="30">
        <f>IF(G3349&lt;$H$10,$H$16,IF(G3349&gt;$I$10,$H$16,$H$11))*E3349/600</f>
        <v>5.0691199999999999E-3</v>
      </c>
      <c r="L3349" s="32">
        <f>$J3349*($G3349-$G3348)*60*24</f>
        <v>5.0691200000007918E-3</v>
      </c>
    </row>
    <row r="3350" spans="1:12">
      <c r="A3350" s="22">
        <v>40312.958333333336</v>
      </c>
      <c r="E3350" s="26">
        <v>14.998787999999999</v>
      </c>
      <c r="G3350" s="27">
        <v>0.95833333333333337</v>
      </c>
      <c r="J3350" s="30">
        <f>IF(G3350&lt;$H$10,$H$16,IF(G3350&gt;$I$10,$H$16,$H$11))*E3350/600</f>
        <v>4.9995960000000002E-3</v>
      </c>
      <c r="L3350" s="32">
        <f>$J3350*($G3350-$G3349)*60*24</f>
        <v>4.9995959999999829E-3</v>
      </c>
    </row>
    <row r="3351" spans="1:12">
      <c r="A3351" s="22">
        <v>40312.959027777775</v>
      </c>
      <c r="E3351" s="26">
        <v>14.985431999999999</v>
      </c>
      <c r="G3351" s="27">
        <v>0.9590277777777777</v>
      </c>
      <c r="J3351" s="30">
        <f>IF(G3351&lt;$H$10,$H$16,IF(G3351&gt;$I$10,$H$16,$H$11))*E3351/600</f>
        <v>4.995144E-3</v>
      </c>
      <c r="L3351" s="32">
        <f>$J3351*($G3351-$G3350)*60*24</f>
        <v>4.9951439999991838E-3</v>
      </c>
    </row>
    <row r="3352" spans="1:12">
      <c r="A3352" s="22">
        <v>40312.959722222222</v>
      </c>
      <c r="E3352" s="26">
        <v>15.167249999999999</v>
      </c>
      <c r="G3352" s="27">
        <v>0.95972222222222225</v>
      </c>
      <c r="J3352" s="30">
        <f>IF(G3352&lt;$H$10,$H$16,IF(G3352&gt;$I$10,$H$16,$H$11))*E3352/600</f>
        <v>5.0557500000000003E-3</v>
      </c>
      <c r="L3352" s="32">
        <f>$J3352*($G3352-$G3351)*60*24</f>
        <v>5.0557500000007905E-3</v>
      </c>
    </row>
    <row r="3353" spans="1:12">
      <c r="A3353" s="22">
        <v>40312.960416666669</v>
      </c>
      <c r="E3353" s="26">
        <v>15.085602</v>
      </c>
      <c r="G3353" s="27">
        <v>0.9604166666666667</v>
      </c>
      <c r="J3353" s="30">
        <f>IF(G3353&lt;$H$10,$H$16,IF(G3353&gt;$I$10,$H$16,$H$11))*E3353/600</f>
        <v>5.0285340000000003E-3</v>
      </c>
      <c r="L3353" s="32">
        <f>$J3353*($G3353-$G3352)*60*24</f>
        <v>5.028533999999983E-3</v>
      </c>
    </row>
    <row r="3354" spans="1:12">
      <c r="A3354" s="22">
        <v>40312.961111111108</v>
      </c>
      <c r="E3354" s="26">
        <v>15.065568000000001</v>
      </c>
      <c r="G3354" s="27">
        <v>0.96111111111111114</v>
      </c>
      <c r="J3354" s="30">
        <f>IF(G3354&lt;$H$10,$H$16,IF(G3354&gt;$I$10,$H$16,$H$11))*E3354/600</f>
        <v>5.0218560000000008E-3</v>
      </c>
      <c r="L3354" s="32">
        <f>$J3354*($G3354-$G3353)*60*24</f>
        <v>5.0218559999999825E-3</v>
      </c>
    </row>
    <row r="3355" spans="1:12">
      <c r="A3355" s="22">
        <v>40312.961805555555</v>
      </c>
      <c r="E3355" s="26">
        <v>15.045534</v>
      </c>
      <c r="G3355" s="27">
        <v>0.96180555555555547</v>
      </c>
      <c r="J3355" s="30">
        <f>IF(G3355&lt;$H$10,$H$16,IF(G3355&gt;$I$10,$H$16,$H$11))*E3355/600</f>
        <v>5.0151780000000003E-3</v>
      </c>
      <c r="L3355" s="32">
        <f>$J3355*($G3355-$G3354)*60*24</f>
        <v>5.0151779999991807E-3</v>
      </c>
    </row>
    <row r="3356" spans="1:12">
      <c r="A3356" s="22">
        <v>40312.962500000001</v>
      </c>
      <c r="E3356" s="26">
        <v>15.29792</v>
      </c>
      <c r="G3356" s="27">
        <v>0.96250000000000002</v>
      </c>
      <c r="J3356" s="30">
        <f>IF(G3356&lt;$H$10,$H$16,IF(G3356&gt;$I$10,$H$16,$H$11))*E3356/600</f>
        <v>5.0993066666666668E-3</v>
      </c>
      <c r="L3356" s="32">
        <f>$J3356*($G3356-$G3355)*60*24</f>
        <v>5.0993066666674639E-3</v>
      </c>
    </row>
    <row r="3357" spans="1:12">
      <c r="A3357" s="22">
        <v>40312.963194444441</v>
      </c>
      <c r="E3357" s="26">
        <v>15.214079999999999</v>
      </c>
      <c r="G3357" s="27">
        <v>0.96319444444444446</v>
      </c>
      <c r="J3357" s="30">
        <f>IF(G3357&lt;$H$10,$H$16,IF(G3357&gt;$I$10,$H$16,$H$11))*E3357/600</f>
        <v>5.0713600000000005E-3</v>
      </c>
      <c r="L3357" s="32">
        <f>$J3357*($G3357-$G3356)*60*24</f>
        <v>5.0713599999999822E-3</v>
      </c>
    </row>
    <row r="3358" spans="1:12">
      <c r="A3358" s="22">
        <v>40312.963888888888</v>
      </c>
      <c r="E3358" s="26">
        <v>15.085602</v>
      </c>
      <c r="G3358" s="27">
        <v>0.96388888888888891</v>
      </c>
      <c r="J3358" s="30">
        <f>IF(G3358&lt;$H$10,$H$16,IF(G3358&gt;$I$10,$H$16,$H$11))*E3358/600</f>
        <v>5.0285340000000003E-3</v>
      </c>
      <c r="L3358" s="32">
        <f>$J3358*($G3358-$G3357)*60*24</f>
        <v>5.028533999999983E-3</v>
      </c>
    </row>
    <row r="3359" spans="1:12">
      <c r="A3359" s="22">
        <v>40312.964583333334</v>
      </c>
      <c r="E3359" s="26">
        <v>15.038855999999999</v>
      </c>
      <c r="G3359" s="27">
        <v>0.96458333333333324</v>
      </c>
      <c r="J3359" s="30">
        <f>IF(G3359&lt;$H$10,$H$16,IF(G3359&gt;$I$10,$H$16,$H$11))*E3359/600</f>
        <v>5.0129520000000002E-3</v>
      </c>
      <c r="L3359" s="32">
        <f>$J3359*($G3359-$G3358)*60*24</f>
        <v>5.0129519999991805E-3</v>
      </c>
    </row>
    <row r="3360" spans="1:12">
      <c r="A3360" s="22">
        <v>40312.965277777781</v>
      </c>
      <c r="E3360" s="26">
        <v>14.938686000000001</v>
      </c>
      <c r="G3360" s="27">
        <v>0.96527777777777779</v>
      </c>
      <c r="J3360" s="30">
        <f>IF(G3360&lt;$H$10,$H$16,IF(G3360&gt;$I$10,$H$16,$H$11))*E3360/600</f>
        <v>4.9795620000000007E-3</v>
      </c>
      <c r="L3360" s="32">
        <f>$J3360*($G3360-$G3359)*60*24</f>
        <v>4.9795620000007788E-3</v>
      </c>
    </row>
    <row r="3361" spans="1:12">
      <c r="A3361" s="22">
        <v>40312.96597222222</v>
      </c>
      <c r="E3361" s="26">
        <v>14.89194</v>
      </c>
      <c r="G3361" s="27">
        <v>0.96597222222222223</v>
      </c>
      <c r="J3361" s="30">
        <f>IF(G3361&lt;$H$10,$H$16,IF(G3361&gt;$I$10,$H$16,$H$11))*E3361/600</f>
        <v>4.9639800000000006E-3</v>
      </c>
      <c r="L3361" s="32">
        <f>$J3361*($G3361-$G3360)*60*24</f>
        <v>4.9639799999999833E-3</v>
      </c>
    </row>
    <row r="3362" spans="1:12">
      <c r="A3362" s="22">
        <v>40312.966666666667</v>
      </c>
      <c r="E3362" s="26">
        <v>14.971761000000001</v>
      </c>
      <c r="G3362" s="27">
        <v>0.96666666666666667</v>
      </c>
      <c r="J3362" s="30">
        <f>IF(G3362&lt;$H$10,$H$16,IF(G3362&gt;$I$10,$H$16,$H$11))*E3362/600</f>
        <v>4.9905870000000003E-3</v>
      </c>
      <c r="L3362" s="32">
        <f>$J3362*($G3362-$G3361)*60*24</f>
        <v>4.9905869999999821E-3</v>
      </c>
    </row>
    <row r="3363" spans="1:12">
      <c r="A3363" s="22">
        <v>40312.967361111114</v>
      </c>
      <c r="E3363" s="26">
        <v>14.958278999999999</v>
      </c>
      <c r="G3363" s="27">
        <v>0.96736111111111101</v>
      </c>
      <c r="J3363" s="30">
        <f>IF(G3363&lt;$H$10,$H$16,IF(G3363&gt;$I$10,$H$16,$H$11))*E3363/600</f>
        <v>4.9860930000000005E-3</v>
      </c>
      <c r="L3363" s="32">
        <f>$J3363*($G3363-$G3362)*60*24</f>
        <v>4.9860929999991851E-3</v>
      </c>
    </row>
    <row r="3364" spans="1:12">
      <c r="A3364" s="22">
        <v>40312.968055555553</v>
      </c>
      <c r="E3364" s="26">
        <v>14.831837999999999</v>
      </c>
      <c r="G3364" s="27">
        <v>0.96805555555555556</v>
      </c>
      <c r="J3364" s="30">
        <f>IF(G3364&lt;$H$10,$H$16,IF(G3364&gt;$I$10,$H$16,$H$11))*E3364/600</f>
        <v>4.9439459999999994E-3</v>
      </c>
      <c r="L3364" s="32">
        <f>$J3364*($G3364-$G3363)*60*24</f>
        <v>4.9439460000007722E-3</v>
      </c>
    </row>
    <row r="3365" spans="1:12">
      <c r="A3365" s="22">
        <v>40312.96875</v>
      </c>
      <c r="E3365" s="26">
        <v>14.82516</v>
      </c>
      <c r="G3365" s="27">
        <v>0.96875</v>
      </c>
      <c r="J3365" s="30">
        <f>IF(G3365&lt;$H$10,$H$16,IF(G3365&gt;$I$10,$H$16,$H$11))*E3365/600</f>
        <v>4.9417200000000001E-3</v>
      </c>
      <c r="L3365" s="32">
        <f>$J3365*($G3365-$G3364)*60*24</f>
        <v>4.9417199999999828E-3</v>
      </c>
    </row>
    <row r="3366" spans="1:12">
      <c r="A3366" s="22">
        <v>40312.969444444447</v>
      </c>
      <c r="E3366" s="26">
        <v>14.865228</v>
      </c>
      <c r="G3366" s="27">
        <v>0.96944444444444444</v>
      </c>
      <c r="J3366" s="30">
        <f>IF(G3366&lt;$H$10,$H$16,IF(G3366&gt;$I$10,$H$16,$H$11))*E3366/600</f>
        <v>4.9550760000000001E-3</v>
      </c>
      <c r="L3366" s="32">
        <f>$J3366*($G3366-$G3365)*60*24</f>
        <v>4.9550759999999819E-3</v>
      </c>
    </row>
    <row r="3367" spans="1:12">
      <c r="A3367" s="22">
        <v>40312.970138888886</v>
      </c>
      <c r="E3367" s="26">
        <v>15.093120000000001</v>
      </c>
      <c r="G3367" s="27">
        <v>0.97013888888888899</v>
      </c>
      <c r="J3367" s="30">
        <f>IF(G3367&lt;$H$10,$H$16,IF(G3367&gt;$I$10,$H$16,$H$11))*E3367/600</f>
        <v>5.0310400000000005E-3</v>
      </c>
      <c r="L3367" s="32">
        <f>$J3367*($G3367-$G3366)*60*24</f>
        <v>5.0310400000007872E-3</v>
      </c>
    </row>
    <row r="3368" spans="1:12">
      <c r="A3368" s="22">
        <v>40312.970833333333</v>
      </c>
      <c r="E3368" s="26">
        <v>15.055872000000001</v>
      </c>
      <c r="G3368" s="27">
        <v>0.97083333333333333</v>
      </c>
      <c r="J3368" s="30">
        <f>IF(G3368&lt;$H$10,$H$16,IF(G3368&gt;$I$10,$H$16,$H$11))*E3368/600</f>
        <v>5.0186240000000002E-3</v>
      </c>
      <c r="L3368" s="32">
        <f>$J3368*($G3368-$G3367)*60*24</f>
        <v>5.0186239999991797E-3</v>
      </c>
    </row>
    <row r="3369" spans="1:12">
      <c r="A3369" s="22">
        <v>40312.97152777778</v>
      </c>
      <c r="E3369" s="26">
        <v>14.990208000000001</v>
      </c>
      <c r="G3369" s="27">
        <v>0.97152777777777777</v>
      </c>
      <c r="J3369" s="30">
        <f>IF(G3369&lt;$H$10,$H$16,IF(G3369&gt;$I$10,$H$16,$H$11))*E3369/600</f>
        <v>4.9967360000000008E-3</v>
      </c>
      <c r="L3369" s="32">
        <f>$J3369*($G3369-$G3368)*60*24</f>
        <v>4.9967359999999825E-3</v>
      </c>
    </row>
    <row r="3370" spans="1:12">
      <c r="A3370" s="22">
        <v>40312.972222222219</v>
      </c>
      <c r="E3370" s="26">
        <v>15.231125</v>
      </c>
      <c r="G3370" s="27">
        <v>0.97222222222222221</v>
      </c>
      <c r="J3370" s="30">
        <f>IF(G3370&lt;$H$10,$H$16,IF(G3370&gt;$I$10,$H$16,$H$11))*E3370/600</f>
        <v>5.0770416666666672E-3</v>
      </c>
      <c r="L3370" s="32">
        <f>$J3370*($G3370-$G3369)*60*24</f>
        <v>5.077041666666649E-3</v>
      </c>
    </row>
    <row r="3371" spans="1:12">
      <c r="A3371" s="22">
        <v>40312.972916666666</v>
      </c>
      <c r="E3371" s="26">
        <v>15.129087999999999</v>
      </c>
      <c r="G3371" s="27">
        <v>0.97291666666666676</v>
      </c>
      <c r="J3371" s="30">
        <f>IF(G3371&lt;$H$10,$H$16,IF(G3371&gt;$I$10,$H$16,$H$11))*E3371/600</f>
        <v>5.0430293333333332E-3</v>
      </c>
      <c r="L3371" s="32">
        <f>$J3371*($G3371-$G3370)*60*24</f>
        <v>5.0430293333341217E-3</v>
      </c>
    </row>
    <row r="3372" spans="1:12">
      <c r="A3372" s="22">
        <v>40312.973611111112</v>
      </c>
      <c r="E3372" s="26">
        <v>15.055872000000001</v>
      </c>
      <c r="G3372" s="27">
        <v>0.97361111111111109</v>
      </c>
      <c r="J3372" s="30">
        <f>IF(G3372&lt;$H$10,$H$16,IF(G3372&gt;$I$10,$H$16,$H$11))*E3372/600</f>
        <v>5.0186240000000002E-3</v>
      </c>
      <c r="L3372" s="32">
        <f>$J3372*($G3372-$G3371)*60*24</f>
        <v>5.0186239999991797E-3</v>
      </c>
    </row>
    <row r="3373" spans="1:12">
      <c r="A3373" s="22">
        <v>40312.974305555559</v>
      </c>
      <c r="E3373" s="26">
        <v>15.069184</v>
      </c>
      <c r="G3373" s="27">
        <v>0.97430555555555554</v>
      </c>
      <c r="J3373" s="30">
        <f>IF(G3373&lt;$H$10,$H$16,IF(G3373&gt;$I$10,$H$16,$H$11))*E3373/600</f>
        <v>5.0230613333333337E-3</v>
      </c>
      <c r="L3373" s="32">
        <f>$J3373*($G3373-$G3372)*60*24</f>
        <v>5.0230613333333164E-3</v>
      </c>
    </row>
    <row r="3374" spans="1:12">
      <c r="A3374" s="22">
        <v>40312.974999999999</v>
      </c>
      <c r="E3374" s="26">
        <v>15.109120000000001</v>
      </c>
      <c r="G3374" s="27">
        <v>0.97499999999999998</v>
      </c>
      <c r="J3374" s="30">
        <f>IF(G3374&lt;$H$10,$H$16,IF(G3374&gt;$I$10,$H$16,$H$11))*E3374/600</f>
        <v>5.0363733333333343E-3</v>
      </c>
      <c r="L3374" s="32">
        <f>$J3374*($G3374-$G3373)*60*24</f>
        <v>5.036373333333316E-3</v>
      </c>
    </row>
    <row r="3375" spans="1:12">
      <c r="A3375" s="22">
        <v>40312.975694444445</v>
      </c>
      <c r="E3375" s="26">
        <v>15.115776</v>
      </c>
      <c r="G3375" s="27">
        <v>0.97569444444444453</v>
      </c>
      <c r="J3375" s="30">
        <f>IF(G3375&lt;$H$10,$H$16,IF(G3375&gt;$I$10,$H$16,$H$11))*E3375/600</f>
        <v>5.0385920000000006E-3</v>
      </c>
      <c r="L3375" s="32">
        <f>$J3375*($G3375-$G3374)*60*24</f>
        <v>5.0385920000007882E-3</v>
      </c>
    </row>
    <row r="3376" spans="1:12">
      <c r="A3376" s="22">
        <v>40312.976388888892</v>
      </c>
      <c r="E3376" s="26">
        <v>15.122432</v>
      </c>
      <c r="G3376" s="27">
        <v>0.97638888888888886</v>
      </c>
      <c r="J3376" s="30">
        <f>IF(G3376&lt;$H$10,$H$16,IF(G3376&gt;$I$10,$H$16,$H$11))*E3376/600</f>
        <v>5.0408106666666669E-3</v>
      </c>
      <c r="L3376" s="32">
        <f>$J3376*($G3376-$G3375)*60*24</f>
        <v>5.0408106666658429E-3</v>
      </c>
    </row>
    <row r="3377" spans="1:12">
      <c r="A3377" s="22">
        <v>40312.977083333331</v>
      </c>
      <c r="E3377" s="26">
        <v>15.062528</v>
      </c>
      <c r="G3377" s="27">
        <v>0.9770833333333333</v>
      </c>
      <c r="J3377" s="30">
        <f>IF(G3377&lt;$H$10,$H$16,IF(G3377&gt;$I$10,$H$16,$H$11))*E3377/600</f>
        <v>5.0208426666666674E-3</v>
      </c>
      <c r="L3377" s="32">
        <f>$J3377*($G3377-$G3376)*60*24</f>
        <v>5.0208426666666492E-3</v>
      </c>
    </row>
    <row r="3378" spans="1:12">
      <c r="A3378" s="22">
        <v>40312.977777777778</v>
      </c>
      <c r="E3378" s="26">
        <v>15.122432</v>
      </c>
      <c r="G3378" s="27">
        <v>0.97777777777777775</v>
      </c>
      <c r="J3378" s="30">
        <f>IF(G3378&lt;$H$10,$H$16,IF(G3378&gt;$I$10,$H$16,$H$11))*E3378/600</f>
        <v>5.0408106666666669E-3</v>
      </c>
      <c r="L3378" s="32">
        <f>$J3378*($G3378-$G3377)*60*24</f>
        <v>5.0408106666666487E-3</v>
      </c>
    </row>
    <row r="3379" spans="1:12">
      <c r="A3379" s="22">
        <v>40312.978472222225</v>
      </c>
      <c r="E3379" s="26">
        <v>15.135744000000001</v>
      </c>
      <c r="G3379" s="27">
        <v>0.9784722222222223</v>
      </c>
      <c r="J3379" s="30">
        <f>IF(G3379&lt;$H$10,$H$16,IF(G3379&gt;$I$10,$H$16,$H$11))*E3379/600</f>
        <v>5.0452480000000004E-3</v>
      </c>
      <c r="L3379" s="32">
        <f>$J3379*($G3379-$G3378)*60*24</f>
        <v>5.0452480000007897E-3</v>
      </c>
    </row>
    <row r="3380" spans="1:12">
      <c r="A3380" s="22">
        <v>40312.979166666664</v>
      </c>
      <c r="E3380" s="26">
        <v>15.122432</v>
      </c>
      <c r="G3380" s="27">
        <v>0.97916666666666663</v>
      </c>
      <c r="J3380" s="30">
        <f>IF(G3380&lt;$H$10,$H$16,IF(G3380&gt;$I$10,$H$16,$H$11))*E3380/600</f>
        <v>5.0408106666666669E-3</v>
      </c>
      <c r="L3380" s="32">
        <f>$J3380*($G3380-$G3379)*60*24</f>
        <v>5.0408106666658429E-3</v>
      </c>
    </row>
    <row r="3381" spans="1:12">
      <c r="A3381" s="22">
        <v>40312.979861111111</v>
      </c>
      <c r="E3381" s="26">
        <v>15.015936</v>
      </c>
      <c r="G3381" s="27">
        <v>0.97986111111111107</v>
      </c>
      <c r="J3381" s="30">
        <f>IF(G3381&lt;$H$10,$H$16,IF(G3381&gt;$I$10,$H$16,$H$11))*E3381/600</f>
        <v>5.0053120000000005E-3</v>
      </c>
      <c r="L3381" s="32">
        <f>$J3381*($G3381-$G3380)*60*24</f>
        <v>5.0053119999999823E-3</v>
      </c>
    </row>
    <row r="3382" spans="1:12">
      <c r="A3382" s="22">
        <v>40312.980555555558</v>
      </c>
      <c r="E3382" s="26">
        <v>15.11328</v>
      </c>
      <c r="G3382" s="27">
        <v>0.98055555555555562</v>
      </c>
      <c r="J3382" s="30">
        <f>IF(G3382&lt;$H$10,$H$16,IF(G3382&gt;$I$10,$H$16,$H$11))*E3382/600</f>
        <v>5.0377599999999996E-3</v>
      </c>
      <c r="L3382" s="32">
        <f>$J3382*($G3382-$G3381)*60*24</f>
        <v>5.0377600000007872E-3</v>
      </c>
    </row>
    <row r="3383" spans="1:12">
      <c r="A3383" s="22">
        <v>40312.981249999997</v>
      </c>
      <c r="E3383" s="26">
        <v>14.995968</v>
      </c>
      <c r="G3383" s="27">
        <v>0.98125000000000007</v>
      </c>
      <c r="J3383" s="30">
        <f>IF(G3383&lt;$H$10,$H$16,IF(G3383&gt;$I$10,$H$16,$H$11))*E3383/600</f>
        <v>4.9986559999999998E-3</v>
      </c>
      <c r="L3383" s="32">
        <f>$J3383*($G3383-$G3382)*60*24</f>
        <v>4.9986559999999815E-3</v>
      </c>
    </row>
    <row r="3384" spans="1:12">
      <c r="A3384" s="22">
        <v>40312.981944444444</v>
      </c>
      <c r="E3384" s="26">
        <v>15.049215999999999</v>
      </c>
      <c r="G3384" s="27">
        <v>0.9819444444444444</v>
      </c>
      <c r="J3384" s="30">
        <f>IF(G3384&lt;$H$10,$H$16,IF(G3384&gt;$I$10,$H$16,$H$11))*E3384/600</f>
        <v>5.0164053333333338E-3</v>
      </c>
      <c r="L3384" s="32">
        <f>$J3384*($G3384-$G3383)*60*24</f>
        <v>5.0164053333325142E-3</v>
      </c>
    </row>
    <row r="3385" spans="1:12">
      <c r="A3385" s="22">
        <v>40312.982638888891</v>
      </c>
      <c r="E3385" s="26">
        <v>15.214079999999999</v>
      </c>
      <c r="G3385" s="27">
        <v>0.98263888888888884</v>
      </c>
      <c r="J3385" s="30">
        <f>IF(G3385&lt;$H$10,$H$16,IF(G3385&gt;$I$10,$H$16,$H$11))*E3385/600</f>
        <v>5.0713600000000005E-3</v>
      </c>
      <c r="L3385" s="32">
        <f>$J3385*($G3385-$G3384)*60*24</f>
        <v>5.0713599999999822E-3</v>
      </c>
    </row>
    <row r="3386" spans="1:12">
      <c r="A3386" s="22">
        <v>40312.98333333333</v>
      </c>
      <c r="E3386" s="26">
        <v>15.135744000000001</v>
      </c>
      <c r="G3386" s="27">
        <v>0.98333333333333339</v>
      </c>
      <c r="J3386" s="30">
        <f>IF(G3386&lt;$H$10,$H$16,IF(G3386&gt;$I$10,$H$16,$H$11))*E3386/600</f>
        <v>5.0452480000000004E-3</v>
      </c>
      <c r="L3386" s="32">
        <f>$J3386*($G3386-$G3385)*60*24</f>
        <v>5.0452480000007897E-3</v>
      </c>
    </row>
    <row r="3387" spans="1:12">
      <c r="A3387" s="22">
        <v>40312.984027777777</v>
      </c>
      <c r="E3387" s="26">
        <v>15.089152</v>
      </c>
      <c r="G3387" s="27">
        <v>0.98402777777777783</v>
      </c>
      <c r="J3387" s="30">
        <f>IF(G3387&lt;$H$10,$H$16,IF(G3387&gt;$I$10,$H$16,$H$11))*E3387/600</f>
        <v>5.0297173333333335E-3</v>
      </c>
      <c r="L3387" s="32">
        <f>$J3387*($G3387-$G3386)*60*24</f>
        <v>5.0297173333333153E-3</v>
      </c>
    </row>
    <row r="3388" spans="1:12">
      <c r="A3388" s="22">
        <v>40312.984722222223</v>
      </c>
      <c r="E3388" s="26">
        <v>15.177565</v>
      </c>
      <c r="G3388" s="27">
        <v>0.98472222222222217</v>
      </c>
      <c r="J3388" s="30">
        <f>IF(G3388&lt;$H$10,$H$16,IF(G3388&gt;$I$10,$H$16,$H$11))*E3388/600</f>
        <v>5.0591883333333332E-3</v>
      </c>
      <c r="L3388" s="32">
        <f>$J3388*($G3388-$G3387)*60*24</f>
        <v>5.0591883333325066E-3</v>
      </c>
    </row>
    <row r="3389" spans="1:12">
      <c r="A3389" s="22">
        <v>40312.98541666667</v>
      </c>
      <c r="E3389" s="26">
        <v>15.016576000000001</v>
      </c>
      <c r="G3389" s="27">
        <v>0.98541666666666661</v>
      </c>
      <c r="J3389" s="30">
        <f>IF(G3389&lt;$H$10,$H$16,IF(G3389&gt;$I$10,$H$16,$H$11))*E3389/600</f>
        <v>5.0055253333333334E-3</v>
      </c>
      <c r="L3389" s="32">
        <f>$J3389*($G3389-$G3388)*60*24</f>
        <v>5.0055253333333152E-3</v>
      </c>
    </row>
    <row r="3390" spans="1:12">
      <c r="A3390" s="22">
        <v>40312.986111111109</v>
      </c>
      <c r="E3390" s="26">
        <v>15.17568</v>
      </c>
      <c r="G3390" s="27">
        <v>0.98611111111111116</v>
      </c>
      <c r="J3390" s="30">
        <f>IF(G3390&lt;$H$10,$H$16,IF(G3390&gt;$I$10,$H$16,$H$11))*E3390/600</f>
        <v>5.0585600000000001E-3</v>
      </c>
      <c r="L3390" s="32">
        <f>$J3390*($G3390-$G3389)*60*24</f>
        <v>5.0585600000007912E-3</v>
      </c>
    </row>
    <row r="3391" spans="1:12">
      <c r="A3391" s="22">
        <v>40312.986805555556</v>
      </c>
      <c r="E3391" s="26">
        <v>15.04256</v>
      </c>
      <c r="G3391" s="27">
        <v>0.9868055555555556</v>
      </c>
      <c r="J3391" s="30">
        <f>IF(G3391&lt;$H$10,$H$16,IF(G3391&gt;$I$10,$H$16,$H$11))*E3391/600</f>
        <v>5.0141866666666667E-3</v>
      </c>
      <c r="L3391" s="32">
        <f>$J3391*($G3391-$G3390)*60*24</f>
        <v>5.0141866666666493E-3</v>
      </c>
    </row>
    <row r="3392" spans="1:12">
      <c r="A3392" s="22">
        <v>40312.987500000003</v>
      </c>
      <c r="E3392" s="26">
        <v>15.022592</v>
      </c>
      <c r="G3392" s="27">
        <v>0.98749999999999993</v>
      </c>
      <c r="J3392" s="30">
        <f>IF(G3392&lt;$H$10,$H$16,IF(G3392&gt;$I$10,$H$16,$H$11))*E3392/600</f>
        <v>5.0075306666666668E-3</v>
      </c>
      <c r="L3392" s="32">
        <f>$J3392*($G3392-$G3391)*60*24</f>
        <v>5.007530666665848E-3</v>
      </c>
    </row>
    <row r="3393" spans="1:12">
      <c r="A3393" s="22">
        <v>40312.988194444442</v>
      </c>
      <c r="E3393" s="26">
        <v>15.04256</v>
      </c>
      <c r="G3393" s="27">
        <v>0.98819444444444438</v>
      </c>
      <c r="J3393" s="30">
        <f>IF(G3393&lt;$H$10,$H$16,IF(G3393&gt;$I$10,$H$16,$H$11))*E3393/600</f>
        <v>5.0141866666666667E-3</v>
      </c>
      <c r="L3393" s="32">
        <f>$J3393*($G3393-$G3392)*60*24</f>
        <v>5.0141866666666493E-3</v>
      </c>
    </row>
    <row r="3394" spans="1:12">
      <c r="A3394" s="22">
        <v>40312.988888888889</v>
      </c>
      <c r="E3394" s="26">
        <v>15.069184</v>
      </c>
      <c r="G3394" s="27">
        <v>0.98888888888888893</v>
      </c>
      <c r="J3394" s="30">
        <f>IF(G3394&lt;$H$10,$H$16,IF(G3394&gt;$I$10,$H$16,$H$11))*E3394/600</f>
        <v>5.0230613333333337E-3</v>
      </c>
      <c r="L3394" s="32">
        <f>$J3394*($G3394-$G3393)*60*24</f>
        <v>5.0230613333341187E-3</v>
      </c>
    </row>
    <row r="3395" spans="1:12">
      <c r="A3395" s="22">
        <v>40312.989583333336</v>
      </c>
      <c r="E3395" s="26">
        <v>15.304639999999999</v>
      </c>
      <c r="G3395" s="27">
        <v>0.98958333333333337</v>
      </c>
      <c r="J3395" s="30">
        <f>IF(G3395&lt;$H$10,$H$16,IF(G3395&gt;$I$10,$H$16,$H$11))*E3395/600</f>
        <v>5.1015466666666665E-3</v>
      </c>
      <c r="L3395" s="32">
        <f>$J3395*($G3395-$G3394)*60*24</f>
        <v>5.1015466666666492E-3</v>
      </c>
    </row>
    <row r="3396" spans="1:12">
      <c r="A3396" s="22">
        <v>40312.990277777775</v>
      </c>
      <c r="E3396" s="26">
        <v>15.164175</v>
      </c>
      <c r="G3396" s="27">
        <v>0.9902777777777777</v>
      </c>
      <c r="J3396" s="30">
        <f>IF(G3396&lt;$H$10,$H$16,IF(G3396&gt;$I$10,$H$16,$H$11))*E3396/600</f>
        <v>5.0547250000000004E-3</v>
      </c>
      <c r="L3396" s="32">
        <f>$J3396*($G3396-$G3395)*60*24</f>
        <v>5.0547249999991746E-3</v>
      </c>
    </row>
    <row r="3397" spans="1:12">
      <c r="A3397" s="22">
        <v>40312.990972222222</v>
      </c>
      <c r="E3397" s="26">
        <v>15.122047999999999</v>
      </c>
      <c r="G3397" s="27">
        <v>0.99097222222222225</v>
      </c>
      <c r="J3397" s="30">
        <f>IF(G3397&lt;$H$10,$H$16,IF(G3397&gt;$I$10,$H$16,$H$11))*E3397/600</f>
        <v>5.0406826666666675E-3</v>
      </c>
      <c r="L3397" s="32">
        <f>$J3397*($G3397-$G3396)*60*24</f>
        <v>5.0406826666674551E-3</v>
      </c>
    </row>
    <row r="3398" spans="1:12">
      <c r="A3398" s="22">
        <v>40312.991666666669</v>
      </c>
      <c r="E3398" s="26">
        <v>15.202590000000001</v>
      </c>
      <c r="G3398" s="27">
        <v>0.9916666666666667</v>
      </c>
      <c r="J3398" s="30">
        <f>IF(G3398&lt;$H$10,$H$16,IF(G3398&gt;$I$10,$H$16,$H$11))*E3398/600</f>
        <v>5.0675300000000006E-3</v>
      </c>
      <c r="L3398" s="32">
        <f>$J3398*($G3398-$G3397)*60*24</f>
        <v>5.0675299999999824E-3</v>
      </c>
    </row>
    <row r="3399" spans="1:12">
      <c r="A3399" s="22">
        <v>40312.992361111108</v>
      </c>
      <c r="E3399" s="26">
        <v>15.195959999999999</v>
      </c>
      <c r="G3399" s="27">
        <v>0.99236111111111114</v>
      </c>
      <c r="J3399" s="30">
        <f>IF(G3399&lt;$H$10,$H$16,IF(G3399&gt;$I$10,$H$16,$H$11))*E3399/600</f>
        <v>5.0653199999999999E-3</v>
      </c>
      <c r="L3399" s="32">
        <f>$J3399*($G3399-$G3398)*60*24</f>
        <v>5.0653199999999817E-3</v>
      </c>
    </row>
    <row r="3400" spans="1:12">
      <c r="A3400" s="22">
        <v>40312.993055555555</v>
      </c>
      <c r="E3400" s="26">
        <v>15.16944</v>
      </c>
      <c r="G3400" s="27">
        <v>0.99305555555555547</v>
      </c>
      <c r="J3400" s="30">
        <f>IF(G3400&lt;$H$10,$H$16,IF(G3400&gt;$I$10,$H$16,$H$11))*E3400/600</f>
        <v>5.0564800000000003E-3</v>
      </c>
      <c r="L3400" s="32">
        <f>$J3400*($G3400-$G3399)*60*24</f>
        <v>5.0564799999991746E-3</v>
      </c>
    </row>
    <row r="3401" spans="1:12">
      <c r="A3401" s="22">
        <v>40312.993750000001</v>
      </c>
      <c r="E3401" s="26">
        <v>15.156180000000001</v>
      </c>
      <c r="G3401" s="27">
        <v>0.99375000000000002</v>
      </c>
      <c r="J3401" s="30">
        <f>IF(G3401&lt;$H$10,$H$16,IF(G3401&gt;$I$10,$H$16,$H$11))*E3401/600</f>
        <v>5.0520600000000006E-3</v>
      </c>
      <c r="L3401" s="32">
        <f>$J3401*($G3401-$G3400)*60*24</f>
        <v>5.0520600000007907E-3</v>
      </c>
    </row>
    <row r="3402" spans="1:12">
      <c r="A3402" s="22">
        <v>40312.994444444441</v>
      </c>
      <c r="E3402" s="26">
        <v>15.109769999999999</v>
      </c>
      <c r="G3402" s="27">
        <v>0.99444444444444446</v>
      </c>
      <c r="J3402" s="30">
        <f>IF(G3402&lt;$H$10,$H$16,IF(G3402&gt;$I$10,$H$16,$H$11))*E3402/600</f>
        <v>5.0365899999999996E-3</v>
      </c>
      <c r="L3402" s="32">
        <f>$J3402*($G3402-$G3401)*60*24</f>
        <v>5.0365899999999823E-3</v>
      </c>
    </row>
    <row r="3403" spans="1:12">
      <c r="A3403" s="22">
        <v>40312.995138888888</v>
      </c>
      <c r="E3403" s="26">
        <v>15.12303</v>
      </c>
      <c r="G3403" s="27">
        <v>0.99513888888888891</v>
      </c>
      <c r="J3403" s="30">
        <f>IF(G3403&lt;$H$10,$H$16,IF(G3403&gt;$I$10,$H$16,$H$11))*E3403/600</f>
        <v>5.0410100000000003E-3</v>
      </c>
      <c r="L3403" s="32">
        <f>$J3403*($G3403-$G3402)*60*24</f>
        <v>5.0410099999999829E-3</v>
      </c>
    </row>
    <row r="3404" spans="1:12">
      <c r="A3404" s="22">
        <v>40312.995833333334</v>
      </c>
      <c r="E3404" s="26">
        <v>15.18426</v>
      </c>
      <c r="G3404" s="27">
        <v>0.99583333333333324</v>
      </c>
      <c r="J3404" s="30">
        <f>IF(G3404&lt;$H$10,$H$16,IF(G3404&gt;$I$10,$H$16,$H$11))*E3404/600</f>
        <v>5.0614200000000005E-3</v>
      </c>
      <c r="L3404" s="32">
        <f>$J3404*($G3404-$G3403)*60*24</f>
        <v>5.0614199999991739E-3</v>
      </c>
    </row>
    <row r="3405" spans="1:12">
      <c r="A3405" s="22">
        <v>40312.996527777781</v>
      </c>
      <c r="E3405" s="26">
        <v>15.05673</v>
      </c>
      <c r="G3405" s="27">
        <v>0.99652777777777779</v>
      </c>
      <c r="J3405" s="30">
        <f>IF(G3405&lt;$H$10,$H$16,IF(G3405&gt;$I$10,$H$16,$H$11))*E3405/600</f>
        <v>5.0189100000000006E-3</v>
      </c>
      <c r="L3405" s="32">
        <f>$J3405*($G3405-$G3404)*60*24</f>
        <v>5.0189100000007855E-3</v>
      </c>
    </row>
    <row r="3406" spans="1:12">
      <c r="A3406" s="22">
        <v>40312.99722222222</v>
      </c>
      <c r="E3406" s="26">
        <v>15.09651</v>
      </c>
      <c r="G3406" s="27">
        <v>0.99722222222222223</v>
      </c>
      <c r="J3406" s="30">
        <f>IF(G3406&lt;$H$10,$H$16,IF(G3406&gt;$I$10,$H$16,$H$11))*E3406/600</f>
        <v>5.0321699999999999E-3</v>
      </c>
      <c r="L3406" s="32">
        <f>$J3406*($G3406-$G3405)*60*24</f>
        <v>5.0321699999999825E-3</v>
      </c>
    </row>
    <row r="3407" spans="1:12">
      <c r="A3407" s="22">
        <v>40312.997916666667</v>
      </c>
      <c r="E3407" s="26">
        <v>15.109769999999999</v>
      </c>
      <c r="G3407" s="27">
        <v>0.99791666666666667</v>
      </c>
      <c r="J3407" s="30">
        <f>IF(G3407&lt;$H$10,$H$16,IF(G3407&gt;$I$10,$H$16,$H$11))*E3407/600</f>
        <v>5.0365899999999996E-3</v>
      </c>
      <c r="L3407" s="32">
        <f>$J3407*($G3407-$G3406)*60*24</f>
        <v>5.0365899999999823E-3</v>
      </c>
    </row>
    <row r="3408" spans="1:12">
      <c r="A3408" s="22">
        <v>40312.998611111114</v>
      </c>
      <c r="E3408" s="26">
        <v>15.12303</v>
      </c>
      <c r="G3408" s="27">
        <v>0.99861111111111101</v>
      </c>
      <c r="J3408" s="30">
        <f>IF(G3408&lt;$H$10,$H$16,IF(G3408&gt;$I$10,$H$16,$H$11))*E3408/600</f>
        <v>5.0410100000000003E-3</v>
      </c>
      <c r="L3408" s="32">
        <f>$J3408*($G3408-$G3407)*60*24</f>
        <v>5.0410099999991763E-3</v>
      </c>
    </row>
    <row r="3409" spans="1:12">
      <c r="A3409" s="22">
        <v>40312.999305555553</v>
      </c>
      <c r="E3409" s="26">
        <v>15.08325</v>
      </c>
      <c r="G3409" s="27">
        <v>0.99930555555555556</v>
      </c>
      <c r="J3409" s="30">
        <f>IF(G3409&lt;$H$10,$H$16,IF(G3409&gt;$I$10,$H$16,$H$11))*E3409/600</f>
        <v>5.0277500000000001E-3</v>
      </c>
      <c r="L3409" s="32">
        <f>$J3409*($G3409-$G3408)*60*24</f>
        <v>5.0277500000007859E-3</v>
      </c>
    </row>
    <row r="3410" spans="1:12">
      <c r="A3410" s="22">
        <v>40313</v>
      </c>
      <c r="E3410" s="26">
        <v>15.10314</v>
      </c>
      <c r="G3410" s="27">
        <v>0</v>
      </c>
      <c r="J3410" s="30">
        <f>IF(G3410&lt;$H$10,$H$16,IF(G3410&gt;$I$10,$H$16,$H$11))*E3410/600</f>
        <v>5.0343800000000006E-3</v>
      </c>
      <c r="L3410" s="32">
        <f>$J3410*($G3410-$G3409)*60*24</f>
        <v>-7.2444728200000004</v>
      </c>
    </row>
    <row r="3411" spans="1:12">
      <c r="A3411" s="22">
        <v>40313.000694444447</v>
      </c>
      <c r="E3411" s="26">
        <v>15.136290000000001</v>
      </c>
      <c r="G3411" s="27">
        <v>6.9444444444444447E-4</v>
      </c>
      <c r="J3411" s="30">
        <f>IF(G3411&lt;$H$10,$H$16,IF(G3411&gt;$I$10,$H$16,$H$11))*E3411/600</f>
        <v>5.0454300000000001E-3</v>
      </c>
      <c r="L3411" s="32">
        <f>$J3411*($G3411-$G3410)*60*24</f>
        <v>5.0454300000000001E-3</v>
      </c>
    </row>
    <row r="3412" spans="1:12">
      <c r="A3412" s="22">
        <v>40313.001388888886</v>
      </c>
      <c r="E3412" s="26">
        <v>15.027284999999999</v>
      </c>
      <c r="G3412" s="27">
        <v>1.3888888888888889E-3</v>
      </c>
      <c r="J3412" s="30">
        <f>IF(G3412&lt;$H$10,$H$16,IF(G3412&gt;$I$10,$H$16,$H$11))*E3412/600</f>
        <v>5.0090949999999999E-3</v>
      </c>
      <c r="L3412" s="32">
        <f>$J3412*($G3412-$G3411)*60*24</f>
        <v>5.0090949999999999E-3</v>
      </c>
    </row>
    <row r="3413" spans="1:12">
      <c r="A3413" s="22">
        <v>40313.002083333333</v>
      </c>
      <c r="E3413" s="26">
        <v>15.014155000000001</v>
      </c>
      <c r="G3413" s="27">
        <v>2.0833333333333333E-3</v>
      </c>
      <c r="J3413" s="30">
        <f>IF(G3413&lt;$H$10,$H$16,IF(G3413&gt;$I$10,$H$16,$H$11))*E3413/600</f>
        <v>5.004718333333334E-3</v>
      </c>
      <c r="L3413" s="32">
        <f>$J3413*($G3413-$G3412)*60*24</f>
        <v>5.0047183333333332E-3</v>
      </c>
    </row>
    <row r="3414" spans="1:12">
      <c r="A3414" s="22">
        <v>40313.00277777778</v>
      </c>
      <c r="E3414" s="26">
        <v>15.020720000000001</v>
      </c>
      <c r="G3414" s="27">
        <v>2.7777777777777779E-3</v>
      </c>
      <c r="J3414" s="30">
        <f>IF(G3414&lt;$H$10,$H$16,IF(G3414&gt;$I$10,$H$16,$H$11))*E3414/600</f>
        <v>5.0069066666666665E-3</v>
      </c>
      <c r="L3414" s="32">
        <f>$J3414*($G3414-$G3413)*60*24</f>
        <v>5.0069066666666674E-3</v>
      </c>
    </row>
    <row r="3415" spans="1:12">
      <c r="A3415" s="22">
        <v>40313.003472222219</v>
      </c>
      <c r="E3415" s="26">
        <v>15.040414999999999</v>
      </c>
      <c r="G3415" s="27">
        <v>3.472222222222222E-3</v>
      </c>
      <c r="J3415" s="30">
        <f>IF(G3415&lt;$H$10,$H$16,IF(G3415&gt;$I$10,$H$16,$H$11))*E3415/600</f>
        <v>5.0134716666666666E-3</v>
      </c>
      <c r="L3415" s="32">
        <f>$J3415*($G3415-$G3414)*60*24</f>
        <v>5.0134716666666648E-3</v>
      </c>
    </row>
    <row r="3416" spans="1:12">
      <c r="A3416" s="22">
        <v>40313.004166666666</v>
      </c>
      <c r="E3416" s="26">
        <v>15.176069999999999</v>
      </c>
      <c r="G3416" s="27">
        <v>4.1666666666666666E-3</v>
      </c>
      <c r="J3416" s="30">
        <f>IF(G3416&lt;$H$10,$H$16,IF(G3416&gt;$I$10,$H$16,$H$11))*E3416/600</f>
        <v>5.0586899999999994E-3</v>
      </c>
      <c r="L3416" s="32">
        <f>$J3416*($G3416-$G3415)*60*24</f>
        <v>5.0586900000000002E-3</v>
      </c>
    </row>
    <row r="3417" spans="1:12">
      <c r="A3417" s="22">
        <v>40313.004861111112</v>
      </c>
      <c r="E3417" s="26">
        <v>15.04698</v>
      </c>
      <c r="G3417" s="27">
        <v>4.8611111111111112E-3</v>
      </c>
      <c r="J3417" s="30">
        <f>IF(G3417&lt;$H$10,$H$16,IF(G3417&gt;$I$10,$H$16,$H$11))*E3417/600</f>
        <v>5.0156599999999999E-3</v>
      </c>
      <c r="L3417" s="32">
        <f>$J3417*($G3417-$G3416)*60*24</f>
        <v>5.0156600000000008E-3</v>
      </c>
    </row>
    <row r="3418" spans="1:12">
      <c r="A3418" s="22">
        <v>40313.005555555559</v>
      </c>
      <c r="E3418" s="26">
        <v>15.12303</v>
      </c>
      <c r="G3418" s="27">
        <v>5.5555555555555558E-3</v>
      </c>
      <c r="J3418" s="30">
        <f>IF(G3418&lt;$H$10,$H$16,IF(G3418&gt;$I$10,$H$16,$H$11))*E3418/600</f>
        <v>5.0410100000000003E-3</v>
      </c>
      <c r="L3418" s="32">
        <f>$J3418*($G3418-$G3417)*60*24</f>
        <v>5.0410100000000011E-3</v>
      </c>
    </row>
    <row r="3419" spans="1:12">
      <c r="A3419" s="22">
        <v>40313.006249999999</v>
      </c>
      <c r="E3419" s="26">
        <v>15.291804000000001</v>
      </c>
      <c r="G3419" s="27">
        <v>6.2499999999999995E-3</v>
      </c>
      <c r="J3419" s="30">
        <f>IF(G3419&lt;$H$10,$H$16,IF(G3419&gt;$I$10,$H$16,$H$11))*E3419/600</f>
        <v>5.0972680000000012E-3</v>
      </c>
      <c r="L3419" s="32">
        <f>$J3419*($G3419-$G3418)*60*24</f>
        <v>5.0972679999999959E-3</v>
      </c>
    </row>
    <row r="3420" spans="1:12">
      <c r="A3420" s="22">
        <v>40313.006944444445</v>
      </c>
      <c r="E3420" s="26">
        <v>15.07324</v>
      </c>
      <c r="G3420" s="27">
        <v>6.9444444444444441E-3</v>
      </c>
      <c r="J3420" s="30">
        <f>IF(G3420&lt;$H$10,$H$16,IF(G3420&gt;$I$10,$H$16,$H$11))*E3420/600</f>
        <v>5.0244133333333333E-3</v>
      </c>
      <c r="L3420" s="32">
        <f>$J3420*($G3420-$G3419)*60*24</f>
        <v>5.0244133333333342E-3</v>
      </c>
    </row>
    <row r="3421" spans="1:12">
      <c r="A3421" s="22">
        <v>40313.007638888892</v>
      </c>
      <c r="E3421" s="26">
        <v>15.027284999999999</v>
      </c>
      <c r="G3421" s="27">
        <v>7.6388888888888886E-3</v>
      </c>
      <c r="J3421" s="30">
        <f>IF(G3421&lt;$H$10,$H$16,IF(G3421&gt;$I$10,$H$16,$H$11))*E3421/600</f>
        <v>5.0090949999999999E-3</v>
      </c>
      <c r="L3421" s="32">
        <f>$J3421*($G3421-$G3420)*60*24</f>
        <v>5.0090950000000007E-3</v>
      </c>
    </row>
    <row r="3422" spans="1:12">
      <c r="A3422" s="22">
        <v>40313.008333333331</v>
      </c>
      <c r="E3422" s="26">
        <v>15.014155000000001</v>
      </c>
      <c r="G3422" s="27">
        <v>8.3333333333333332E-3</v>
      </c>
      <c r="J3422" s="30">
        <f>IF(G3422&lt;$H$10,$H$16,IF(G3422&gt;$I$10,$H$16,$H$11))*E3422/600</f>
        <v>5.004718333333334E-3</v>
      </c>
      <c r="L3422" s="32">
        <f>$J3422*($G3422-$G3421)*60*24</f>
        <v>5.0047183333333349E-3</v>
      </c>
    </row>
    <row r="3423" spans="1:12">
      <c r="A3423" s="22">
        <v>40313.009027777778</v>
      </c>
      <c r="E3423" s="26">
        <v>15.129659999999999</v>
      </c>
      <c r="G3423" s="27">
        <v>9.0277777777777787E-3</v>
      </c>
      <c r="J3423" s="30">
        <f>IF(G3423&lt;$H$10,$H$16,IF(G3423&gt;$I$10,$H$16,$H$11))*E3423/600</f>
        <v>5.0432200000000002E-3</v>
      </c>
      <c r="L3423" s="32">
        <f>$J3423*($G3423-$G3422)*60*24</f>
        <v>5.0432200000000071E-3</v>
      </c>
    </row>
    <row r="3424" spans="1:12">
      <c r="A3424" s="22">
        <v>40313.009722222225</v>
      </c>
      <c r="E3424" s="26">
        <v>15.245142</v>
      </c>
      <c r="G3424" s="27">
        <v>9.7222222222222224E-3</v>
      </c>
      <c r="J3424" s="30">
        <f>IF(G3424&lt;$H$10,$H$16,IF(G3424&gt;$I$10,$H$16,$H$11))*E3424/600</f>
        <v>5.0817140000000002E-3</v>
      </c>
      <c r="L3424" s="32">
        <f>$J3424*($G3424-$G3423)*60*24</f>
        <v>5.0817139999999941E-3</v>
      </c>
    </row>
    <row r="3425" spans="1:12">
      <c r="A3425" s="22">
        <v>40313.010416666664</v>
      </c>
      <c r="E3425" s="26">
        <v>15.19848</v>
      </c>
      <c r="G3425" s="27">
        <v>1.0416666666666666E-2</v>
      </c>
      <c r="J3425" s="30">
        <f>IF(G3425&lt;$H$10,$H$16,IF(G3425&gt;$I$10,$H$16,$H$11))*E3425/600</f>
        <v>5.0661600000000001E-3</v>
      </c>
      <c r="L3425" s="32">
        <f>$J3425*($G3425-$G3424)*60*24</f>
        <v>5.0661599999999949E-3</v>
      </c>
    </row>
    <row r="3426" spans="1:12">
      <c r="A3426" s="22">
        <v>40313.011111111111</v>
      </c>
      <c r="E3426" s="26">
        <v>15.191814000000001</v>
      </c>
      <c r="G3426" s="27">
        <v>1.1111111111111112E-2</v>
      </c>
      <c r="J3426" s="30">
        <f>IF(G3426&lt;$H$10,$H$16,IF(G3426&gt;$I$10,$H$16,$H$11))*E3426/600</f>
        <v>5.0639380000000005E-3</v>
      </c>
      <c r="L3426" s="32">
        <f>$J3426*($G3426-$G3425)*60*24</f>
        <v>5.0639380000000074E-3</v>
      </c>
    </row>
    <row r="3427" spans="1:12">
      <c r="A3427" s="22">
        <v>40313.011805555558</v>
      </c>
      <c r="E3427" s="26">
        <v>15.131819999999999</v>
      </c>
      <c r="G3427" s="27">
        <v>1.1805555555555555E-2</v>
      </c>
      <c r="J3427" s="30">
        <f>IF(G3427&lt;$H$10,$H$16,IF(G3427&gt;$I$10,$H$16,$H$11))*E3427/600</f>
        <v>5.0439400000000002E-3</v>
      </c>
      <c r="L3427" s="32">
        <f>$J3427*($G3427-$G3426)*60*24</f>
        <v>5.043939999999995E-3</v>
      </c>
    </row>
    <row r="3428" spans="1:12">
      <c r="A3428" s="22">
        <v>40313.012499999997</v>
      </c>
      <c r="E3428" s="26">
        <v>15.225144</v>
      </c>
      <c r="G3428" s="27">
        <v>1.2499999999999999E-2</v>
      </c>
      <c r="J3428" s="30">
        <f>IF(G3428&lt;$H$10,$H$16,IF(G3428&gt;$I$10,$H$16,$H$11))*E3428/600</f>
        <v>5.0750480000000004E-3</v>
      </c>
      <c r="L3428" s="32">
        <f>$J3428*($G3428-$G3427)*60*24</f>
        <v>5.0750479999999952E-3</v>
      </c>
    </row>
    <row r="3429" spans="1:12">
      <c r="A3429" s="22">
        <v>40313.013194444444</v>
      </c>
      <c r="E3429" s="26">
        <v>15.18</v>
      </c>
      <c r="G3429" s="27">
        <v>1.3194444444444444E-2</v>
      </c>
      <c r="J3429" s="30">
        <f>IF(G3429&lt;$H$10,$H$16,IF(G3429&gt;$I$10,$H$16,$H$11))*E3429/600</f>
        <v>5.0600000000000003E-3</v>
      </c>
      <c r="L3429" s="32">
        <f>$J3429*($G3429-$G3428)*60*24</f>
        <v>5.0600000000000072E-3</v>
      </c>
    </row>
    <row r="3430" spans="1:12">
      <c r="A3430" s="22">
        <v>40313.013888888891</v>
      </c>
      <c r="E3430" s="26">
        <v>15.1404</v>
      </c>
      <c r="G3430" s="27">
        <v>1.3888888888888888E-2</v>
      </c>
      <c r="J3430" s="30">
        <f>IF(G3430&lt;$H$10,$H$16,IF(G3430&gt;$I$10,$H$16,$H$11))*E3430/600</f>
        <v>5.0468000000000006E-3</v>
      </c>
      <c r="L3430" s="32">
        <f>$J3430*($G3430-$G3429)*60*24</f>
        <v>5.0467999999999954E-3</v>
      </c>
    </row>
    <row r="3431" spans="1:12">
      <c r="A3431" s="22">
        <v>40313.01458333333</v>
      </c>
      <c r="E3431" s="26">
        <v>15.153600000000001</v>
      </c>
      <c r="G3431" s="27">
        <v>1.4583333333333332E-2</v>
      </c>
      <c r="J3431" s="30">
        <f>IF(G3431&lt;$H$10,$H$16,IF(G3431&gt;$I$10,$H$16,$H$11))*E3431/600</f>
        <v>5.0512000000000005E-3</v>
      </c>
      <c r="L3431" s="32">
        <f>$J3431*($G3431-$G3430)*60*24</f>
        <v>5.0511999999999953E-3</v>
      </c>
    </row>
    <row r="3432" spans="1:12">
      <c r="A3432" s="22">
        <v>40313.015277777777</v>
      </c>
      <c r="E3432" s="26">
        <v>15.1074</v>
      </c>
      <c r="G3432" s="27">
        <v>1.5277777777777777E-2</v>
      </c>
      <c r="J3432" s="30">
        <f>IF(G3432&lt;$H$10,$H$16,IF(G3432&gt;$I$10,$H$16,$H$11))*E3432/600</f>
        <v>5.0358000000000009E-3</v>
      </c>
      <c r="L3432" s="32">
        <f>$J3432*($G3432-$G3431)*60*24</f>
        <v>5.0358000000000087E-3</v>
      </c>
    </row>
    <row r="3433" spans="1:12">
      <c r="A3433" s="22">
        <v>40313.015972222223</v>
      </c>
      <c r="E3433" s="26">
        <v>15.191814000000001</v>
      </c>
      <c r="G3433" s="27">
        <v>1.5972222222222224E-2</v>
      </c>
      <c r="J3433" s="30">
        <f>IF(G3433&lt;$H$10,$H$16,IF(G3433&gt;$I$10,$H$16,$H$11))*E3433/600</f>
        <v>5.0639380000000005E-3</v>
      </c>
      <c r="L3433" s="32">
        <f>$J3433*($G3433-$G3432)*60*24</f>
        <v>5.0639380000000204E-3</v>
      </c>
    </row>
    <row r="3434" spans="1:12">
      <c r="A3434" s="22">
        <v>40313.01666666667</v>
      </c>
      <c r="E3434" s="26">
        <v>15.041399999999999</v>
      </c>
      <c r="G3434" s="27">
        <v>1.6666666666666666E-2</v>
      </c>
      <c r="J3434" s="30">
        <f>IF(G3434&lt;$H$10,$H$16,IF(G3434&gt;$I$10,$H$16,$H$11))*E3434/600</f>
        <v>5.0137999999999997E-3</v>
      </c>
      <c r="L3434" s="32">
        <f>$J3434*($G3434-$G3433)*60*24</f>
        <v>5.0137999999999815E-3</v>
      </c>
    </row>
    <row r="3435" spans="1:12">
      <c r="A3435" s="22">
        <v>40313.017361111109</v>
      </c>
      <c r="E3435" s="26">
        <v>15.171816</v>
      </c>
      <c r="G3435" s="27">
        <v>1.7361111111111112E-2</v>
      </c>
      <c r="J3435" s="30">
        <f>IF(G3435&lt;$H$10,$H$16,IF(G3435&gt;$I$10,$H$16,$H$11))*E3435/600</f>
        <v>5.0572719999999998E-3</v>
      </c>
      <c r="L3435" s="32">
        <f>$J3435*($G3435-$G3434)*60*24</f>
        <v>5.0572720000000067E-3</v>
      </c>
    </row>
    <row r="3436" spans="1:12">
      <c r="A3436" s="22">
        <v>40313.018055555556</v>
      </c>
      <c r="E3436" s="26">
        <v>15.205145999999999</v>
      </c>
      <c r="G3436" s="27">
        <v>1.8055555555555557E-2</v>
      </c>
      <c r="J3436" s="30">
        <f>IF(G3436&lt;$H$10,$H$16,IF(G3436&gt;$I$10,$H$16,$H$11))*E3436/600</f>
        <v>5.0683819999999997E-3</v>
      </c>
      <c r="L3436" s="32">
        <f>$J3436*($G3436-$G3435)*60*24</f>
        <v>5.0683820000000067E-3</v>
      </c>
    </row>
    <row r="3437" spans="1:12">
      <c r="A3437" s="22">
        <v>40313.018750000003</v>
      </c>
      <c r="E3437" s="26">
        <v>15.19848</v>
      </c>
      <c r="G3437" s="27">
        <v>1.8749999999999999E-2</v>
      </c>
      <c r="J3437" s="30">
        <f>IF(G3437&lt;$H$10,$H$16,IF(G3437&gt;$I$10,$H$16,$H$11))*E3437/600</f>
        <v>5.0661600000000001E-3</v>
      </c>
      <c r="L3437" s="32">
        <f>$J3437*($G3437-$G3436)*60*24</f>
        <v>5.0661599999999819E-3</v>
      </c>
    </row>
    <row r="3438" spans="1:12">
      <c r="A3438" s="22">
        <v>40313.019444444442</v>
      </c>
      <c r="E3438" s="26">
        <v>15.165150000000001</v>
      </c>
      <c r="G3438" s="27">
        <v>1.9444444444444445E-2</v>
      </c>
      <c r="J3438" s="30">
        <f>IF(G3438&lt;$H$10,$H$16,IF(G3438&gt;$I$10,$H$16,$H$11))*E3438/600</f>
        <v>5.0550500000000002E-3</v>
      </c>
      <c r="L3438" s="32">
        <f>$J3438*($G3438-$G3437)*60*24</f>
        <v>5.055050000000008E-3</v>
      </c>
    </row>
    <row r="3439" spans="1:12">
      <c r="A3439" s="22">
        <v>40313.020138888889</v>
      </c>
      <c r="E3439" s="26">
        <v>15.041399999999999</v>
      </c>
      <c r="G3439" s="27">
        <v>2.013888888888889E-2</v>
      </c>
      <c r="J3439" s="30">
        <f>IF(G3439&lt;$H$10,$H$16,IF(G3439&gt;$I$10,$H$16,$H$11))*E3439/600</f>
        <v>5.0137999999999997E-3</v>
      </c>
      <c r="L3439" s="32">
        <f>$J3439*($G3439-$G3438)*60*24</f>
        <v>5.0138000000000066E-3</v>
      </c>
    </row>
    <row r="3440" spans="1:12">
      <c r="A3440" s="22">
        <v>40313.020833333336</v>
      </c>
      <c r="E3440" s="26">
        <v>15.0678</v>
      </c>
      <c r="G3440" s="27">
        <v>2.0833333333333332E-2</v>
      </c>
      <c r="J3440" s="30">
        <f>IF(G3440&lt;$H$10,$H$16,IF(G3440&gt;$I$10,$H$16,$H$11))*E3440/600</f>
        <v>5.0226000000000003E-3</v>
      </c>
      <c r="L3440" s="32">
        <f>$J3440*($G3440-$G3439)*60*24</f>
        <v>5.022599999999983E-3</v>
      </c>
    </row>
    <row r="3441" spans="1:12">
      <c r="A3441" s="22">
        <v>40313.021527777775</v>
      </c>
      <c r="E3441" s="26">
        <v>15.081</v>
      </c>
      <c r="G3441" s="27">
        <v>2.1527777777777781E-2</v>
      </c>
      <c r="J3441" s="30">
        <f>IF(G3441&lt;$H$10,$H$16,IF(G3441&gt;$I$10,$H$16,$H$11))*E3441/600</f>
        <v>5.0270000000000002E-3</v>
      </c>
      <c r="L3441" s="32">
        <f>$J3441*($G3441-$G3440)*60*24</f>
        <v>5.0270000000000323E-3</v>
      </c>
    </row>
    <row r="3442" spans="1:12">
      <c r="A3442" s="22">
        <v>40313.022222222222</v>
      </c>
      <c r="E3442" s="26">
        <v>14.99446</v>
      </c>
      <c r="G3442" s="27">
        <v>2.2222222222222223E-2</v>
      </c>
      <c r="J3442" s="30">
        <f>IF(G3442&lt;$H$10,$H$16,IF(G3442&gt;$I$10,$H$16,$H$11))*E3442/600</f>
        <v>4.9981533333333331E-3</v>
      </c>
      <c r="L3442" s="32">
        <f>$J3442*($G3442-$G3441)*60*24</f>
        <v>4.9981533333333158E-3</v>
      </c>
    </row>
    <row r="3443" spans="1:12">
      <c r="A3443" s="22">
        <v>40313.022916666669</v>
      </c>
      <c r="E3443" s="26">
        <v>14.935375000000001</v>
      </c>
      <c r="G3443" s="27">
        <v>2.2916666666666669E-2</v>
      </c>
      <c r="J3443" s="30">
        <f>IF(G3443&lt;$H$10,$H$16,IF(G3443&gt;$I$10,$H$16,$H$11))*E3443/600</f>
        <v>4.9784583333333339E-3</v>
      </c>
      <c r="L3443" s="32">
        <f>$J3443*($G3443-$G3442)*60*24</f>
        <v>4.9784583333333417E-3</v>
      </c>
    </row>
    <row r="3444" spans="1:12">
      <c r="A3444" s="22">
        <v>40313.023611111108</v>
      </c>
      <c r="E3444" s="26">
        <v>15.063359999999999</v>
      </c>
      <c r="G3444" s="27">
        <v>2.361111111111111E-2</v>
      </c>
      <c r="J3444" s="30">
        <f>IF(G3444&lt;$H$10,$H$16,IF(G3444&gt;$I$10,$H$16,$H$11))*E3444/600</f>
        <v>5.0211200000000004E-3</v>
      </c>
      <c r="L3444" s="32">
        <f>$J3444*($G3444-$G3443)*60*24</f>
        <v>5.0211199999999822E-3</v>
      </c>
    </row>
    <row r="3445" spans="1:12">
      <c r="A3445" s="22">
        <v>40313.024305555555</v>
      </c>
      <c r="E3445" s="26">
        <v>15.08325</v>
      </c>
      <c r="G3445" s="27">
        <v>2.4305555555555556E-2</v>
      </c>
      <c r="J3445" s="30">
        <f>IF(G3445&lt;$H$10,$H$16,IF(G3445&gt;$I$10,$H$16,$H$11))*E3445/600</f>
        <v>5.0277500000000001E-3</v>
      </c>
      <c r="L3445" s="32">
        <f>$J3445*($G3445-$G3444)*60*24</f>
        <v>5.027750000000007E-3</v>
      </c>
    </row>
    <row r="3446" spans="1:12">
      <c r="A3446" s="22">
        <v>40313.025000000001</v>
      </c>
      <c r="E3446" s="26">
        <v>15.043469999999999</v>
      </c>
      <c r="G3446" s="27">
        <v>2.4999999999999998E-2</v>
      </c>
      <c r="J3446" s="30">
        <f>IF(G3446&lt;$H$10,$H$16,IF(G3446&gt;$I$10,$H$16,$H$11))*E3446/600</f>
        <v>5.0144899999999999E-3</v>
      </c>
      <c r="L3446" s="32">
        <f>$J3446*($G3446-$G3445)*60*24</f>
        <v>5.0144899999999817E-3</v>
      </c>
    </row>
    <row r="3447" spans="1:12">
      <c r="A3447" s="22">
        <v>40313.025694444441</v>
      </c>
      <c r="E3447" s="26">
        <v>15.01032</v>
      </c>
      <c r="G3447" s="27">
        <v>2.5694444444444447E-2</v>
      </c>
      <c r="J3447" s="30">
        <f>IF(G3447&lt;$H$10,$H$16,IF(G3447&gt;$I$10,$H$16,$H$11))*E3447/600</f>
        <v>5.0034400000000005E-3</v>
      </c>
      <c r="L3447" s="32">
        <f>$J3447*($G3447-$G3446)*60*24</f>
        <v>5.0034400000000335E-3</v>
      </c>
    </row>
    <row r="3448" spans="1:12">
      <c r="A3448" s="22">
        <v>40313.026388888888</v>
      </c>
      <c r="E3448" s="26">
        <v>15.003690000000001</v>
      </c>
      <c r="G3448" s="27">
        <v>2.6388888888888889E-2</v>
      </c>
      <c r="J3448" s="30">
        <f>IF(G3448&lt;$H$10,$H$16,IF(G3448&gt;$I$10,$H$16,$H$11))*E3448/600</f>
        <v>5.0012300000000006E-3</v>
      </c>
      <c r="L3448" s="32">
        <f>$J3448*($G3448-$G3447)*60*24</f>
        <v>5.0012299999999824E-3</v>
      </c>
    </row>
    <row r="3449" spans="1:12">
      <c r="A3449" s="22">
        <v>40313.027083333334</v>
      </c>
      <c r="E3449" s="26">
        <v>14.9838</v>
      </c>
      <c r="G3449" s="27">
        <v>2.7083333333333334E-2</v>
      </c>
      <c r="J3449" s="30">
        <f>IF(G3449&lt;$H$10,$H$16,IF(G3449&gt;$I$10,$H$16,$H$11))*E3449/600</f>
        <v>4.9946000000000001E-3</v>
      </c>
      <c r="L3449" s="32">
        <f>$J3449*($G3449-$G3448)*60*24</f>
        <v>4.994600000000007E-3</v>
      </c>
    </row>
    <row r="3450" spans="1:12">
      <c r="A3450" s="22">
        <v>40313.027777777781</v>
      </c>
      <c r="E3450" s="26">
        <v>14.957280000000001</v>
      </c>
      <c r="G3450" s="27">
        <v>2.7777777777777776E-2</v>
      </c>
      <c r="J3450" s="30">
        <f>IF(G3450&lt;$H$10,$H$16,IF(G3450&gt;$I$10,$H$16,$H$11))*E3450/600</f>
        <v>4.9857600000000005E-3</v>
      </c>
      <c r="L3450" s="32">
        <f>$J3450*($G3450-$G3449)*60*24</f>
        <v>4.9857599999999832E-3</v>
      </c>
    </row>
    <row r="3451" spans="1:12">
      <c r="A3451" s="22">
        <v>40313.02847222222</v>
      </c>
      <c r="E3451" s="26">
        <v>14.9838</v>
      </c>
      <c r="G3451" s="27">
        <v>2.8472222222222222E-2</v>
      </c>
      <c r="J3451" s="30">
        <f>IF(G3451&lt;$H$10,$H$16,IF(G3451&gt;$I$10,$H$16,$H$11))*E3451/600</f>
        <v>4.9946000000000001E-3</v>
      </c>
      <c r="L3451" s="32">
        <f>$J3451*($G3451-$G3450)*60*24</f>
        <v>4.994600000000007E-3</v>
      </c>
    </row>
    <row r="3452" spans="1:12">
      <c r="A3452" s="22">
        <v>40313.029166666667</v>
      </c>
      <c r="E3452" s="26">
        <v>14.997059999999999</v>
      </c>
      <c r="G3452" s="27">
        <v>2.9166666666666664E-2</v>
      </c>
      <c r="J3452" s="30">
        <f>IF(G3452&lt;$H$10,$H$16,IF(G3452&gt;$I$10,$H$16,$H$11))*E3452/600</f>
        <v>4.9990199999999999E-3</v>
      </c>
      <c r="L3452" s="32">
        <f>$J3452*($G3452-$G3451)*60*24</f>
        <v>4.9990199999999825E-3</v>
      </c>
    </row>
    <row r="3453" spans="1:12">
      <c r="A3453" s="22">
        <v>40313.029861111114</v>
      </c>
      <c r="E3453" s="26">
        <v>14.977169999999999</v>
      </c>
      <c r="G3453" s="27">
        <v>2.9861111111111113E-2</v>
      </c>
      <c r="J3453" s="30">
        <f>IF(G3453&lt;$H$10,$H$16,IF(G3453&gt;$I$10,$H$16,$H$11))*E3453/600</f>
        <v>4.9923900000000002E-3</v>
      </c>
      <c r="L3453" s="32">
        <f>$J3453*($G3453-$G3452)*60*24</f>
        <v>4.9923900000000323E-3</v>
      </c>
    </row>
    <row r="3454" spans="1:12">
      <c r="A3454" s="22">
        <v>40313.030555555553</v>
      </c>
      <c r="E3454" s="26">
        <v>14.997059999999999</v>
      </c>
      <c r="G3454" s="27">
        <v>3.0555555555555555E-2</v>
      </c>
      <c r="J3454" s="30">
        <f>IF(G3454&lt;$H$10,$H$16,IF(G3454&gt;$I$10,$H$16,$H$11))*E3454/600</f>
        <v>4.9990199999999999E-3</v>
      </c>
      <c r="L3454" s="32">
        <f>$J3454*($G3454-$G3453)*60*24</f>
        <v>4.9990199999999825E-3</v>
      </c>
    </row>
    <row r="3455" spans="1:12">
      <c r="A3455" s="22">
        <v>40313.03125</v>
      </c>
      <c r="E3455" s="26">
        <v>14.977169999999999</v>
      </c>
      <c r="G3455" s="27">
        <v>3.125E-2</v>
      </c>
      <c r="J3455" s="30">
        <f>IF(G3455&lt;$H$10,$H$16,IF(G3455&gt;$I$10,$H$16,$H$11))*E3455/600</f>
        <v>4.9923900000000002E-3</v>
      </c>
      <c r="L3455" s="32">
        <f>$J3455*($G3455-$G3454)*60*24</f>
        <v>4.9923900000000071E-3</v>
      </c>
    </row>
    <row r="3456" spans="1:12">
      <c r="A3456" s="22">
        <v>40313.031944444447</v>
      </c>
      <c r="E3456" s="26">
        <v>14.90255</v>
      </c>
      <c r="G3456" s="27">
        <v>3.1944444444444449E-2</v>
      </c>
      <c r="J3456" s="30">
        <f>IF(G3456&lt;$H$10,$H$16,IF(G3456&gt;$I$10,$H$16,$H$11))*E3456/600</f>
        <v>4.9675166666666671E-3</v>
      </c>
      <c r="L3456" s="32">
        <f>$J3456*($G3456-$G3455)*60*24</f>
        <v>4.9675166666666992E-3</v>
      </c>
    </row>
    <row r="3457" spans="1:12">
      <c r="A3457" s="22">
        <v>40313.032638888886</v>
      </c>
      <c r="E3457" s="26">
        <v>15.281639999999999</v>
      </c>
      <c r="G3457" s="27">
        <v>3.2638888888888891E-2</v>
      </c>
      <c r="J3457" s="30">
        <f>IF(G3457&lt;$H$10,$H$16,IF(G3457&gt;$I$10,$H$16,$H$11))*E3457/600</f>
        <v>5.0938800000000003E-3</v>
      </c>
      <c r="L3457" s="32">
        <f>$J3457*($G3457-$G3456)*60*24</f>
        <v>5.0938799999999821E-3</v>
      </c>
    </row>
    <row r="3458" spans="1:12">
      <c r="A3458" s="22">
        <v>40313.033333333333</v>
      </c>
      <c r="E3458" s="26">
        <v>15.0501</v>
      </c>
      <c r="G3458" s="27">
        <v>3.3333333333333333E-2</v>
      </c>
      <c r="J3458" s="30">
        <f>IF(G3458&lt;$H$10,$H$16,IF(G3458&gt;$I$10,$H$16,$H$11))*E3458/600</f>
        <v>5.0167000000000007E-3</v>
      </c>
      <c r="L3458" s="32">
        <f>$J3458*($G3458-$G3457)*60*24</f>
        <v>5.0166999999999825E-3</v>
      </c>
    </row>
    <row r="3459" spans="1:12">
      <c r="A3459" s="22">
        <v>40313.03402777778</v>
      </c>
      <c r="E3459" s="26">
        <v>14.869725000000001</v>
      </c>
      <c r="G3459" s="27">
        <v>3.4027777777777775E-2</v>
      </c>
      <c r="J3459" s="30">
        <f>IF(G3459&lt;$H$10,$H$16,IF(G3459&gt;$I$10,$H$16,$H$11))*E3459/600</f>
        <v>4.9565750000000013E-3</v>
      </c>
      <c r="L3459" s="32">
        <f>$J3459*($G3459-$G3458)*60*24</f>
        <v>4.9565749999999839E-3</v>
      </c>
    </row>
    <row r="3460" spans="1:12">
      <c r="A3460" s="22">
        <v>40313.034722222219</v>
      </c>
      <c r="E3460" s="26">
        <v>15.158484</v>
      </c>
      <c r="G3460" s="27">
        <v>3.4722222222222224E-2</v>
      </c>
      <c r="J3460" s="30">
        <f>IF(G3460&lt;$H$10,$H$16,IF(G3460&gt;$I$10,$H$16,$H$11))*E3460/600</f>
        <v>5.0528280000000005E-3</v>
      </c>
      <c r="L3460" s="32">
        <f>$J3460*($G3460-$G3459)*60*24</f>
        <v>5.0528280000000335E-3</v>
      </c>
    </row>
    <row r="3461" spans="1:12">
      <c r="A3461" s="22">
        <v>40313.035416666666</v>
      </c>
      <c r="E3461" s="26">
        <v>14.922245</v>
      </c>
      <c r="G3461" s="27">
        <v>3.5416666666666666E-2</v>
      </c>
      <c r="J3461" s="30">
        <f>IF(G3461&lt;$H$10,$H$16,IF(G3461&gt;$I$10,$H$16,$H$11))*E3461/600</f>
        <v>4.9740816666666672E-3</v>
      </c>
      <c r="L3461" s="32">
        <f>$J3461*($G3461-$G3460)*60*24</f>
        <v>4.9740816666666498E-3</v>
      </c>
    </row>
    <row r="3462" spans="1:12">
      <c r="A3462" s="22">
        <v>40313.036111111112</v>
      </c>
      <c r="E3462" s="26">
        <v>14.955069999999999</v>
      </c>
      <c r="G3462" s="27">
        <v>3.6111111111111115E-2</v>
      </c>
      <c r="J3462" s="30">
        <f>IF(G3462&lt;$H$10,$H$16,IF(G3462&gt;$I$10,$H$16,$H$11))*E3462/600</f>
        <v>4.985023333333333E-3</v>
      </c>
      <c r="L3462" s="32">
        <f>$J3462*($G3462-$G3461)*60*24</f>
        <v>4.9850233333333651E-3</v>
      </c>
    </row>
    <row r="3463" spans="1:12">
      <c r="A3463" s="22">
        <v>40313.036805555559</v>
      </c>
      <c r="E3463" s="26">
        <v>14.955069999999999</v>
      </c>
      <c r="G3463" s="27">
        <v>3.6805555555555557E-2</v>
      </c>
      <c r="J3463" s="30">
        <f>IF(G3463&lt;$H$10,$H$16,IF(G3463&gt;$I$10,$H$16,$H$11))*E3463/600</f>
        <v>4.985023333333333E-3</v>
      </c>
      <c r="L3463" s="32">
        <f>$J3463*($G3463-$G3462)*60*24</f>
        <v>4.9850233333333157E-3</v>
      </c>
    </row>
    <row r="3464" spans="1:12">
      <c r="A3464" s="22">
        <v>40313.037499999999</v>
      </c>
      <c r="E3464" s="26">
        <v>15.0876</v>
      </c>
      <c r="G3464" s="27">
        <v>3.7499999999999999E-2</v>
      </c>
      <c r="J3464" s="30">
        <f>IF(G3464&lt;$H$10,$H$16,IF(G3464&gt;$I$10,$H$16,$H$11))*E3464/600</f>
        <v>5.0292000000000002E-3</v>
      </c>
      <c r="L3464" s="32">
        <f>$J3464*($G3464-$G3463)*60*24</f>
        <v>5.0291999999999819E-3</v>
      </c>
    </row>
    <row r="3465" spans="1:12">
      <c r="A3465" s="22">
        <v>40313.038194444445</v>
      </c>
      <c r="E3465" s="26">
        <v>14.969393999999999</v>
      </c>
      <c r="G3465" s="27">
        <v>3.8194444444444441E-2</v>
      </c>
      <c r="J3465" s="30">
        <f>IF(G3465&lt;$H$10,$H$16,IF(G3465&gt;$I$10,$H$16,$H$11))*E3465/600</f>
        <v>4.9897980000000001E-3</v>
      </c>
      <c r="L3465" s="32">
        <f>$J3465*($G3465-$G3464)*60*24</f>
        <v>4.9897979999999828E-3</v>
      </c>
    </row>
    <row r="3466" spans="1:12">
      <c r="A3466" s="22">
        <v>40313.038888888892</v>
      </c>
      <c r="E3466" s="26">
        <v>14.943258</v>
      </c>
      <c r="G3466" s="27">
        <v>3.888888888888889E-2</v>
      </c>
      <c r="J3466" s="30">
        <f>IF(G3466&lt;$H$10,$H$16,IF(G3466&gt;$I$10,$H$16,$H$11))*E3466/600</f>
        <v>4.9810860000000009E-3</v>
      </c>
      <c r="L3466" s="32">
        <f>$J3466*($G3466-$G3465)*60*24</f>
        <v>4.981086000000033E-3</v>
      </c>
    </row>
    <row r="3467" spans="1:12">
      <c r="A3467" s="22">
        <v>40313.039583333331</v>
      </c>
      <c r="E3467" s="26">
        <v>15.296099999999999</v>
      </c>
      <c r="G3467" s="27">
        <v>3.9583333333333331E-2</v>
      </c>
      <c r="J3467" s="30">
        <f>IF(G3467&lt;$H$10,$H$16,IF(G3467&gt;$I$10,$H$16,$H$11))*E3467/600</f>
        <v>5.0986999999999994E-3</v>
      </c>
      <c r="L3467" s="32">
        <f>$J3467*($G3467-$G3466)*60*24</f>
        <v>5.0986999999999812E-3</v>
      </c>
    </row>
    <row r="3468" spans="1:12">
      <c r="A3468" s="22">
        <v>40313.040277777778</v>
      </c>
      <c r="E3468" s="26">
        <v>15.0876</v>
      </c>
      <c r="G3468" s="27">
        <v>4.027777777777778E-2</v>
      </c>
      <c r="J3468" s="30">
        <f>IF(G3468&lt;$H$10,$H$16,IF(G3468&gt;$I$10,$H$16,$H$11))*E3468/600</f>
        <v>5.0292000000000002E-3</v>
      </c>
      <c r="L3468" s="32">
        <f>$J3468*($G3468-$G3467)*60*24</f>
        <v>5.0292000000000323E-3</v>
      </c>
    </row>
    <row r="3469" spans="1:12">
      <c r="A3469" s="22">
        <v>40313.040972222225</v>
      </c>
      <c r="E3469" s="26">
        <v>15.081</v>
      </c>
      <c r="G3469" s="27">
        <v>4.0972222222222222E-2</v>
      </c>
      <c r="J3469" s="30">
        <f>IF(G3469&lt;$H$10,$H$16,IF(G3469&gt;$I$10,$H$16,$H$11))*E3469/600</f>
        <v>5.0270000000000002E-3</v>
      </c>
      <c r="L3469" s="32">
        <f>$J3469*($G3469-$G3468)*60*24</f>
        <v>5.0269999999999829E-3</v>
      </c>
    </row>
    <row r="3470" spans="1:12">
      <c r="A3470" s="22">
        <v>40313.041666666664</v>
      </c>
      <c r="E3470" s="26">
        <v>15.081</v>
      </c>
      <c r="G3470" s="27">
        <v>4.1666666666666664E-2</v>
      </c>
      <c r="J3470" s="30">
        <f>IF(G3470&lt;$H$10,$H$16,IF(G3470&gt;$I$10,$H$16,$H$11))*E3470/600</f>
        <v>5.0270000000000002E-3</v>
      </c>
      <c r="L3470" s="32">
        <f>$J3470*($G3470-$G3469)*60*24</f>
        <v>5.0269999999999829E-3</v>
      </c>
    </row>
    <row r="3471" spans="1:12">
      <c r="A3471" s="22">
        <v>40313.042361111111</v>
      </c>
      <c r="E3471" s="26">
        <v>15.1074</v>
      </c>
      <c r="G3471" s="27">
        <v>4.2361111111111106E-2</v>
      </c>
      <c r="J3471" s="30">
        <f>IF(G3471&lt;$H$10,$H$16,IF(G3471&gt;$I$10,$H$16,$H$11))*E3471/600</f>
        <v>5.0358000000000009E-3</v>
      </c>
      <c r="L3471" s="32">
        <f>$J3471*($G3471-$G3470)*60*24</f>
        <v>5.0357999999999827E-3</v>
      </c>
    </row>
    <row r="3472" spans="1:12">
      <c r="A3472" s="22">
        <v>40313.043055555558</v>
      </c>
      <c r="E3472" s="26">
        <v>15.114000000000001</v>
      </c>
      <c r="G3472" s="27">
        <v>4.3055555555555562E-2</v>
      </c>
      <c r="J3472" s="30">
        <f>IF(G3472&lt;$H$10,$H$16,IF(G3472&gt;$I$10,$H$16,$H$11))*E3472/600</f>
        <v>5.0379999999999999E-3</v>
      </c>
      <c r="L3472" s="32">
        <f>$J3472*($G3472-$G3471)*60*24</f>
        <v>5.0380000000000823E-3</v>
      </c>
    </row>
    <row r="3473" spans="1:12">
      <c r="A3473" s="22">
        <v>40313.043749999997</v>
      </c>
      <c r="E3473" s="26">
        <v>15.133800000000001</v>
      </c>
      <c r="G3473" s="27">
        <v>4.3750000000000004E-2</v>
      </c>
      <c r="J3473" s="30">
        <f>IF(G3473&lt;$H$10,$H$16,IF(G3473&gt;$I$10,$H$16,$H$11))*E3473/600</f>
        <v>5.0446000000000006E-3</v>
      </c>
      <c r="L3473" s="32">
        <f>$J3473*($G3473-$G3472)*60*24</f>
        <v>5.0445999999999833E-3</v>
      </c>
    </row>
    <row r="3474" spans="1:12">
      <c r="A3474" s="22">
        <v>40313.044444444444</v>
      </c>
      <c r="E3474" s="26">
        <v>15.322900000000001</v>
      </c>
      <c r="G3474" s="27">
        <v>4.4444444444444446E-2</v>
      </c>
      <c r="J3474" s="30">
        <f>IF(G3474&lt;$H$10,$H$16,IF(G3474&gt;$I$10,$H$16,$H$11))*E3474/600</f>
        <v>5.1076333333333335E-3</v>
      </c>
      <c r="L3474" s="32">
        <f>$J3474*($G3474-$G3473)*60*24</f>
        <v>5.1076333333333161E-3</v>
      </c>
    </row>
    <row r="3475" spans="1:12">
      <c r="A3475" s="22">
        <v>40313.045138888891</v>
      </c>
      <c r="E3475" s="26">
        <v>15.329599999999999</v>
      </c>
      <c r="G3475" s="27">
        <v>4.5138888888888888E-2</v>
      </c>
      <c r="J3475" s="30">
        <f>IF(G3475&lt;$H$10,$H$16,IF(G3475&gt;$I$10,$H$16,$H$11))*E3475/600</f>
        <v>5.1098666666666674E-3</v>
      </c>
      <c r="L3475" s="32">
        <f>$J3475*($G3475-$G3474)*60*24</f>
        <v>5.1098666666666492E-3</v>
      </c>
    </row>
    <row r="3476" spans="1:12">
      <c r="A3476" s="22">
        <v>40313.04583333333</v>
      </c>
      <c r="E3476" s="26">
        <v>15.3765</v>
      </c>
      <c r="G3476" s="27">
        <v>4.5833333333333337E-2</v>
      </c>
      <c r="J3476" s="30">
        <f>IF(G3476&lt;$H$10,$H$16,IF(G3476&gt;$I$10,$H$16,$H$11))*E3476/600</f>
        <v>5.1255000000000007E-3</v>
      </c>
      <c r="L3476" s="32">
        <f>$J3476*($G3476-$G3475)*60*24</f>
        <v>5.1255000000000337E-3</v>
      </c>
    </row>
    <row r="3477" spans="1:12">
      <c r="A3477" s="22">
        <v>40313.046527777777</v>
      </c>
      <c r="E3477" s="26">
        <v>15.3363</v>
      </c>
      <c r="G3477" s="27">
        <v>4.6527777777777779E-2</v>
      </c>
      <c r="J3477" s="30">
        <f>IF(G3477&lt;$H$10,$H$16,IF(G3477&gt;$I$10,$H$16,$H$11))*E3477/600</f>
        <v>5.1121000000000005E-3</v>
      </c>
      <c r="L3477" s="32">
        <f>$J3477*($G3477-$G3476)*60*24</f>
        <v>5.1120999999999823E-3</v>
      </c>
    </row>
    <row r="3478" spans="1:12">
      <c r="A3478" s="22">
        <v>40313.047222222223</v>
      </c>
      <c r="E3478" s="26">
        <v>15.1206</v>
      </c>
      <c r="G3478" s="27">
        <v>4.7222222222222221E-2</v>
      </c>
      <c r="J3478" s="30">
        <f>IF(G3478&lt;$H$10,$H$16,IF(G3478&gt;$I$10,$H$16,$H$11))*E3478/600</f>
        <v>5.0401999999999999E-3</v>
      </c>
      <c r="L3478" s="32">
        <f>$J3478*($G3478-$G3477)*60*24</f>
        <v>5.0401999999999825E-3</v>
      </c>
    </row>
    <row r="3479" spans="1:12">
      <c r="A3479" s="22">
        <v>40313.04791666667</v>
      </c>
      <c r="E3479" s="26">
        <v>15.1272</v>
      </c>
      <c r="G3479" s="27">
        <v>4.7916666666666663E-2</v>
      </c>
      <c r="J3479" s="30">
        <f>IF(G3479&lt;$H$10,$H$16,IF(G3479&gt;$I$10,$H$16,$H$11))*E3479/600</f>
        <v>5.0423999999999998E-3</v>
      </c>
      <c r="L3479" s="32">
        <f>$J3479*($G3479-$G3478)*60*24</f>
        <v>5.0423999999999816E-3</v>
      </c>
    </row>
    <row r="3480" spans="1:12">
      <c r="A3480" s="22">
        <v>40313.048611111109</v>
      </c>
      <c r="E3480" s="26">
        <v>15.1602</v>
      </c>
      <c r="G3480" s="27">
        <v>4.8611111111111112E-2</v>
      </c>
      <c r="J3480" s="30">
        <f>IF(G3480&lt;$H$10,$H$16,IF(G3480&gt;$I$10,$H$16,$H$11))*E3480/600</f>
        <v>5.0534000000000004E-3</v>
      </c>
      <c r="L3480" s="32">
        <f>$J3480*($G3480-$G3479)*60*24</f>
        <v>5.0534000000000334E-3</v>
      </c>
    </row>
    <row r="3481" spans="1:12">
      <c r="A3481" s="22">
        <v>40313.049305555556</v>
      </c>
      <c r="E3481" s="26">
        <v>15.4368</v>
      </c>
      <c r="G3481" s="27">
        <v>4.9305555555555554E-2</v>
      </c>
      <c r="J3481" s="30">
        <f>IF(G3481&lt;$H$10,$H$16,IF(G3481&gt;$I$10,$H$16,$H$11))*E3481/600</f>
        <v>5.1456000000000002E-3</v>
      </c>
      <c r="L3481" s="32">
        <f>$J3481*($G3481-$G3480)*60*24</f>
        <v>5.145599999999982E-3</v>
      </c>
    </row>
    <row r="3482" spans="1:12">
      <c r="A3482" s="22">
        <v>40313.050000000003</v>
      </c>
      <c r="E3482" s="26">
        <v>15.315597</v>
      </c>
      <c r="G3482" s="27">
        <v>4.9999999999999996E-2</v>
      </c>
      <c r="J3482" s="30">
        <f>IF(G3482&lt;$H$10,$H$16,IF(G3482&gt;$I$10,$H$16,$H$11))*E3482/600</f>
        <v>5.1051990000000004E-3</v>
      </c>
      <c r="L3482" s="32">
        <f>$J3482*($G3482-$G3481)*60*24</f>
        <v>5.1051989999999822E-3</v>
      </c>
    </row>
    <row r="3483" spans="1:12">
      <c r="A3483" s="22">
        <v>40313.050694444442</v>
      </c>
      <c r="E3483" s="26">
        <v>15.302331000000001</v>
      </c>
      <c r="G3483" s="27">
        <v>5.0694444444444452E-2</v>
      </c>
      <c r="J3483" s="30">
        <f>IF(G3483&lt;$H$10,$H$16,IF(G3483&gt;$I$10,$H$16,$H$11))*E3483/600</f>
        <v>5.1007770000000008E-3</v>
      </c>
      <c r="L3483" s="32">
        <f>$J3483*($G3483-$G3482)*60*24</f>
        <v>5.100777000000084E-3</v>
      </c>
    </row>
    <row r="3484" spans="1:12">
      <c r="A3484" s="22">
        <v>40313.051388888889</v>
      </c>
      <c r="E3484" s="26">
        <v>15.2196</v>
      </c>
      <c r="G3484" s="27">
        <v>5.1388888888888894E-2</v>
      </c>
      <c r="J3484" s="30">
        <f>IF(G3484&lt;$H$10,$H$16,IF(G3484&gt;$I$10,$H$16,$H$11))*E3484/600</f>
        <v>5.0731999999999999E-3</v>
      </c>
      <c r="L3484" s="32">
        <f>$J3484*($G3484-$G3483)*60*24</f>
        <v>5.0731999999999817E-3</v>
      </c>
    </row>
    <row r="3485" spans="1:12">
      <c r="A3485" s="22">
        <v>40313.052083333336</v>
      </c>
      <c r="E3485" s="26">
        <v>15.371796</v>
      </c>
      <c r="G3485" s="27">
        <v>5.2083333333333336E-2</v>
      </c>
      <c r="J3485" s="30">
        <f>IF(G3485&lt;$H$10,$H$16,IF(G3485&gt;$I$10,$H$16,$H$11))*E3485/600</f>
        <v>5.1239320000000003E-3</v>
      </c>
      <c r="L3485" s="32">
        <f>$J3485*($G3485-$G3484)*60*24</f>
        <v>5.1239319999999821E-3</v>
      </c>
    </row>
    <row r="3486" spans="1:12">
      <c r="A3486" s="22">
        <v>40313.052777777775</v>
      </c>
      <c r="E3486" s="26">
        <v>15.371796</v>
      </c>
      <c r="G3486" s="27">
        <v>5.2777777777777778E-2</v>
      </c>
      <c r="J3486" s="30">
        <f>IF(G3486&lt;$H$10,$H$16,IF(G3486&gt;$I$10,$H$16,$H$11))*E3486/600</f>
        <v>5.1239320000000003E-3</v>
      </c>
      <c r="L3486" s="32">
        <f>$J3486*($G3486-$G3485)*60*24</f>
        <v>5.1239319999999821E-3</v>
      </c>
    </row>
    <row r="3487" spans="1:12">
      <c r="A3487" s="22">
        <v>40313.053472222222</v>
      </c>
      <c r="E3487" s="26">
        <v>15.040414999999999</v>
      </c>
      <c r="G3487" s="27">
        <v>5.347222222222222E-2</v>
      </c>
      <c r="J3487" s="30">
        <f>IF(G3487&lt;$H$10,$H$16,IF(G3487&gt;$I$10,$H$16,$H$11))*E3487/600</f>
        <v>5.0134716666666666E-3</v>
      </c>
      <c r="L3487" s="32">
        <f>$J3487*($G3487-$G3486)*60*24</f>
        <v>5.0134716666666492E-3</v>
      </c>
    </row>
    <row r="3488" spans="1:12">
      <c r="A3488" s="22">
        <v>40313.054166666669</v>
      </c>
      <c r="E3488" s="26">
        <v>15.182700000000001</v>
      </c>
      <c r="G3488" s="27">
        <v>5.4166666666666669E-2</v>
      </c>
      <c r="J3488" s="30">
        <f>IF(G3488&lt;$H$10,$H$16,IF(G3488&gt;$I$10,$H$16,$H$11))*E3488/600</f>
        <v>5.060900000000001E-3</v>
      </c>
      <c r="L3488" s="32">
        <f>$J3488*($G3488-$G3487)*60*24</f>
        <v>5.0609000000000331E-3</v>
      </c>
    </row>
    <row r="3489" spans="1:12">
      <c r="A3489" s="22">
        <v>40313.054861111108</v>
      </c>
      <c r="E3489" s="26">
        <v>15.14955</v>
      </c>
      <c r="G3489" s="27">
        <v>5.486111111111111E-2</v>
      </c>
      <c r="J3489" s="30">
        <f>IF(G3489&lt;$H$10,$H$16,IF(G3489&gt;$I$10,$H$16,$H$11))*E3489/600</f>
        <v>5.0498499999999998E-3</v>
      </c>
      <c r="L3489" s="32">
        <f>$J3489*($G3489-$G3488)*60*24</f>
        <v>5.0498499999999816E-3</v>
      </c>
    </row>
    <row r="3490" spans="1:12">
      <c r="A3490" s="22">
        <v>40313.055555555555</v>
      </c>
      <c r="E3490" s="26">
        <v>15.318467999999999</v>
      </c>
      <c r="G3490" s="27">
        <v>5.5555555555555552E-2</v>
      </c>
      <c r="J3490" s="30">
        <f>IF(G3490&lt;$H$10,$H$16,IF(G3490&gt;$I$10,$H$16,$H$11))*E3490/600</f>
        <v>5.1061560000000006E-3</v>
      </c>
      <c r="L3490" s="32">
        <f>$J3490*($G3490-$G3489)*60*24</f>
        <v>5.1061559999999824E-3</v>
      </c>
    </row>
    <row r="3491" spans="1:12">
      <c r="A3491" s="22">
        <v>40313.056250000001</v>
      </c>
      <c r="E3491" s="26">
        <v>15.325134</v>
      </c>
      <c r="G3491" s="27">
        <v>5.6250000000000001E-2</v>
      </c>
      <c r="J3491" s="30">
        <f>IF(G3491&lt;$H$10,$H$16,IF(G3491&gt;$I$10,$H$16,$H$11))*E3491/600</f>
        <v>5.1083780000000002E-3</v>
      </c>
      <c r="L3491" s="32">
        <f>$J3491*($G3491-$G3490)*60*24</f>
        <v>5.1083780000000332E-3</v>
      </c>
    </row>
    <row r="3492" spans="1:12">
      <c r="A3492" s="22">
        <v>40313.056944444441</v>
      </c>
      <c r="E3492" s="26">
        <v>15.29847</v>
      </c>
      <c r="G3492" s="27">
        <v>5.6944444444444443E-2</v>
      </c>
      <c r="J3492" s="30">
        <f>IF(G3492&lt;$H$10,$H$16,IF(G3492&gt;$I$10,$H$16,$H$11))*E3492/600</f>
        <v>5.0994900000000008E-3</v>
      </c>
      <c r="L3492" s="32">
        <f>$J3492*($G3492-$G3491)*60*24</f>
        <v>5.0994899999999826E-3</v>
      </c>
    </row>
    <row r="3493" spans="1:12">
      <c r="A3493" s="22">
        <v>40313.057638888888</v>
      </c>
      <c r="E3493" s="26">
        <v>15.325134</v>
      </c>
      <c r="G3493" s="27">
        <v>5.7638888888888885E-2</v>
      </c>
      <c r="J3493" s="30">
        <f>IF(G3493&lt;$H$10,$H$16,IF(G3493&gt;$I$10,$H$16,$H$11))*E3493/600</f>
        <v>5.1083780000000002E-3</v>
      </c>
      <c r="L3493" s="32">
        <f>$J3493*($G3493-$G3492)*60*24</f>
        <v>5.108377999999982E-3</v>
      </c>
    </row>
    <row r="3494" spans="1:12">
      <c r="A3494" s="22">
        <v>40313.058333333334</v>
      </c>
      <c r="E3494" s="26">
        <v>15.331799999999999</v>
      </c>
      <c r="G3494" s="27">
        <v>5.8333333333333327E-2</v>
      </c>
      <c r="J3494" s="30">
        <f>IF(G3494&lt;$H$10,$H$16,IF(G3494&gt;$I$10,$H$16,$H$11))*E3494/600</f>
        <v>5.1105999999999999E-3</v>
      </c>
      <c r="L3494" s="32">
        <f>$J3494*($G3494-$G3493)*60*24</f>
        <v>5.1105999999999817E-3</v>
      </c>
    </row>
    <row r="3495" spans="1:12">
      <c r="A3495" s="22">
        <v>40313.059027777781</v>
      </c>
      <c r="E3495" s="26">
        <v>15.325134</v>
      </c>
      <c r="G3495" s="27">
        <v>5.9027777777777783E-2</v>
      </c>
      <c r="J3495" s="30">
        <f>IF(G3495&lt;$H$10,$H$16,IF(G3495&gt;$I$10,$H$16,$H$11))*E3495/600</f>
        <v>5.1083780000000002E-3</v>
      </c>
      <c r="L3495" s="32">
        <f>$J3495*($G3495-$G3494)*60*24</f>
        <v>5.1083780000000844E-3</v>
      </c>
    </row>
    <row r="3496" spans="1:12">
      <c r="A3496" s="22">
        <v>40313.05972222222</v>
      </c>
      <c r="E3496" s="26">
        <v>15.331799999999999</v>
      </c>
      <c r="G3496" s="27">
        <v>5.9722222222222225E-2</v>
      </c>
      <c r="J3496" s="30">
        <f>IF(G3496&lt;$H$10,$H$16,IF(G3496&gt;$I$10,$H$16,$H$11))*E3496/600</f>
        <v>5.1105999999999999E-3</v>
      </c>
      <c r="L3496" s="32">
        <f>$J3496*($G3496-$G3495)*60*24</f>
        <v>5.1105999999999817E-3</v>
      </c>
    </row>
    <row r="3497" spans="1:12">
      <c r="A3497" s="22">
        <v>40313.060416666667</v>
      </c>
      <c r="E3497" s="26">
        <v>15.079805</v>
      </c>
      <c r="G3497" s="27">
        <v>6.0416666666666667E-2</v>
      </c>
      <c r="J3497" s="30">
        <f>IF(G3497&lt;$H$10,$H$16,IF(G3497&gt;$I$10,$H$16,$H$11))*E3497/600</f>
        <v>5.0266016666666675E-3</v>
      </c>
      <c r="L3497" s="32">
        <f>$J3497*($G3497-$G3496)*60*24</f>
        <v>5.0266016666666502E-3</v>
      </c>
    </row>
    <row r="3498" spans="1:12">
      <c r="A3498" s="22">
        <v>40313.061111111114</v>
      </c>
      <c r="E3498" s="26">
        <v>15.345132</v>
      </c>
      <c r="G3498" s="27">
        <v>6.1111111111111116E-2</v>
      </c>
      <c r="J3498" s="30">
        <f>IF(G3498&lt;$H$10,$H$16,IF(G3498&gt;$I$10,$H$16,$H$11))*E3498/600</f>
        <v>5.115044E-3</v>
      </c>
      <c r="L3498" s="32">
        <f>$J3498*($G3498-$G3497)*60*24</f>
        <v>5.115044000000033E-3</v>
      </c>
    </row>
    <row r="3499" spans="1:12">
      <c r="A3499" s="22">
        <v>40313.061805555553</v>
      </c>
      <c r="E3499" s="26">
        <v>15.365130000000001</v>
      </c>
      <c r="G3499" s="27">
        <v>6.1805555555555558E-2</v>
      </c>
      <c r="J3499" s="30">
        <f>IF(G3499&lt;$H$10,$H$16,IF(G3499&gt;$I$10,$H$16,$H$11))*E3499/600</f>
        <v>5.1217100000000007E-3</v>
      </c>
      <c r="L3499" s="32">
        <f>$J3499*($G3499-$G3498)*60*24</f>
        <v>5.1217099999999825E-3</v>
      </c>
    </row>
    <row r="3500" spans="1:12">
      <c r="A3500" s="22">
        <v>40313.0625</v>
      </c>
      <c r="E3500" s="26">
        <v>15.086370000000001</v>
      </c>
      <c r="G3500" s="27">
        <v>6.25E-2</v>
      </c>
      <c r="J3500" s="30">
        <f>IF(G3500&lt;$H$10,$H$16,IF(G3500&gt;$I$10,$H$16,$H$11))*E3500/600</f>
        <v>5.0287900000000009E-3</v>
      </c>
      <c r="L3500" s="32">
        <f>$J3500*($G3500-$G3499)*60*24</f>
        <v>5.0287899999999826E-3</v>
      </c>
    </row>
    <row r="3501" spans="1:12">
      <c r="A3501" s="22">
        <v>40313.063194444447</v>
      </c>
      <c r="E3501" s="26">
        <v>15.251808</v>
      </c>
      <c r="G3501" s="27">
        <v>6.3194444444444442E-2</v>
      </c>
      <c r="J3501" s="30">
        <f>IF(G3501&lt;$H$10,$H$16,IF(G3501&gt;$I$10,$H$16,$H$11))*E3501/600</f>
        <v>5.0839360000000007E-3</v>
      </c>
      <c r="L3501" s="32">
        <f>$J3501*($G3501-$G3500)*60*24</f>
        <v>5.0839359999999825E-3</v>
      </c>
    </row>
    <row r="3502" spans="1:12">
      <c r="A3502" s="22">
        <v>40313.063888888886</v>
      </c>
      <c r="E3502" s="26">
        <v>15.1008</v>
      </c>
      <c r="G3502" s="27">
        <v>6.3888888888888884E-2</v>
      </c>
      <c r="J3502" s="30">
        <f>IF(G3502&lt;$H$10,$H$16,IF(G3502&gt;$I$10,$H$16,$H$11))*E3502/600</f>
        <v>5.0336000000000001E-3</v>
      </c>
      <c r="L3502" s="32">
        <f>$J3502*($G3502-$G3501)*60*24</f>
        <v>5.0335999999999818E-3</v>
      </c>
    </row>
    <row r="3503" spans="1:12">
      <c r="A3503" s="22">
        <v>40313.064583333333</v>
      </c>
      <c r="E3503" s="26">
        <v>15.1272</v>
      </c>
      <c r="G3503" s="27">
        <v>6.458333333333334E-2</v>
      </c>
      <c r="J3503" s="30">
        <f>IF(G3503&lt;$H$10,$H$16,IF(G3503&gt;$I$10,$H$16,$H$11))*E3503/600</f>
        <v>5.0423999999999998E-3</v>
      </c>
      <c r="L3503" s="32">
        <f>$J3503*($G3503-$G3502)*60*24</f>
        <v>5.0424000000000831E-3</v>
      </c>
    </row>
    <row r="3504" spans="1:12">
      <c r="A3504" s="22">
        <v>40313.06527777778</v>
      </c>
      <c r="E3504" s="26">
        <v>15.245142</v>
      </c>
      <c r="G3504" s="27">
        <v>6.5277777777777782E-2</v>
      </c>
      <c r="J3504" s="30">
        <f>IF(G3504&lt;$H$10,$H$16,IF(G3504&gt;$I$10,$H$16,$H$11))*E3504/600</f>
        <v>5.0817140000000002E-3</v>
      </c>
      <c r="L3504" s="32">
        <f>$J3504*($G3504-$G3503)*60*24</f>
        <v>5.0817139999999828E-3</v>
      </c>
    </row>
    <row r="3505" spans="1:12">
      <c r="A3505" s="22">
        <v>40313.065972222219</v>
      </c>
      <c r="E3505" s="26">
        <v>15.251808</v>
      </c>
      <c r="G3505" s="27">
        <v>6.5972222222222224E-2</v>
      </c>
      <c r="J3505" s="30">
        <f>IF(G3505&lt;$H$10,$H$16,IF(G3505&gt;$I$10,$H$16,$H$11))*E3505/600</f>
        <v>5.0839360000000007E-3</v>
      </c>
      <c r="L3505" s="32">
        <f>$J3505*($G3505-$G3504)*60*24</f>
        <v>5.0839359999999825E-3</v>
      </c>
    </row>
    <row r="3506" spans="1:12">
      <c r="A3506" s="22">
        <v>40313.066666666666</v>
      </c>
      <c r="E3506" s="26">
        <v>15.238476</v>
      </c>
      <c r="G3506" s="27">
        <v>6.6666666666666666E-2</v>
      </c>
      <c r="J3506" s="30">
        <f>IF(G3506&lt;$H$10,$H$16,IF(G3506&gt;$I$10,$H$16,$H$11))*E3506/600</f>
        <v>5.0794920000000006E-3</v>
      </c>
      <c r="L3506" s="32">
        <f>$J3506*($G3506-$G3505)*60*24</f>
        <v>5.0794919999999823E-3</v>
      </c>
    </row>
    <row r="3507" spans="1:12">
      <c r="A3507" s="22">
        <v>40313.067361111112</v>
      </c>
      <c r="E3507" s="26">
        <v>15.225144</v>
      </c>
      <c r="G3507" s="27">
        <v>6.7361111111111108E-2</v>
      </c>
      <c r="J3507" s="30">
        <f>IF(G3507&lt;$H$10,$H$16,IF(G3507&gt;$I$10,$H$16,$H$11))*E3507/600</f>
        <v>5.0750480000000004E-3</v>
      </c>
      <c r="L3507" s="32">
        <f>$J3507*($G3507-$G3506)*60*24</f>
        <v>5.0750479999999822E-3</v>
      </c>
    </row>
    <row r="3508" spans="1:12">
      <c r="A3508" s="22">
        <v>40313.068055555559</v>
      </c>
      <c r="E3508" s="26">
        <v>15.211812</v>
      </c>
      <c r="G3508" s="27">
        <v>6.805555555555555E-2</v>
      </c>
      <c r="J3508" s="30">
        <f>IF(G3508&lt;$H$10,$H$16,IF(G3508&gt;$I$10,$H$16,$H$11))*E3508/600</f>
        <v>5.0706040000000003E-3</v>
      </c>
      <c r="L3508" s="32">
        <f>$J3508*($G3508-$G3507)*60*24</f>
        <v>5.070603999999982E-3</v>
      </c>
    </row>
    <row r="3509" spans="1:12">
      <c r="A3509" s="22">
        <v>40313.068749999999</v>
      </c>
      <c r="E3509" s="26">
        <v>15.185148</v>
      </c>
      <c r="G3509" s="27">
        <v>6.8749999999999992E-2</v>
      </c>
      <c r="J3509" s="30">
        <f>IF(G3509&lt;$H$10,$H$16,IF(G3509&gt;$I$10,$H$16,$H$11))*E3509/600</f>
        <v>5.0617160000000008E-3</v>
      </c>
      <c r="L3509" s="32">
        <f>$J3509*($G3509-$G3508)*60*24</f>
        <v>5.0617159999999835E-3</v>
      </c>
    </row>
    <row r="3510" spans="1:12">
      <c r="A3510" s="22">
        <v>40313.069444444445</v>
      </c>
      <c r="E3510" s="26">
        <v>15.19848</v>
      </c>
      <c r="G3510" s="27">
        <v>6.9444444444444434E-2</v>
      </c>
      <c r="J3510" s="30">
        <f>IF(G3510&lt;$H$10,$H$16,IF(G3510&gt;$I$10,$H$16,$H$11))*E3510/600</f>
        <v>5.0661600000000001E-3</v>
      </c>
      <c r="L3510" s="32">
        <f>$J3510*($G3510-$G3509)*60*24</f>
        <v>5.0661599999999819E-3</v>
      </c>
    </row>
    <row r="3511" spans="1:12">
      <c r="A3511" s="22">
        <v>40313.070138888892</v>
      </c>
      <c r="E3511" s="26">
        <v>15.205145999999999</v>
      </c>
      <c r="G3511" s="27">
        <v>7.013888888888889E-2</v>
      </c>
      <c r="J3511" s="30">
        <f>IF(G3511&lt;$H$10,$H$16,IF(G3511&gt;$I$10,$H$16,$H$11))*E3511/600</f>
        <v>5.0683819999999997E-3</v>
      </c>
      <c r="L3511" s="32">
        <f>$J3511*($G3511-$G3510)*60*24</f>
        <v>5.068382000000083E-3</v>
      </c>
    </row>
    <row r="3512" spans="1:12">
      <c r="A3512" s="22">
        <v>40313.070833333331</v>
      </c>
      <c r="E3512" s="26">
        <v>15.211812</v>
      </c>
      <c r="G3512" s="27">
        <v>7.0833333333333331E-2</v>
      </c>
      <c r="J3512" s="30">
        <f>IF(G3512&lt;$H$10,$H$16,IF(G3512&gt;$I$10,$H$16,$H$11))*E3512/600</f>
        <v>5.0706040000000003E-3</v>
      </c>
      <c r="L3512" s="32">
        <f>$J3512*($G3512-$G3511)*60*24</f>
        <v>5.070603999999982E-3</v>
      </c>
    </row>
    <row r="3513" spans="1:12">
      <c r="A3513" s="22">
        <v>40313.071527777778</v>
      </c>
      <c r="E3513" s="26">
        <v>15.205145999999999</v>
      </c>
      <c r="G3513" s="27">
        <v>7.1527777777777787E-2</v>
      </c>
      <c r="J3513" s="30">
        <f>IF(G3513&lt;$H$10,$H$16,IF(G3513&gt;$I$10,$H$16,$H$11))*E3513/600</f>
        <v>5.0683819999999997E-3</v>
      </c>
      <c r="L3513" s="32">
        <f>$J3513*($G3513-$G3512)*60*24</f>
        <v>5.068382000000083E-3</v>
      </c>
    </row>
    <row r="3514" spans="1:12">
      <c r="A3514" s="22">
        <v>40313.072222222225</v>
      </c>
      <c r="E3514" s="26">
        <v>15.205145999999999</v>
      </c>
      <c r="G3514" s="27">
        <v>7.2222222222222229E-2</v>
      </c>
      <c r="J3514" s="30">
        <f>IF(G3514&lt;$H$10,$H$16,IF(G3514&gt;$I$10,$H$16,$H$11))*E3514/600</f>
        <v>5.0683819999999997E-3</v>
      </c>
      <c r="L3514" s="32">
        <f>$J3514*($G3514-$G3513)*60*24</f>
        <v>5.0683819999999815E-3</v>
      </c>
    </row>
    <row r="3515" spans="1:12">
      <c r="A3515" s="22">
        <v>40313.072916666664</v>
      </c>
      <c r="E3515" s="26">
        <v>15.158484</v>
      </c>
      <c r="G3515" s="27">
        <v>7.2916666666666671E-2</v>
      </c>
      <c r="J3515" s="30">
        <f>IF(G3515&lt;$H$10,$H$16,IF(G3515&gt;$I$10,$H$16,$H$11))*E3515/600</f>
        <v>5.0528280000000005E-3</v>
      </c>
      <c r="L3515" s="32">
        <f>$J3515*($G3515-$G3514)*60*24</f>
        <v>5.0528279999999823E-3</v>
      </c>
    </row>
    <row r="3516" spans="1:12">
      <c r="A3516" s="22">
        <v>40313.073611111111</v>
      </c>
      <c r="E3516" s="26">
        <v>15.165150000000001</v>
      </c>
      <c r="G3516" s="27">
        <v>7.3611111111111113E-2</v>
      </c>
      <c r="J3516" s="30">
        <f>IF(G3516&lt;$H$10,$H$16,IF(G3516&gt;$I$10,$H$16,$H$11))*E3516/600</f>
        <v>5.0550500000000002E-3</v>
      </c>
      <c r="L3516" s="32">
        <f>$J3516*($G3516-$G3515)*60*24</f>
        <v>5.0550499999999828E-3</v>
      </c>
    </row>
    <row r="3517" spans="1:12">
      <c r="A3517" s="22">
        <v>40313.074305555558</v>
      </c>
      <c r="E3517" s="26">
        <v>15.145152</v>
      </c>
      <c r="G3517" s="27">
        <v>7.4305555555555555E-2</v>
      </c>
      <c r="J3517" s="30">
        <f>IF(G3517&lt;$H$10,$H$16,IF(G3517&gt;$I$10,$H$16,$H$11))*E3517/600</f>
        <v>5.0483839999999995E-3</v>
      </c>
      <c r="L3517" s="32">
        <f>$J3517*($G3517-$G3516)*60*24</f>
        <v>5.0483839999999813E-3</v>
      </c>
    </row>
    <row r="3518" spans="1:12">
      <c r="A3518" s="22">
        <v>40313.074999999997</v>
      </c>
      <c r="E3518" s="26">
        <v>15.185148</v>
      </c>
      <c r="G3518" s="27">
        <v>7.4999999999999997E-2</v>
      </c>
      <c r="J3518" s="30">
        <f>IF(G3518&lt;$H$10,$H$16,IF(G3518&gt;$I$10,$H$16,$H$11))*E3518/600</f>
        <v>5.0617160000000008E-3</v>
      </c>
      <c r="L3518" s="32">
        <f>$J3518*($G3518-$G3517)*60*24</f>
        <v>5.0617159999999835E-3</v>
      </c>
    </row>
    <row r="3519" spans="1:12">
      <c r="A3519" s="22">
        <v>40313.075694444444</v>
      </c>
      <c r="E3519" s="26">
        <v>15.171816</v>
      </c>
      <c r="G3519" s="27">
        <v>7.5694444444444439E-2</v>
      </c>
      <c r="J3519" s="30">
        <f>IF(G3519&lt;$H$10,$H$16,IF(G3519&gt;$I$10,$H$16,$H$11))*E3519/600</f>
        <v>5.0572719999999998E-3</v>
      </c>
      <c r="L3519" s="32">
        <f>$J3519*($G3519-$G3518)*60*24</f>
        <v>5.0572719999999816E-3</v>
      </c>
    </row>
    <row r="3520" spans="1:12">
      <c r="A3520" s="22">
        <v>40313.076388888891</v>
      </c>
      <c r="E3520" s="26">
        <v>15.191814000000001</v>
      </c>
      <c r="G3520" s="27">
        <v>7.6388888888888895E-2</v>
      </c>
      <c r="J3520" s="30">
        <f>IF(G3520&lt;$H$10,$H$16,IF(G3520&gt;$I$10,$H$16,$H$11))*E3520/600</f>
        <v>5.0639380000000005E-3</v>
      </c>
      <c r="L3520" s="32">
        <f>$J3520*($G3520-$G3519)*60*24</f>
        <v>5.0639380000000837E-3</v>
      </c>
    </row>
    <row r="3521" spans="1:12">
      <c r="A3521" s="22">
        <v>40313.07708333333</v>
      </c>
      <c r="E3521" s="26">
        <v>15.205145999999999</v>
      </c>
      <c r="G3521" s="27">
        <v>7.7083333333333337E-2</v>
      </c>
      <c r="J3521" s="30">
        <f>IF(G3521&lt;$H$10,$H$16,IF(G3521&gt;$I$10,$H$16,$H$11))*E3521/600</f>
        <v>5.0683819999999997E-3</v>
      </c>
      <c r="L3521" s="32">
        <f>$J3521*($G3521-$G3520)*60*24</f>
        <v>5.0683819999999815E-3</v>
      </c>
    </row>
    <row r="3522" spans="1:12">
      <c r="A3522" s="22">
        <v>40313.077777777777</v>
      </c>
      <c r="E3522" s="26">
        <v>15.0876</v>
      </c>
      <c r="G3522" s="27">
        <v>7.7777777777777779E-2</v>
      </c>
      <c r="J3522" s="30">
        <f>IF(G3522&lt;$H$10,$H$16,IF(G3522&gt;$I$10,$H$16,$H$11))*E3522/600</f>
        <v>5.0292000000000002E-3</v>
      </c>
      <c r="L3522" s="32">
        <f>$J3522*($G3522-$G3521)*60*24</f>
        <v>5.0291999999999819E-3</v>
      </c>
    </row>
    <row r="3523" spans="1:12">
      <c r="A3523" s="22">
        <v>40313.078472222223</v>
      </c>
      <c r="E3523" s="26">
        <v>15.1602</v>
      </c>
      <c r="G3523" s="27">
        <v>7.8472222222222221E-2</v>
      </c>
      <c r="J3523" s="30">
        <f>IF(G3523&lt;$H$10,$H$16,IF(G3523&gt;$I$10,$H$16,$H$11))*E3523/600</f>
        <v>5.0534000000000004E-3</v>
      </c>
      <c r="L3523" s="32">
        <f>$J3523*($G3523-$G3522)*60*24</f>
        <v>5.0533999999999822E-3</v>
      </c>
    </row>
    <row r="3524" spans="1:12">
      <c r="A3524" s="22">
        <v>40313.07916666667</v>
      </c>
      <c r="E3524" s="26">
        <v>15.153600000000001</v>
      </c>
      <c r="G3524" s="27">
        <v>7.9166666666666663E-2</v>
      </c>
      <c r="J3524" s="30">
        <f>IF(G3524&lt;$H$10,$H$16,IF(G3524&gt;$I$10,$H$16,$H$11))*E3524/600</f>
        <v>5.0512000000000005E-3</v>
      </c>
      <c r="L3524" s="32">
        <f>$J3524*($G3524-$G3523)*60*24</f>
        <v>5.0511999999999831E-3</v>
      </c>
    </row>
    <row r="3525" spans="1:12">
      <c r="A3525" s="22">
        <v>40313.079861111109</v>
      </c>
      <c r="E3525" s="26">
        <v>15.2064</v>
      </c>
      <c r="G3525" s="27">
        <v>7.9861111111111105E-2</v>
      </c>
      <c r="J3525" s="30">
        <f>IF(G3525&lt;$H$10,$H$16,IF(G3525&gt;$I$10,$H$16,$H$11))*E3525/600</f>
        <v>5.0688000000000009E-3</v>
      </c>
      <c r="L3525" s="32">
        <f>$J3525*($G3525-$G3524)*60*24</f>
        <v>5.0687999999999836E-3</v>
      </c>
    </row>
    <row r="3526" spans="1:12">
      <c r="A3526" s="22">
        <v>40313.080555555556</v>
      </c>
      <c r="E3526" s="26">
        <v>15.1074</v>
      </c>
      <c r="G3526" s="27">
        <v>8.0555555555555561E-2</v>
      </c>
      <c r="J3526" s="30">
        <f>IF(G3526&lt;$H$10,$H$16,IF(G3526&gt;$I$10,$H$16,$H$11))*E3526/600</f>
        <v>5.0358000000000009E-3</v>
      </c>
      <c r="L3526" s="32">
        <f>$J3526*($G3526-$G3525)*60*24</f>
        <v>5.0358000000000833E-3</v>
      </c>
    </row>
    <row r="3527" spans="1:12">
      <c r="A3527" s="22">
        <v>40313.081250000003</v>
      </c>
      <c r="E3527" s="26">
        <v>15.1272</v>
      </c>
      <c r="G3527" s="27">
        <v>8.1250000000000003E-2</v>
      </c>
      <c r="J3527" s="30">
        <f>IF(G3527&lt;$H$10,$H$16,IF(G3527&gt;$I$10,$H$16,$H$11))*E3527/600</f>
        <v>5.0423999999999998E-3</v>
      </c>
      <c r="L3527" s="32">
        <f>$J3527*($G3527-$G3526)*60*24</f>
        <v>5.0423999999999816E-3</v>
      </c>
    </row>
    <row r="3528" spans="1:12">
      <c r="A3528" s="22">
        <v>40313.081944444442</v>
      </c>
      <c r="E3528" s="26">
        <v>15.153600000000001</v>
      </c>
      <c r="G3528" s="27">
        <v>8.1944444444444445E-2</v>
      </c>
      <c r="J3528" s="30">
        <f>IF(G3528&lt;$H$10,$H$16,IF(G3528&gt;$I$10,$H$16,$H$11))*E3528/600</f>
        <v>5.0512000000000005E-3</v>
      </c>
      <c r="L3528" s="32">
        <f>$J3528*($G3528-$G3527)*60*24</f>
        <v>5.0511999999999831E-3</v>
      </c>
    </row>
    <row r="3529" spans="1:12">
      <c r="A3529" s="22">
        <v>40313.082638888889</v>
      </c>
      <c r="E3529" s="26">
        <v>15.1206</v>
      </c>
      <c r="G3529" s="27">
        <v>8.2638888888888887E-2</v>
      </c>
      <c r="J3529" s="30">
        <f>IF(G3529&lt;$H$10,$H$16,IF(G3529&gt;$I$10,$H$16,$H$11))*E3529/600</f>
        <v>5.0401999999999999E-3</v>
      </c>
      <c r="L3529" s="32">
        <f>$J3529*($G3529-$G3528)*60*24</f>
        <v>5.0401999999999825E-3</v>
      </c>
    </row>
    <row r="3530" spans="1:12">
      <c r="A3530" s="22">
        <v>40313.083333333336</v>
      </c>
      <c r="E3530" s="26">
        <v>15.147</v>
      </c>
      <c r="G3530" s="27">
        <v>8.3333333333333329E-2</v>
      </c>
      <c r="J3530" s="30">
        <f>IF(G3530&lt;$H$10,$H$16,IF(G3530&gt;$I$10,$H$16,$H$11))*E3530/600</f>
        <v>5.0490000000000005E-3</v>
      </c>
      <c r="L3530" s="32">
        <f>$J3530*($G3530-$G3529)*60*24</f>
        <v>5.0489999999999823E-3</v>
      </c>
    </row>
    <row r="3531" spans="1:12">
      <c r="A3531" s="22">
        <v>40313.084027777775</v>
      </c>
      <c r="E3531" s="26">
        <v>15.147</v>
      </c>
      <c r="G3531" s="27">
        <v>8.4027777777777771E-2</v>
      </c>
      <c r="J3531" s="30">
        <f>IF(G3531&lt;$H$10,$H$16,IF(G3531&gt;$I$10,$H$16,$H$11))*E3531/600</f>
        <v>5.0490000000000005E-3</v>
      </c>
      <c r="L3531" s="32">
        <f>$J3531*($G3531-$G3530)*60*24</f>
        <v>5.0489999999999823E-3</v>
      </c>
    </row>
    <row r="3532" spans="1:12">
      <c r="A3532" s="22">
        <v>40313.084722222222</v>
      </c>
      <c r="E3532" s="26">
        <v>15.133800000000001</v>
      </c>
      <c r="G3532" s="27">
        <v>8.4722222222222213E-2</v>
      </c>
      <c r="J3532" s="30">
        <f>IF(G3532&lt;$H$10,$H$16,IF(G3532&gt;$I$10,$H$16,$H$11))*E3532/600</f>
        <v>5.0446000000000006E-3</v>
      </c>
      <c r="L3532" s="32">
        <f>$J3532*($G3532-$G3531)*60*24</f>
        <v>5.0445999999999833E-3</v>
      </c>
    </row>
    <row r="3533" spans="1:12">
      <c r="A3533" s="22">
        <v>40313.085416666669</v>
      </c>
      <c r="E3533" s="26">
        <v>15.147</v>
      </c>
      <c r="G3533" s="27">
        <v>8.5416666666666655E-2</v>
      </c>
      <c r="J3533" s="30">
        <f>IF(G3533&lt;$H$10,$H$16,IF(G3533&gt;$I$10,$H$16,$H$11))*E3533/600</f>
        <v>5.0490000000000005E-3</v>
      </c>
      <c r="L3533" s="32">
        <f>$J3533*($G3533-$G3532)*60*24</f>
        <v>5.0489999999999823E-3</v>
      </c>
    </row>
    <row r="3534" spans="1:12">
      <c r="A3534" s="22">
        <v>40313.086111111108</v>
      </c>
      <c r="E3534" s="26">
        <v>15.285138</v>
      </c>
      <c r="G3534" s="27">
        <v>8.6111111111111124E-2</v>
      </c>
      <c r="J3534" s="30">
        <f>IF(G3534&lt;$H$10,$H$16,IF(G3534&gt;$I$10,$H$16,$H$11))*E3534/600</f>
        <v>5.0950459999999998E-3</v>
      </c>
      <c r="L3534" s="32">
        <f>$J3534*($G3534-$G3533)*60*24</f>
        <v>5.0950460000001854E-3</v>
      </c>
    </row>
    <row r="3535" spans="1:12">
      <c r="A3535" s="22">
        <v>40313.086805555555</v>
      </c>
      <c r="E3535" s="26">
        <v>15.318467999999999</v>
      </c>
      <c r="G3535" s="27">
        <v>8.6805555555555566E-2</v>
      </c>
      <c r="J3535" s="30">
        <f>IF(G3535&lt;$H$10,$H$16,IF(G3535&gt;$I$10,$H$16,$H$11))*E3535/600</f>
        <v>5.1061560000000006E-3</v>
      </c>
      <c r="L3535" s="32">
        <f>$J3535*($G3535-$G3534)*60*24</f>
        <v>5.1061559999999824E-3</v>
      </c>
    </row>
    <row r="3536" spans="1:12">
      <c r="A3536" s="22">
        <v>40313.087500000001</v>
      </c>
      <c r="E3536" s="26">
        <v>15.345132</v>
      </c>
      <c r="G3536" s="27">
        <v>8.7500000000000008E-2</v>
      </c>
      <c r="J3536" s="30">
        <f>IF(G3536&lt;$H$10,$H$16,IF(G3536&gt;$I$10,$H$16,$H$11))*E3536/600</f>
        <v>5.115044E-3</v>
      </c>
      <c r="L3536" s="32">
        <f>$J3536*($G3536-$G3535)*60*24</f>
        <v>5.1150439999999818E-3</v>
      </c>
    </row>
    <row r="3537" spans="1:12">
      <c r="A3537" s="22">
        <v>40313.088194444441</v>
      </c>
      <c r="E3537" s="26">
        <v>15.331799999999999</v>
      </c>
      <c r="G3537" s="27">
        <v>8.819444444444445E-2</v>
      </c>
      <c r="J3537" s="30">
        <f>IF(G3537&lt;$H$10,$H$16,IF(G3537&gt;$I$10,$H$16,$H$11))*E3537/600</f>
        <v>5.1105999999999999E-3</v>
      </c>
      <c r="L3537" s="32">
        <f>$J3537*($G3537-$G3536)*60*24</f>
        <v>5.1105999999999817E-3</v>
      </c>
    </row>
    <row r="3538" spans="1:12">
      <c r="A3538" s="22">
        <v>40313.088888888888</v>
      </c>
      <c r="E3538" s="26">
        <v>15.271806</v>
      </c>
      <c r="G3538" s="27">
        <v>8.8888888888888892E-2</v>
      </c>
      <c r="J3538" s="30">
        <f>IF(G3538&lt;$H$10,$H$16,IF(G3538&gt;$I$10,$H$16,$H$11))*E3538/600</f>
        <v>5.0906020000000005E-3</v>
      </c>
      <c r="L3538" s="32">
        <f>$J3538*($G3538-$G3537)*60*24</f>
        <v>5.0906019999999823E-3</v>
      </c>
    </row>
    <row r="3539" spans="1:12">
      <c r="A3539" s="22">
        <v>40313.089583333334</v>
      </c>
      <c r="E3539" s="26">
        <v>15.245142</v>
      </c>
      <c r="G3539" s="27">
        <v>8.9583333333333334E-2</v>
      </c>
      <c r="J3539" s="30">
        <f>IF(G3539&lt;$H$10,$H$16,IF(G3539&gt;$I$10,$H$16,$H$11))*E3539/600</f>
        <v>5.0817140000000002E-3</v>
      </c>
      <c r="L3539" s="32">
        <f>$J3539*($G3539-$G3538)*60*24</f>
        <v>5.0817139999999828E-3</v>
      </c>
    </row>
    <row r="3540" spans="1:12">
      <c r="A3540" s="22">
        <v>40313.090277777781</v>
      </c>
      <c r="E3540" s="26">
        <v>15.218477999999999</v>
      </c>
      <c r="G3540" s="27">
        <v>9.0277777777777776E-2</v>
      </c>
      <c r="J3540" s="30">
        <f>IF(G3540&lt;$H$10,$H$16,IF(G3540&gt;$I$10,$H$16,$H$11))*E3540/600</f>
        <v>5.0728259999999999E-3</v>
      </c>
      <c r="L3540" s="32">
        <f>$J3540*($G3540-$G3539)*60*24</f>
        <v>5.0728259999999817E-3</v>
      </c>
    </row>
    <row r="3541" spans="1:12">
      <c r="A3541" s="22">
        <v>40313.09097222222</v>
      </c>
      <c r="E3541" s="26">
        <v>15.033849999999999</v>
      </c>
      <c r="G3541" s="27">
        <v>9.0972222222222218E-2</v>
      </c>
      <c r="J3541" s="30">
        <f>IF(G3541&lt;$H$10,$H$16,IF(G3541&gt;$I$10,$H$16,$H$11))*E3541/600</f>
        <v>5.0112833333333332E-3</v>
      </c>
      <c r="L3541" s="32">
        <f>$J3541*($G3541-$G3540)*60*24</f>
        <v>5.0112833333333159E-3</v>
      </c>
    </row>
    <row r="3542" spans="1:12">
      <c r="A3542" s="22">
        <v>40313.091666666667</v>
      </c>
      <c r="E3542" s="26">
        <v>15.251808</v>
      </c>
      <c r="G3542" s="27">
        <v>9.1666666666666674E-2</v>
      </c>
      <c r="J3542" s="30">
        <f>IF(G3542&lt;$H$10,$H$16,IF(G3542&gt;$I$10,$H$16,$H$11))*E3542/600</f>
        <v>5.0839360000000007E-3</v>
      </c>
      <c r="L3542" s="32">
        <f>$J3542*($G3542-$G3541)*60*24</f>
        <v>5.083936000000084E-3</v>
      </c>
    </row>
    <row r="3543" spans="1:12">
      <c r="A3543" s="22">
        <v>40313.092361111114</v>
      </c>
      <c r="E3543" s="26">
        <v>15.29847</v>
      </c>
      <c r="G3543" s="27">
        <v>9.2361111111111116E-2</v>
      </c>
      <c r="J3543" s="30">
        <f>IF(G3543&lt;$H$10,$H$16,IF(G3543&gt;$I$10,$H$16,$H$11))*E3543/600</f>
        <v>5.0994900000000008E-3</v>
      </c>
      <c r="L3543" s="32">
        <f>$J3543*($G3543-$G3542)*60*24</f>
        <v>5.0994899999999826E-3</v>
      </c>
    </row>
    <row r="3544" spans="1:12">
      <c r="A3544" s="22">
        <v>40313.093055555553</v>
      </c>
      <c r="E3544" s="26">
        <v>15.325134</v>
      </c>
      <c r="G3544" s="27">
        <v>9.3055555555555558E-2</v>
      </c>
      <c r="J3544" s="30">
        <f>IF(G3544&lt;$H$10,$H$16,IF(G3544&gt;$I$10,$H$16,$H$11))*E3544/600</f>
        <v>5.1083780000000002E-3</v>
      </c>
      <c r="L3544" s="32">
        <f>$J3544*($G3544-$G3543)*60*24</f>
        <v>5.108377999999982E-3</v>
      </c>
    </row>
    <row r="3545" spans="1:12">
      <c r="A3545" s="22">
        <v>40313.09375</v>
      </c>
      <c r="E3545" s="26">
        <v>15.338466</v>
      </c>
      <c r="G3545" s="27">
        <v>9.375E-2</v>
      </c>
      <c r="J3545" s="30">
        <f>IF(G3545&lt;$H$10,$H$16,IF(G3545&gt;$I$10,$H$16,$H$11))*E3545/600</f>
        <v>5.1128220000000004E-3</v>
      </c>
      <c r="L3545" s="32">
        <f>$J3545*($G3545-$G3544)*60*24</f>
        <v>5.1128219999999822E-3</v>
      </c>
    </row>
    <row r="3546" spans="1:12">
      <c r="A3546" s="22">
        <v>40313.094444444447</v>
      </c>
      <c r="E3546" s="26">
        <v>15.345132</v>
      </c>
      <c r="G3546" s="27">
        <v>9.4444444444444442E-2</v>
      </c>
      <c r="J3546" s="30">
        <f>IF(G3546&lt;$H$10,$H$16,IF(G3546&gt;$I$10,$H$16,$H$11))*E3546/600</f>
        <v>5.115044E-3</v>
      </c>
      <c r="L3546" s="32">
        <f>$J3546*($G3546-$G3545)*60*24</f>
        <v>5.1150439999999818E-3</v>
      </c>
    </row>
    <row r="3547" spans="1:12">
      <c r="A3547" s="22">
        <v>40313.095138888886</v>
      </c>
      <c r="E3547" s="26">
        <v>15.29847</v>
      </c>
      <c r="G3547" s="27">
        <v>9.5138888888888884E-2</v>
      </c>
      <c r="J3547" s="30">
        <f>IF(G3547&lt;$H$10,$H$16,IF(G3547&gt;$I$10,$H$16,$H$11))*E3547/600</f>
        <v>5.0994900000000008E-3</v>
      </c>
      <c r="L3547" s="32">
        <f>$J3547*($G3547-$G3546)*60*24</f>
        <v>5.0994899999999826E-3</v>
      </c>
    </row>
    <row r="3548" spans="1:12">
      <c r="A3548" s="22">
        <v>40313.095833333333</v>
      </c>
      <c r="E3548" s="26">
        <v>15.278472000000001</v>
      </c>
      <c r="G3548" s="27">
        <v>9.5833333333333326E-2</v>
      </c>
      <c r="J3548" s="30">
        <f>IF(G3548&lt;$H$10,$H$16,IF(G3548&gt;$I$10,$H$16,$H$11))*E3548/600</f>
        <v>5.0928240000000001E-3</v>
      </c>
      <c r="L3548" s="32">
        <f>$J3548*($G3548-$G3547)*60*24</f>
        <v>5.0928239999999819E-3</v>
      </c>
    </row>
    <row r="3549" spans="1:12">
      <c r="A3549" s="22">
        <v>40313.09652777778</v>
      </c>
      <c r="E3549" s="26">
        <v>15.311802</v>
      </c>
      <c r="G3549" s="27">
        <v>9.6527777777777768E-2</v>
      </c>
      <c r="J3549" s="30">
        <f>IF(G3549&lt;$H$10,$H$16,IF(G3549&gt;$I$10,$H$16,$H$11))*E3549/600</f>
        <v>5.1039340000000001E-3</v>
      </c>
      <c r="L3549" s="32">
        <f>$J3549*($G3549-$G3548)*60*24</f>
        <v>5.1039339999999819E-3</v>
      </c>
    </row>
    <row r="3550" spans="1:12">
      <c r="A3550" s="22">
        <v>40313.097222222219</v>
      </c>
      <c r="E3550" s="26">
        <v>15.1866</v>
      </c>
      <c r="G3550" s="27">
        <v>9.7222222222222224E-2</v>
      </c>
      <c r="J3550" s="30">
        <f>IF(G3550&lt;$H$10,$H$16,IF(G3550&gt;$I$10,$H$16,$H$11))*E3550/600</f>
        <v>5.0622000000000002E-3</v>
      </c>
      <c r="L3550" s="32">
        <f>$J3550*($G3550-$G3549)*60*24</f>
        <v>5.0622000000000826E-3</v>
      </c>
    </row>
    <row r="3551" spans="1:12">
      <c r="A3551" s="22">
        <v>40313.097916666666</v>
      </c>
      <c r="E3551" s="26">
        <v>15.232799999999999</v>
      </c>
      <c r="G3551" s="27">
        <v>9.7916666666666666E-2</v>
      </c>
      <c r="J3551" s="30">
        <f>IF(G3551&lt;$H$10,$H$16,IF(G3551&gt;$I$10,$H$16,$H$11))*E3551/600</f>
        <v>5.0775999999999998E-3</v>
      </c>
      <c r="L3551" s="32">
        <f>$J3551*($G3551-$G3550)*60*24</f>
        <v>5.0775999999999816E-3</v>
      </c>
    </row>
    <row r="3552" spans="1:12">
      <c r="A3552" s="22">
        <v>40313.098611111112</v>
      </c>
      <c r="E3552" s="26">
        <v>15.173400000000001</v>
      </c>
      <c r="G3552" s="27">
        <v>9.8611111111111108E-2</v>
      </c>
      <c r="J3552" s="30">
        <f>IF(G3552&lt;$H$10,$H$16,IF(G3552&gt;$I$10,$H$16,$H$11))*E3552/600</f>
        <v>5.0578000000000003E-3</v>
      </c>
      <c r="L3552" s="32">
        <f>$J3552*($G3552-$G3551)*60*24</f>
        <v>5.057799999999983E-3</v>
      </c>
    </row>
    <row r="3553" spans="1:12">
      <c r="A3553" s="22">
        <v>40313.099305555559</v>
      </c>
      <c r="E3553" s="26">
        <v>15.147</v>
      </c>
      <c r="G3553" s="27">
        <v>9.930555555555555E-2</v>
      </c>
      <c r="J3553" s="30">
        <f>IF(G3553&lt;$H$10,$H$16,IF(G3553&gt;$I$10,$H$16,$H$11))*E3553/600</f>
        <v>5.0490000000000005E-3</v>
      </c>
      <c r="L3553" s="32">
        <f>$J3553*($G3553-$G3552)*60*24</f>
        <v>5.0489999999999823E-3</v>
      </c>
    </row>
    <row r="3554" spans="1:12">
      <c r="A3554" s="22">
        <v>40313.1</v>
      </c>
      <c r="E3554" s="26">
        <v>15.1602</v>
      </c>
      <c r="G3554" s="27">
        <v>9.9999999999999992E-2</v>
      </c>
      <c r="J3554" s="30">
        <f>IF(G3554&lt;$H$10,$H$16,IF(G3554&gt;$I$10,$H$16,$H$11))*E3554/600</f>
        <v>5.0534000000000004E-3</v>
      </c>
      <c r="L3554" s="32">
        <f>$J3554*($G3554-$G3553)*60*24</f>
        <v>5.0533999999999822E-3</v>
      </c>
    </row>
    <row r="3555" spans="1:12">
      <c r="A3555" s="22">
        <v>40313.100694444445</v>
      </c>
      <c r="E3555" s="26">
        <v>15.2064</v>
      </c>
      <c r="G3555" s="27">
        <v>0.10069444444444443</v>
      </c>
      <c r="J3555" s="30">
        <f>IF(G3555&lt;$H$10,$H$16,IF(G3555&gt;$I$10,$H$16,$H$11))*E3555/600</f>
        <v>5.0688000000000009E-3</v>
      </c>
      <c r="L3555" s="32">
        <f>$J3555*($G3555-$G3554)*60*24</f>
        <v>5.0687999999999836E-3</v>
      </c>
    </row>
    <row r="3556" spans="1:12">
      <c r="A3556" s="22">
        <v>40313.101388888892</v>
      </c>
      <c r="E3556" s="26">
        <v>15.2064</v>
      </c>
      <c r="G3556" s="27">
        <v>0.1013888888888889</v>
      </c>
      <c r="J3556" s="30">
        <f>IF(G3556&lt;$H$10,$H$16,IF(G3556&gt;$I$10,$H$16,$H$11))*E3556/600</f>
        <v>5.0688000000000009E-3</v>
      </c>
      <c r="L3556" s="32">
        <f>$J3556*($G3556-$G3555)*60*24</f>
        <v>5.0688000000001857E-3</v>
      </c>
    </row>
    <row r="3557" spans="1:12">
      <c r="A3557" s="22">
        <v>40313.102083333331</v>
      </c>
      <c r="E3557" s="26">
        <v>15.232799999999999</v>
      </c>
      <c r="G3557" s="27">
        <v>0.10208333333333335</v>
      </c>
      <c r="J3557" s="30">
        <f>IF(G3557&lt;$H$10,$H$16,IF(G3557&gt;$I$10,$H$16,$H$11))*E3557/600</f>
        <v>5.0775999999999998E-3</v>
      </c>
      <c r="L3557" s="32">
        <f>$J3557*($G3557-$G3556)*60*24</f>
        <v>5.0775999999999816E-3</v>
      </c>
    </row>
    <row r="3558" spans="1:12">
      <c r="A3558" s="22">
        <v>40313.102777777778</v>
      </c>
      <c r="E3558" s="26">
        <v>15.246</v>
      </c>
      <c r="G3558" s="27">
        <v>0.10277777777777779</v>
      </c>
      <c r="J3558" s="30">
        <f>IF(G3558&lt;$H$10,$H$16,IF(G3558&gt;$I$10,$H$16,$H$11))*E3558/600</f>
        <v>5.0820000000000006E-3</v>
      </c>
      <c r="L3558" s="32">
        <f>$J3558*($G3558-$G3557)*60*24</f>
        <v>5.0819999999999824E-3</v>
      </c>
    </row>
    <row r="3559" spans="1:12">
      <c r="A3559" s="22">
        <v>40313.103472222225</v>
      </c>
      <c r="E3559" s="26">
        <v>15.232799999999999</v>
      </c>
      <c r="G3559" s="27">
        <v>0.10347222222222223</v>
      </c>
      <c r="J3559" s="30">
        <f>IF(G3559&lt;$H$10,$H$16,IF(G3559&gt;$I$10,$H$16,$H$11))*E3559/600</f>
        <v>5.0775999999999998E-3</v>
      </c>
      <c r="L3559" s="32">
        <f>$J3559*($G3559-$G3558)*60*24</f>
        <v>5.0775999999999816E-3</v>
      </c>
    </row>
    <row r="3560" spans="1:12">
      <c r="A3560" s="22">
        <v>40313.104166666664</v>
      </c>
      <c r="E3560" s="26">
        <v>15.331799999999999</v>
      </c>
      <c r="G3560" s="27">
        <v>0.10416666666666667</v>
      </c>
      <c r="J3560" s="30">
        <f>IF(G3560&lt;$H$10,$H$16,IF(G3560&gt;$I$10,$H$16,$H$11))*E3560/600</f>
        <v>5.1105999999999999E-3</v>
      </c>
      <c r="L3560" s="32">
        <f>$J3560*($G3560-$G3559)*60*24</f>
        <v>5.1105999999999817E-3</v>
      </c>
    </row>
    <row r="3561" spans="1:12">
      <c r="A3561" s="22">
        <v>40313.104861111111</v>
      </c>
      <c r="E3561" s="26">
        <v>15.351798</v>
      </c>
      <c r="G3561" s="27">
        <v>0.10486111111111111</v>
      </c>
      <c r="J3561" s="30">
        <f>IF(G3561&lt;$H$10,$H$16,IF(G3561&gt;$I$10,$H$16,$H$11))*E3561/600</f>
        <v>5.1172660000000005E-3</v>
      </c>
      <c r="L3561" s="32">
        <f>$J3561*($G3561-$G3560)*60*24</f>
        <v>5.1172659999999823E-3</v>
      </c>
    </row>
    <row r="3562" spans="1:12">
      <c r="A3562" s="22">
        <v>40313.105555555558</v>
      </c>
      <c r="E3562" s="26">
        <v>15.371796</v>
      </c>
      <c r="G3562" s="27">
        <v>0.10555555555555556</v>
      </c>
      <c r="J3562" s="30">
        <f>IF(G3562&lt;$H$10,$H$16,IF(G3562&gt;$I$10,$H$16,$H$11))*E3562/600</f>
        <v>5.1239320000000003E-3</v>
      </c>
      <c r="L3562" s="32">
        <f>$J3562*($G3562-$G3561)*60*24</f>
        <v>5.1239319999999821E-3</v>
      </c>
    </row>
    <row r="3563" spans="1:12">
      <c r="A3563" s="22">
        <v>40313.106249999997</v>
      </c>
      <c r="E3563" s="26">
        <v>15.252599999999999</v>
      </c>
      <c r="G3563" s="27">
        <v>0.10625</v>
      </c>
      <c r="J3563" s="30">
        <f>IF(G3563&lt;$H$10,$H$16,IF(G3563&gt;$I$10,$H$16,$H$11))*E3563/600</f>
        <v>5.0842000000000005E-3</v>
      </c>
      <c r="L3563" s="32">
        <f>$J3563*($G3563-$G3562)*60*24</f>
        <v>5.0841999999999823E-3</v>
      </c>
    </row>
    <row r="3564" spans="1:12">
      <c r="A3564" s="22">
        <v>40313.106944444444</v>
      </c>
      <c r="E3564" s="26">
        <v>15.318467999999999</v>
      </c>
      <c r="G3564" s="27">
        <v>0.10694444444444444</v>
      </c>
      <c r="J3564" s="30">
        <f>IF(G3564&lt;$H$10,$H$16,IF(G3564&gt;$I$10,$H$16,$H$11))*E3564/600</f>
        <v>5.1061560000000006E-3</v>
      </c>
      <c r="L3564" s="32">
        <f>$J3564*($G3564-$G3563)*60*24</f>
        <v>5.1061559999999824E-3</v>
      </c>
    </row>
    <row r="3565" spans="1:12">
      <c r="A3565" s="22">
        <v>40313.107638888891</v>
      </c>
      <c r="E3565" s="26">
        <v>15.1668</v>
      </c>
      <c r="G3565" s="27">
        <v>0.1076388888888889</v>
      </c>
      <c r="J3565" s="30">
        <f>IF(G3565&lt;$H$10,$H$16,IF(G3565&gt;$I$10,$H$16,$H$11))*E3565/600</f>
        <v>5.0556000000000004E-3</v>
      </c>
      <c r="L3565" s="32">
        <f>$J3565*($G3565-$G3564)*60*24</f>
        <v>5.0556000000000836E-3</v>
      </c>
    </row>
    <row r="3566" spans="1:12">
      <c r="A3566" s="22">
        <v>40313.10833333333</v>
      </c>
      <c r="E3566" s="26">
        <v>15.1602</v>
      </c>
      <c r="G3566" s="27">
        <v>0.10833333333333334</v>
      </c>
      <c r="J3566" s="30">
        <f>IF(G3566&lt;$H$10,$H$16,IF(G3566&gt;$I$10,$H$16,$H$11))*E3566/600</f>
        <v>5.0534000000000004E-3</v>
      </c>
      <c r="L3566" s="32">
        <f>$J3566*($G3566-$G3565)*60*24</f>
        <v>5.0533999999999822E-3</v>
      </c>
    </row>
    <row r="3567" spans="1:12">
      <c r="A3567" s="22">
        <v>40313.109027777777</v>
      </c>
      <c r="E3567" s="26">
        <v>15.18</v>
      </c>
      <c r="G3567" s="27">
        <v>0.10902777777777778</v>
      </c>
      <c r="J3567" s="30">
        <f>IF(G3567&lt;$H$10,$H$16,IF(G3567&gt;$I$10,$H$16,$H$11))*E3567/600</f>
        <v>5.0600000000000003E-3</v>
      </c>
      <c r="L3567" s="32">
        <f>$J3567*($G3567-$G3566)*60*24</f>
        <v>5.059999999999982E-3</v>
      </c>
    </row>
    <row r="3568" spans="1:12">
      <c r="A3568" s="22">
        <v>40313.109722222223</v>
      </c>
      <c r="E3568" s="26">
        <v>15.18</v>
      </c>
      <c r="G3568" s="27">
        <v>0.10972222222222222</v>
      </c>
      <c r="J3568" s="30">
        <f>IF(G3568&lt;$H$10,$H$16,IF(G3568&gt;$I$10,$H$16,$H$11))*E3568/600</f>
        <v>5.0600000000000003E-3</v>
      </c>
      <c r="L3568" s="32">
        <f>$J3568*($G3568-$G3567)*60*24</f>
        <v>5.059999999999982E-3</v>
      </c>
    </row>
    <row r="3569" spans="1:12">
      <c r="A3569" s="22">
        <v>40313.11041666667</v>
      </c>
      <c r="E3569" s="26">
        <v>15.193199999999999</v>
      </c>
      <c r="G3569" s="27">
        <v>0.11041666666666666</v>
      </c>
      <c r="J3569" s="30">
        <f>IF(G3569&lt;$H$10,$H$16,IF(G3569&gt;$I$10,$H$16,$H$11))*E3569/600</f>
        <v>5.0644000000000002E-3</v>
      </c>
      <c r="L3569" s="32">
        <f>$J3569*($G3569-$G3568)*60*24</f>
        <v>5.0643999999999819E-3</v>
      </c>
    </row>
    <row r="3570" spans="1:12">
      <c r="A3570" s="22">
        <v>40313.111111111109</v>
      </c>
      <c r="E3570" s="26">
        <v>15.325134</v>
      </c>
      <c r="G3570" s="27">
        <v>0.1111111111111111</v>
      </c>
      <c r="J3570" s="30">
        <f>IF(G3570&lt;$H$10,$H$16,IF(G3570&gt;$I$10,$H$16,$H$11))*E3570/600</f>
        <v>5.1083780000000002E-3</v>
      </c>
      <c r="L3570" s="32">
        <f>$J3570*($G3570-$G3569)*60*24</f>
        <v>5.108377999999982E-3</v>
      </c>
    </row>
    <row r="3571" spans="1:12">
      <c r="A3571" s="22">
        <v>40313.111805555556</v>
      </c>
      <c r="E3571" s="26">
        <v>15.2196</v>
      </c>
      <c r="G3571" s="27">
        <v>0.11180555555555556</v>
      </c>
      <c r="J3571" s="30">
        <f>IF(G3571&lt;$H$10,$H$16,IF(G3571&gt;$I$10,$H$16,$H$11))*E3571/600</f>
        <v>5.0731999999999999E-3</v>
      </c>
      <c r="L3571" s="32">
        <f>$J3571*($G3571-$G3570)*60*24</f>
        <v>5.0732000000000832E-3</v>
      </c>
    </row>
    <row r="3572" spans="1:12">
      <c r="A3572" s="22">
        <v>40313.112500000003</v>
      </c>
      <c r="E3572" s="26">
        <v>15.185148</v>
      </c>
      <c r="G3572" s="27">
        <v>0.1125</v>
      </c>
      <c r="J3572" s="30">
        <f>IF(G3572&lt;$H$10,$H$16,IF(G3572&gt;$I$10,$H$16,$H$11))*E3572/600</f>
        <v>5.0617160000000008E-3</v>
      </c>
      <c r="L3572" s="32">
        <f>$J3572*($G3572-$G3571)*60*24</f>
        <v>5.0617159999999835E-3</v>
      </c>
    </row>
    <row r="3573" spans="1:12">
      <c r="A3573" s="22">
        <v>40313.113194444442</v>
      </c>
      <c r="E3573" s="26">
        <v>15.125154</v>
      </c>
      <c r="G3573" s="27">
        <v>0.11319444444444444</v>
      </c>
      <c r="J3573" s="30">
        <f>IF(G3573&lt;$H$10,$H$16,IF(G3573&gt;$I$10,$H$16,$H$11))*E3573/600</f>
        <v>5.0417180000000006E-3</v>
      </c>
      <c r="L3573" s="32">
        <f>$J3573*($G3573-$G3572)*60*24</f>
        <v>5.0417179999999824E-3</v>
      </c>
    </row>
    <row r="3574" spans="1:12">
      <c r="A3574" s="22">
        <v>40313.113888888889</v>
      </c>
      <c r="E3574" s="26">
        <v>15.145152</v>
      </c>
      <c r="G3574" s="27">
        <v>0.11388888888888889</v>
      </c>
      <c r="J3574" s="30">
        <f>IF(G3574&lt;$H$10,$H$16,IF(G3574&gt;$I$10,$H$16,$H$11))*E3574/600</f>
        <v>5.0483839999999995E-3</v>
      </c>
      <c r="L3574" s="32">
        <f>$J3574*($G3574-$G3573)*60*24</f>
        <v>5.0483839999999813E-3</v>
      </c>
    </row>
    <row r="3575" spans="1:12">
      <c r="A3575" s="22">
        <v>40313.114583333336</v>
      </c>
      <c r="E3575" s="26">
        <v>15.205145999999999</v>
      </c>
      <c r="G3575" s="27">
        <v>0.11458333333333333</v>
      </c>
      <c r="J3575" s="30">
        <f>IF(G3575&lt;$H$10,$H$16,IF(G3575&gt;$I$10,$H$16,$H$11))*E3575/600</f>
        <v>5.0683819999999997E-3</v>
      </c>
      <c r="L3575" s="32">
        <f>$J3575*($G3575-$G3574)*60*24</f>
        <v>5.0683819999999815E-3</v>
      </c>
    </row>
    <row r="3576" spans="1:12">
      <c r="A3576" s="22">
        <v>40313.115277777775</v>
      </c>
      <c r="E3576" s="26">
        <v>15.081</v>
      </c>
      <c r="G3576" s="27">
        <v>0.11527777777777777</v>
      </c>
      <c r="J3576" s="30">
        <f>IF(G3576&lt;$H$10,$H$16,IF(G3576&gt;$I$10,$H$16,$H$11))*E3576/600</f>
        <v>5.0270000000000002E-3</v>
      </c>
      <c r="L3576" s="32">
        <f>$J3576*($G3576-$G3575)*60*24</f>
        <v>5.0269999999999829E-3</v>
      </c>
    </row>
    <row r="3577" spans="1:12">
      <c r="A3577" s="22">
        <v>40313.115972222222</v>
      </c>
      <c r="E3577" s="26">
        <v>15.114000000000001</v>
      </c>
      <c r="G3577" s="27">
        <v>0.11597222222222221</v>
      </c>
      <c r="J3577" s="30">
        <f>IF(G3577&lt;$H$10,$H$16,IF(G3577&gt;$I$10,$H$16,$H$11))*E3577/600</f>
        <v>5.0379999999999999E-3</v>
      </c>
      <c r="L3577" s="32">
        <f>$J3577*($G3577-$G3576)*60*24</f>
        <v>5.0379999999999817E-3</v>
      </c>
    </row>
    <row r="3578" spans="1:12">
      <c r="A3578" s="22">
        <v>40313.116666666669</v>
      </c>
      <c r="E3578" s="26">
        <v>15.114000000000001</v>
      </c>
      <c r="G3578" s="27">
        <v>0.11666666666666665</v>
      </c>
      <c r="J3578" s="30">
        <f>IF(G3578&lt;$H$10,$H$16,IF(G3578&gt;$I$10,$H$16,$H$11))*E3578/600</f>
        <v>5.0379999999999999E-3</v>
      </c>
      <c r="L3578" s="32">
        <f>$J3578*($G3578-$G3577)*60*24</f>
        <v>5.0379999999999817E-3</v>
      </c>
    </row>
    <row r="3579" spans="1:12">
      <c r="A3579" s="22">
        <v>40313.117361111108</v>
      </c>
      <c r="E3579" s="26">
        <v>15.114000000000001</v>
      </c>
      <c r="G3579" s="27">
        <v>0.1173611111111111</v>
      </c>
      <c r="J3579" s="30">
        <f>IF(G3579&lt;$H$10,$H$16,IF(G3579&gt;$I$10,$H$16,$H$11))*E3579/600</f>
        <v>5.0379999999999999E-3</v>
      </c>
      <c r="L3579" s="32">
        <f>$J3579*($G3579-$G3578)*60*24</f>
        <v>5.0379999999999817E-3</v>
      </c>
    </row>
    <row r="3580" spans="1:12">
      <c r="A3580" s="22">
        <v>40313.118055555555</v>
      </c>
      <c r="E3580" s="26">
        <v>15.231809999999999</v>
      </c>
      <c r="G3580" s="27">
        <v>0.11805555555555557</v>
      </c>
      <c r="J3580" s="30">
        <f>IF(G3580&lt;$H$10,$H$16,IF(G3580&gt;$I$10,$H$16,$H$11))*E3580/600</f>
        <v>5.07727E-3</v>
      </c>
      <c r="L3580" s="32">
        <f>$J3580*($G3580-$G3579)*60*24</f>
        <v>5.0772700000001848E-3</v>
      </c>
    </row>
    <row r="3581" spans="1:12">
      <c r="A3581" s="22">
        <v>40313.118750000001</v>
      </c>
      <c r="E3581" s="26">
        <v>15.094200000000001</v>
      </c>
      <c r="G3581" s="27">
        <v>0.11875000000000001</v>
      </c>
      <c r="J3581" s="30">
        <f>IF(G3581&lt;$H$10,$H$16,IF(G3581&gt;$I$10,$H$16,$H$11))*E3581/600</f>
        <v>5.031400000000001E-3</v>
      </c>
      <c r="L3581" s="32">
        <f>$J3581*($G3581-$G3580)*60*24</f>
        <v>5.0313999999999836E-3</v>
      </c>
    </row>
    <row r="3582" spans="1:12">
      <c r="A3582" s="22">
        <v>40313.119444444441</v>
      </c>
      <c r="E3582" s="26">
        <v>15.265140000000001</v>
      </c>
      <c r="G3582" s="27">
        <v>0.11944444444444445</v>
      </c>
      <c r="J3582" s="30">
        <f>IF(G3582&lt;$H$10,$H$16,IF(G3582&gt;$I$10,$H$16,$H$11))*E3582/600</f>
        <v>5.0883800000000009E-3</v>
      </c>
      <c r="L3582" s="32">
        <f>$J3582*($G3582-$G3581)*60*24</f>
        <v>5.0883799999999826E-3</v>
      </c>
    </row>
    <row r="3583" spans="1:12">
      <c r="A3583" s="22">
        <v>40313.120138888888</v>
      </c>
      <c r="E3583" s="26">
        <v>15.251808</v>
      </c>
      <c r="G3583" s="27">
        <v>0.12013888888888889</v>
      </c>
      <c r="J3583" s="30">
        <f>IF(G3583&lt;$H$10,$H$16,IF(G3583&gt;$I$10,$H$16,$H$11))*E3583/600</f>
        <v>5.0839360000000007E-3</v>
      </c>
      <c r="L3583" s="32">
        <f>$J3583*($G3583-$G3582)*60*24</f>
        <v>5.0839359999999825E-3</v>
      </c>
    </row>
    <row r="3584" spans="1:12">
      <c r="A3584" s="22">
        <v>40313.120833333334</v>
      </c>
      <c r="E3584" s="26">
        <v>15.245142</v>
      </c>
      <c r="G3584" s="27">
        <v>0.12083333333333333</v>
      </c>
      <c r="J3584" s="30">
        <f>IF(G3584&lt;$H$10,$H$16,IF(G3584&gt;$I$10,$H$16,$H$11))*E3584/600</f>
        <v>5.0817140000000002E-3</v>
      </c>
      <c r="L3584" s="32">
        <f>$J3584*($G3584-$G3583)*60*24</f>
        <v>5.0817139999999828E-3</v>
      </c>
    </row>
    <row r="3585" spans="1:12">
      <c r="A3585" s="22">
        <v>40313.121527777781</v>
      </c>
      <c r="E3585" s="26">
        <v>15.245142</v>
      </c>
      <c r="G3585" s="27">
        <v>0.12152777777777778</v>
      </c>
      <c r="J3585" s="30">
        <f>IF(G3585&lt;$H$10,$H$16,IF(G3585&gt;$I$10,$H$16,$H$11))*E3585/600</f>
        <v>5.0817140000000002E-3</v>
      </c>
      <c r="L3585" s="32">
        <f>$J3585*($G3585-$G3584)*60*24</f>
        <v>5.0817139999999828E-3</v>
      </c>
    </row>
    <row r="3586" spans="1:12">
      <c r="A3586" s="22">
        <v>40313.12222222222</v>
      </c>
      <c r="E3586" s="26">
        <v>15.271806</v>
      </c>
      <c r="G3586" s="27">
        <v>0.12222222222222223</v>
      </c>
      <c r="J3586" s="30">
        <f>IF(G3586&lt;$H$10,$H$16,IF(G3586&gt;$I$10,$H$16,$H$11))*E3586/600</f>
        <v>5.0906020000000005E-3</v>
      </c>
      <c r="L3586" s="32">
        <f>$J3586*($G3586-$G3585)*60*24</f>
        <v>5.0906020000000838E-3</v>
      </c>
    </row>
    <row r="3587" spans="1:12">
      <c r="A3587" s="22">
        <v>40313.122916666667</v>
      </c>
      <c r="E3587" s="26">
        <v>15.278472000000001</v>
      </c>
      <c r="G3587" s="27">
        <v>0.12291666666666667</v>
      </c>
      <c r="J3587" s="30">
        <f>IF(G3587&lt;$H$10,$H$16,IF(G3587&gt;$I$10,$H$16,$H$11))*E3587/600</f>
        <v>5.0928240000000001E-3</v>
      </c>
      <c r="L3587" s="32">
        <f>$J3587*($G3587-$G3586)*60*24</f>
        <v>5.0928239999999819E-3</v>
      </c>
    </row>
    <row r="3588" spans="1:12">
      <c r="A3588" s="22">
        <v>40313.123611111114</v>
      </c>
      <c r="E3588" s="26">
        <v>15.258474</v>
      </c>
      <c r="G3588" s="27">
        <v>0.12361111111111112</v>
      </c>
      <c r="J3588" s="30">
        <f>IF(G3588&lt;$H$10,$H$16,IF(G3588&gt;$I$10,$H$16,$H$11))*E3588/600</f>
        <v>5.0861579999999995E-3</v>
      </c>
      <c r="L3588" s="32">
        <f>$J3588*($G3588-$G3587)*60*24</f>
        <v>5.0861579999999813E-3</v>
      </c>
    </row>
    <row r="3589" spans="1:12">
      <c r="A3589" s="22">
        <v>40313.124305555553</v>
      </c>
      <c r="E3589" s="26">
        <v>15.258474</v>
      </c>
      <c r="G3589" s="27">
        <v>0.12430555555555556</v>
      </c>
      <c r="J3589" s="30">
        <f>IF(G3589&lt;$H$10,$H$16,IF(G3589&gt;$I$10,$H$16,$H$11))*E3589/600</f>
        <v>5.0861579999999995E-3</v>
      </c>
      <c r="L3589" s="32">
        <f>$J3589*($G3589-$G3588)*60*24</f>
        <v>5.0861579999999813E-3</v>
      </c>
    </row>
    <row r="3590" spans="1:12">
      <c r="A3590" s="22">
        <v>40313.125</v>
      </c>
      <c r="E3590" s="26">
        <v>15.171816</v>
      </c>
      <c r="G3590" s="27">
        <v>0.125</v>
      </c>
      <c r="J3590" s="30">
        <f>IF(G3590&lt;$H$10,$H$16,IF(G3590&gt;$I$10,$H$16,$H$11))*E3590/600</f>
        <v>5.0572719999999998E-3</v>
      </c>
      <c r="L3590" s="32">
        <f>$J3590*($G3590-$G3589)*60*24</f>
        <v>5.0572719999999816E-3</v>
      </c>
    </row>
    <row r="3591" spans="1:12">
      <c r="A3591" s="22">
        <v>40313.125694444447</v>
      </c>
      <c r="E3591" s="26">
        <v>15.138486</v>
      </c>
      <c r="G3591" s="27">
        <v>0.12569444444444444</v>
      </c>
      <c r="J3591" s="30">
        <f>IF(G3591&lt;$H$10,$H$16,IF(G3591&gt;$I$10,$H$16,$H$11))*E3591/600</f>
        <v>5.0461620000000007E-3</v>
      </c>
      <c r="L3591" s="32">
        <f>$J3591*($G3591-$G3590)*60*24</f>
        <v>5.0461619999999825E-3</v>
      </c>
    </row>
    <row r="3592" spans="1:12">
      <c r="A3592" s="22">
        <v>40313.126388888886</v>
      </c>
      <c r="E3592" s="26">
        <v>15.374624000000001</v>
      </c>
      <c r="G3592" s="27">
        <v>0.12638888888888888</v>
      </c>
      <c r="J3592" s="30">
        <f>IF(G3592&lt;$H$10,$H$16,IF(G3592&gt;$I$10,$H$16,$H$11))*E3592/600</f>
        <v>5.1248746666666669E-3</v>
      </c>
      <c r="L3592" s="32">
        <f>$J3592*($G3592-$G3591)*60*24</f>
        <v>5.1248746666666487E-3</v>
      </c>
    </row>
    <row r="3593" spans="1:12">
      <c r="A3593" s="22">
        <v>40313.127083333333</v>
      </c>
      <c r="E3593" s="26">
        <v>15.151818</v>
      </c>
      <c r="G3593" s="27">
        <v>0.12708333333333333</v>
      </c>
      <c r="J3593" s="30">
        <f>IF(G3593&lt;$H$10,$H$16,IF(G3593&gt;$I$10,$H$16,$H$11))*E3593/600</f>
        <v>5.050606E-3</v>
      </c>
      <c r="L3593" s="32">
        <f>$J3593*($G3593-$G3592)*60*24</f>
        <v>5.0506059999999818E-3</v>
      </c>
    </row>
    <row r="3594" spans="1:12">
      <c r="A3594" s="22">
        <v>40313.12777777778</v>
      </c>
      <c r="E3594" s="26">
        <v>15.178482000000001</v>
      </c>
      <c r="G3594" s="27">
        <v>0.1277777777777778</v>
      </c>
      <c r="J3594" s="30">
        <f>IF(G3594&lt;$H$10,$H$16,IF(G3594&gt;$I$10,$H$16,$H$11))*E3594/600</f>
        <v>5.0594940000000003E-3</v>
      </c>
      <c r="L3594" s="32">
        <f>$J3594*($G3594-$G3593)*60*24</f>
        <v>5.0594940000001851E-3</v>
      </c>
    </row>
    <row r="3595" spans="1:12">
      <c r="A3595" s="22">
        <v>40313.128472222219</v>
      </c>
      <c r="E3595" s="26">
        <v>15.138486</v>
      </c>
      <c r="G3595" s="27">
        <v>0.12847222222222224</v>
      </c>
      <c r="J3595" s="30">
        <f>IF(G3595&lt;$H$10,$H$16,IF(G3595&gt;$I$10,$H$16,$H$11))*E3595/600</f>
        <v>5.0461620000000007E-3</v>
      </c>
      <c r="L3595" s="32">
        <f>$J3595*($G3595-$G3594)*60*24</f>
        <v>5.0461619999999825E-3</v>
      </c>
    </row>
    <row r="3596" spans="1:12">
      <c r="A3596" s="22">
        <v>40313.129166666666</v>
      </c>
      <c r="E3596" s="26">
        <v>15.09849</v>
      </c>
      <c r="G3596" s="27">
        <v>0.12916666666666668</v>
      </c>
      <c r="J3596" s="30">
        <f>IF(G3596&lt;$H$10,$H$16,IF(G3596&gt;$I$10,$H$16,$H$11))*E3596/600</f>
        <v>5.0328300000000003E-3</v>
      </c>
      <c r="L3596" s="32">
        <f>$J3596*($G3596-$G3595)*60*24</f>
        <v>5.0328299999999821E-3</v>
      </c>
    </row>
    <row r="3597" spans="1:12">
      <c r="A3597" s="22">
        <v>40313.129861111112</v>
      </c>
      <c r="E3597" s="26">
        <v>15.071826</v>
      </c>
      <c r="G3597" s="27">
        <v>0.12986111111111112</v>
      </c>
      <c r="J3597" s="30">
        <f>IF(G3597&lt;$H$10,$H$16,IF(G3597&gt;$I$10,$H$16,$H$11))*E3597/600</f>
        <v>5.0239420000000009E-3</v>
      </c>
      <c r="L3597" s="32">
        <f>$J3597*($G3597-$G3596)*60*24</f>
        <v>5.0239419999999826E-3</v>
      </c>
    </row>
    <row r="3598" spans="1:12">
      <c r="A3598" s="22">
        <v>40313.130555555559</v>
      </c>
      <c r="E3598" s="26">
        <v>15.085158</v>
      </c>
      <c r="G3598" s="27">
        <v>0.13055555555555556</v>
      </c>
      <c r="J3598" s="30">
        <f>IF(G3598&lt;$H$10,$H$16,IF(G3598&gt;$I$10,$H$16,$H$11))*E3598/600</f>
        <v>5.0283860000000001E-3</v>
      </c>
      <c r="L3598" s="32">
        <f>$J3598*($G3598-$G3597)*60*24</f>
        <v>5.0283859999999819E-3</v>
      </c>
    </row>
    <row r="3599" spans="1:12">
      <c r="A3599" s="22">
        <v>40313.131249999999</v>
      </c>
      <c r="E3599" s="26">
        <v>15.085158</v>
      </c>
      <c r="G3599" s="27">
        <v>0.13125000000000001</v>
      </c>
      <c r="J3599" s="30">
        <f>IF(G3599&lt;$H$10,$H$16,IF(G3599&gt;$I$10,$H$16,$H$11))*E3599/600</f>
        <v>5.0283860000000001E-3</v>
      </c>
      <c r="L3599" s="32">
        <f>$J3599*($G3599-$G3598)*60*24</f>
        <v>5.0283859999999819E-3</v>
      </c>
    </row>
    <row r="3600" spans="1:12">
      <c r="A3600" s="22">
        <v>40313.131944444445</v>
      </c>
      <c r="E3600" s="26">
        <v>15.078492000000001</v>
      </c>
      <c r="G3600" s="27">
        <v>0.13194444444444445</v>
      </c>
      <c r="J3600" s="30">
        <f>IF(G3600&lt;$H$10,$H$16,IF(G3600&gt;$I$10,$H$16,$H$11))*E3600/600</f>
        <v>5.0261640000000005E-3</v>
      </c>
      <c r="L3600" s="32">
        <f>$J3600*($G3600-$G3599)*60*24</f>
        <v>5.0261639999999823E-3</v>
      </c>
    </row>
    <row r="3601" spans="1:12">
      <c r="A3601" s="22">
        <v>40313.132638888892</v>
      </c>
      <c r="E3601" s="26">
        <v>15.085158</v>
      </c>
      <c r="G3601" s="27">
        <v>0.13263888888888889</v>
      </c>
      <c r="J3601" s="30">
        <f>IF(G3601&lt;$H$10,$H$16,IF(G3601&gt;$I$10,$H$16,$H$11))*E3601/600</f>
        <v>5.0283860000000001E-3</v>
      </c>
      <c r="L3601" s="32">
        <f>$J3601*($G3601-$G3600)*60*24</f>
        <v>5.0283859999999819E-3</v>
      </c>
    </row>
    <row r="3602" spans="1:12">
      <c r="A3602" s="22">
        <v>40313.133333333331</v>
      </c>
      <c r="E3602" s="26">
        <v>15.118487999999999</v>
      </c>
      <c r="G3602" s="27">
        <v>0.13333333333333333</v>
      </c>
      <c r="J3602" s="30">
        <f>IF(G3602&lt;$H$10,$H$16,IF(G3602&gt;$I$10,$H$16,$H$11))*E3602/600</f>
        <v>5.0394960000000001E-3</v>
      </c>
      <c r="L3602" s="32">
        <f>$J3602*($G3602-$G3601)*60*24</f>
        <v>5.0394959999999827E-3</v>
      </c>
    </row>
    <row r="3603" spans="1:12">
      <c r="A3603" s="22">
        <v>40313.134027777778</v>
      </c>
      <c r="E3603" s="26">
        <v>15.125154</v>
      </c>
      <c r="G3603" s="27">
        <v>0.13402777777777777</v>
      </c>
      <c r="J3603" s="30">
        <f>IF(G3603&lt;$H$10,$H$16,IF(G3603&gt;$I$10,$H$16,$H$11))*E3603/600</f>
        <v>5.0417180000000006E-3</v>
      </c>
      <c r="L3603" s="32">
        <f>$J3603*($G3603-$G3602)*60*24</f>
        <v>5.0417179999999824E-3</v>
      </c>
    </row>
    <row r="3604" spans="1:12">
      <c r="A3604" s="22">
        <v>40313.134722222225</v>
      </c>
      <c r="E3604" s="26">
        <v>15.138486</v>
      </c>
      <c r="G3604" s="27">
        <v>0.13472222222222222</v>
      </c>
      <c r="J3604" s="30">
        <f>IF(G3604&lt;$H$10,$H$16,IF(G3604&gt;$I$10,$H$16,$H$11))*E3604/600</f>
        <v>5.0461620000000007E-3</v>
      </c>
      <c r="L3604" s="32">
        <f>$J3604*($G3604-$G3603)*60*24</f>
        <v>5.0461619999999825E-3</v>
      </c>
    </row>
    <row r="3605" spans="1:12">
      <c r="A3605" s="22">
        <v>40313.135416666664</v>
      </c>
      <c r="E3605" s="26">
        <v>15.361090000000001</v>
      </c>
      <c r="G3605" s="27">
        <v>0.13541666666666666</v>
      </c>
      <c r="J3605" s="30">
        <f>IF(G3605&lt;$H$10,$H$16,IF(G3605&gt;$I$10,$H$16,$H$11))*E3605/600</f>
        <v>5.1203633333333342E-3</v>
      </c>
      <c r="L3605" s="32">
        <f>$J3605*($G3605-$G3604)*60*24</f>
        <v>5.1203633333333151E-3</v>
      </c>
    </row>
    <row r="3606" spans="1:12">
      <c r="A3606" s="22">
        <v>40313.136111111111</v>
      </c>
      <c r="E3606" s="26">
        <v>15.091824000000001</v>
      </c>
      <c r="G3606" s="27">
        <v>0.1361111111111111</v>
      </c>
      <c r="J3606" s="30">
        <f>IF(G3606&lt;$H$10,$H$16,IF(G3606&gt;$I$10,$H$16,$H$11))*E3606/600</f>
        <v>5.0306080000000006E-3</v>
      </c>
      <c r="L3606" s="32">
        <f>$J3606*($G3606-$G3605)*60*24</f>
        <v>5.0306079999999833E-3</v>
      </c>
    </row>
    <row r="3607" spans="1:12">
      <c r="A3607" s="22">
        <v>40313.136805555558</v>
      </c>
      <c r="E3607" s="26">
        <v>15.111822</v>
      </c>
      <c r="G3607" s="27">
        <v>0.13680555555555554</v>
      </c>
      <c r="J3607" s="30">
        <f>IF(G3607&lt;$H$10,$H$16,IF(G3607&gt;$I$10,$H$16,$H$11))*E3607/600</f>
        <v>5.0372740000000004E-3</v>
      </c>
      <c r="L3607" s="32">
        <f>$J3607*($G3607-$G3606)*60*24</f>
        <v>5.0372739999999831E-3</v>
      </c>
    </row>
    <row r="3608" spans="1:12">
      <c r="A3608" s="22">
        <v>40313.137499999997</v>
      </c>
      <c r="E3608" s="26">
        <v>15.111822</v>
      </c>
      <c r="G3608" s="27">
        <v>0.13749999999999998</v>
      </c>
      <c r="J3608" s="30">
        <f>IF(G3608&lt;$H$10,$H$16,IF(G3608&gt;$I$10,$H$16,$H$11))*E3608/600</f>
        <v>5.0372740000000004E-3</v>
      </c>
      <c r="L3608" s="32">
        <f>$J3608*($G3608-$G3607)*60*24</f>
        <v>5.0372739999999831E-3</v>
      </c>
    </row>
    <row r="3609" spans="1:12">
      <c r="A3609" s="22">
        <v>40313.138194444444</v>
      </c>
      <c r="E3609" s="26">
        <v>15.138486</v>
      </c>
      <c r="G3609" s="27">
        <v>0.13819444444444443</v>
      </c>
      <c r="J3609" s="30">
        <f>IF(G3609&lt;$H$10,$H$16,IF(G3609&gt;$I$10,$H$16,$H$11))*E3609/600</f>
        <v>5.0461620000000007E-3</v>
      </c>
      <c r="L3609" s="32">
        <f>$J3609*($G3609-$G3608)*60*24</f>
        <v>5.0461619999999825E-3</v>
      </c>
    </row>
    <row r="3610" spans="1:12">
      <c r="A3610" s="22">
        <v>40313.138888888891</v>
      </c>
      <c r="E3610" s="26">
        <v>15.105155999999999</v>
      </c>
      <c r="G3610" s="27">
        <v>0.1388888888888889</v>
      </c>
      <c r="J3610" s="30">
        <f>IF(G3610&lt;$H$10,$H$16,IF(G3610&gt;$I$10,$H$16,$H$11))*E3610/600</f>
        <v>5.0350519999999999E-3</v>
      </c>
      <c r="L3610" s="32">
        <f>$J3610*($G3610-$G3609)*60*24</f>
        <v>5.0350520000001838E-3</v>
      </c>
    </row>
    <row r="3611" spans="1:12">
      <c r="A3611" s="22">
        <v>40313.13958333333</v>
      </c>
      <c r="E3611" s="26">
        <v>15.09849</v>
      </c>
      <c r="G3611" s="27">
        <v>0.13958333333333334</v>
      </c>
      <c r="J3611" s="30">
        <f>IF(G3611&lt;$H$10,$H$16,IF(G3611&gt;$I$10,$H$16,$H$11))*E3611/600</f>
        <v>5.0328300000000003E-3</v>
      </c>
      <c r="L3611" s="32">
        <f>$J3611*($G3611-$G3610)*60*24</f>
        <v>5.0328299999999821E-3</v>
      </c>
    </row>
    <row r="3612" spans="1:12">
      <c r="A3612" s="22">
        <v>40313.140277777777</v>
      </c>
      <c r="E3612" s="26">
        <v>15.085158</v>
      </c>
      <c r="G3612" s="27">
        <v>0.14027777777777778</v>
      </c>
      <c r="J3612" s="30">
        <f>IF(G3612&lt;$H$10,$H$16,IF(G3612&gt;$I$10,$H$16,$H$11))*E3612/600</f>
        <v>5.0283860000000001E-3</v>
      </c>
      <c r="L3612" s="32">
        <f>$J3612*($G3612-$G3611)*60*24</f>
        <v>5.0283859999999819E-3</v>
      </c>
    </row>
    <row r="3613" spans="1:12">
      <c r="A3613" s="22">
        <v>40313.140972222223</v>
      </c>
      <c r="E3613" s="26">
        <v>15.091824000000001</v>
      </c>
      <c r="G3613" s="27">
        <v>0.14097222222222222</v>
      </c>
      <c r="J3613" s="30">
        <f>IF(G3613&lt;$H$10,$H$16,IF(G3613&gt;$I$10,$H$16,$H$11))*E3613/600</f>
        <v>5.0306080000000006E-3</v>
      </c>
      <c r="L3613" s="32">
        <f>$J3613*($G3613-$G3612)*60*24</f>
        <v>5.0306079999999833E-3</v>
      </c>
    </row>
    <row r="3614" spans="1:12">
      <c r="A3614" s="22">
        <v>40313.14166666667</v>
      </c>
      <c r="E3614" s="26">
        <v>15.125154</v>
      </c>
      <c r="G3614" s="27">
        <v>0.14166666666666666</v>
      </c>
      <c r="J3614" s="30">
        <f>IF(G3614&lt;$H$10,$H$16,IF(G3614&gt;$I$10,$H$16,$H$11))*E3614/600</f>
        <v>5.0417180000000006E-3</v>
      </c>
      <c r="L3614" s="32">
        <f>$J3614*($G3614-$G3613)*60*24</f>
        <v>5.0417179999999824E-3</v>
      </c>
    </row>
    <row r="3615" spans="1:12">
      <c r="A3615" s="22">
        <v>40313.142361111109</v>
      </c>
      <c r="E3615" s="26">
        <v>15.165150000000001</v>
      </c>
      <c r="G3615" s="27">
        <v>0.1423611111111111</v>
      </c>
      <c r="J3615" s="30">
        <f>IF(G3615&lt;$H$10,$H$16,IF(G3615&gt;$I$10,$H$16,$H$11))*E3615/600</f>
        <v>5.0550500000000002E-3</v>
      </c>
      <c r="L3615" s="32">
        <f>$J3615*($G3615-$G3614)*60*24</f>
        <v>5.0550499999999828E-3</v>
      </c>
    </row>
    <row r="3616" spans="1:12">
      <c r="A3616" s="22">
        <v>40313.143055555556</v>
      </c>
      <c r="E3616" s="26">
        <v>15.151818</v>
      </c>
      <c r="G3616" s="27">
        <v>0.14305555555555557</v>
      </c>
      <c r="J3616" s="30">
        <f>IF(G3616&lt;$H$10,$H$16,IF(G3616&gt;$I$10,$H$16,$H$11))*E3616/600</f>
        <v>5.050606E-3</v>
      </c>
      <c r="L3616" s="32">
        <f>$J3616*($G3616-$G3615)*60*24</f>
        <v>5.0506060000001839E-3</v>
      </c>
    </row>
    <row r="3617" spans="1:12">
      <c r="A3617" s="22">
        <v>40313.143750000003</v>
      </c>
      <c r="E3617" s="26">
        <v>15.015000000000001</v>
      </c>
      <c r="G3617" s="27">
        <v>0.14375000000000002</v>
      </c>
      <c r="J3617" s="30">
        <f>IF(G3617&lt;$H$10,$H$16,IF(G3617&gt;$I$10,$H$16,$H$11))*E3617/600</f>
        <v>5.0049999999999999E-3</v>
      </c>
      <c r="L3617" s="32">
        <f>$J3617*($G3617-$G3616)*60*24</f>
        <v>5.0049999999999826E-3</v>
      </c>
    </row>
    <row r="3618" spans="1:12">
      <c r="A3618" s="22">
        <v>40313.144444444442</v>
      </c>
      <c r="E3618" s="26">
        <v>15.2559</v>
      </c>
      <c r="G3618" s="27">
        <v>0.14444444444444446</v>
      </c>
      <c r="J3618" s="30">
        <f>IF(G3618&lt;$H$10,$H$16,IF(G3618&gt;$I$10,$H$16,$H$11))*E3618/600</f>
        <v>5.0853000000000009E-3</v>
      </c>
      <c r="L3618" s="32">
        <f>$J3618*($G3618-$G3617)*60*24</f>
        <v>5.0852999999999827E-3</v>
      </c>
    </row>
    <row r="3619" spans="1:12">
      <c r="A3619" s="22">
        <v>40313.145138888889</v>
      </c>
      <c r="E3619" s="26">
        <v>15.229100000000001</v>
      </c>
      <c r="G3619" s="27">
        <v>0.1451388888888889</v>
      </c>
      <c r="J3619" s="30">
        <f>IF(G3619&lt;$H$10,$H$16,IF(G3619&gt;$I$10,$H$16,$H$11))*E3619/600</f>
        <v>5.0763666666666677E-3</v>
      </c>
      <c r="L3619" s="32">
        <f>$J3619*($G3619-$G3618)*60*24</f>
        <v>5.0763666666666495E-3</v>
      </c>
    </row>
    <row r="3620" spans="1:12">
      <c r="A3620" s="22">
        <v>40313.145833333336</v>
      </c>
      <c r="E3620" s="26">
        <v>15.367857000000001</v>
      </c>
      <c r="G3620" s="27">
        <v>0.14583333333333334</v>
      </c>
      <c r="J3620" s="30">
        <f>IF(G3620&lt;$H$10,$H$16,IF(G3620&gt;$I$10,$H$16,$H$11))*E3620/600</f>
        <v>5.122619000000001E-3</v>
      </c>
      <c r="L3620" s="32">
        <f>$J3620*($G3620-$G3619)*60*24</f>
        <v>5.1226189999999828E-3</v>
      </c>
    </row>
    <row r="3621" spans="1:12">
      <c r="A3621" s="22">
        <v>40313.146527777775</v>
      </c>
      <c r="E3621" s="26">
        <v>15.374624000000001</v>
      </c>
      <c r="G3621" s="27">
        <v>0.14652777777777778</v>
      </c>
      <c r="J3621" s="30">
        <f>IF(G3621&lt;$H$10,$H$16,IF(G3621&gt;$I$10,$H$16,$H$11))*E3621/600</f>
        <v>5.1248746666666669E-3</v>
      </c>
      <c r="L3621" s="32">
        <f>$J3621*($G3621-$G3620)*60*24</f>
        <v>5.1248746666666487E-3</v>
      </c>
    </row>
    <row r="3622" spans="1:12">
      <c r="A3622" s="22">
        <v>40313.147222222222</v>
      </c>
      <c r="E3622" s="26">
        <v>15.2559</v>
      </c>
      <c r="G3622" s="27">
        <v>0.14722222222222223</v>
      </c>
      <c r="J3622" s="30">
        <f>IF(G3622&lt;$H$10,$H$16,IF(G3622&gt;$I$10,$H$16,$H$11))*E3622/600</f>
        <v>5.0853000000000009E-3</v>
      </c>
      <c r="L3622" s="32">
        <f>$J3622*($G3622-$G3621)*60*24</f>
        <v>5.0852999999999827E-3</v>
      </c>
    </row>
    <row r="3623" spans="1:12">
      <c r="A3623" s="22">
        <v>40313.147916666669</v>
      </c>
      <c r="E3623" s="26">
        <v>15.111822</v>
      </c>
      <c r="G3623" s="27">
        <v>0.14791666666666667</v>
      </c>
      <c r="J3623" s="30">
        <f>IF(G3623&lt;$H$10,$H$16,IF(G3623&gt;$I$10,$H$16,$H$11))*E3623/600</f>
        <v>5.0372740000000004E-3</v>
      </c>
      <c r="L3623" s="32">
        <f>$J3623*($G3623-$G3622)*60*24</f>
        <v>5.0372739999999831E-3</v>
      </c>
    </row>
    <row r="3624" spans="1:12">
      <c r="A3624" s="22">
        <v>40313.148611111108</v>
      </c>
      <c r="E3624" s="26">
        <v>15.065160000000001</v>
      </c>
      <c r="G3624" s="27">
        <v>0.14861111111111111</v>
      </c>
      <c r="J3624" s="30">
        <f>IF(G3624&lt;$H$10,$H$16,IF(G3624&gt;$I$10,$H$16,$H$11))*E3624/600</f>
        <v>5.0217200000000004E-3</v>
      </c>
      <c r="L3624" s="32">
        <f>$J3624*($G3624-$G3623)*60*24</f>
        <v>5.021719999999983E-3</v>
      </c>
    </row>
    <row r="3625" spans="1:12">
      <c r="A3625" s="22">
        <v>40313.149305555555</v>
      </c>
      <c r="E3625" s="26">
        <v>15.091824000000001</v>
      </c>
      <c r="G3625" s="27">
        <v>0.14930555555555555</v>
      </c>
      <c r="J3625" s="30">
        <f>IF(G3625&lt;$H$10,$H$16,IF(G3625&gt;$I$10,$H$16,$H$11))*E3625/600</f>
        <v>5.0306080000000006E-3</v>
      </c>
      <c r="L3625" s="32">
        <f>$J3625*($G3625-$G3624)*60*24</f>
        <v>5.0306079999999833E-3</v>
      </c>
    </row>
    <row r="3626" spans="1:12">
      <c r="A3626" s="22">
        <v>40313.15</v>
      </c>
      <c r="E3626" s="26">
        <v>15.085158</v>
      </c>
      <c r="G3626" s="27">
        <v>0.15</v>
      </c>
      <c r="J3626" s="30">
        <f>IF(G3626&lt;$H$10,$H$16,IF(G3626&gt;$I$10,$H$16,$H$11))*E3626/600</f>
        <v>5.0283860000000001E-3</v>
      </c>
      <c r="L3626" s="32">
        <f>$J3626*($G3626-$G3625)*60*24</f>
        <v>5.0283859999999819E-3</v>
      </c>
    </row>
    <row r="3627" spans="1:12">
      <c r="A3627" s="22">
        <v>40313.150694444441</v>
      </c>
      <c r="E3627" s="26">
        <v>15.085158</v>
      </c>
      <c r="G3627" s="27">
        <v>0.15069444444444444</v>
      </c>
      <c r="J3627" s="30">
        <f>IF(G3627&lt;$H$10,$H$16,IF(G3627&gt;$I$10,$H$16,$H$11))*E3627/600</f>
        <v>5.0283860000000001E-3</v>
      </c>
      <c r="L3627" s="32">
        <f>$J3627*($G3627-$G3626)*60*24</f>
        <v>5.0283859999999819E-3</v>
      </c>
    </row>
    <row r="3628" spans="1:12">
      <c r="A3628" s="22">
        <v>40313.151388888888</v>
      </c>
      <c r="E3628" s="26">
        <v>15.085158</v>
      </c>
      <c r="G3628" s="27">
        <v>0.15138888888888888</v>
      </c>
      <c r="J3628" s="30">
        <f>IF(G3628&lt;$H$10,$H$16,IF(G3628&gt;$I$10,$H$16,$H$11))*E3628/600</f>
        <v>5.0283860000000001E-3</v>
      </c>
      <c r="L3628" s="32">
        <f>$J3628*($G3628-$G3627)*60*24</f>
        <v>5.0283859999999819E-3</v>
      </c>
    </row>
    <row r="3629" spans="1:12">
      <c r="A3629" s="22">
        <v>40313.152083333334</v>
      </c>
      <c r="E3629" s="26">
        <v>15.131819999999999</v>
      </c>
      <c r="G3629" s="27">
        <v>0.15208333333333332</v>
      </c>
      <c r="J3629" s="30">
        <f>IF(G3629&lt;$H$10,$H$16,IF(G3629&gt;$I$10,$H$16,$H$11))*E3629/600</f>
        <v>5.0439400000000002E-3</v>
      </c>
      <c r="L3629" s="32">
        <f>$J3629*($G3629-$G3628)*60*24</f>
        <v>5.043939999999982E-3</v>
      </c>
    </row>
    <row r="3630" spans="1:12">
      <c r="A3630" s="22">
        <v>40313.152777777781</v>
      </c>
      <c r="E3630" s="26">
        <v>15.171816</v>
      </c>
      <c r="G3630" s="27">
        <v>0.15277777777777776</v>
      </c>
      <c r="J3630" s="30">
        <f>IF(G3630&lt;$H$10,$H$16,IF(G3630&gt;$I$10,$H$16,$H$11))*E3630/600</f>
        <v>5.0572719999999998E-3</v>
      </c>
      <c r="L3630" s="32">
        <f>$J3630*($G3630-$G3629)*60*24</f>
        <v>5.0572719999999816E-3</v>
      </c>
    </row>
    <row r="3631" spans="1:12">
      <c r="A3631" s="22">
        <v>40313.15347222222</v>
      </c>
      <c r="E3631" s="26">
        <v>15.125154</v>
      </c>
      <c r="G3631" s="27">
        <v>0.15347222222222223</v>
      </c>
      <c r="J3631" s="30">
        <f>IF(G3631&lt;$H$10,$H$16,IF(G3631&gt;$I$10,$H$16,$H$11))*E3631/600</f>
        <v>5.0417180000000006E-3</v>
      </c>
      <c r="L3631" s="32">
        <f>$J3631*($G3631-$G3630)*60*24</f>
        <v>5.0417180000001845E-3</v>
      </c>
    </row>
    <row r="3632" spans="1:12">
      <c r="A3632" s="22">
        <v>40313.154166666667</v>
      </c>
      <c r="E3632" s="26">
        <v>15.178482000000001</v>
      </c>
      <c r="G3632" s="27">
        <v>0.15416666666666667</v>
      </c>
      <c r="J3632" s="30">
        <f>IF(G3632&lt;$H$10,$H$16,IF(G3632&gt;$I$10,$H$16,$H$11))*E3632/600</f>
        <v>5.0594940000000003E-3</v>
      </c>
      <c r="L3632" s="32">
        <f>$J3632*($G3632-$G3631)*60*24</f>
        <v>5.0594939999999821E-3</v>
      </c>
    </row>
    <row r="3633" spans="1:12">
      <c r="A3633" s="22">
        <v>40313.154861111114</v>
      </c>
      <c r="E3633" s="26">
        <v>15.225144</v>
      </c>
      <c r="G3633" s="27">
        <v>0.15486111111111112</v>
      </c>
      <c r="J3633" s="30">
        <f>IF(G3633&lt;$H$10,$H$16,IF(G3633&gt;$I$10,$H$16,$H$11))*E3633/600</f>
        <v>5.0750480000000004E-3</v>
      </c>
      <c r="L3633" s="32">
        <f>$J3633*($G3633-$G3632)*60*24</f>
        <v>5.0750479999999822E-3</v>
      </c>
    </row>
    <row r="3634" spans="1:12">
      <c r="A3634" s="22">
        <v>40313.155555555553</v>
      </c>
      <c r="E3634" s="26">
        <v>15.245142</v>
      </c>
      <c r="G3634" s="27">
        <v>0.15555555555555556</v>
      </c>
      <c r="J3634" s="30">
        <f>IF(G3634&lt;$H$10,$H$16,IF(G3634&gt;$I$10,$H$16,$H$11))*E3634/600</f>
        <v>5.0817140000000002E-3</v>
      </c>
      <c r="L3634" s="32">
        <f>$J3634*($G3634-$G3633)*60*24</f>
        <v>5.0817139999999828E-3</v>
      </c>
    </row>
    <row r="3635" spans="1:12">
      <c r="A3635" s="22">
        <v>40313.15625</v>
      </c>
      <c r="E3635" s="26">
        <v>15.0678</v>
      </c>
      <c r="G3635" s="27">
        <v>0.15625</v>
      </c>
      <c r="J3635" s="30">
        <f>IF(G3635&lt;$H$10,$H$16,IF(G3635&gt;$I$10,$H$16,$H$11))*E3635/600</f>
        <v>5.0226000000000003E-3</v>
      </c>
      <c r="L3635" s="32">
        <f>$J3635*($G3635-$G3634)*60*24</f>
        <v>5.022599999999983E-3</v>
      </c>
    </row>
    <row r="3636" spans="1:12">
      <c r="A3636" s="22">
        <v>40313.156944444447</v>
      </c>
      <c r="E3636" s="26">
        <v>15.296099999999999</v>
      </c>
      <c r="G3636" s="27">
        <v>0.15694444444444444</v>
      </c>
      <c r="J3636" s="30">
        <f>IF(G3636&lt;$H$10,$H$16,IF(G3636&gt;$I$10,$H$16,$H$11))*E3636/600</f>
        <v>5.0986999999999994E-3</v>
      </c>
      <c r="L3636" s="32">
        <f>$J3636*($G3636-$G3635)*60*24</f>
        <v>5.0986999999999812E-3</v>
      </c>
    </row>
    <row r="3637" spans="1:12">
      <c r="A3637" s="22">
        <v>40313.157638888886</v>
      </c>
      <c r="E3637" s="26">
        <v>15.1074</v>
      </c>
      <c r="G3637" s="27">
        <v>0.15763888888888888</v>
      </c>
      <c r="J3637" s="30">
        <f>IF(G3637&lt;$H$10,$H$16,IF(G3637&gt;$I$10,$H$16,$H$11))*E3637/600</f>
        <v>5.0358000000000009E-3</v>
      </c>
      <c r="L3637" s="32">
        <f>$J3637*($G3637-$G3636)*60*24</f>
        <v>5.0357999999999827E-3</v>
      </c>
    </row>
    <row r="3638" spans="1:12">
      <c r="A3638" s="22">
        <v>40313.158333333333</v>
      </c>
      <c r="E3638" s="26">
        <v>15.3497</v>
      </c>
      <c r="G3638" s="27">
        <v>0.15833333333333333</v>
      </c>
      <c r="J3638" s="30">
        <f>IF(G3638&lt;$H$10,$H$16,IF(G3638&gt;$I$10,$H$16,$H$11))*E3638/600</f>
        <v>5.1165666666666675E-3</v>
      </c>
      <c r="L3638" s="32">
        <f>$J3638*($G3638-$G3637)*60*24</f>
        <v>5.1165666666666493E-3</v>
      </c>
    </row>
    <row r="3639" spans="1:12">
      <c r="A3639" s="22">
        <v>40313.15902777778</v>
      </c>
      <c r="E3639" s="26">
        <v>15.0876</v>
      </c>
      <c r="G3639" s="27">
        <v>0.15902777777777777</v>
      </c>
      <c r="J3639" s="30">
        <f>IF(G3639&lt;$H$10,$H$16,IF(G3639&gt;$I$10,$H$16,$H$11))*E3639/600</f>
        <v>5.0292000000000002E-3</v>
      </c>
      <c r="L3639" s="32">
        <f>$J3639*($G3639-$G3638)*60*24</f>
        <v>5.0291999999999819E-3</v>
      </c>
    </row>
    <row r="3640" spans="1:12">
      <c r="A3640" s="22">
        <v>40313.159722222219</v>
      </c>
      <c r="E3640" s="26">
        <v>15.074400000000001</v>
      </c>
      <c r="G3640" s="27">
        <v>0.15972222222222224</v>
      </c>
      <c r="J3640" s="30">
        <f>IF(G3640&lt;$H$10,$H$16,IF(G3640&gt;$I$10,$H$16,$H$11))*E3640/600</f>
        <v>5.0248000000000003E-3</v>
      </c>
      <c r="L3640" s="32">
        <f>$J3640*($G3640-$G3639)*60*24</f>
        <v>5.0248000000001833E-3</v>
      </c>
    </row>
    <row r="3641" spans="1:12">
      <c r="A3641" s="22">
        <v>40313.160416666666</v>
      </c>
      <c r="E3641" s="26">
        <v>15.225144</v>
      </c>
      <c r="G3641" s="27">
        <v>0.16041666666666668</v>
      </c>
      <c r="J3641" s="30">
        <f>IF(G3641&lt;$H$10,$H$16,IF(G3641&gt;$I$10,$H$16,$H$11))*E3641/600</f>
        <v>5.0750480000000004E-3</v>
      </c>
      <c r="L3641" s="32">
        <f>$J3641*($G3641-$G3640)*60*24</f>
        <v>5.0750479999999822E-3</v>
      </c>
    </row>
    <row r="3642" spans="1:12">
      <c r="A3642" s="22">
        <v>40313.161111111112</v>
      </c>
      <c r="E3642" s="26">
        <v>15.19848</v>
      </c>
      <c r="G3642" s="27">
        <v>0.16111111111111112</v>
      </c>
      <c r="J3642" s="30">
        <f>IF(G3642&lt;$H$10,$H$16,IF(G3642&gt;$I$10,$H$16,$H$11))*E3642/600</f>
        <v>5.0661600000000001E-3</v>
      </c>
      <c r="L3642" s="32">
        <f>$J3642*($G3642-$G3641)*60*24</f>
        <v>5.0661599999999819E-3</v>
      </c>
    </row>
    <row r="3643" spans="1:12">
      <c r="A3643" s="22">
        <v>40313.161805555559</v>
      </c>
      <c r="E3643" s="26">
        <v>15.171816</v>
      </c>
      <c r="G3643" s="27">
        <v>0.16180555555555556</v>
      </c>
      <c r="J3643" s="30">
        <f>IF(G3643&lt;$H$10,$H$16,IF(G3643&gt;$I$10,$H$16,$H$11))*E3643/600</f>
        <v>5.0572719999999998E-3</v>
      </c>
      <c r="L3643" s="32">
        <f>$J3643*($G3643-$G3642)*60*24</f>
        <v>5.0572719999999816E-3</v>
      </c>
    </row>
    <row r="3644" spans="1:12">
      <c r="A3644" s="22">
        <v>40313.162499999999</v>
      </c>
      <c r="E3644" s="26">
        <v>15.178482000000001</v>
      </c>
      <c r="G3644" s="27">
        <v>0.16250000000000001</v>
      </c>
      <c r="J3644" s="30">
        <f>IF(G3644&lt;$H$10,$H$16,IF(G3644&gt;$I$10,$H$16,$H$11))*E3644/600</f>
        <v>5.0594940000000003E-3</v>
      </c>
      <c r="L3644" s="32">
        <f>$J3644*($G3644-$G3643)*60*24</f>
        <v>5.0594939999999821E-3</v>
      </c>
    </row>
    <row r="3645" spans="1:12">
      <c r="A3645" s="22">
        <v>40313.163194444445</v>
      </c>
      <c r="E3645" s="26">
        <v>15.165150000000001</v>
      </c>
      <c r="G3645" s="27">
        <v>0.16319444444444445</v>
      </c>
      <c r="J3645" s="30">
        <f>IF(G3645&lt;$H$10,$H$16,IF(G3645&gt;$I$10,$H$16,$H$11))*E3645/600</f>
        <v>5.0550500000000002E-3</v>
      </c>
      <c r="L3645" s="32">
        <f>$J3645*($G3645-$G3644)*60*24</f>
        <v>5.0550499999999828E-3</v>
      </c>
    </row>
    <row r="3646" spans="1:12">
      <c r="A3646" s="22">
        <v>40313.163888888892</v>
      </c>
      <c r="E3646" s="26">
        <v>15.218477999999999</v>
      </c>
      <c r="G3646" s="27">
        <v>0.16388888888888889</v>
      </c>
      <c r="J3646" s="30">
        <f>IF(G3646&lt;$H$10,$H$16,IF(G3646&gt;$I$10,$H$16,$H$11))*E3646/600</f>
        <v>5.0728259999999999E-3</v>
      </c>
      <c r="L3646" s="32">
        <f>$J3646*($G3646-$G3645)*60*24</f>
        <v>5.0728259999999817E-3</v>
      </c>
    </row>
    <row r="3647" spans="1:12">
      <c r="A3647" s="22">
        <v>40313.164583333331</v>
      </c>
      <c r="E3647" s="26">
        <v>15.081</v>
      </c>
      <c r="G3647" s="27">
        <v>0.16458333333333333</v>
      </c>
      <c r="J3647" s="30">
        <f>IF(G3647&lt;$H$10,$H$16,IF(G3647&gt;$I$10,$H$16,$H$11))*E3647/600</f>
        <v>5.0270000000000002E-3</v>
      </c>
      <c r="L3647" s="32">
        <f>$J3647*($G3647-$G3646)*60*24</f>
        <v>5.0269999999999829E-3</v>
      </c>
    </row>
    <row r="3648" spans="1:12">
      <c r="A3648" s="22">
        <v>40313.165277777778</v>
      </c>
      <c r="E3648" s="26">
        <v>15.081</v>
      </c>
      <c r="G3648" s="27">
        <v>0.16527777777777777</v>
      </c>
      <c r="J3648" s="30">
        <f>IF(G3648&lt;$H$10,$H$16,IF(G3648&gt;$I$10,$H$16,$H$11))*E3648/600</f>
        <v>5.0270000000000002E-3</v>
      </c>
      <c r="L3648" s="32">
        <f>$J3648*($G3648-$G3647)*60*24</f>
        <v>5.0269999999999829E-3</v>
      </c>
    </row>
    <row r="3649" spans="1:12">
      <c r="A3649" s="22">
        <v>40313.165972222225</v>
      </c>
      <c r="E3649" s="26">
        <v>15.19848</v>
      </c>
      <c r="G3649" s="27">
        <v>0.16597222222222222</v>
      </c>
      <c r="J3649" s="30">
        <f>IF(G3649&lt;$H$10,$H$16,IF(G3649&gt;$I$10,$H$16,$H$11))*E3649/600</f>
        <v>5.0661600000000001E-3</v>
      </c>
      <c r="L3649" s="32">
        <f>$J3649*($G3649-$G3648)*60*24</f>
        <v>5.0661599999999819E-3</v>
      </c>
    </row>
    <row r="3650" spans="1:12">
      <c r="A3650" s="22">
        <v>40313.166666666664</v>
      </c>
      <c r="E3650" s="26">
        <v>15.19848</v>
      </c>
      <c r="G3650" s="27">
        <v>0.16666666666666666</v>
      </c>
      <c r="J3650" s="30">
        <f>IF(G3650&lt;$H$10,$H$16,IF(G3650&gt;$I$10,$H$16,$H$11))*E3650/600</f>
        <v>5.0661600000000001E-3</v>
      </c>
      <c r="L3650" s="32">
        <f>$J3650*($G3650-$G3649)*60*24</f>
        <v>5.0661599999999819E-3</v>
      </c>
    </row>
    <row r="3651" spans="1:12">
      <c r="A3651" s="22">
        <v>40313.167361111111</v>
      </c>
      <c r="E3651" s="26">
        <v>15.211812</v>
      </c>
      <c r="G3651" s="27">
        <v>0.1673611111111111</v>
      </c>
      <c r="J3651" s="30">
        <f>IF(G3651&lt;$H$10,$H$16,IF(G3651&gt;$I$10,$H$16,$H$11))*E3651/600</f>
        <v>5.0706040000000003E-3</v>
      </c>
      <c r="L3651" s="32">
        <f>$J3651*($G3651-$G3650)*60*24</f>
        <v>5.070603999999982E-3</v>
      </c>
    </row>
    <row r="3652" spans="1:12">
      <c r="A3652" s="22">
        <v>40313.168055555558</v>
      </c>
      <c r="E3652" s="26">
        <v>15.205145999999999</v>
      </c>
      <c r="G3652" s="27">
        <v>0.16805555555555554</v>
      </c>
      <c r="J3652" s="30">
        <f>IF(G3652&lt;$H$10,$H$16,IF(G3652&gt;$I$10,$H$16,$H$11))*E3652/600</f>
        <v>5.0683819999999997E-3</v>
      </c>
      <c r="L3652" s="32">
        <f>$J3652*($G3652-$G3651)*60*24</f>
        <v>5.0683819999999815E-3</v>
      </c>
    </row>
    <row r="3653" spans="1:12">
      <c r="A3653" s="22">
        <v>40313.168749999997</v>
      </c>
      <c r="E3653" s="26">
        <v>15.118487999999999</v>
      </c>
      <c r="G3653" s="27">
        <v>0.16874999999999998</v>
      </c>
      <c r="J3653" s="30">
        <f>IF(G3653&lt;$H$10,$H$16,IF(G3653&gt;$I$10,$H$16,$H$11))*E3653/600</f>
        <v>5.0394960000000001E-3</v>
      </c>
      <c r="L3653" s="32">
        <f>$J3653*($G3653-$G3652)*60*24</f>
        <v>5.0394959999999827E-3</v>
      </c>
    </row>
    <row r="3654" spans="1:12">
      <c r="A3654" s="22">
        <v>40313.169444444444</v>
      </c>
      <c r="E3654" s="26">
        <v>15.131819999999999</v>
      </c>
      <c r="G3654" s="27">
        <v>0.16944444444444443</v>
      </c>
      <c r="J3654" s="30">
        <f>IF(G3654&lt;$H$10,$H$16,IF(G3654&gt;$I$10,$H$16,$H$11))*E3654/600</f>
        <v>5.0439400000000002E-3</v>
      </c>
      <c r="L3654" s="32">
        <f>$J3654*($G3654-$G3653)*60*24</f>
        <v>5.043939999999982E-3</v>
      </c>
    </row>
    <row r="3655" spans="1:12">
      <c r="A3655" s="22">
        <v>40313.170138888891</v>
      </c>
      <c r="E3655" s="26">
        <v>15.111822</v>
      </c>
      <c r="G3655" s="27">
        <v>0.17013888888888887</v>
      </c>
      <c r="J3655" s="30">
        <f>IF(G3655&lt;$H$10,$H$16,IF(G3655&gt;$I$10,$H$16,$H$11))*E3655/600</f>
        <v>5.0372740000000004E-3</v>
      </c>
      <c r="L3655" s="32">
        <f>$J3655*($G3655-$G3654)*60*24</f>
        <v>5.0372739999999831E-3</v>
      </c>
    </row>
    <row r="3656" spans="1:12">
      <c r="A3656" s="22">
        <v>40313.17083333333</v>
      </c>
      <c r="E3656" s="26">
        <v>15.051828</v>
      </c>
      <c r="G3656" s="27">
        <v>0.17083333333333331</v>
      </c>
      <c r="J3656" s="30">
        <f>IF(G3656&lt;$H$10,$H$16,IF(G3656&gt;$I$10,$H$16,$H$11))*E3656/600</f>
        <v>5.0172760000000002E-3</v>
      </c>
      <c r="L3656" s="32">
        <f>$J3656*($G3656-$G3655)*60*24</f>
        <v>5.017275999999982E-3</v>
      </c>
    </row>
    <row r="3657" spans="1:12">
      <c r="A3657" s="22">
        <v>40313.171527777777</v>
      </c>
      <c r="E3657" s="26">
        <v>15.09849</v>
      </c>
      <c r="G3657" s="27">
        <v>0.17152777777777775</v>
      </c>
      <c r="J3657" s="30">
        <f>IF(G3657&lt;$H$10,$H$16,IF(G3657&gt;$I$10,$H$16,$H$11))*E3657/600</f>
        <v>5.0328300000000003E-3</v>
      </c>
      <c r="L3657" s="32">
        <f>$J3657*($G3657-$G3656)*60*24</f>
        <v>5.0328299999999821E-3</v>
      </c>
    </row>
    <row r="3658" spans="1:12">
      <c r="A3658" s="22">
        <v>40313.172222222223</v>
      </c>
      <c r="E3658" s="26">
        <v>15.138486</v>
      </c>
      <c r="G3658" s="27">
        <v>0.17222222222222225</v>
      </c>
      <c r="J3658" s="30">
        <f>IF(G3658&lt;$H$10,$H$16,IF(G3658&gt;$I$10,$H$16,$H$11))*E3658/600</f>
        <v>5.0461620000000007E-3</v>
      </c>
      <c r="L3658" s="32">
        <f>$J3658*($G3658-$G3657)*60*24</f>
        <v>5.0461620000003858E-3</v>
      </c>
    </row>
    <row r="3659" spans="1:12">
      <c r="A3659" s="22">
        <v>40313.17291666667</v>
      </c>
      <c r="E3659" s="26">
        <v>15.145152</v>
      </c>
      <c r="G3659" s="27">
        <v>0.17291666666666669</v>
      </c>
      <c r="J3659" s="30">
        <f>IF(G3659&lt;$H$10,$H$16,IF(G3659&gt;$I$10,$H$16,$H$11))*E3659/600</f>
        <v>5.0483839999999995E-3</v>
      </c>
      <c r="L3659" s="32">
        <f>$J3659*($G3659-$G3658)*60*24</f>
        <v>5.0483839999999813E-3</v>
      </c>
    </row>
    <row r="3660" spans="1:12">
      <c r="A3660" s="22">
        <v>40313.173611111109</v>
      </c>
      <c r="E3660" s="26">
        <v>15.065160000000001</v>
      </c>
      <c r="G3660" s="27">
        <v>0.17361111111111113</v>
      </c>
      <c r="J3660" s="30">
        <f>IF(G3660&lt;$H$10,$H$16,IF(G3660&gt;$I$10,$H$16,$H$11))*E3660/600</f>
        <v>5.0217200000000004E-3</v>
      </c>
      <c r="L3660" s="32">
        <f>$J3660*($G3660-$G3659)*60*24</f>
        <v>5.021719999999983E-3</v>
      </c>
    </row>
    <row r="3661" spans="1:12">
      <c r="A3661" s="22">
        <v>40313.174305555556</v>
      </c>
      <c r="E3661" s="26">
        <v>15.105155999999999</v>
      </c>
      <c r="G3661" s="27">
        <v>0.17430555555555557</v>
      </c>
      <c r="J3661" s="30">
        <f>IF(G3661&lt;$H$10,$H$16,IF(G3661&gt;$I$10,$H$16,$H$11))*E3661/600</f>
        <v>5.0350519999999999E-3</v>
      </c>
      <c r="L3661" s="32">
        <f>$J3661*($G3661-$G3660)*60*24</f>
        <v>5.0350519999999817E-3</v>
      </c>
    </row>
    <row r="3662" spans="1:12">
      <c r="A3662" s="22">
        <v>40313.175000000003</v>
      </c>
      <c r="E3662" s="26">
        <v>15.138486</v>
      </c>
      <c r="G3662" s="27">
        <v>0.17500000000000002</v>
      </c>
      <c r="J3662" s="30">
        <f>IF(G3662&lt;$H$10,$H$16,IF(G3662&gt;$I$10,$H$16,$H$11))*E3662/600</f>
        <v>5.0461620000000007E-3</v>
      </c>
      <c r="L3662" s="32">
        <f>$J3662*($G3662-$G3661)*60*24</f>
        <v>5.0461619999999825E-3</v>
      </c>
    </row>
    <row r="3663" spans="1:12">
      <c r="A3663" s="22">
        <v>40313.175694444442</v>
      </c>
      <c r="E3663" s="26">
        <v>15.151818</v>
      </c>
      <c r="G3663" s="27">
        <v>0.17569444444444446</v>
      </c>
      <c r="J3663" s="30">
        <f>IF(G3663&lt;$H$10,$H$16,IF(G3663&gt;$I$10,$H$16,$H$11))*E3663/600</f>
        <v>5.050606E-3</v>
      </c>
      <c r="L3663" s="32">
        <f>$J3663*($G3663-$G3662)*60*24</f>
        <v>5.0506059999999818E-3</v>
      </c>
    </row>
    <row r="3664" spans="1:12">
      <c r="A3664" s="22">
        <v>40313.176388888889</v>
      </c>
      <c r="E3664" s="26">
        <v>15.158484</v>
      </c>
      <c r="G3664" s="27">
        <v>0.1763888888888889</v>
      </c>
      <c r="J3664" s="30">
        <f>IF(G3664&lt;$H$10,$H$16,IF(G3664&gt;$I$10,$H$16,$H$11))*E3664/600</f>
        <v>5.0528280000000005E-3</v>
      </c>
      <c r="L3664" s="32">
        <f>$J3664*($G3664-$G3663)*60*24</f>
        <v>5.0528279999999823E-3</v>
      </c>
    </row>
    <row r="3665" spans="1:12">
      <c r="A3665" s="22">
        <v>40313.177083333336</v>
      </c>
      <c r="E3665" s="26">
        <v>15.191814000000001</v>
      </c>
      <c r="G3665" s="27">
        <v>0.17708333333333334</v>
      </c>
      <c r="J3665" s="30">
        <f>IF(G3665&lt;$H$10,$H$16,IF(G3665&gt;$I$10,$H$16,$H$11))*E3665/600</f>
        <v>5.0639380000000005E-3</v>
      </c>
      <c r="L3665" s="32">
        <f>$J3665*($G3665-$G3664)*60*24</f>
        <v>5.0639379999999831E-3</v>
      </c>
    </row>
    <row r="3666" spans="1:12">
      <c r="A3666" s="22">
        <v>40313.177777777775</v>
      </c>
      <c r="E3666" s="26">
        <v>15.205145999999999</v>
      </c>
      <c r="G3666" s="27">
        <v>0.17777777777777778</v>
      </c>
      <c r="J3666" s="30">
        <f>IF(G3666&lt;$H$10,$H$16,IF(G3666&gt;$I$10,$H$16,$H$11))*E3666/600</f>
        <v>5.0683819999999997E-3</v>
      </c>
      <c r="L3666" s="32">
        <f>$J3666*($G3666-$G3665)*60*24</f>
        <v>5.0683819999999815E-3</v>
      </c>
    </row>
    <row r="3667" spans="1:12">
      <c r="A3667" s="22">
        <v>40313.178472222222</v>
      </c>
      <c r="E3667" s="26">
        <v>15.258474</v>
      </c>
      <c r="G3667" s="27">
        <v>0.17847222222222223</v>
      </c>
      <c r="J3667" s="30">
        <f>IF(G3667&lt;$H$10,$H$16,IF(G3667&gt;$I$10,$H$16,$H$11))*E3667/600</f>
        <v>5.0861579999999995E-3</v>
      </c>
      <c r="L3667" s="32">
        <f>$J3667*($G3667-$G3666)*60*24</f>
        <v>5.0861579999999813E-3</v>
      </c>
    </row>
    <row r="3668" spans="1:12">
      <c r="A3668" s="22">
        <v>40313.179166666669</v>
      </c>
      <c r="E3668" s="26">
        <v>15.225144</v>
      </c>
      <c r="G3668" s="27">
        <v>0.17916666666666667</v>
      </c>
      <c r="J3668" s="30">
        <f>IF(G3668&lt;$H$10,$H$16,IF(G3668&gt;$I$10,$H$16,$H$11))*E3668/600</f>
        <v>5.0750480000000004E-3</v>
      </c>
      <c r="L3668" s="32">
        <f>$J3668*($G3668-$G3667)*60*24</f>
        <v>5.0750479999999822E-3</v>
      </c>
    </row>
    <row r="3669" spans="1:12">
      <c r="A3669" s="22">
        <v>40313.179861111108</v>
      </c>
      <c r="E3669" s="26">
        <v>15.225144</v>
      </c>
      <c r="G3669" s="27">
        <v>0.17986111111111111</v>
      </c>
      <c r="J3669" s="30">
        <f>IF(G3669&lt;$H$10,$H$16,IF(G3669&gt;$I$10,$H$16,$H$11))*E3669/600</f>
        <v>5.0750480000000004E-3</v>
      </c>
      <c r="L3669" s="32">
        <f>$J3669*($G3669-$G3668)*60*24</f>
        <v>5.0750479999999822E-3</v>
      </c>
    </row>
    <row r="3670" spans="1:12">
      <c r="A3670" s="22">
        <v>40313.180555555555</v>
      </c>
      <c r="E3670" s="26">
        <v>15.265140000000001</v>
      </c>
      <c r="G3670" s="27">
        <v>0.18055555555555555</v>
      </c>
      <c r="J3670" s="30">
        <f>IF(G3670&lt;$H$10,$H$16,IF(G3670&gt;$I$10,$H$16,$H$11))*E3670/600</f>
        <v>5.0883800000000009E-3</v>
      </c>
      <c r="L3670" s="32">
        <f>$J3670*($G3670-$G3669)*60*24</f>
        <v>5.0883799999999826E-3</v>
      </c>
    </row>
    <row r="3671" spans="1:12">
      <c r="A3671" s="22">
        <v>40313.181250000001</v>
      </c>
      <c r="E3671" s="26">
        <v>15.311802</v>
      </c>
      <c r="G3671" s="27">
        <v>0.18124999999999999</v>
      </c>
      <c r="J3671" s="30">
        <f>IF(G3671&lt;$H$10,$H$16,IF(G3671&gt;$I$10,$H$16,$H$11))*E3671/600</f>
        <v>5.1039340000000001E-3</v>
      </c>
      <c r="L3671" s="32">
        <f>$J3671*($G3671-$G3670)*60*24</f>
        <v>5.1039339999999819E-3</v>
      </c>
    </row>
    <row r="3672" spans="1:12">
      <c r="A3672" s="22">
        <v>40313.181944444441</v>
      </c>
      <c r="E3672" s="26">
        <v>15.311802</v>
      </c>
      <c r="G3672" s="27">
        <v>0.18194444444444444</v>
      </c>
      <c r="J3672" s="30">
        <f>IF(G3672&lt;$H$10,$H$16,IF(G3672&gt;$I$10,$H$16,$H$11))*E3672/600</f>
        <v>5.1039340000000001E-3</v>
      </c>
      <c r="L3672" s="32">
        <f>$J3672*($G3672-$G3671)*60*24</f>
        <v>5.1039339999999819E-3</v>
      </c>
    </row>
    <row r="3673" spans="1:12">
      <c r="A3673" s="22">
        <v>40313.182638888888</v>
      </c>
      <c r="E3673" s="26">
        <v>15.258474</v>
      </c>
      <c r="G3673" s="27">
        <v>0.18263888888888891</v>
      </c>
      <c r="J3673" s="30">
        <f>IF(G3673&lt;$H$10,$H$16,IF(G3673&gt;$I$10,$H$16,$H$11))*E3673/600</f>
        <v>5.0861579999999995E-3</v>
      </c>
      <c r="L3673" s="32">
        <f>$J3673*($G3673-$G3672)*60*24</f>
        <v>5.0861580000001842E-3</v>
      </c>
    </row>
    <row r="3674" spans="1:12">
      <c r="A3674" s="22">
        <v>40313.183333333334</v>
      </c>
      <c r="E3674" s="26">
        <v>15.191814000000001</v>
      </c>
      <c r="G3674" s="27">
        <v>0.18333333333333335</v>
      </c>
      <c r="J3674" s="30">
        <f>IF(G3674&lt;$H$10,$H$16,IF(G3674&gt;$I$10,$H$16,$H$11))*E3674/600</f>
        <v>5.0639380000000005E-3</v>
      </c>
      <c r="L3674" s="32">
        <f>$J3674*($G3674-$G3673)*60*24</f>
        <v>5.0639379999999831E-3</v>
      </c>
    </row>
    <row r="3675" spans="1:12">
      <c r="A3675" s="22">
        <v>40313.184027777781</v>
      </c>
      <c r="E3675" s="26">
        <v>15.211812</v>
      </c>
      <c r="G3675" s="27">
        <v>0.18402777777777779</v>
      </c>
      <c r="J3675" s="30">
        <f>IF(G3675&lt;$H$10,$H$16,IF(G3675&gt;$I$10,$H$16,$H$11))*E3675/600</f>
        <v>5.0706040000000003E-3</v>
      </c>
      <c r="L3675" s="32">
        <f>$J3675*($G3675-$G3674)*60*24</f>
        <v>5.070603999999982E-3</v>
      </c>
    </row>
    <row r="3676" spans="1:12">
      <c r="A3676" s="22">
        <v>40313.18472222222</v>
      </c>
      <c r="E3676" s="26">
        <v>15.225144</v>
      </c>
      <c r="G3676" s="27">
        <v>0.18472222222222223</v>
      </c>
      <c r="J3676" s="30">
        <f>IF(G3676&lt;$H$10,$H$16,IF(G3676&gt;$I$10,$H$16,$H$11))*E3676/600</f>
        <v>5.0750480000000004E-3</v>
      </c>
      <c r="L3676" s="32">
        <f>$J3676*($G3676-$G3675)*60*24</f>
        <v>5.0750479999999822E-3</v>
      </c>
    </row>
    <row r="3677" spans="1:12">
      <c r="A3677" s="22">
        <v>40313.185416666667</v>
      </c>
      <c r="E3677" s="26">
        <v>15.258474</v>
      </c>
      <c r="G3677" s="27">
        <v>0.18541666666666667</v>
      </c>
      <c r="J3677" s="30">
        <f>IF(G3677&lt;$H$10,$H$16,IF(G3677&gt;$I$10,$H$16,$H$11))*E3677/600</f>
        <v>5.0861579999999995E-3</v>
      </c>
      <c r="L3677" s="32">
        <f>$J3677*($G3677-$G3676)*60*24</f>
        <v>5.0861579999999813E-3</v>
      </c>
    </row>
    <row r="3678" spans="1:12">
      <c r="A3678" s="22">
        <v>40313.186111111114</v>
      </c>
      <c r="E3678" s="26">
        <v>15.178482000000001</v>
      </c>
      <c r="G3678" s="27">
        <v>0.18611111111111112</v>
      </c>
      <c r="J3678" s="30">
        <f>IF(G3678&lt;$H$10,$H$16,IF(G3678&gt;$I$10,$H$16,$H$11))*E3678/600</f>
        <v>5.0594940000000003E-3</v>
      </c>
      <c r="L3678" s="32">
        <f>$J3678*($G3678-$G3677)*60*24</f>
        <v>5.0594939999999821E-3</v>
      </c>
    </row>
    <row r="3679" spans="1:12">
      <c r="A3679" s="22">
        <v>40313.186805555553</v>
      </c>
      <c r="E3679" s="26">
        <v>15.185148</v>
      </c>
      <c r="G3679" s="27">
        <v>0.18680555555555556</v>
      </c>
      <c r="J3679" s="30">
        <f>IF(G3679&lt;$H$10,$H$16,IF(G3679&gt;$I$10,$H$16,$H$11))*E3679/600</f>
        <v>5.0617160000000008E-3</v>
      </c>
      <c r="L3679" s="32">
        <f>$J3679*($G3679-$G3678)*60*24</f>
        <v>5.0617159999999835E-3</v>
      </c>
    </row>
    <row r="3680" spans="1:12">
      <c r="A3680" s="22">
        <v>40313.1875</v>
      </c>
      <c r="E3680" s="26">
        <v>15.191814000000001</v>
      </c>
      <c r="G3680" s="27">
        <v>0.1875</v>
      </c>
      <c r="J3680" s="30">
        <f>IF(G3680&lt;$H$10,$H$16,IF(G3680&gt;$I$10,$H$16,$H$11))*E3680/600</f>
        <v>5.0639380000000005E-3</v>
      </c>
      <c r="L3680" s="32">
        <f>$J3680*($G3680-$G3679)*60*24</f>
        <v>5.0639379999999831E-3</v>
      </c>
    </row>
    <row r="3681" spans="1:12">
      <c r="A3681" s="22">
        <v>40313.188194444447</v>
      </c>
      <c r="E3681" s="26">
        <v>15.308567999999999</v>
      </c>
      <c r="G3681" s="27">
        <v>0.18819444444444444</v>
      </c>
      <c r="J3681" s="30">
        <f>IF(G3681&lt;$H$10,$H$16,IF(G3681&gt;$I$10,$H$16,$H$11))*E3681/600</f>
        <v>5.1028560000000002E-3</v>
      </c>
      <c r="L3681" s="32">
        <f>$J3681*($G3681-$G3680)*60*24</f>
        <v>5.102855999999982E-3</v>
      </c>
    </row>
    <row r="3682" spans="1:12">
      <c r="A3682" s="22">
        <v>40313.188888888886</v>
      </c>
      <c r="E3682" s="26">
        <v>15.295104</v>
      </c>
      <c r="G3682" s="27">
        <v>0.18888888888888888</v>
      </c>
      <c r="J3682" s="30">
        <f>IF(G3682&lt;$H$10,$H$16,IF(G3682&gt;$I$10,$H$16,$H$11))*E3682/600</f>
        <v>5.0983680000000007E-3</v>
      </c>
      <c r="L3682" s="32">
        <f>$J3682*($G3682-$G3681)*60*24</f>
        <v>5.0983679999999825E-3</v>
      </c>
    </row>
    <row r="3683" spans="1:12">
      <c r="A3683" s="22">
        <v>40313.189583333333</v>
      </c>
      <c r="E3683" s="26">
        <v>15.138486</v>
      </c>
      <c r="G3683" s="27">
        <v>0.18958333333333333</v>
      </c>
      <c r="J3683" s="30">
        <f>IF(G3683&lt;$H$10,$H$16,IF(G3683&gt;$I$10,$H$16,$H$11))*E3683/600</f>
        <v>5.0461620000000007E-3</v>
      </c>
      <c r="L3683" s="32">
        <f>$J3683*($G3683-$G3682)*60*24</f>
        <v>5.0461619999999825E-3</v>
      </c>
    </row>
    <row r="3684" spans="1:12">
      <c r="A3684" s="22">
        <v>40313.19027777778</v>
      </c>
      <c r="E3684" s="26">
        <v>15.165150000000001</v>
      </c>
      <c r="G3684" s="27">
        <v>0.19027777777777777</v>
      </c>
      <c r="J3684" s="30">
        <f>IF(G3684&lt;$H$10,$H$16,IF(G3684&gt;$I$10,$H$16,$H$11))*E3684/600</f>
        <v>5.0550500000000002E-3</v>
      </c>
      <c r="L3684" s="32">
        <f>$J3684*($G3684-$G3683)*60*24</f>
        <v>5.0550499999999828E-3</v>
      </c>
    </row>
    <row r="3685" spans="1:12">
      <c r="A3685" s="22">
        <v>40313.190972222219</v>
      </c>
      <c r="E3685" s="26">
        <v>15.185148</v>
      </c>
      <c r="G3685" s="27">
        <v>0.19097222222222221</v>
      </c>
      <c r="J3685" s="30">
        <f>IF(G3685&lt;$H$10,$H$16,IF(G3685&gt;$I$10,$H$16,$H$11))*E3685/600</f>
        <v>5.0617160000000008E-3</v>
      </c>
      <c r="L3685" s="32">
        <f>$J3685*($G3685-$G3684)*60*24</f>
        <v>5.0617159999999835E-3</v>
      </c>
    </row>
    <row r="3686" spans="1:12">
      <c r="A3686" s="22">
        <v>40313.191666666666</v>
      </c>
      <c r="E3686" s="26">
        <v>15.178482000000001</v>
      </c>
      <c r="G3686" s="27">
        <v>0.19166666666666665</v>
      </c>
      <c r="J3686" s="30">
        <f>IF(G3686&lt;$H$10,$H$16,IF(G3686&gt;$I$10,$H$16,$H$11))*E3686/600</f>
        <v>5.0594940000000003E-3</v>
      </c>
      <c r="L3686" s="32">
        <f>$J3686*($G3686-$G3685)*60*24</f>
        <v>5.0594939999999821E-3</v>
      </c>
    </row>
    <row r="3687" spans="1:12">
      <c r="A3687" s="22">
        <v>40313.192361111112</v>
      </c>
      <c r="E3687" s="26">
        <v>15.19848</v>
      </c>
      <c r="G3687" s="27">
        <v>0.19236111111111112</v>
      </c>
      <c r="J3687" s="30">
        <f>IF(G3687&lt;$H$10,$H$16,IF(G3687&gt;$I$10,$H$16,$H$11))*E3687/600</f>
        <v>5.0661600000000001E-3</v>
      </c>
      <c r="L3687" s="32">
        <f>$J3687*($G3687-$G3686)*60*24</f>
        <v>5.066160000000184E-3</v>
      </c>
    </row>
    <row r="3688" spans="1:12">
      <c r="A3688" s="22">
        <v>40313.193055555559</v>
      </c>
      <c r="E3688" s="26">
        <v>15.238476</v>
      </c>
      <c r="G3688" s="27">
        <v>0.19305555555555554</v>
      </c>
      <c r="J3688" s="30">
        <f>IF(G3688&lt;$H$10,$H$16,IF(G3688&gt;$I$10,$H$16,$H$11))*E3688/600</f>
        <v>5.0794920000000006E-3</v>
      </c>
      <c r="L3688" s="32">
        <f>$J3688*($G3688-$G3687)*60*24</f>
        <v>5.0794919999997794E-3</v>
      </c>
    </row>
    <row r="3689" spans="1:12">
      <c r="A3689" s="22">
        <v>40313.193749999999</v>
      </c>
      <c r="E3689" s="26">
        <v>15.265140000000001</v>
      </c>
      <c r="G3689" s="27">
        <v>0.19375000000000001</v>
      </c>
      <c r="J3689" s="30">
        <f>IF(G3689&lt;$H$10,$H$16,IF(G3689&gt;$I$10,$H$16,$H$11))*E3689/600</f>
        <v>5.0883800000000009E-3</v>
      </c>
      <c r="L3689" s="32">
        <f>$J3689*($G3689-$G3688)*60*24</f>
        <v>5.0883800000001856E-3</v>
      </c>
    </row>
    <row r="3690" spans="1:12">
      <c r="A3690" s="22">
        <v>40313.194444444445</v>
      </c>
      <c r="E3690" s="26">
        <v>15.1206</v>
      </c>
      <c r="G3690" s="27">
        <v>0.19444444444444445</v>
      </c>
      <c r="J3690" s="30">
        <f>IF(G3690&lt;$H$10,$H$16,IF(G3690&gt;$I$10,$H$16,$H$11))*E3690/600</f>
        <v>5.0401999999999999E-3</v>
      </c>
      <c r="L3690" s="32">
        <f>$J3690*($G3690-$G3689)*60*24</f>
        <v>5.0401999999999825E-3</v>
      </c>
    </row>
    <row r="3691" spans="1:12">
      <c r="A3691" s="22">
        <v>40313.195138888892</v>
      </c>
      <c r="E3691" s="26">
        <v>15.205145999999999</v>
      </c>
      <c r="G3691" s="27">
        <v>0.19513888888888889</v>
      </c>
      <c r="J3691" s="30">
        <f>IF(G3691&lt;$H$10,$H$16,IF(G3691&gt;$I$10,$H$16,$H$11))*E3691/600</f>
        <v>5.0683819999999997E-3</v>
      </c>
      <c r="L3691" s="32">
        <f>$J3691*($G3691-$G3690)*60*24</f>
        <v>5.0683819999999815E-3</v>
      </c>
    </row>
    <row r="3692" spans="1:12">
      <c r="A3692" s="22">
        <v>40313.195833333331</v>
      </c>
      <c r="E3692" s="26">
        <v>15.225144</v>
      </c>
      <c r="G3692" s="27">
        <v>0.19583333333333333</v>
      </c>
      <c r="J3692" s="30">
        <f>IF(G3692&lt;$H$10,$H$16,IF(G3692&gt;$I$10,$H$16,$H$11))*E3692/600</f>
        <v>5.0750480000000004E-3</v>
      </c>
      <c r="L3692" s="32">
        <f>$J3692*($G3692-$G3691)*60*24</f>
        <v>5.0750479999999822E-3</v>
      </c>
    </row>
    <row r="3693" spans="1:12">
      <c r="A3693" s="22">
        <v>40313.196527777778</v>
      </c>
      <c r="E3693" s="26">
        <v>14.9682</v>
      </c>
      <c r="G3693" s="27">
        <v>0.19652777777777777</v>
      </c>
      <c r="J3693" s="30">
        <f>IF(G3693&lt;$H$10,$H$16,IF(G3693&gt;$I$10,$H$16,$H$11))*E3693/600</f>
        <v>4.9893999999999997E-3</v>
      </c>
      <c r="L3693" s="32">
        <f>$J3693*($G3693-$G3692)*60*24</f>
        <v>4.9893999999999824E-3</v>
      </c>
    </row>
    <row r="3694" spans="1:12">
      <c r="A3694" s="22">
        <v>40313.197222222225</v>
      </c>
      <c r="E3694" s="26">
        <v>14.961634999999999</v>
      </c>
      <c r="G3694" s="27">
        <v>0.19722222222222222</v>
      </c>
      <c r="J3694" s="30">
        <f>IF(G3694&lt;$H$10,$H$16,IF(G3694&gt;$I$10,$H$16,$H$11))*E3694/600</f>
        <v>4.9872116666666664E-3</v>
      </c>
      <c r="L3694" s="32">
        <f>$J3694*($G3694-$G3693)*60*24</f>
        <v>4.987211666666649E-3</v>
      </c>
    </row>
    <row r="3695" spans="1:12">
      <c r="A3695" s="22">
        <v>40313.197916666664</v>
      </c>
      <c r="E3695" s="26">
        <v>15.274908</v>
      </c>
      <c r="G3695" s="27">
        <v>0.19791666666666666</v>
      </c>
      <c r="J3695" s="30">
        <f>IF(G3695&lt;$H$10,$H$16,IF(G3695&gt;$I$10,$H$16,$H$11))*E3695/600</f>
        <v>5.0916360000000001E-3</v>
      </c>
      <c r="L3695" s="32">
        <f>$J3695*($G3695-$G3694)*60*24</f>
        <v>5.0916359999999819E-3</v>
      </c>
    </row>
    <row r="3696" spans="1:12">
      <c r="A3696" s="22">
        <v>40313.198611111111</v>
      </c>
      <c r="E3696" s="26">
        <v>15.023580000000001</v>
      </c>
      <c r="G3696" s="27">
        <v>0.1986111111111111</v>
      </c>
      <c r="J3696" s="30">
        <f>IF(G3696&lt;$H$10,$H$16,IF(G3696&gt;$I$10,$H$16,$H$11))*E3696/600</f>
        <v>5.0078600000000003E-3</v>
      </c>
      <c r="L3696" s="32">
        <f>$J3696*($G3696-$G3695)*60*24</f>
        <v>5.0078599999999829E-3</v>
      </c>
    </row>
    <row r="3697" spans="1:12">
      <c r="A3697" s="22">
        <v>40313.199305555558</v>
      </c>
      <c r="E3697" s="26">
        <v>15.125154</v>
      </c>
      <c r="G3697" s="27">
        <v>0.19930555555555554</v>
      </c>
      <c r="J3697" s="30">
        <f>IF(G3697&lt;$H$10,$H$16,IF(G3697&gt;$I$10,$H$16,$H$11))*E3697/600</f>
        <v>5.0417180000000006E-3</v>
      </c>
      <c r="L3697" s="32">
        <f>$J3697*($G3697-$G3696)*60*24</f>
        <v>5.0417179999999824E-3</v>
      </c>
    </row>
    <row r="3698" spans="1:12">
      <c r="A3698" s="22">
        <v>40313.199999999997</v>
      </c>
      <c r="E3698" s="26">
        <v>15.261443999999999</v>
      </c>
      <c r="G3698" s="27">
        <v>0.19999999999999998</v>
      </c>
      <c r="J3698" s="30">
        <f>IF(G3698&lt;$H$10,$H$16,IF(G3698&gt;$I$10,$H$16,$H$11))*E3698/600</f>
        <v>5.0871479999999997E-3</v>
      </c>
      <c r="L3698" s="32">
        <f>$J3698*($G3698-$G3697)*60*24</f>
        <v>5.0871479999999815E-3</v>
      </c>
    </row>
    <row r="3699" spans="1:12">
      <c r="A3699" s="22">
        <v>40313.200694444444</v>
      </c>
      <c r="E3699" s="26">
        <v>15.125154</v>
      </c>
      <c r="G3699" s="27">
        <v>0.20069444444444443</v>
      </c>
      <c r="J3699" s="30">
        <f>IF(G3699&lt;$H$10,$H$16,IF(G3699&gt;$I$10,$H$16,$H$11))*E3699/600</f>
        <v>5.0417180000000006E-3</v>
      </c>
      <c r="L3699" s="32">
        <f>$J3699*($G3699-$G3698)*60*24</f>
        <v>5.0417179999999824E-3</v>
      </c>
    </row>
    <row r="3700" spans="1:12">
      <c r="A3700" s="22">
        <v>40313.201388888891</v>
      </c>
      <c r="E3700" s="26">
        <v>15.268176</v>
      </c>
      <c r="G3700" s="27">
        <v>0.20138888888888887</v>
      </c>
      <c r="J3700" s="30">
        <f>IF(G3700&lt;$H$10,$H$16,IF(G3700&gt;$I$10,$H$16,$H$11))*E3700/600</f>
        <v>5.0893920000000007E-3</v>
      </c>
      <c r="L3700" s="32">
        <f>$J3700*($G3700-$G3699)*60*24</f>
        <v>5.0893919999999825E-3</v>
      </c>
    </row>
    <row r="3701" spans="1:12">
      <c r="A3701" s="22">
        <v>40313.20208333333</v>
      </c>
      <c r="E3701" s="26">
        <v>15.145152</v>
      </c>
      <c r="G3701" s="27">
        <v>0.20208333333333331</v>
      </c>
      <c r="J3701" s="30">
        <f>IF(G3701&lt;$H$10,$H$16,IF(G3701&gt;$I$10,$H$16,$H$11))*E3701/600</f>
        <v>5.0483839999999995E-3</v>
      </c>
      <c r="L3701" s="32">
        <f>$J3701*($G3701-$G3700)*60*24</f>
        <v>5.0483839999999813E-3</v>
      </c>
    </row>
    <row r="3702" spans="1:12">
      <c r="A3702" s="22">
        <v>40313.202777777777</v>
      </c>
      <c r="E3702" s="26">
        <v>15.178482000000001</v>
      </c>
      <c r="G3702" s="27">
        <v>0.20277777777777781</v>
      </c>
      <c r="J3702" s="30">
        <f>IF(G3702&lt;$H$10,$H$16,IF(G3702&gt;$I$10,$H$16,$H$11))*E3702/600</f>
        <v>5.0594940000000003E-3</v>
      </c>
      <c r="L3702" s="32">
        <f>$J3702*($G3702-$G3701)*60*24</f>
        <v>5.0594940000003863E-3</v>
      </c>
    </row>
    <row r="3703" spans="1:12">
      <c r="A3703" s="22">
        <v>40313.203472222223</v>
      </c>
      <c r="E3703" s="26">
        <v>15.34896</v>
      </c>
      <c r="G3703" s="27">
        <v>0.20347222222222219</v>
      </c>
      <c r="J3703" s="30">
        <f>IF(G3703&lt;$H$10,$H$16,IF(G3703&gt;$I$10,$H$16,$H$11))*E3703/600</f>
        <v>5.1163199999999997E-3</v>
      </c>
      <c r="L3703" s="32">
        <f>$J3703*($G3703-$G3702)*60*24</f>
        <v>5.116319999999573E-3</v>
      </c>
    </row>
    <row r="3704" spans="1:12">
      <c r="A3704" s="22">
        <v>40313.20416666667</v>
      </c>
      <c r="E3704" s="26">
        <v>15.335495999999999</v>
      </c>
      <c r="G3704" s="27">
        <v>0.20416666666666669</v>
      </c>
      <c r="J3704" s="30">
        <f>IF(G3704&lt;$H$10,$H$16,IF(G3704&gt;$I$10,$H$16,$H$11))*E3704/600</f>
        <v>5.1118320000000002E-3</v>
      </c>
      <c r="L3704" s="32">
        <f>$J3704*($G3704-$G3703)*60*24</f>
        <v>5.1118320000003905E-3</v>
      </c>
    </row>
    <row r="3705" spans="1:12">
      <c r="A3705" s="22">
        <v>40313.204861111109</v>
      </c>
      <c r="E3705" s="26">
        <v>15.288372000000001</v>
      </c>
      <c r="G3705" s="27">
        <v>0.20486111111111113</v>
      </c>
      <c r="J3705" s="30">
        <f>IF(G3705&lt;$H$10,$H$16,IF(G3705&gt;$I$10,$H$16,$H$11))*E3705/600</f>
        <v>5.0961240000000005E-3</v>
      </c>
      <c r="L3705" s="32">
        <f>$J3705*($G3705-$G3704)*60*24</f>
        <v>5.0961239999999823E-3</v>
      </c>
    </row>
    <row r="3706" spans="1:12">
      <c r="A3706" s="22">
        <v>40313.205555555556</v>
      </c>
      <c r="E3706" s="26">
        <v>15.227784</v>
      </c>
      <c r="G3706" s="27">
        <v>0.20555555555555557</v>
      </c>
      <c r="J3706" s="30">
        <f>IF(G3706&lt;$H$10,$H$16,IF(G3706&gt;$I$10,$H$16,$H$11))*E3706/600</f>
        <v>5.0759279999999995E-3</v>
      </c>
      <c r="L3706" s="32">
        <f>$J3706*($G3706-$G3705)*60*24</f>
        <v>5.0759279999999813E-3</v>
      </c>
    </row>
    <row r="3707" spans="1:12">
      <c r="A3707" s="22">
        <v>40313.206250000003</v>
      </c>
      <c r="E3707" s="26">
        <v>15.194124</v>
      </c>
      <c r="G3707" s="27">
        <v>0.20625000000000002</v>
      </c>
      <c r="J3707" s="30">
        <f>IF(G3707&lt;$H$10,$H$16,IF(G3707&gt;$I$10,$H$16,$H$11))*E3707/600</f>
        <v>5.0647080000000011E-3</v>
      </c>
      <c r="L3707" s="32">
        <f>$J3707*($G3707-$G3706)*60*24</f>
        <v>5.0647079999999838E-3</v>
      </c>
    </row>
    <row r="3708" spans="1:12">
      <c r="A3708" s="22">
        <v>40313.206944444442</v>
      </c>
      <c r="E3708" s="26">
        <v>15.18066</v>
      </c>
      <c r="G3708" s="27">
        <v>0.20694444444444446</v>
      </c>
      <c r="J3708" s="30">
        <f>IF(G3708&lt;$H$10,$H$16,IF(G3708&gt;$I$10,$H$16,$H$11))*E3708/600</f>
        <v>5.0602200000000007E-3</v>
      </c>
      <c r="L3708" s="32">
        <f>$J3708*($G3708-$G3707)*60*24</f>
        <v>5.0602199999999833E-3</v>
      </c>
    </row>
    <row r="3709" spans="1:12">
      <c r="A3709" s="22">
        <v>40313.207638888889</v>
      </c>
      <c r="E3709" s="26">
        <v>15.165150000000001</v>
      </c>
      <c r="G3709" s="27">
        <v>0.2076388888888889</v>
      </c>
      <c r="J3709" s="30">
        <f>IF(G3709&lt;$H$10,$H$16,IF(G3709&gt;$I$10,$H$16,$H$11))*E3709/600</f>
        <v>5.0550500000000002E-3</v>
      </c>
      <c r="L3709" s="32">
        <f>$J3709*($G3709-$G3708)*60*24</f>
        <v>5.0550499999999828E-3</v>
      </c>
    </row>
    <row r="3710" spans="1:12">
      <c r="A3710" s="22">
        <v>40313.208333333336</v>
      </c>
      <c r="E3710" s="26">
        <v>15.191814000000001</v>
      </c>
      <c r="G3710" s="27">
        <v>0.20833333333333334</v>
      </c>
      <c r="J3710" s="30">
        <f>IF(G3710&lt;$H$10,$H$16,IF(G3710&gt;$I$10,$H$16,$H$11))*E3710/600</f>
        <v>5.0639380000000005E-3</v>
      </c>
      <c r="L3710" s="32">
        <f>$J3710*($G3710-$G3709)*60*24</f>
        <v>5.0639379999999831E-3</v>
      </c>
    </row>
    <row r="3711" spans="1:12">
      <c r="A3711" s="22">
        <v>40313.209027777775</v>
      </c>
      <c r="E3711" s="26">
        <v>15.191814000000001</v>
      </c>
      <c r="G3711" s="27">
        <v>0.20902777777777778</v>
      </c>
      <c r="J3711" s="30">
        <f>IF(G3711&lt;$H$10,$H$16,IF(G3711&gt;$I$10,$H$16,$H$11))*E3711/600</f>
        <v>5.0639380000000005E-3</v>
      </c>
      <c r="L3711" s="32">
        <f>$J3711*($G3711-$G3710)*60*24</f>
        <v>5.0639379999999831E-3</v>
      </c>
    </row>
    <row r="3712" spans="1:12">
      <c r="A3712" s="22">
        <v>40313.209722222222</v>
      </c>
      <c r="E3712" s="26">
        <v>14.948505000000001</v>
      </c>
      <c r="G3712" s="27">
        <v>0.20972222222222223</v>
      </c>
      <c r="J3712" s="30">
        <f>IF(G3712&lt;$H$10,$H$16,IF(G3712&gt;$I$10,$H$16,$H$11))*E3712/600</f>
        <v>4.9828350000000006E-3</v>
      </c>
      <c r="L3712" s="32">
        <f>$J3712*($G3712-$G3711)*60*24</f>
        <v>4.9828349999999832E-3</v>
      </c>
    </row>
    <row r="3713" spans="1:12">
      <c r="A3713" s="22">
        <v>40313.210416666669</v>
      </c>
      <c r="E3713" s="26">
        <v>15.211812</v>
      </c>
      <c r="G3713" s="27">
        <v>0.21041666666666667</v>
      </c>
      <c r="J3713" s="30">
        <f>IF(G3713&lt;$H$10,$H$16,IF(G3713&gt;$I$10,$H$16,$H$11))*E3713/600</f>
        <v>5.0706040000000003E-3</v>
      </c>
      <c r="L3713" s="32">
        <f>$J3713*($G3713-$G3712)*60*24</f>
        <v>5.070603999999982E-3</v>
      </c>
    </row>
    <row r="3714" spans="1:12">
      <c r="A3714" s="22">
        <v>40313.211111111108</v>
      </c>
      <c r="E3714" s="26">
        <v>15.00759</v>
      </c>
      <c r="G3714" s="27">
        <v>0.21111111111111111</v>
      </c>
      <c r="J3714" s="30">
        <f>IF(G3714&lt;$H$10,$H$16,IF(G3714&gt;$I$10,$H$16,$H$11))*E3714/600</f>
        <v>5.0025300000000007E-3</v>
      </c>
      <c r="L3714" s="32">
        <f>$J3714*($G3714-$G3713)*60*24</f>
        <v>5.0025299999999833E-3</v>
      </c>
    </row>
    <row r="3715" spans="1:12">
      <c r="A3715" s="22">
        <v>40313.211805555555</v>
      </c>
      <c r="E3715" s="26">
        <v>15.238476</v>
      </c>
      <c r="G3715" s="27">
        <v>0.21180555555555555</v>
      </c>
      <c r="J3715" s="30">
        <f>IF(G3715&lt;$H$10,$H$16,IF(G3715&gt;$I$10,$H$16,$H$11))*E3715/600</f>
        <v>5.0794920000000006E-3</v>
      </c>
      <c r="L3715" s="32">
        <f>$J3715*($G3715-$G3714)*60*24</f>
        <v>5.0794919999999823E-3</v>
      </c>
    </row>
    <row r="3716" spans="1:12">
      <c r="A3716" s="22">
        <v>40313.212500000001</v>
      </c>
      <c r="E3716" s="26">
        <v>15.258474</v>
      </c>
      <c r="G3716" s="27">
        <v>0.21249999999999999</v>
      </c>
      <c r="J3716" s="30">
        <f>IF(G3716&lt;$H$10,$H$16,IF(G3716&gt;$I$10,$H$16,$H$11))*E3716/600</f>
        <v>5.0861579999999995E-3</v>
      </c>
      <c r="L3716" s="32">
        <f>$J3716*($G3716-$G3715)*60*24</f>
        <v>5.0861579999999813E-3</v>
      </c>
    </row>
    <row r="3717" spans="1:12">
      <c r="A3717" s="22">
        <v>40313.213194444441</v>
      </c>
      <c r="E3717" s="26">
        <v>15.265140000000001</v>
      </c>
      <c r="G3717" s="27">
        <v>0.21319444444444444</v>
      </c>
      <c r="J3717" s="30">
        <f>IF(G3717&lt;$H$10,$H$16,IF(G3717&gt;$I$10,$H$16,$H$11))*E3717/600</f>
        <v>5.0883800000000009E-3</v>
      </c>
      <c r="L3717" s="32">
        <f>$J3717*($G3717-$G3716)*60*24</f>
        <v>5.0883799999999826E-3</v>
      </c>
    </row>
    <row r="3718" spans="1:12">
      <c r="A3718" s="22">
        <v>40313.213888888888</v>
      </c>
      <c r="E3718" s="26">
        <v>15.311802</v>
      </c>
      <c r="G3718" s="27">
        <v>0.21388888888888891</v>
      </c>
      <c r="J3718" s="30">
        <f>IF(G3718&lt;$H$10,$H$16,IF(G3718&gt;$I$10,$H$16,$H$11))*E3718/600</f>
        <v>5.1039340000000001E-3</v>
      </c>
      <c r="L3718" s="32">
        <f>$J3718*($G3718-$G3717)*60*24</f>
        <v>5.1039340000001857E-3</v>
      </c>
    </row>
    <row r="3719" spans="1:12">
      <c r="A3719" s="22">
        <v>40313.214583333334</v>
      </c>
      <c r="E3719" s="26">
        <v>15.338466</v>
      </c>
      <c r="G3719" s="27">
        <v>0.21458333333333335</v>
      </c>
      <c r="J3719" s="30">
        <f>IF(G3719&lt;$H$10,$H$16,IF(G3719&gt;$I$10,$H$16,$H$11))*E3719/600</f>
        <v>5.1128220000000004E-3</v>
      </c>
      <c r="L3719" s="32">
        <f>$J3719*($G3719-$G3718)*60*24</f>
        <v>5.1128219999999822E-3</v>
      </c>
    </row>
    <row r="3720" spans="1:12">
      <c r="A3720" s="22">
        <v>40313.215277777781</v>
      </c>
      <c r="E3720" s="26">
        <v>15.345132</v>
      </c>
      <c r="G3720" s="27">
        <v>0.21527777777777779</v>
      </c>
      <c r="J3720" s="30">
        <f>IF(G3720&lt;$H$10,$H$16,IF(G3720&gt;$I$10,$H$16,$H$11))*E3720/600</f>
        <v>5.115044E-3</v>
      </c>
      <c r="L3720" s="32">
        <f>$J3720*($G3720-$G3719)*60*24</f>
        <v>5.1150439999999818E-3</v>
      </c>
    </row>
    <row r="3721" spans="1:12">
      <c r="A3721" s="22">
        <v>40313.21597222222</v>
      </c>
      <c r="E3721" s="26">
        <v>15.39846</v>
      </c>
      <c r="G3721" s="27">
        <v>0.21597222222222223</v>
      </c>
      <c r="J3721" s="30">
        <f>IF(G3721&lt;$H$10,$H$16,IF(G3721&gt;$I$10,$H$16,$H$11))*E3721/600</f>
        <v>5.1328199999999997E-3</v>
      </c>
      <c r="L3721" s="32">
        <f>$J3721*($G3721-$G3720)*60*24</f>
        <v>5.1328199999999815E-3</v>
      </c>
    </row>
    <row r="3722" spans="1:12">
      <c r="A3722" s="22">
        <v>40313.216666666667</v>
      </c>
      <c r="E3722" s="26">
        <v>15.351798</v>
      </c>
      <c r="G3722" s="27">
        <v>0.21666666666666667</v>
      </c>
      <c r="J3722" s="30">
        <f>IF(G3722&lt;$H$10,$H$16,IF(G3722&gt;$I$10,$H$16,$H$11))*E3722/600</f>
        <v>5.1172660000000005E-3</v>
      </c>
      <c r="L3722" s="32">
        <f>$J3722*($G3722-$G3721)*60*24</f>
        <v>5.1172659999999823E-3</v>
      </c>
    </row>
    <row r="3723" spans="1:12">
      <c r="A3723" s="22">
        <v>40313.217361111114</v>
      </c>
      <c r="E3723" s="26">
        <v>15.07324</v>
      </c>
      <c r="G3723" s="27">
        <v>0.21736111111111112</v>
      </c>
      <c r="J3723" s="30">
        <f>IF(G3723&lt;$H$10,$H$16,IF(G3723&gt;$I$10,$H$16,$H$11))*E3723/600</f>
        <v>5.0244133333333333E-3</v>
      </c>
      <c r="L3723" s="32">
        <f>$J3723*($G3723-$G3722)*60*24</f>
        <v>5.024413333333316E-3</v>
      </c>
    </row>
    <row r="3724" spans="1:12">
      <c r="A3724" s="22">
        <v>40313.218055555553</v>
      </c>
      <c r="E3724" s="26">
        <v>15.086370000000001</v>
      </c>
      <c r="G3724" s="27">
        <v>0.21805555555555556</v>
      </c>
      <c r="J3724" s="30">
        <f>IF(G3724&lt;$H$10,$H$16,IF(G3724&gt;$I$10,$H$16,$H$11))*E3724/600</f>
        <v>5.0287900000000009E-3</v>
      </c>
      <c r="L3724" s="32">
        <f>$J3724*($G3724-$G3723)*60*24</f>
        <v>5.0287899999999826E-3</v>
      </c>
    </row>
    <row r="3725" spans="1:12">
      <c r="A3725" s="22">
        <v>40313.21875</v>
      </c>
      <c r="E3725" s="26">
        <v>15.086370000000001</v>
      </c>
      <c r="G3725" s="27">
        <v>0.21875</v>
      </c>
      <c r="J3725" s="30">
        <f>IF(G3725&lt;$H$10,$H$16,IF(G3725&gt;$I$10,$H$16,$H$11))*E3725/600</f>
        <v>5.0287900000000009E-3</v>
      </c>
      <c r="L3725" s="32">
        <f>$J3725*($G3725-$G3724)*60*24</f>
        <v>5.0287899999999826E-3</v>
      </c>
    </row>
    <row r="3726" spans="1:12">
      <c r="A3726" s="22">
        <v>40313.219444444447</v>
      </c>
      <c r="E3726" s="26">
        <v>15.262259999999999</v>
      </c>
      <c r="G3726" s="27">
        <v>0.21944444444444444</v>
      </c>
      <c r="J3726" s="30">
        <f>IF(G3726&lt;$H$10,$H$16,IF(G3726&gt;$I$10,$H$16,$H$11))*E3726/600</f>
        <v>5.0874200000000005E-3</v>
      </c>
      <c r="L3726" s="32">
        <f>$J3726*($G3726-$G3725)*60*24</f>
        <v>5.0874199999999823E-3</v>
      </c>
    </row>
    <row r="3727" spans="1:12">
      <c r="A3727" s="22">
        <v>40313.220138888886</v>
      </c>
      <c r="E3727" s="26">
        <v>15.25563</v>
      </c>
      <c r="G3727" s="27">
        <v>0.22013888888888888</v>
      </c>
      <c r="J3727" s="30">
        <f>IF(G3727&lt;$H$10,$H$16,IF(G3727&gt;$I$10,$H$16,$H$11))*E3727/600</f>
        <v>5.0852099999999997E-3</v>
      </c>
      <c r="L3727" s="32">
        <f>$J3727*($G3727-$G3726)*60*24</f>
        <v>5.0852099999999824E-3</v>
      </c>
    </row>
    <row r="3728" spans="1:12">
      <c r="A3728" s="22">
        <v>40313.220833333333</v>
      </c>
      <c r="E3728" s="26">
        <v>15.27552</v>
      </c>
      <c r="G3728" s="27">
        <v>0.22083333333333333</v>
      </c>
      <c r="J3728" s="30">
        <f>IF(G3728&lt;$H$10,$H$16,IF(G3728&gt;$I$10,$H$16,$H$11))*E3728/600</f>
        <v>5.0918400000000003E-3</v>
      </c>
      <c r="L3728" s="32">
        <f>$J3728*($G3728-$G3727)*60*24</f>
        <v>5.091839999999982E-3</v>
      </c>
    </row>
    <row r="3729" spans="1:12">
      <c r="A3729" s="22">
        <v>40313.22152777778</v>
      </c>
      <c r="E3729" s="26">
        <v>15.29541</v>
      </c>
      <c r="G3729" s="27">
        <v>0.22152777777777777</v>
      </c>
      <c r="J3729" s="30">
        <f>IF(G3729&lt;$H$10,$H$16,IF(G3729&gt;$I$10,$H$16,$H$11))*E3729/600</f>
        <v>5.0984699999999999E-3</v>
      </c>
      <c r="L3729" s="32">
        <f>$J3729*($G3729-$G3728)*60*24</f>
        <v>5.0984699999999817E-3</v>
      </c>
    </row>
    <row r="3730" spans="1:12">
      <c r="A3730" s="22">
        <v>40313.222222222219</v>
      </c>
      <c r="E3730" s="26">
        <v>15.27552</v>
      </c>
      <c r="G3730" s="27">
        <v>0.22222222222222221</v>
      </c>
      <c r="J3730" s="30">
        <f>IF(G3730&lt;$H$10,$H$16,IF(G3730&gt;$I$10,$H$16,$H$11))*E3730/600</f>
        <v>5.0918400000000003E-3</v>
      </c>
      <c r="L3730" s="32">
        <f>$J3730*($G3730-$G3729)*60*24</f>
        <v>5.091839999999982E-3</v>
      </c>
    </row>
    <row r="3731" spans="1:12">
      <c r="A3731" s="22">
        <v>40313.222916666666</v>
      </c>
      <c r="E3731" s="26">
        <v>15.249000000000001</v>
      </c>
      <c r="G3731" s="27">
        <v>0.22291666666666665</v>
      </c>
      <c r="J3731" s="30">
        <f>IF(G3731&lt;$H$10,$H$16,IF(G3731&gt;$I$10,$H$16,$H$11))*E3731/600</f>
        <v>5.0830000000000007E-3</v>
      </c>
      <c r="L3731" s="32">
        <f>$J3731*($G3731-$G3730)*60*24</f>
        <v>5.0829999999999825E-3</v>
      </c>
    </row>
    <row r="3732" spans="1:12">
      <c r="A3732" s="22">
        <v>40313.223611111112</v>
      </c>
      <c r="E3732" s="26">
        <v>15.242369999999999</v>
      </c>
      <c r="G3732" s="27">
        <v>0.22361111111111109</v>
      </c>
      <c r="J3732" s="30">
        <f>IF(G3732&lt;$H$10,$H$16,IF(G3732&gt;$I$10,$H$16,$H$11))*E3732/600</f>
        <v>5.08079E-3</v>
      </c>
      <c r="L3732" s="32">
        <f>$J3732*($G3732-$G3731)*60*24</f>
        <v>5.0807899999999817E-3</v>
      </c>
    </row>
    <row r="3733" spans="1:12">
      <c r="A3733" s="22">
        <v>40313.224305555559</v>
      </c>
      <c r="E3733" s="26">
        <v>15.29541</v>
      </c>
      <c r="G3733" s="27">
        <v>0.22430555555555556</v>
      </c>
      <c r="J3733" s="30">
        <f>IF(G3733&lt;$H$10,$H$16,IF(G3733&gt;$I$10,$H$16,$H$11))*E3733/600</f>
        <v>5.0984699999999999E-3</v>
      </c>
      <c r="L3733" s="32">
        <f>$J3733*($G3733-$G3732)*60*24</f>
        <v>5.0984700000001855E-3</v>
      </c>
    </row>
    <row r="3734" spans="1:12">
      <c r="A3734" s="22">
        <v>40313.224999999999</v>
      </c>
      <c r="E3734" s="26">
        <v>15.178280000000001</v>
      </c>
      <c r="G3734" s="27">
        <v>0.22500000000000001</v>
      </c>
      <c r="J3734" s="30">
        <f>IF(G3734&lt;$H$10,$H$16,IF(G3734&gt;$I$10,$H$16,$H$11))*E3734/600</f>
        <v>5.0594266666666669E-3</v>
      </c>
      <c r="L3734" s="32">
        <f>$J3734*($G3734-$G3733)*60*24</f>
        <v>5.0594266666666495E-3</v>
      </c>
    </row>
    <row r="3735" spans="1:12">
      <c r="A3735" s="22">
        <v>40313.225694444445</v>
      </c>
      <c r="E3735" s="26">
        <v>15.2308</v>
      </c>
      <c r="G3735" s="27">
        <v>0.22569444444444445</v>
      </c>
      <c r="J3735" s="30">
        <f>IF(G3735&lt;$H$10,$H$16,IF(G3735&gt;$I$10,$H$16,$H$11))*E3735/600</f>
        <v>5.0769333333333336E-3</v>
      </c>
      <c r="L3735" s="32">
        <f>$J3735*($G3735-$G3734)*60*24</f>
        <v>5.0769333333333163E-3</v>
      </c>
    </row>
    <row r="3736" spans="1:12">
      <c r="A3736" s="22">
        <v>40313.226388888892</v>
      </c>
      <c r="E3736" s="26">
        <v>15.250495000000001</v>
      </c>
      <c r="G3736" s="27">
        <v>0.22638888888888889</v>
      </c>
      <c r="J3736" s="30">
        <f>IF(G3736&lt;$H$10,$H$16,IF(G3736&gt;$I$10,$H$16,$H$11))*E3736/600</f>
        <v>5.0834983333333337E-3</v>
      </c>
      <c r="L3736" s="32">
        <f>$J3736*($G3736-$G3735)*60*24</f>
        <v>5.0834983333333163E-3</v>
      </c>
    </row>
    <row r="3737" spans="1:12">
      <c r="A3737" s="22">
        <v>40313.227083333331</v>
      </c>
      <c r="E3737" s="26">
        <v>15.21767</v>
      </c>
      <c r="G3737" s="27">
        <v>0.22708333333333333</v>
      </c>
      <c r="J3737" s="30">
        <f>IF(G3737&lt;$H$10,$H$16,IF(G3737&gt;$I$10,$H$16,$H$11))*E3737/600</f>
        <v>5.0725566666666669E-3</v>
      </c>
      <c r="L3737" s="32">
        <f>$J3737*($G3737-$G3736)*60*24</f>
        <v>5.0725566666666496E-3</v>
      </c>
    </row>
    <row r="3738" spans="1:12">
      <c r="A3738" s="22">
        <v>40313.227777777778</v>
      </c>
      <c r="E3738" s="26">
        <v>15.21767</v>
      </c>
      <c r="G3738" s="27">
        <v>0.22777777777777777</v>
      </c>
      <c r="J3738" s="30">
        <f>IF(G3738&lt;$H$10,$H$16,IF(G3738&gt;$I$10,$H$16,$H$11))*E3738/600</f>
        <v>5.0725566666666669E-3</v>
      </c>
      <c r="L3738" s="32">
        <f>$J3738*($G3738-$G3737)*60*24</f>
        <v>5.0725566666666496E-3</v>
      </c>
    </row>
    <row r="3739" spans="1:12">
      <c r="A3739" s="22">
        <v>40313.228472222225</v>
      </c>
      <c r="E3739" s="26">
        <v>15.197975</v>
      </c>
      <c r="G3739" s="27">
        <v>0.22847222222222222</v>
      </c>
      <c r="J3739" s="30">
        <f>IF(G3739&lt;$H$10,$H$16,IF(G3739&gt;$I$10,$H$16,$H$11))*E3739/600</f>
        <v>5.0659916666666669E-3</v>
      </c>
      <c r="L3739" s="32">
        <f>$J3739*($G3739-$G3738)*60*24</f>
        <v>5.0659916666666496E-3</v>
      </c>
    </row>
    <row r="3740" spans="1:12">
      <c r="A3740" s="22">
        <v>40313.229166666664</v>
      </c>
      <c r="E3740" s="26">
        <v>15.158585</v>
      </c>
      <c r="G3740" s="27">
        <v>0.22916666666666666</v>
      </c>
      <c r="J3740" s="30">
        <f>IF(G3740&lt;$H$10,$H$16,IF(G3740&gt;$I$10,$H$16,$H$11))*E3740/600</f>
        <v>5.0528616666666677E-3</v>
      </c>
      <c r="L3740" s="32">
        <f>$J3740*($G3740-$G3739)*60*24</f>
        <v>5.0528616666666495E-3</v>
      </c>
    </row>
    <row r="3741" spans="1:12">
      <c r="A3741" s="22">
        <v>40313.229861111111</v>
      </c>
      <c r="E3741" s="26">
        <v>15.145455</v>
      </c>
      <c r="G3741" s="27">
        <v>0.2298611111111111</v>
      </c>
      <c r="J3741" s="30">
        <f>IF(G3741&lt;$H$10,$H$16,IF(G3741&gt;$I$10,$H$16,$H$11))*E3741/600</f>
        <v>5.0484850000000001E-3</v>
      </c>
      <c r="L3741" s="32">
        <f>$J3741*($G3741-$G3740)*60*24</f>
        <v>5.0484849999999828E-3</v>
      </c>
    </row>
    <row r="3742" spans="1:12">
      <c r="A3742" s="22">
        <v>40313.230555555558</v>
      </c>
      <c r="E3742" s="26">
        <v>15.145455</v>
      </c>
      <c r="G3742" s="27">
        <v>0.23055555555555554</v>
      </c>
      <c r="J3742" s="30">
        <f>IF(G3742&lt;$H$10,$H$16,IF(G3742&gt;$I$10,$H$16,$H$11))*E3742/600</f>
        <v>5.0484850000000001E-3</v>
      </c>
      <c r="L3742" s="32">
        <f>$J3742*($G3742-$G3741)*60*24</f>
        <v>5.0484849999999828E-3</v>
      </c>
    </row>
    <row r="3743" spans="1:12">
      <c r="A3743" s="22">
        <v>40313.231249999997</v>
      </c>
      <c r="E3743" s="26">
        <v>15.158585</v>
      </c>
      <c r="G3743" s="27">
        <v>0.23124999999999998</v>
      </c>
      <c r="J3743" s="30">
        <f>IF(G3743&lt;$H$10,$H$16,IF(G3743&gt;$I$10,$H$16,$H$11))*E3743/600</f>
        <v>5.0528616666666677E-3</v>
      </c>
      <c r="L3743" s="32">
        <f>$J3743*($G3743-$G3742)*60*24</f>
        <v>5.0528616666666495E-3</v>
      </c>
    </row>
    <row r="3744" spans="1:12">
      <c r="A3744" s="22">
        <v>40313.231944444444</v>
      </c>
      <c r="E3744" s="26">
        <v>15.178280000000001</v>
      </c>
      <c r="G3744" s="27">
        <v>0.23194444444444443</v>
      </c>
      <c r="J3744" s="30">
        <f>IF(G3744&lt;$H$10,$H$16,IF(G3744&gt;$I$10,$H$16,$H$11))*E3744/600</f>
        <v>5.0594266666666669E-3</v>
      </c>
      <c r="L3744" s="32">
        <f>$J3744*($G3744-$G3743)*60*24</f>
        <v>5.0594266666666495E-3</v>
      </c>
    </row>
    <row r="3745" spans="1:12">
      <c r="A3745" s="22">
        <v>40313.232638888891</v>
      </c>
      <c r="E3745" s="26">
        <v>15.158585</v>
      </c>
      <c r="G3745" s="27">
        <v>0.23263888888888887</v>
      </c>
      <c r="J3745" s="30">
        <f>IF(G3745&lt;$H$10,$H$16,IF(G3745&gt;$I$10,$H$16,$H$11))*E3745/600</f>
        <v>5.0528616666666677E-3</v>
      </c>
      <c r="L3745" s="32">
        <f>$J3745*($G3745-$G3744)*60*24</f>
        <v>5.0528616666666495E-3</v>
      </c>
    </row>
    <row r="3746" spans="1:12">
      <c r="A3746" s="22">
        <v>40313.23333333333</v>
      </c>
      <c r="E3746" s="26">
        <v>15.178280000000001</v>
      </c>
      <c r="G3746" s="27">
        <v>0.23333333333333331</v>
      </c>
      <c r="J3746" s="30">
        <f>IF(G3746&lt;$H$10,$H$16,IF(G3746&gt;$I$10,$H$16,$H$11))*E3746/600</f>
        <v>5.0594266666666669E-3</v>
      </c>
      <c r="L3746" s="32">
        <f>$J3746*($G3746-$G3745)*60*24</f>
        <v>5.0594266666666495E-3</v>
      </c>
    </row>
    <row r="3747" spans="1:12">
      <c r="A3747" s="22">
        <v>40313.234027777777</v>
      </c>
      <c r="E3747" s="26">
        <v>15.13889</v>
      </c>
      <c r="G3747" s="27">
        <v>0.23402777777777781</v>
      </c>
      <c r="J3747" s="30">
        <f>IF(G3747&lt;$H$10,$H$16,IF(G3747&gt;$I$10,$H$16,$H$11))*E3747/600</f>
        <v>5.0462966666666668E-3</v>
      </c>
      <c r="L3747" s="32">
        <f>$J3747*($G3747-$G3746)*60*24</f>
        <v>5.0462966666670519E-3</v>
      </c>
    </row>
    <row r="3748" spans="1:12">
      <c r="A3748" s="22">
        <v>40313.234722222223</v>
      </c>
      <c r="E3748" s="26">
        <v>15.001344</v>
      </c>
      <c r="G3748" s="27">
        <v>0.23472222222222219</v>
      </c>
      <c r="J3748" s="30">
        <f>IF(G3748&lt;$H$10,$H$16,IF(G3748&gt;$I$10,$H$16,$H$11))*E3748/600</f>
        <v>5.0004480000000002E-3</v>
      </c>
      <c r="L3748" s="32">
        <f>$J3748*($G3748-$G3747)*60*24</f>
        <v>5.0004479999995822E-3</v>
      </c>
    </row>
    <row r="3749" spans="1:12">
      <c r="A3749" s="22">
        <v>40313.23541666667</v>
      </c>
      <c r="E3749" s="26">
        <v>14.962175999999999</v>
      </c>
      <c r="G3749" s="27">
        <v>0.23541666666666669</v>
      </c>
      <c r="J3749" s="30">
        <f>IF(G3749&lt;$H$10,$H$16,IF(G3749&gt;$I$10,$H$16,$H$11))*E3749/600</f>
        <v>4.9873920000000002E-3</v>
      </c>
      <c r="L3749" s="32">
        <f>$J3749*($G3749-$G3748)*60*24</f>
        <v>4.987392000000381E-3</v>
      </c>
    </row>
    <row r="3750" spans="1:12">
      <c r="A3750" s="22">
        <v>40313.236111111109</v>
      </c>
      <c r="E3750" s="26">
        <v>15.249000000000001</v>
      </c>
      <c r="G3750" s="27">
        <v>0.23611111111111113</v>
      </c>
      <c r="J3750" s="30">
        <f>IF(G3750&lt;$H$10,$H$16,IF(G3750&gt;$I$10,$H$16,$H$11))*E3750/600</f>
        <v>5.0830000000000007E-3</v>
      </c>
      <c r="L3750" s="32">
        <f>$J3750*($G3750-$G3749)*60*24</f>
        <v>5.0829999999999825E-3</v>
      </c>
    </row>
    <row r="3751" spans="1:12">
      <c r="A3751" s="22">
        <v>40313.236805555556</v>
      </c>
      <c r="E3751" s="26">
        <v>15.13889</v>
      </c>
      <c r="G3751" s="27">
        <v>0.23680555555555557</v>
      </c>
      <c r="J3751" s="30">
        <f>IF(G3751&lt;$H$10,$H$16,IF(G3751&gt;$I$10,$H$16,$H$11))*E3751/600</f>
        <v>5.0462966666666668E-3</v>
      </c>
      <c r="L3751" s="32">
        <f>$J3751*($G3751-$G3750)*60*24</f>
        <v>5.0462966666666486E-3</v>
      </c>
    </row>
    <row r="3752" spans="1:12">
      <c r="A3752" s="22">
        <v>40313.237500000003</v>
      </c>
      <c r="E3752" s="26">
        <v>15.335190000000001</v>
      </c>
      <c r="G3752" s="27">
        <v>0.23750000000000002</v>
      </c>
      <c r="J3752" s="30">
        <f>IF(G3752&lt;$H$10,$H$16,IF(G3752&gt;$I$10,$H$16,$H$11))*E3752/600</f>
        <v>5.1117300000000001E-3</v>
      </c>
      <c r="L3752" s="32">
        <f>$J3752*($G3752-$G3751)*60*24</f>
        <v>5.1117299999999819E-3</v>
      </c>
    </row>
    <row r="3753" spans="1:12">
      <c r="A3753" s="22">
        <v>40313.238194444442</v>
      </c>
      <c r="E3753" s="26">
        <v>15.355079999999999</v>
      </c>
      <c r="G3753" s="27">
        <v>0.23819444444444446</v>
      </c>
      <c r="J3753" s="30">
        <f>IF(G3753&lt;$H$10,$H$16,IF(G3753&gt;$I$10,$H$16,$H$11))*E3753/600</f>
        <v>5.1183600000000006E-3</v>
      </c>
      <c r="L3753" s="32">
        <f>$J3753*($G3753-$G3752)*60*24</f>
        <v>5.1183599999999824E-3</v>
      </c>
    </row>
    <row r="3754" spans="1:12">
      <c r="A3754" s="22">
        <v>40313.238888888889</v>
      </c>
      <c r="E3754" s="26">
        <v>15.053568</v>
      </c>
      <c r="G3754" s="27">
        <v>0.2388888888888889</v>
      </c>
      <c r="J3754" s="30">
        <f>IF(G3754&lt;$H$10,$H$16,IF(G3754&gt;$I$10,$H$16,$H$11))*E3754/600</f>
        <v>5.0178560000000002E-3</v>
      </c>
      <c r="L3754" s="32">
        <f>$J3754*($G3754-$G3753)*60*24</f>
        <v>5.0178559999999829E-3</v>
      </c>
    </row>
    <row r="3755" spans="1:12">
      <c r="A3755" s="22">
        <v>40313.239583333336</v>
      </c>
      <c r="E3755" s="26">
        <v>15.086207999999999</v>
      </c>
      <c r="G3755" s="27">
        <v>0.23958333333333334</v>
      </c>
      <c r="J3755" s="30">
        <f>IF(G3755&lt;$H$10,$H$16,IF(G3755&gt;$I$10,$H$16,$H$11))*E3755/600</f>
        <v>5.0287360000000007E-3</v>
      </c>
      <c r="L3755" s="32">
        <f>$J3755*($G3755-$G3754)*60*24</f>
        <v>5.0287359999999824E-3</v>
      </c>
    </row>
    <row r="3756" spans="1:12">
      <c r="A3756" s="22">
        <v>40313.240277777775</v>
      </c>
      <c r="E3756" s="26">
        <v>15.108864000000001</v>
      </c>
      <c r="G3756" s="27">
        <v>0.24027777777777778</v>
      </c>
      <c r="J3756" s="30">
        <f>IF(G3756&lt;$H$10,$H$16,IF(G3756&gt;$I$10,$H$16,$H$11))*E3756/600</f>
        <v>5.0362880000000007E-3</v>
      </c>
      <c r="L3756" s="32">
        <f>$J3756*($G3756-$G3755)*60*24</f>
        <v>5.0362879999999825E-3</v>
      </c>
    </row>
    <row r="3757" spans="1:12">
      <c r="A3757" s="22">
        <v>40313.240972222222</v>
      </c>
      <c r="E3757" s="26">
        <v>15.066623999999999</v>
      </c>
      <c r="G3757" s="27">
        <v>0.24097222222222223</v>
      </c>
      <c r="J3757" s="30">
        <f>IF(G3757&lt;$H$10,$H$16,IF(G3757&gt;$I$10,$H$16,$H$11))*E3757/600</f>
        <v>5.0222080000000002E-3</v>
      </c>
      <c r="L3757" s="32">
        <f>$J3757*($G3757-$G3756)*60*24</f>
        <v>5.0222079999999829E-3</v>
      </c>
    </row>
    <row r="3758" spans="1:12">
      <c r="A3758" s="22">
        <v>40313.241666666669</v>
      </c>
      <c r="E3758" s="26">
        <v>15.164543999999999</v>
      </c>
      <c r="G3758" s="27">
        <v>0.24166666666666667</v>
      </c>
      <c r="J3758" s="30">
        <f>IF(G3758&lt;$H$10,$H$16,IF(G3758&gt;$I$10,$H$16,$H$11))*E3758/600</f>
        <v>5.0548479999999998E-3</v>
      </c>
      <c r="L3758" s="32">
        <f>$J3758*($G3758-$G3757)*60*24</f>
        <v>5.0548479999999816E-3</v>
      </c>
    </row>
    <row r="3759" spans="1:12">
      <c r="A3759" s="22">
        <v>40313.242361111108</v>
      </c>
      <c r="E3759" s="26">
        <v>15.260479999999999</v>
      </c>
      <c r="G3759" s="27">
        <v>0.24236111111111111</v>
      </c>
      <c r="J3759" s="30">
        <f>IF(G3759&lt;$H$10,$H$16,IF(G3759&gt;$I$10,$H$16,$H$11))*E3759/600</f>
        <v>5.0868266666666672E-3</v>
      </c>
      <c r="L3759" s="32">
        <f>$J3759*($G3759-$G3758)*60*24</f>
        <v>5.086826666666649E-3</v>
      </c>
    </row>
    <row r="3760" spans="1:12">
      <c r="A3760" s="22">
        <v>40313.243055555555</v>
      </c>
      <c r="E3760" s="26">
        <v>15.335190000000001</v>
      </c>
      <c r="G3760" s="27">
        <v>0.24305555555555555</v>
      </c>
      <c r="J3760" s="30">
        <f>IF(G3760&lt;$H$10,$H$16,IF(G3760&gt;$I$10,$H$16,$H$11))*E3760/600</f>
        <v>5.1117300000000001E-3</v>
      </c>
      <c r="L3760" s="32">
        <f>$J3760*($G3760-$G3759)*60*24</f>
        <v>5.1117299999999819E-3</v>
      </c>
    </row>
    <row r="3761" spans="1:12">
      <c r="A3761" s="22">
        <v>40313.243750000001</v>
      </c>
      <c r="E3761" s="26">
        <v>15.335190000000001</v>
      </c>
      <c r="G3761" s="27">
        <v>0.24374999999999999</v>
      </c>
      <c r="J3761" s="30">
        <f>IF(G3761&lt;$H$10,$H$16,IF(G3761&gt;$I$10,$H$16,$H$11))*E3761/600</f>
        <v>5.1117300000000001E-3</v>
      </c>
      <c r="L3761" s="32">
        <f>$J3761*($G3761-$G3760)*60*24</f>
        <v>5.1117299999999819E-3</v>
      </c>
    </row>
    <row r="3762" spans="1:12">
      <c r="A3762" s="22">
        <v>40313.244444444441</v>
      </c>
      <c r="E3762" s="26">
        <v>15.374969999999999</v>
      </c>
      <c r="G3762" s="27">
        <v>0.24444444444444446</v>
      </c>
      <c r="J3762" s="30">
        <f>IF(G3762&lt;$H$10,$H$16,IF(G3762&gt;$I$10,$H$16,$H$11))*E3762/600</f>
        <v>5.1249900000000003E-3</v>
      </c>
      <c r="L3762" s="32">
        <f>$J3762*($G3762-$G3761)*60*24</f>
        <v>5.1249900000001868E-3</v>
      </c>
    </row>
    <row r="3763" spans="1:12">
      <c r="A3763" s="22">
        <v>40313.245138888888</v>
      </c>
      <c r="E3763" s="26">
        <v>15.39486</v>
      </c>
      <c r="G3763" s="27">
        <v>0.24513888888888888</v>
      </c>
      <c r="J3763" s="30">
        <f>IF(G3763&lt;$H$10,$H$16,IF(G3763&gt;$I$10,$H$16,$H$11))*E3763/600</f>
        <v>5.1316200000000008E-3</v>
      </c>
      <c r="L3763" s="32">
        <f>$J3763*($G3763-$G3762)*60*24</f>
        <v>5.1316199999997779E-3</v>
      </c>
    </row>
    <row r="3764" spans="1:12">
      <c r="A3764" s="22">
        <v>40313.245833333334</v>
      </c>
      <c r="E3764" s="26">
        <v>15.38823</v>
      </c>
      <c r="G3764" s="27">
        <v>0.24583333333333335</v>
      </c>
      <c r="J3764" s="30">
        <f>IF(G3764&lt;$H$10,$H$16,IF(G3764&gt;$I$10,$H$16,$H$11))*E3764/600</f>
        <v>5.12941E-3</v>
      </c>
      <c r="L3764" s="32">
        <f>$J3764*($G3764-$G3763)*60*24</f>
        <v>5.1294100000001865E-3</v>
      </c>
    </row>
    <row r="3765" spans="1:12">
      <c r="A3765" s="22">
        <v>40313.246527777781</v>
      </c>
      <c r="E3765" s="26">
        <v>15.32856</v>
      </c>
      <c r="G3765" s="27">
        <v>0.24652777777777779</v>
      </c>
      <c r="J3765" s="30">
        <f>IF(G3765&lt;$H$10,$H$16,IF(G3765&gt;$I$10,$H$16,$H$11))*E3765/600</f>
        <v>5.1095200000000002E-3</v>
      </c>
      <c r="L3765" s="32">
        <f>$J3765*($G3765-$G3764)*60*24</f>
        <v>5.109519999999982E-3</v>
      </c>
    </row>
    <row r="3766" spans="1:12">
      <c r="A3766" s="22">
        <v>40313.24722222222</v>
      </c>
      <c r="E3766" s="26">
        <v>15.28215</v>
      </c>
      <c r="G3766" s="27">
        <v>0.24722222222222223</v>
      </c>
      <c r="J3766" s="30">
        <f>IF(G3766&lt;$H$10,$H$16,IF(G3766&gt;$I$10,$H$16,$H$11))*E3766/600</f>
        <v>5.0940500000000001E-3</v>
      </c>
      <c r="L3766" s="32">
        <f>$J3766*($G3766-$G3765)*60*24</f>
        <v>5.0940499999999819E-3</v>
      </c>
    </row>
    <row r="3767" spans="1:12">
      <c r="A3767" s="22">
        <v>40313.247916666667</v>
      </c>
      <c r="E3767" s="26">
        <v>15.30204</v>
      </c>
      <c r="G3767" s="27">
        <v>0.24791666666666667</v>
      </c>
      <c r="J3767" s="30">
        <f>IF(G3767&lt;$H$10,$H$16,IF(G3767&gt;$I$10,$H$16,$H$11))*E3767/600</f>
        <v>5.1006800000000007E-3</v>
      </c>
      <c r="L3767" s="32">
        <f>$J3767*($G3767-$G3766)*60*24</f>
        <v>5.1006799999999825E-3</v>
      </c>
    </row>
    <row r="3768" spans="1:12">
      <c r="A3768" s="22">
        <v>40313.248611111114</v>
      </c>
      <c r="E3768" s="26">
        <v>15.15202</v>
      </c>
      <c r="G3768" s="27">
        <v>0.24861111111111112</v>
      </c>
      <c r="J3768" s="30">
        <f>IF(G3768&lt;$H$10,$H$16,IF(G3768&gt;$I$10,$H$16,$H$11))*E3768/600</f>
        <v>5.0506733333333335E-3</v>
      </c>
      <c r="L3768" s="32">
        <f>$J3768*($G3768-$G3767)*60*24</f>
        <v>5.0506733333333161E-3</v>
      </c>
    </row>
    <row r="3769" spans="1:12">
      <c r="A3769" s="22">
        <v>40313.249305555553</v>
      </c>
      <c r="E3769" s="26">
        <v>15.184844999999999</v>
      </c>
      <c r="G3769" s="27">
        <v>0.24930555555555556</v>
      </c>
      <c r="J3769" s="30">
        <f>IF(G3769&lt;$H$10,$H$16,IF(G3769&gt;$I$10,$H$16,$H$11))*E3769/600</f>
        <v>5.0616150000000002E-3</v>
      </c>
      <c r="L3769" s="32">
        <f>$J3769*($G3769-$G3768)*60*24</f>
        <v>5.061614999999982E-3</v>
      </c>
    </row>
    <row r="3770" spans="1:12">
      <c r="A3770" s="22">
        <v>40313.25</v>
      </c>
      <c r="E3770" s="26">
        <v>15.315300000000001</v>
      </c>
      <c r="G3770" s="27">
        <v>0.25</v>
      </c>
      <c r="J3770" s="30">
        <f>IF(G3770&lt;$H$10,$H$16,IF(G3770&gt;$I$10,$H$16,$H$11))*E3770/600</f>
        <v>5.1051000000000004E-3</v>
      </c>
      <c r="L3770" s="32">
        <f>$J3770*($G3770-$G3769)*60*24</f>
        <v>5.1050999999999822E-3</v>
      </c>
    </row>
    <row r="3771" spans="1:12">
      <c r="A3771" s="22">
        <v>40313.250694444447</v>
      </c>
      <c r="E3771" s="26">
        <v>15.099500000000001</v>
      </c>
      <c r="G3771" s="27">
        <v>0.25069444444444444</v>
      </c>
      <c r="J3771" s="30">
        <f>IF(G3771&lt;$H$10,$H$16,IF(G3771&gt;$I$10,$H$16,$H$11))*E3771/600</f>
        <v>5.0331666666666667E-3</v>
      </c>
      <c r="L3771" s="32">
        <f>$J3771*($G3771-$G3770)*60*24</f>
        <v>5.0331666666666493E-3</v>
      </c>
    </row>
    <row r="3772" spans="1:12">
      <c r="A3772" s="22">
        <v>40313.251388888886</v>
      </c>
      <c r="E3772" s="26">
        <v>15.15202</v>
      </c>
      <c r="G3772" s="27">
        <v>0.25138888888888888</v>
      </c>
      <c r="J3772" s="30">
        <f>IF(G3772&lt;$H$10,$H$16,IF(G3772&gt;$I$10,$H$16,$H$11))*E3772/600</f>
        <v>5.0506733333333335E-3</v>
      </c>
      <c r="L3772" s="32">
        <f>$J3772*($G3772-$G3771)*60*24</f>
        <v>5.0506733333333161E-3</v>
      </c>
    </row>
    <row r="3773" spans="1:12">
      <c r="A3773" s="22">
        <v>40313.252083333333</v>
      </c>
      <c r="E3773" s="26">
        <v>15.079805</v>
      </c>
      <c r="G3773" s="27">
        <v>0.25208333333333333</v>
      </c>
      <c r="J3773" s="30">
        <f>IF(G3773&lt;$H$10,$H$16,IF(G3773&gt;$I$10,$H$16,$H$11))*E3773/600</f>
        <v>5.0266016666666675E-3</v>
      </c>
      <c r="L3773" s="32">
        <f>$J3773*($G3773-$G3772)*60*24</f>
        <v>5.0266016666666502E-3</v>
      </c>
    </row>
    <row r="3774" spans="1:12">
      <c r="A3774" s="22">
        <v>40313.25277777778</v>
      </c>
      <c r="E3774" s="26">
        <v>15.079805</v>
      </c>
      <c r="G3774" s="27">
        <v>0.25277777777777777</v>
      </c>
      <c r="J3774" s="30">
        <f>IF(G3774&lt;$H$10,$H$16,IF(G3774&gt;$I$10,$H$16,$H$11))*E3774/600</f>
        <v>5.0266016666666675E-3</v>
      </c>
      <c r="L3774" s="32">
        <f>$J3774*($G3774-$G3773)*60*24</f>
        <v>5.0266016666666502E-3</v>
      </c>
    </row>
    <row r="3775" spans="1:12">
      <c r="A3775" s="22">
        <v>40313.253472222219</v>
      </c>
      <c r="E3775" s="26">
        <v>15.106064999999999</v>
      </c>
      <c r="G3775" s="27">
        <v>0.25347222222222221</v>
      </c>
      <c r="J3775" s="30">
        <f>IF(G3775&lt;$H$10,$H$16,IF(G3775&gt;$I$10,$H$16,$H$11))*E3775/600</f>
        <v>5.035355E-3</v>
      </c>
      <c r="L3775" s="32">
        <f>$J3775*($G3775-$G3774)*60*24</f>
        <v>5.0353549999999827E-3</v>
      </c>
    </row>
    <row r="3776" spans="1:12">
      <c r="A3776" s="22">
        <v>40313.254166666666</v>
      </c>
      <c r="E3776" s="26">
        <v>15.053545</v>
      </c>
      <c r="G3776" s="27">
        <v>0.25416666666666665</v>
      </c>
      <c r="J3776" s="30">
        <f>IF(G3776&lt;$H$10,$H$16,IF(G3776&gt;$I$10,$H$16,$H$11))*E3776/600</f>
        <v>5.0178483333333341E-3</v>
      </c>
      <c r="L3776" s="32">
        <f>$J3776*($G3776-$G3775)*60*24</f>
        <v>5.0178483333333168E-3</v>
      </c>
    </row>
    <row r="3777" spans="1:12">
      <c r="A3777" s="22">
        <v>40313.254861111112</v>
      </c>
      <c r="E3777" s="26">
        <v>15.04698</v>
      </c>
      <c r="G3777" s="27">
        <v>0.25486111111111109</v>
      </c>
      <c r="J3777" s="30">
        <f>IF(G3777&lt;$H$10,$H$16,IF(G3777&gt;$I$10,$H$16,$H$11))*E3777/600</f>
        <v>5.0156599999999999E-3</v>
      </c>
      <c r="L3777" s="32">
        <f>$J3777*($G3777-$G3776)*60*24</f>
        <v>5.0156599999999826E-3</v>
      </c>
    </row>
    <row r="3778" spans="1:12">
      <c r="A3778" s="22">
        <v>40313.255555555559</v>
      </c>
      <c r="E3778" s="26">
        <v>15.099500000000001</v>
      </c>
      <c r="G3778" s="27">
        <v>0.25555555555555559</v>
      </c>
      <c r="J3778" s="30">
        <f>IF(G3778&lt;$H$10,$H$16,IF(G3778&gt;$I$10,$H$16,$H$11))*E3778/600</f>
        <v>5.0331666666666667E-3</v>
      </c>
      <c r="L3778" s="32">
        <f>$J3778*($G3778-$G3777)*60*24</f>
        <v>5.0331666666670518E-3</v>
      </c>
    </row>
    <row r="3779" spans="1:12">
      <c r="A3779" s="22">
        <v>40313.256249999999</v>
      </c>
      <c r="E3779" s="26">
        <v>15.112629999999999</v>
      </c>
      <c r="G3779" s="27">
        <v>0.25625000000000003</v>
      </c>
      <c r="J3779" s="30">
        <f>IF(G3779&lt;$H$10,$H$16,IF(G3779&gt;$I$10,$H$16,$H$11))*E3779/600</f>
        <v>5.0375433333333334E-3</v>
      </c>
      <c r="L3779" s="32">
        <f>$J3779*($G3779-$G3778)*60*24</f>
        <v>5.0375433333333152E-3</v>
      </c>
    </row>
    <row r="3780" spans="1:12">
      <c r="A3780" s="22">
        <v>40313.256944444445</v>
      </c>
      <c r="E3780" s="26">
        <v>15.195959999999999</v>
      </c>
      <c r="G3780" s="27">
        <v>0.25694444444444448</v>
      </c>
      <c r="J3780" s="30">
        <f>IF(G3780&lt;$H$10,$H$16,IF(G3780&gt;$I$10,$H$16,$H$11))*E3780/600</f>
        <v>5.0653199999999999E-3</v>
      </c>
      <c r="L3780" s="32">
        <f>$J3780*($G3780-$G3779)*60*24</f>
        <v>5.0653199999999817E-3</v>
      </c>
    </row>
    <row r="3781" spans="1:12">
      <c r="A3781" s="22">
        <v>40313.257638888892</v>
      </c>
      <c r="E3781" s="26">
        <v>15.07324</v>
      </c>
      <c r="G3781" s="27">
        <v>0.25763888888888892</v>
      </c>
      <c r="J3781" s="30">
        <f>IF(G3781&lt;$H$10,$H$16,IF(G3781&gt;$I$10,$H$16,$H$11))*E3781/600</f>
        <v>5.0244133333333333E-3</v>
      </c>
      <c r="L3781" s="32">
        <f>$J3781*($G3781-$G3780)*60*24</f>
        <v>5.024413333333316E-3</v>
      </c>
    </row>
    <row r="3782" spans="1:12">
      <c r="A3782" s="22">
        <v>40313.258333333331</v>
      </c>
      <c r="E3782" s="26">
        <v>15.249000000000001</v>
      </c>
      <c r="G3782" s="27">
        <v>0.25833333333333336</v>
      </c>
      <c r="J3782" s="30">
        <f>IF(G3782&lt;$H$10,$H$16,IF(G3782&gt;$I$10,$H$16,$H$11))*E3782/600</f>
        <v>5.0830000000000007E-3</v>
      </c>
      <c r="L3782" s="32">
        <f>$J3782*($G3782-$G3781)*60*24</f>
        <v>5.0829999999999825E-3</v>
      </c>
    </row>
    <row r="3783" spans="1:12">
      <c r="A3783" s="22">
        <v>40313.259027777778</v>
      </c>
      <c r="E3783" s="26">
        <v>15.29541</v>
      </c>
      <c r="G3783" s="27">
        <v>0.2590277777777778</v>
      </c>
      <c r="J3783" s="30">
        <f>IF(G3783&lt;$H$10,$H$16,IF(G3783&gt;$I$10,$H$16,$H$11))*E3783/600</f>
        <v>5.0984699999999999E-3</v>
      </c>
      <c r="L3783" s="32">
        <f>$J3783*($G3783-$G3782)*60*24</f>
        <v>5.0984699999999817E-3</v>
      </c>
    </row>
    <row r="3784" spans="1:12">
      <c r="A3784" s="22">
        <v>40313.259722222225</v>
      </c>
      <c r="E3784" s="26">
        <v>15.222479999999999</v>
      </c>
      <c r="G3784" s="27">
        <v>0.25972222222222224</v>
      </c>
      <c r="J3784" s="30">
        <f>IF(G3784&lt;$H$10,$H$16,IF(G3784&gt;$I$10,$H$16,$H$11))*E3784/600</f>
        <v>5.0741600000000003E-3</v>
      </c>
      <c r="L3784" s="32">
        <f>$J3784*($G3784-$G3783)*60*24</f>
        <v>5.0741599999999821E-3</v>
      </c>
    </row>
    <row r="3785" spans="1:12">
      <c r="A3785" s="22">
        <v>40313.260416666664</v>
      </c>
      <c r="E3785" s="26">
        <v>14.994816</v>
      </c>
      <c r="G3785" s="27">
        <v>0.26041666666666669</v>
      </c>
      <c r="J3785" s="30">
        <f>IF(G3785&lt;$H$10,$H$16,IF(G3785&gt;$I$10,$H$16,$H$11))*E3785/600</f>
        <v>4.9982720000000007E-3</v>
      </c>
      <c r="L3785" s="32">
        <f>$J3785*($G3785-$G3784)*60*24</f>
        <v>4.9982719999999824E-3</v>
      </c>
    </row>
    <row r="3786" spans="1:12">
      <c r="A3786" s="22">
        <v>40313.261111111111</v>
      </c>
      <c r="E3786" s="26">
        <v>15.25563</v>
      </c>
      <c r="G3786" s="27">
        <v>0.26111111111111113</v>
      </c>
      <c r="J3786" s="30">
        <f>IF(G3786&lt;$H$10,$H$16,IF(G3786&gt;$I$10,$H$16,$H$11))*E3786/600</f>
        <v>5.0852099999999997E-3</v>
      </c>
      <c r="L3786" s="32">
        <f>$J3786*($G3786-$G3785)*60*24</f>
        <v>5.0852099999999824E-3</v>
      </c>
    </row>
    <row r="3787" spans="1:12">
      <c r="A3787" s="22">
        <v>40313.261805555558</v>
      </c>
      <c r="E3787" s="26">
        <v>15.23574</v>
      </c>
      <c r="G3787" s="27">
        <v>0.26180555555555557</v>
      </c>
      <c r="J3787" s="30">
        <f>IF(G3787&lt;$H$10,$H$16,IF(G3787&gt;$I$10,$H$16,$H$11))*E3787/600</f>
        <v>5.0785800000000001E-3</v>
      </c>
      <c r="L3787" s="32">
        <f>$J3787*($G3787-$G3786)*60*24</f>
        <v>5.0785799999999819E-3</v>
      </c>
    </row>
    <row r="3788" spans="1:12">
      <c r="A3788" s="22">
        <v>40313.262499999997</v>
      </c>
      <c r="E3788" s="26">
        <v>15.28215</v>
      </c>
      <c r="G3788" s="27">
        <v>0.26250000000000001</v>
      </c>
      <c r="J3788" s="30">
        <f>IF(G3788&lt;$H$10,$H$16,IF(G3788&gt;$I$10,$H$16,$H$11))*E3788/600</f>
        <v>5.0940500000000001E-3</v>
      </c>
      <c r="L3788" s="32">
        <f>$J3788*($G3788-$G3787)*60*24</f>
        <v>5.0940499999999819E-3</v>
      </c>
    </row>
    <row r="3789" spans="1:12">
      <c r="A3789" s="22">
        <v>40313.263194444444</v>
      </c>
      <c r="E3789" s="26">
        <v>15.268890000000001</v>
      </c>
      <c r="G3789" s="27">
        <v>0.26319444444444445</v>
      </c>
      <c r="J3789" s="30">
        <f>IF(G3789&lt;$H$10,$H$16,IF(G3789&gt;$I$10,$H$16,$H$11))*E3789/600</f>
        <v>5.0896300000000004E-3</v>
      </c>
      <c r="L3789" s="32">
        <f>$J3789*($G3789-$G3788)*60*24</f>
        <v>5.0896299999999822E-3</v>
      </c>
    </row>
    <row r="3790" spans="1:12">
      <c r="A3790" s="22">
        <v>40313.263888888891</v>
      </c>
      <c r="E3790" s="26">
        <v>15.25563</v>
      </c>
      <c r="G3790" s="27">
        <v>0.2638888888888889</v>
      </c>
      <c r="J3790" s="30">
        <f>IF(G3790&lt;$H$10,$H$16,IF(G3790&gt;$I$10,$H$16,$H$11))*E3790/600</f>
        <v>5.0852099999999997E-3</v>
      </c>
      <c r="L3790" s="32">
        <f>$J3790*($G3790-$G3789)*60*24</f>
        <v>5.0852099999999824E-3</v>
      </c>
    </row>
    <row r="3791" spans="1:12">
      <c r="A3791" s="22">
        <v>40313.26458333333</v>
      </c>
      <c r="E3791" s="26">
        <v>15.10392</v>
      </c>
      <c r="G3791" s="27">
        <v>0.26458333333333334</v>
      </c>
      <c r="J3791" s="30">
        <f>IF(G3791&lt;$H$10,$H$16,IF(G3791&gt;$I$10,$H$16,$H$11))*E3791/600</f>
        <v>5.0346400000000008E-3</v>
      </c>
      <c r="L3791" s="32">
        <f>$J3791*($G3791-$G3790)*60*24</f>
        <v>5.0346399999999835E-3</v>
      </c>
    </row>
    <row r="3792" spans="1:12">
      <c r="A3792" s="22">
        <v>40313.265277777777</v>
      </c>
      <c r="E3792" s="26">
        <v>14.963839999999999</v>
      </c>
      <c r="G3792" s="27">
        <v>0.26527777777777778</v>
      </c>
      <c r="J3792" s="30">
        <f>IF(G3792&lt;$H$10,$H$16,IF(G3792&gt;$I$10,$H$16,$H$11))*E3792/600</f>
        <v>4.9879466666666664E-3</v>
      </c>
      <c r="L3792" s="32">
        <f>$J3792*($G3792-$G3791)*60*24</f>
        <v>4.987946666666649E-3</v>
      </c>
    </row>
    <row r="3793" spans="1:12">
      <c r="A3793" s="22">
        <v>40313.265972222223</v>
      </c>
      <c r="E3793" s="26">
        <v>15.50562</v>
      </c>
      <c r="G3793" s="27">
        <v>0.26597222222222222</v>
      </c>
      <c r="J3793" s="30">
        <f>IF(G3793&lt;$H$10,$H$16,IF(G3793&gt;$I$10,$H$16,$H$11))*E3793/600</f>
        <v>5.168540000000001E-3</v>
      </c>
      <c r="L3793" s="32">
        <f>$J3793*($G3793-$G3792)*60*24</f>
        <v>5.1685399999999819E-3</v>
      </c>
    </row>
    <row r="3794" spans="1:12">
      <c r="A3794" s="22">
        <v>40313.26666666667</v>
      </c>
      <c r="E3794" s="26">
        <v>15.374969999999999</v>
      </c>
      <c r="G3794" s="27">
        <v>0.26666666666666666</v>
      </c>
      <c r="J3794" s="30">
        <f>IF(G3794&lt;$H$10,$H$16,IF(G3794&gt;$I$10,$H$16,$H$11))*E3794/600</f>
        <v>5.1249900000000003E-3</v>
      </c>
      <c r="L3794" s="32">
        <f>$J3794*($G3794-$G3793)*60*24</f>
        <v>5.1249899999999821E-3</v>
      </c>
    </row>
    <row r="3795" spans="1:12">
      <c r="A3795" s="22">
        <v>40313.267361111109</v>
      </c>
      <c r="E3795" s="26">
        <v>15.355079999999999</v>
      </c>
      <c r="G3795" s="27">
        <v>0.2673611111111111</v>
      </c>
      <c r="J3795" s="30">
        <f>IF(G3795&lt;$H$10,$H$16,IF(G3795&gt;$I$10,$H$16,$H$11))*E3795/600</f>
        <v>5.1183600000000006E-3</v>
      </c>
      <c r="L3795" s="32">
        <f>$J3795*($G3795-$G3794)*60*24</f>
        <v>5.1183599999999824E-3</v>
      </c>
    </row>
    <row r="3796" spans="1:12">
      <c r="A3796" s="22">
        <v>40313.268055555556</v>
      </c>
      <c r="E3796" s="26">
        <v>166.99033499999999</v>
      </c>
      <c r="G3796" s="27">
        <v>0.26805555555555555</v>
      </c>
      <c r="J3796" s="30">
        <f>IF(G3796&lt;$H$10,$H$16,IF(G3796&gt;$I$10,$H$16,$H$11))*E3796/600</f>
        <v>5.5663444999999999E-2</v>
      </c>
      <c r="L3796" s="32">
        <f>$J3796*($G3796-$G3795)*60*24</f>
        <v>5.5663444999999805E-2</v>
      </c>
    </row>
    <row r="3797" spans="1:12">
      <c r="A3797" s="22">
        <v>40313.268750000003</v>
      </c>
      <c r="E3797" s="26">
        <v>161.87197599999999</v>
      </c>
      <c r="G3797" s="27">
        <v>0.26874999999999999</v>
      </c>
      <c r="J3797" s="30">
        <f>IF(G3797&lt;$H$10,$H$16,IF(G3797&gt;$I$10,$H$16,$H$11))*E3797/600</f>
        <v>5.3957325333333334E-2</v>
      </c>
      <c r="L3797" s="32">
        <f>$J3797*($G3797-$G3796)*60*24</f>
        <v>5.3957325333333139E-2</v>
      </c>
    </row>
    <row r="3798" spans="1:12">
      <c r="A3798" s="22">
        <v>40313.269444444442</v>
      </c>
      <c r="E3798" s="26">
        <v>165.48141200000001</v>
      </c>
      <c r="G3798" s="27">
        <v>0.26944444444444443</v>
      </c>
      <c r="J3798" s="30">
        <f>IF(G3798&lt;$H$10,$H$16,IF(G3798&gt;$I$10,$H$16,$H$11))*E3798/600</f>
        <v>5.5160470666666669E-2</v>
      </c>
      <c r="L3798" s="32">
        <f>$J3798*($G3798-$G3797)*60*24</f>
        <v>5.5160470666666475E-2</v>
      </c>
    </row>
    <row r="3799" spans="1:12">
      <c r="A3799" s="22">
        <v>40313.270138888889</v>
      </c>
      <c r="E3799" s="26">
        <v>167.89080000000001</v>
      </c>
      <c r="G3799" s="27">
        <v>0.27013888888888887</v>
      </c>
      <c r="J3799" s="30">
        <f>IF(G3799&lt;$H$10,$H$16,IF(G3799&gt;$I$10,$H$16,$H$11))*E3799/600</f>
        <v>5.5963600000000009E-2</v>
      </c>
      <c r="L3799" s="32">
        <f>$J3799*($G3799-$G3798)*60*24</f>
        <v>5.5963599999999808E-2</v>
      </c>
    </row>
    <row r="3800" spans="1:12">
      <c r="A3800" s="22">
        <v>40313.270833333336</v>
      </c>
      <c r="E3800" s="26">
        <v>179.384073</v>
      </c>
      <c r="G3800" s="27">
        <v>0.27083333333333331</v>
      </c>
      <c r="J3800" s="30">
        <f>IF(G3800&lt;$H$10,$H$16,IF(G3800&gt;$I$10,$H$16,$H$11))*E3800/600</f>
        <v>5.9794691000000004E-2</v>
      </c>
      <c r="L3800" s="32">
        <f>$J3800*($G3800-$G3799)*60*24</f>
        <v>5.9794690999999789E-2</v>
      </c>
    </row>
    <row r="3801" spans="1:12">
      <c r="A3801" s="22">
        <v>40313.271527777775</v>
      </c>
      <c r="E3801" s="26">
        <v>165.45797400000001</v>
      </c>
      <c r="G3801" s="27">
        <v>0.27152777777777776</v>
      </c>
      <c r="J3801" s="30">
        <f>IF(G3801&lt;$H$10,$H$16,IF(G3801&gt;$I$10,$H$16,$H$11))*E3801/600</f>
        <v>5.5152658000000007E-2</v>
      </c>
      <c r="L3801" s="32">
        <f>$J3801*($G3801-$G3800)*60*24</f>
        <v>5.5152657999999813E-2</v>
      </c>
    </row>
    <row r="3802" spans="1:12">
      <c r="A3802" s="22">
        <v>40313.272222222222</v>
      </c>
      <c r="E3802" s="26">
        <v>158.300352</v>
      </c>
      <c r="G3802" s="27">
        <v>0.2722222222222222</v>
      </c>
      <c r="J3802" s="30">
        <f>IF(G3802&lt;$H$10,$H$16,IF(G3802&gt;$I$10,$H$16,$H$11))*E3802/600</f>
        <v>5.2766784000000004E-2</v>
      </c>
      <c r="L3802" s="32">
        <f>$J3802*($G3802-$G3801)*60*24</f>
        <v>5.2766783999999824E-2</v>
      </c>
    </row>
    <row r="3803" spans="1:12">
      <c r="A3803" s="22">
        <v>40313.272916666669</v>
      </c>
      <c r="E3803" s="26">
        <v>158.788872</v>
      </c>
      <c r="G3803" s="27">
        <v>0.27291666666666664</v>
      </c>
      <c r="J3803" s="30">
        <f>IF(G3803&lt;$H$10,$H$16,IF(G3803&gt;$I$10,$H$16,$H$11))*E3803/600</f>
        <v>5.2929624000000002E-2</v>
      </c>
      <c r="L3803" s="32">
        <f>$J3803*($G3803-$G3802)*60*24</f>
        <v>5.2929623999999814E-2</v>
      </c>
    </row>
    <row r="3804" spans="1:12">
      <c r="A3804" s="22">
        <v>40313.273611111108</v>
      </c>
      <c r="E3804" s="26">
        <v>158.37045599999999</v>
      </c>
      <c r="G3804" s="27">
        <v>0.27361111111111108</v>
      </c>
      <c r="J3804" s="30">
        <f>IF(G3804&lt;$H$10,$H$16,IF(G3804&gt;$I$10,$H$16,$H$11))*E3804/600</f>
        <v>5.2790152E-2</v>
      </c>
      <c r="L3804" s="32">
        <f>$J3804*($G3804-$G3803)*60*24</f>
        <v>5.2790151999999813E-2</v>
      </c>
    </row>
    <row r="3805" spans="1:12">
      <c r="A3805" s="22">
        <v>40313.274305555555</v>
      </c>
      <c r="E3805" s="26">
        <v>155.45644799999999</v>
      </c>
      <c r="G3805" s="27">
        <v>0.27430555555555552</v>
      </c>
      <c r="J3805" s="30">
        <f>IF(G3805&lt;$H$10,$H$16,IF(G3805&gt;$I$10,$H$16,$H$11))*E3805/600</f>
        <v>5.1818815999999997E-2</v>
      </c>
      <c r="L3805" s="32">
        <f>$J3805*($G3805-$G3804)*60*24</f>
        <v>5.1818815999999816E-2</v>
      </c>
    </row>
    <row r="3806" spans="1:12">
      <c r="A3806" s="22">
        <v>40313.275000000001</v>
      </c>
      <c r="E3806" s="26">
        <v>156.770208</v>
      </c>
      <c r="G3806" s="27">
        <v>0.27499999999999997</v>
      </c>
      <c r="J3806" s="30">
        <f>IF(G3806&lt;$H$10,$H$16,IF(G3806&gt;$I$10,$H$16,$H$11))*E3806/600</f>
        <v>5.2256736000000005E-2</v>
      </c>
      <c r="L3806" s="32">
        <f>$J3806*($G3806-$G3805)*60*24</f>
        <v>5.2256735999999818E-2</v>
      </c>
    </row>
    <row r="3807" spans="1:12">
      <c r="A3807" s="22">
        <v>40313.275694444441</v>
      </c>
      <c r="E3807" s="26">
        <v>156.76284799999999</v>
      </c>
      <c r="G3807" s="27">
        <v>0.27569444444444446</v>
      </c>
      <c r="J3807" s="30">
        <f>IF(G3807&lt;$H$10,$H$16,IF(G3807&gt;$I$10,$H$16,$H$11))*E3807/600</f>
        <v>5.2254282666666665E-2</v>
      </c>
      <c r="L3807" s="32">
        <f>$J3807*($G3807-$G3806)*60*24</f>
        <v>5.2254282666670662E-2</v>
      </c>
    </row>
    <row r="3808" spans="1:12">
      <c r="A3808" s="22">
        <v>40313.276388888888</v>
      </c>
      <c r="E3808" s="26">
        <v>155.09129999999999</v>
      </c>
      <c r="G3808" s="27">
        <v>0.27638888888888885</v>
      </c>
      <c r="J3808" s="30">
        <f>IF(G3808&lt;$H$10,$H$16,IF(G3808&gt;$I$10,$H$16,$H$11))*E3808/600</f>
        <v>5.1697099999999996E-2</v>
      </c>
      <c r="L3808" s="32">
        <f>$J3808*($G3808-$G3807)*60*24</f>
        <v>5.169709999999568E-2</v>
      </c>
    </row>
    <row r="3809" spans="1:12">
      <c r="A3809" s="22">
        <v>40313.277083333334</v>
      </c>
      <c r="E3809" s="26">
        <v>153.32589999999999</v>
      </c>
      <c r="G3809" s="27">
        <v>0.27708333333333335</v>
      </c>
      <c r="J3809" s="30">
        <f>IF(G3809&lt;$H$10,$H$16,IF(G3809&gt;$I$10,$H$16,$H$11))*E3809/600</f>
        <v>5.1108633333333334E-2</v>
      </c>
      <c r="L3809" s="32">
        <f>$J3809*($G3809-$G3808)*60*24</f>
        <v>5.110863333333724E-2</v>
      </c>
    </row>
    <row r="3810" spans="1:12">
      <c r="A3810" s="22">
        <v>40313.277777777781</v>
      </c>
      <c r="E3810" s="26">
        <v>152.92367999999999</v>
      </c>
      <c r="G3810" s="27">
        <v>0.27777777777777779</v>
      </c>
      <c r="J3810" s="30">
        <f>IF(G3810&lt;$H$10,$H$16,IF(G3810&gt;$I$10,$H$16,$H$11))*E3810/600</f>
        <v>5.0974560000000002E-2</v>
      </c>
      <c r="L3810" s="32">
        <f>$J3810*($G3810-$G3809)*60*24</f>
        <v>5.0974559999999822E-2</v>
      </c>
    </row>
    <row r="3811" spans="1:12">
      <c r="A3811" s="22">
        <v>40313.27847222222</v>
      </c>
      <c r="E3811" s="26">
        <v>153.02159599999999</v>
      </c>
      <c r="G3811" s="27">
        <v>0.27847222222222223</v>
      </c>
      <c r="J3811" s="30">
        <f>IF(G3811&lt;$H$10,$H$16,IF(G3811&gt;$I$10,$H$16,$H$11))*E3811/600</f>
        <v>5.1007198666666663E-2</v>
      </c>
      <c r="L3811" s="32">
        <f>$J3811*($G3811-$G3810)*60*24</f>
        <v>5.1007198666666476E-2</v>
      </c>
    </row>
    <row r="3812" spans="1:12">
      <c r="A3812" s="22">
        <v>40313.279166666667</v>
      </c>
      <c r="E3812" s="26">
        <v>153.00421499999999</v>
      </c>
      <c r="G3812" s="27">
        <v>0.27916666666666667</v>
      </c>
      <c r="J3812" s="30">
        <f>IF(G3812&lt;$H$10,$H$16,IF(G3812&gt;$I$10,$H$16,$H$11))*E3812/600</f>
        <v>5.1001404999999993E-2</v>
      </c>
      <c r="L3812" s="32">
        <f>$J3812*($G3812-$G3811)*60*24</f>
        <v>5.1001404999999819E-2</v>
      </c>
    </row>
    <row r="3813" spans="1:12">
      <c r="A3813" s="22">
        <v>40313.279861111114</v>
      </c>
      <c r="E3813" s="26">
        <v>161.08657199999999</v>
      </c>
      <c r="G3813" s="27">
        <v>0.27986111111111112</v>
      </c>
      <c r="J3813" s="30">
        <f>IF(G3813&lt;$H$10,$H$16,IF(G3813&gt;$I$10,$H$16,$H$11))*E3813/600</f>
        <v>5.3695524000000001E-2</v>
      </c>
      <c r="L3813" s="32">
        <f>$J3813*($G3813-$G3812)*60*24</f>
        <v>5.36955239999998E-2</v>
      </c>
    </row>
    <row r="3814" spans="1:12">
      <c r="A3814" s="22">
        <v>40313.280555555553</v>
      </c>
      <c r="E3814" s="26">
        <v>173.14442399999999</v>
      </c>
      <c r="G3814" s="27">
        <v>0.28055555555555556</v>
      </c>
      <c r="J3814" s="30">
        <f>IF(G3814&lt;$H$10,$H$16,IF(G3814&gt;$I$10,$H$16,$H$11))*E3814/600</f>
        <v>5.7714807999999999E-2</v>
      </c>
      <c r="L3814" s="32">
        <f>$J3814*($G3814-$G3813)*60*24</f>
        <v>5.7714807999999784E-2</v>
      </c>
    </row>
    <row r="3815" spans="1:12">
      <c r="A3815" s="22">
        <v>40313.28125</v>
      </c>
      <c r="E3815" s="26">
        <v>174.741792</v>
      </c>
      <c r="G3815" s="27">
        <v>0.28125</v>
      </c>
      <c r="J3815" s="30">
        <f>IF(G3815&lt;$H$10,$H$16,IF(G3815&gt;$I$10,$H$16,$H$11))*E3815/600</f>
        <v>5.8247264000000007E-2</v>
      </c>
      <c r="L3815" s="32">
        <f>$J3815*($G3815-$G3814)*60*24</f>
        <v>5.8247263999999799E-2</v>
      </c>
    </row>
    <row r="3816" spans="1:12">
      <c r="A3816" s="22">
        <v>40313.281944444447</v>
      </c>
      <c r="E3816" s="26">
        <v>158.84250800000001</v>
      </c>
      <c r="G3816" s="27">
        <v>0.28194444444444444</v>
      </c>
      <c r="J3816" s="30">
        <f>IF(G3816&lt;$H$10,$H$16,IF(G3816&gt;$I$10,$H$16,$H$11))*E3816/600</f>
        <v>5.2947502666666674E-2</v>
      </c>
      <c r="L3816" s="32">
        <f>$J3816*($G3816-$G3815)*60*24</f>
        <v>5.2947502666666493E-2</v>
      </c>
    </row>
    <row r="3817" spans="1:12">
      <c r="A3817" s="22">
        <v>40313.282638888886</v>
      </c>
      <c r="E3817" s="26">
        <v>156.03245999999999</v>
      </c>
      <c r="G3817" s="27">
        <v>0.28263888888888888</v>
      </c>
      <c r="J3817" s="30">
        <f>IF(G3817&lt;$H$10,$H$16,IF(G3817&gt;$I$10,$H$16,$H$11))*E3817/600</f>
        <v>5.2010819999999992E-2</v>
      </c>
      <c r="L3817" s="32">
        <f>$J3817*($G3817-$G3816)*60*24</f>
        <v>5.2010819999999805E-2</v>
      </c>
    </row>
    <row r="3818" spans="1:12">
      <c r="A3818" s="22">
        <v>40313.283333333333</v>
      </c>
      <c r="E3818" s="26">
        <v>154.49587600000001</v>
      </c>
      <c r="G3818" s="27">
        <v>0.28333333333333333</v>
      </c>
      <c r="J3818" s="30">
        <f>IF(G3818&lt;$H$10,$H$16,IF(G3818&gt;$I$10,$H$16,$H$11))*E3818/600</f>
        <v>5.1498625333333339E-2</v>
      </c>
      <c r="L3818" s="32">
        <f>$J3818*($G3818-$G3817)*60*24</f>
        <v>5.1498625333333159E-2</v>
      </c>
    </row>
    <row r="3819" spans="1:12">
      <c r="A3819" s="22">
        <v>40313.28402777778</v>
      </c>
      <c r="E3819" s="26">
        <v>154.58649600000001</v>
      </c>
      <c r="G3819" s="27">
        <v>0.28402777777777777</v>
      </c>
      <c r="J3819" s="30">
        <f>IF(G3819&lt;$H$10,$H$16,IF(G3819&gt;$I$10,$H$16,$H$11))*E3819/600</f>
        <v>5.1528832000000004E-2</v>
      </c>
      <c r="L3819" s="32">
        <f>$J3819*($G3819-$G3818)*60*24</f>
        <v>5.1528831999999823E-2</v>
      </c>
    </row>
    <row r="3820" spans="1:12">
      <c r="A3820" s="22">
        <v>40313.284722222219</v>
      </c>
      <c r="E3820" s="26">
        <v>155.24972399999999</v>
      </c>
      <c r="G3820" s="27">
        <v>0.28472222222222221</v>
      </c>
      <c r="J3820" s="30">
        <f>IF(G3820&lt;$H$10,$H$16,IF(G3820&gt;$I$10,$H$16,$H$11))*E3820/600</f>
        <v>5.1749907999999997E-2</v>
      </c>
      <c r="L3820" s="32">
        <f>$J3820*($G3820-$G3819)*60*24</f>
        <v>5.1749907999999817E-2</v>
      </c>
    </row>
    <row r="3821" spans="1:12">
      <c r="A3821" s="22">
        <v>40313.285416666666</v>
      </c>
      <c r="E3821" s="26">
        <v>154.072768</v>
      </c>
      <c r="G3821" s="27">
        <v>0.28541666666666665</v>
      </c>
      <c r="J3821" s="30">
        <f>IF(G3821&lt;$H$10,$H$16,IF(G3821&gt;$I$10,$H$16,$H$11))*E3821/600</f>
        <v>5.1357589333333335E-2</v>
      </c>
      <c r="L3821" s="32">
        <f>$J3821*($G3821-$G3820)*60*24</f>
        <v>5.1357589333333148E-2</v>
      </c>
    </row>
    <row r="3822" spans="1:12">
      <c r="A3822" s="22">
        <v>40313.286111111112</v>
      </c>
      <c r="E3822" s="26">
        <v>154.41316800000001</v>
      </c>
      <c r="G3822" s="27">
        <v>0.28611111111111115</v>
      </c>
      <c r="J3822" s="30">
        <f>IF(G3822&lt;$H$10,$H$16,IF(G3822&gt;$I$10,$H$16,$H$11))*E3822/600</f>
        <v>5.1471056000000008E-2</v>
      </c>
      <c r="L3822" s="32">
        <f>$J3822*($G3822-$G3821)*60*24</f>
        <v>5.1471056000003942E-2</v>
      </c>
    </row>
    <row r="3823" spans="1:12">
      <c r="A3823" s="22">
        <v>40313.286805555559</v>
      </c>
      <c r="E3823" s="26">
        <v>158.090868</v>
      </c>
      <c r="G3823" s="27">
        <v>0.28680555555555554</v>
      </c>
      <c r="J3823" s="30">
        <f>IF(G3823&lt;$H$10,$H$16,IF(G3823&gt;$I$10,$H$16,$H$11))*E3823/600</f>
        <v>5.2696956000000003E-2</v>
      </c>
      <c r="L3823" s="32">
        <f>$J3823*($G3823-$G3822)*60*24</f>
        <v>5.2696955999995604E-2</v>
      </c>
    </row>
    <row r="3824" spans="1:12">
      <c r="A3824" s="22">
        <v>40313.287499999999</v>
      </c>
      <c r="E3824" s="26">
        <v>155.61018000000001</v>
      </c>
      <c r="G3824" s="27">
        <v>0.28750000000000003</v>
      </c>
      <c r="J3824" s="30">
        <f>IF(G3824&lt;$H$10,$H$16,IF(G3824&gt;$I$10,$H$16,$H$11))*E3824/600</f>
        <v>5.1870060000000009E-2</v>
      </c>
      <c r="L3824" s="32">
        <f>$J3824*($G3824-$G3823)*60*24</f>
        <v>5.1870060000003965E-2</v>
      </c>
    </row>
    <row r="3825" spans="1:12">
      <c r="A3825" s="22">
        <v>40313.288194444445</v>
      </c>
      <c r="E3825" s="26">
        <v>157.04344800000001</v>
      </c>
      <c r="G3825" s="27">
        <v>0.28819444444444448</v>
      </c>
      <c r="J3825" s="30">
        <f>IF(G3825&lt;$H$10,$H$16,IF(G3825&gt;$I$10,$H$16,$H$11))*E3825/600</f>
        <v>5.2347816000000005E-2</v>
      </c>
      <c r="L3825" s="32">
        <f>$J3825*($G3825-$G3824)*60*24</f>
        <v>5.2347815999999818E-2</v>
      </c>
    </row>
    <row r="3826" spans="1:12">
      <c r="A3826" s="22">
        <v>40313.288888888892</v>
      </c>
      <c r="E3826" s="26">
        <v>157.35772</v>
      </c>
      <c r="G3826" s="27">
        <v>0.28888888888888892</v>
      </c>
      <c r="J3826" s="30">
        <f>IF(G3826&lt;$H$10,$H$16,IF(G3826&gt;$I$10,$H$16,$H$11))*E3826/600</f>
        <v>5.2452573333333335E-2</v>
      </c>
      <c r="L3826" s="32">
        <f>$J3826*($G3826-$G3825)*60*24</f>
        <v>5.2452573333333155E-2</v>
      </c>
    </row>
    <row r="3827" spans="1:12">
      <c r="A3827" s="22">
        <v>40313.289583333331</v>
      </c>
      <c r="E3827" s="26">
        <v>156.46108799999999</v>
      </c>
      <c r="G3827" s="27">
        <v>0.28958333333333336</v>
      </c>
      <c r="J3827" s="30">
        <f>IF(G3827&lt;$H$10,$H$16,IF(G3827&gt;$I$10,$H$16,$H$11))*E3827/600</f>
        <v>5.2153695999999999E-2</v>
      </c>
      <c r="L3827" s="32">
        <f>$J3827*($G3827-$G3826)*60*24</f>
        <v>5.2153695999999819E-2</v>
      </c>
    </row>
    <row r="3828" spans="1:12">
      <c r="A3828" s="22">
        <v>40313.290277777778</v>
      </c>
      <c r="E3828" s="26">
        <v>155.09718799999999</v>
      </c>
      <c r="G3828" s="27">
        <v>0.2902777777777778</v>
      </c>
      <c r="J3828" s="30">
        <f>IF(G3828&lt;$H$10,$H$16,IF(G3828&gt;$I$10,$H$16,$H$11))*E3828/600</f>
        <v>5.1699062666666663E-2</v>
      </c>
      <c r="L3828" s="32">
        <f>$J3828*($G3828-$G3827)*60*24</f>
        <v>5.169906266666649E-2</v>
      </c>
    </row>
    <row r="3829" spans="1:12">
      <c r="A3829" s="22">
        <v>40313.290972222225</v>
      </c>
      <c r="E3829" s="26">
        <v>155.28661600000001</v>
      </c>
      <c r="G3829" s="27">
        <v>0.29097222222222224</v>
      </c>
      <c r="J3829" s="30">
        <f>IF(G3829&lt;$H$10,$H$16,IF(G3829&gt;$I$10,$H$16,$H$11))*E3829/600</f>
        <v>5.1762205333333339E-2</v>
      </c>
      <c r="L3829" s="32">
        <f>$J3829*($G3829-$G3828)*60*24</f>
        <v>5.1762205333333158E-2</v>
      </c>
    </row>
    <row r="3830" spans="1:12">
      <c r="A3830" s="22">
        <v>40313.291666666664</v>
      </c>
      <c r="E3830" s="26">
        <v>156.17321999999999</v>
      </c>
      <c r="G3830" s="27">
        <v>0.29166666666666669</v>
      </c>
      <c r="J3830" s="30">
        <f>IF(G3830&lt;$H$10,$H$16,IF(G3830&gt;$I$10,$H$16,$H$11))*E3830/600</f>
        <v>5.2057739999999998E-2</v>
      </c>
      <c r="L3830" s="32">
        <f>$J3830*($G3830-$G3829)*60*24</f>
        <v>5.2057739999999811E-2</v>
      </c>
    </row>
    <row r="3831" spans="1:12">
      <c r="A3831" s="22">
        <v>40313.292361111111</v>
      </c>
      <c r="E3831" s="26">
        <v>156.89201600000001</v>
      </c>
      <c r="G3831" s="27">
        <v>0.29236111111111113</v>
      </c>
      <c r="J3831" s="30">
        <f>IF(G3831&lt;$H$10,$H$16,IF(G3831&gt;$I$10,$H$16,$H$11))*E3831/600</f>
        <v>5.2297338666666672E-2</v>
      </c>
      <c r="L3831" s="32">
        <f>$J3831*($G3831-$G3830)*60*24</f>
        <v>5.2297338666666485E-2</v>
      </c>
    </row>
    <row r="3832" spans="1:12">
      <c r="A3832" s="22">
        <v>40313.293055555558</v>
      </c>
      <c r="E3832" s="26">
        <v>169.91929500000001</v>
      </c>
      <c r="G3832" s="27">
        <v>0.29305555555555557</v>
      </c>
      <c r="J3832" s="30">
        <f>IF(G3832&lt;$H$10,$H$16,IF(G3832&gt;$I$10,$H$16,$H$11))*E3832/600</f>
        <v>5.6639765000000002E-2</v>
      </c>
      <c r="L3832" s="32">
        <f>$J3832*($G3832-$G3831)*60*24</f>
        <v>5.6639764999999793E-2</v>
      </c>
    </row>
    <row r="3833" spans="1:12">
      <c r="A3833" s="22">
        <v>40313.293749999997</v>
      </c>
      <c r="E3833" s="26">
        <v>165.961432</v>
      </c>
      <c r="G3833" s="27">
        <v>0.29375000000000001</v>
      </c>
      <c r="J3833" s="30">
        <f>IF(G3833&lt;$H$10,$H$16,IF(G3833&gt;$I$10,$H$16,$H$11))*E3833/600</f>
        <v>5.5320477333333333E-2</v>
      </c>
      <c r="L3833" s="32">
        <f>$J3833*($G3833-$G3832)*60*24</f>
        <v>5.5320477333333132E-2</v>
      </c>
    </row>
    <row r="3834" spans="1:12">
      <c r="A3834" s="22">
        <v>40313.294444444444</v>
      </c>
      <c r="E3834" s="26">
        <v>162.44712000000001</v>
      </c>
      <c r="G3834" s="27">
        <v>0.29444444444444445</v>
      </c>
      <c r="J3834" s="30">
        <f>IF(G3834&lt;$H$10,$H$16,IF(G3834&gt;$I$10,$H$16,$H$11))*E3834/600</f>
        <v>5.4149040000000009E-2</v>
      </c>
      <c r="L3834" s="32">
        <f>$J3834*($G3834-$G3833)*60*24</f>
        <v>5.4149039999999815E-2</v>
      </c>
    </row>
    <row r="3835" spans="1:12">
      <c r="A3835" s="22">
        <v>40313.295138888891</v>
      </c>
      <c r="E3835" s="26">
        <v>163.63485</v>
      </c>
      <c r="G3835" s="27">
        <v>0.2951388888888889</v>
      </c>
      <c r="J3835" s="30">
        <f>IF(G3835&lt;$H$10,$H$16,IF(G3835&gt;$I$10,$H$16,$H$11))*E3835/600</f>
        <v>5.4544950000000002E-2</v>
      </c>
      <c r="L3835" s="32">
        <f>$J3835*($G3835-$G3834)*60*24</f>
        <v>5.4544949999999801E-2</v>
      </c>
    </row>
    <row r="3836" spans="1:12">
      <c r="A3836" s="22">
        <v>40313.29583333333</v>
      </c>
      <c r="E3836" s="26">
        <v>158.07744</v>
      </c>
      <c r="G3836" s="27">
        <v>0.29583333333333334</v>
      </c>
      <c r="J3836" s="30">
        <f>IF(G3836&lt;$H$10,$H$16,IF(G3836&gt;$I$10,$H$16,$H$11))*E3836/600</f>
        <v>5.269248E-2</v>
      </c>
      <c r="L3836" s="32">
        <f>$J3836*($G3836-$G3835)*60*24</f>
        <v>5.2692479999999806E-2</v>
      </c>
    </row>
    <row r="3837" spans="1:12">
      <c r="A3837" s="22">
        <v>40313.296527777777</v>
      </c>
      <c r="E3837" s="26">
        <v>165.35064</v>
      </c>
      <c r="G3837" s="27">
        <v>0.29652777777777778</v>
      </c>
      <c r="J3837" s="30">
        <f>IF(G3837&lt;$H$10,$H$16,IF(G3837&gt;$I$10,$H$16,$H$11))*E3837/600</f>
        <v>5.5116880000000007E-2</v>
      </c>
      <c r="L3837" s="32">
        <f>$J3837*($G3837-$G3836)*60*24</f>
        <v>5.5116879999999806E-2</v>
      </c>
    </row>
    <row r="3838" spans="1:12">
      <c r="A3838" s="22">
        <v>40313.297222222223</v>
      </c>
      <c r="E3838" s="26">
        <v>163.449195</v>
      </c>
      <c r="G3838" s="27">
        <v>0.29722222222222222</v>
      </c>
      <c r="J3838" s="30">
        <f>IF(G3838&lt;$H$10,$H$16,IF(G3838&gt;$I$10,$H$16,$H$11))*E3838/600</f>
        <v>5.4483064999999997E-2</v>
      </c>
      <c r="L3838" s="32">
        <f>$J3838*($G3838-$G3837)*60*24</f>
        <v>5.4483064999999803E-2</v>
      </c>
    </row>
    <row r="3839" spans="1:12">
      <c r="A3839" s="22">
        <v>40313.29791666667</v>
      </c>
      <c r="E3839" s="26">
        <v>162.28566000000001</v>
      </c>
      <c r="G3839" s="27">
        <v>0.29791666666666666</v>
      </c>
      <c r="J3839" s="30">
        <f>IF(G3839&lt;$H$10,$H$16,IF(G3839&gt;$I$10,$H$16,$H$11))*E3839/600</f>
        <v>5.4095219999999999E-2</v>
      </c>
      <c r="L3839" s="32">
        <f>$J3839*($G3839-$G3838)*60*24</f>
        <v>5.4095219999999805E-2</v>
      </c>
    </row>
    <row r="3840" spans="1:12">
      <c r="A3840" s="22">
        <v>40313.298611111109</v>
      </c>
      <c r="E3840" s="26">
        <v>160.43832</v>
      </c>
      <c r="G3840" s="27">
        <v>0.2986111111111111</v>
      </c>
      <c r="J3840" s="30">
        <f>IF(G3840&lt;$H$10,$H$16,IF(G3840&gt;$I$10,$H$16,$H$11))*E3840/600</f>
        <v>5.3479440000000003E-2</v>
      </c>
      <c r="L3840" s="32">
        <f>$J3840*($G3840-$G3839)*60*24</f>
        <v>5.3479439999999809E-2</v>
      </c>
    </row>
    <row r="3841" spans="1:12">
      <c r="A3841" s="22">
        <v>40313.299305555556</v>
      </c>
      <c r="E3841" s="26">
        <v>159.60826700000001</v>
      </c>
      <c r="G3841" s="27">
        <v>0.29930555555555555</v>
      </c>
      <c r="J3841" s="30">
        <f>IF(G3841&lt;$H$10,$H$16,IF(G3841&gt;$I$10,$H$16,$H$11))*E3841/600</f>
        <v>5.3202755666666671E-2</v>
      </c>
      <c r="L3841" s="32">
        <f>$J3841*($G3841-$G3840)*60*24</f>
        <v>5.3202755666666476E-2</v>
      </c>
    </row>
    <row r="3842" spans="1:12">
      <c r="A3842" s="22">
        <v>40313.300000000003</v>
      </c>
      <c r="E3842" s="26">
        <v>159.380312</v>
      </c>
      <c r="G3842" s="27">
        <v>0.3</v>
      </c>
      <c r="J3842" s="30">
        <f>IF(G3842&lt;$H$10,$H$16,IF(G3842&gt;$I$10,$H$16,$H$11))*E3842/600</f>
        <v>5.312677066666667E-2</v>
      </c>
      <c r="L3842" s="32">
        <f>$J3842*($G3842-$G3841)*60*24</f>
        <v>5.312677066666649E-2</v>
      </c>
    </row>
    <row r="3843" spans="1:12">
      <c r="A3843" s="22">
        <v>40313.300694444442</v>
      </c>
      <c r="E3843" s="26">
        <v>162.131788</v>
      </c>
      <c r="G3843" s="27">
        <v>0.30069444444444443</v>
      </c>
      <c r="J3843" s="30">
        <f>IF(G3843&lt;$H$10,$H$16,IF(G3843&gt;$I$10,$H$16,$H$11))*E3843/600</f>
        <v>5.4043929333333338E-2</v>
      </c>
      <c r="L3843" s="32">
        <f>$J3843*($G3843-$G3842)*60*24</f>
        <v>5.4043929333333143E-2</v>
      </c>
    </row>
    <row r="3844" spans="1:12">
      <c r="A3844" s="22">
        <v>40313.301388888889</v>
      </c>
      <c r="E3844" s="26">
        <v>161.046886</v>
      </c>
      <c r="G3844" s="27">
        <v>0.30138888888888887</v>
      </c>
      <c r="J3844" s="30">
        <f>IF(G3844&lt;$H$10,$H$16,IF(G3844&gt;$I$10,$H$16,$H$11))*E3844/600</f>
        <v>5.3682295333333331E-2</v>
      </c>
      <c r="L3844" s="32">
        <f>$J3844*($G3844-$G3843)*60*24</f>
        <v>5.3682295333333144E-2</v>
      </c>
    </row>
    <row r="3845" spans="1:12">
      <c r="A3845" s="22">
        <v>40313.302083333336</v>
      </c>
      <c r="E3845" s="26">
        <v>164.28248199999999</v>
      </c>
      <c r="G3845" s="27">
        <v>0.30208333333333331</v>
      </c>
      <c r="J3845" s="30">
        <f>IF(G3845&lt;$H$10,$H$16,IF(G3845&gt;$I$10,$H$16,$H$11))*E3845/600</f>
        <v>5.4760827333333331E-2</v>
      </c>
      <c r="L3845" s="32">
        <f>$J3845*($G3845-$G3844)*60*24</f>
        <v>5.4760827333333144E-2</v>
      </c>
    </row>
    <row r="3846" spans="1:12">
      <c r="A3846" s="22">
        <v>40313.302777777775</v>
      </c>
      <c r="E3846" s="26">
        <v>172.17763199999999</v>
      </c>
      <c r="G3846" s="27">
        <v>0.30277777777777776</v>
      </c>
      <c r="J3846" s="30">
        <f>IF(G3846&lt;$H$10,$H$16,IF(G3846&gt;$I$10,$H$16,$H$11))*E3846/600</f>
        <v>5.7392544000000004E-2</v>
      </c>
      <c r="L3846" s="32">
        <f>$J3846*($G3846-$G3845)*60*24</f>
        <v>5.7392543999999796E-2</v>
      </c>
    </row>
    <row r="3847" spans="1:12">
      <c r="A3847" s="22">
        <v>40313.303472222222</v>
      </c>
      <c r="E3847" s="26">
        <v>167.94140999999999</v>
      </c>
      <c r="G3847" s="27">
        <v>0.3034722222222222</v>
      </c>
      <c r="J3847" s="30">
        <f>IF(G3847&lt;$H$10,$H$16,IF(G3847&gt;$I$10,$H$16,$H$11))*E3847/600</f>
        <v>5.5980469999999997E-2</v>
      </c>
      <c r="L3847" s="32">
        <f>$J3847*($G3847-$G3846)*60*24</f>
        <v>5.5980469999999803E-2</v>
      </c>
    </row>
    <row r="3848" spans="1:12">
      <c r="A3848" s="22">
        <v>40313.304166666669</v>
      </c>
      <c r="E3848" s="26">
        <v>167.46489199999999</v>
      </c>
      <c r="G3848" s="27">
        <v>0.30416666666666664</v>
      </c>
      <c r="J3848" s="30">
        <f>IF(G3848&lt;$H$10,$H$16,IF(G3848&gt;$I$10,$H$16,$H$11))*E3848/600</f>
        <v>5.5821630666666663E-2</v>
      </c>
      <c r="L3848" s="32">
        <f>$J3848*($G3848-$G3847)*60*24</f>
        <v>5.5821630666666455E-2</v>
      </c>
    </row>
    <row r="3849" spans="1:12">
      <c r="A3849" s="22">
        <v>40313.304861111108</v>
      </c>
      <c r="E3849" s="26">
        <v>169.09466</v>
      </c>
      <c r="G3849" s="27">
        <v>0.30486111111111108</v>
      </c>
      <c r="J3849" s="30">
        <f>IF(G3849&lt;$H$10,$H$16,IF(G3849&gt;$I$10,$H$16,$H$11))*E3849/600</f>
        <v>5.6364886666666676E-2</v>
      </c>
      <c r="L3849" s="32">
        <f>$J3849*($G3849-$G3848)*60*24</f>
        <v>5.6364886666666475E-2</v>
      </c>
    </row>
    <row r="3850" spans="1:12">
      <c r="A3850" s="22">
        <v>40313.305555555555</v>
      </c>
      <c r="E3850" s="26">
        <v>168.93552800000001</v>
      </c>
      <c r="G3850" s="27">
        <v>0.30555555555555552</v>
      </c>
      <c r="J3850" s="30">
        <f>IF(G3850&lt;$H$10,$H$16,IF(G3850&gt;$I$10,$H$16,$H$11))*E3850/600</f>
        <v>5.6311842666666674E-2</v>
      </c>
      <c r="L3850" s="32">
        <f>$J3850*($G3850-$G3849)*60*24</f>
        <v>5.6311842666666473E-2</v>
      </c>
    </row>
    <row r="3851" spans="1:12">
      <c r="A3851" s="22">
        <v>40313.306250000001</v>
      </c>
      <c r="E3851" s="26">
        <v>165.695661</v>
      </c>
      <c r="G3851" s="27">
        <v>0.30624999999999997</v>
      </c>
      <c r="J3851" s="30">
        <f>IF(G3851&lt;$H$10,$H$16,IF(G3851&gt;$I$10,$H$16,$H$11))*E3851/600</f>
        <v>5.5231887E-2</v>
      </c>
      <c r="L3851" s="32">
        <f>$J3851*($G3851-$G3850)*60*24</f>
        <v>5.5231886999999799E-2</v>
      </c>
    </row>
    <row r="3852" spans="1:12">
      <c r="A3852" s="22">
        <v>40313.306944444441</v>
      </c>
      <c r="E3852" s="26">
        <v>158.21729999999999</v>
      </c>
      <c r="G3852" s="27">
        <v>0.30694444444444441</v>
      </c>
      <c r="J3852" s="30">
        <f>IF(G3852&lt;$H$10,$H$16,IF(G3852&gt;$I$10,$H$16,$H$11))*E3852/600</f>
        <v>5.2739100000000004E-2</v>
      </c>
      <c r="L3852" s="32">
        <f>$J3852*($G3852-$G3851)*60*24</f>
        <v>5.2739099999999817E-2</v>
      </c>
    </row>
    <row r="3853" spans="1:12">
      <c r="A3853" s="22">
        <v>40313.307638888888</v>
      </c>
      <c r="E3853" s="26">
        <v>163.72901999999999</v>
      </c>
      <c r="G3853" s="27">
        <v>0.30763888888888891</v>
      </c>
      <c r="J3853" s="30">
        <f>IF(G3853&lt;$H$10,$H$16,IF(G3853&gt;$I$10,$H$16,$H$11))*E3853/600</f>
        <v>5.4576340000000001E-2</v>
      </c>
      <c r="L3853" s="32">
        <f>$J3853*($G3853-$G3852)*60*24</f>
        <v>5.4576340000004171E-2</v>
      </c>
    </row>
    <row r="3854" spans="1:12">
      <c r="A3854" s="22">
        <v>40313.308333333334</v>
      </c>
      <c r="E3854" s="26">
        <v>164.19676000000001</v>
      </c>
      <c r="G3854" s="27">
        <v>0.30833333333333335</v>
      </c>
      <c r="J3854" s="30">
        <f>IF(G3854&lt;$H$10,$H$16,IF(G3854&gt;$I$10,$H$16,$H$11))*E3854/600</f>
        <v>5.4732253333333342E-2</v>
      </c>
      <c r="L3854" s="32">
        <f>$J3854*($G3854-$G3853)*60*24</f>
        <v>5.4732253333333154E-2</v>
      </c>
    </row>
    <row r="3855" spans="1:12">
      <c r="A3855" s="22">
        <v>40313.309027777781</v>
      </c>
      <c r="E3855" s="26">
        <v>159.63480000000001</v>
      </c>
      <c r="G3855" s="27">
        <v>0.30902777777777779</v>
      </c>
      <c r="J3855" s="30">
        <f>IF(G3855&lt;$H$10,$H$16,IF(G3855&gt;$I$10,$H$16,$H$11))*E3855/600</f>
        <v>5.3211600000000005E-2</v>
      </c>
      <c r="L3855" s="32">
        <f>$J3855*($G3855-$G3854)*60*24</f>
        <v>5.3211599999999817E-2</v>
      </c>
    </row>
    <row r="3856" spans="1:12">
      <c r="A3856" s="22">
        <v>40313.30972222222</v>
      </c>
      <c r="E3856" s="26">
        <v>158.78235100000001</v>
      </c>
      <c r="G3856" s="27">
        <v>0.30972222222222223</v>
      </c>
      <c r="J3856" s="30">
        <f>IF(G3856&lt;$H$10,$H$16,IF(G3856&gt;$I$10,$H$16,$H$11))*E3856/600</f>
        <v>5.2927450333333341E-2</v>
      </c>
      <c r="L3856" s="32">
        <f>$J3856*($G3856-$G3855)*60*24</f>
        <v>5.2927450333333154E-2</v>
      </c>
    </row>
    <row r="3857" spans="1:12">
      <c r="A3857" s="22">
        <v>40313.310416666667</v>
      </c>
      <c r="E3857" s="26">
        <v>157.75268600000001</v>
      </c>
      <c r="G3857" s="27">
        <v>0.31041666666666667</v>
      </c>
      <c r="J3857" s="30">
        <f>IF(G3857&lt;$H$10,$H$16,IF(G3857&gt;$I$10,$H$16,$H$11))*E3857/600</f>
        <v>5.2584228666666677E-2</v>
      </c>
      <c r="L3857" s="32">
        <f>$J3857*($G3857-$G3856)*60*24</f>
        <v>5.2584228666666497E-2</v>
      </c>
    </row>
    <row r="3858" spans="1:12">
      <c r="A3858" s="22">
        <v>40313.311111111114</v>
      </c>
      <c r="E3858" s="26">
        <v>157.06126800000001</v>
      </c>
      <c r="G3858" s="27">
        <v>0.31111111111111112</v>
      </c>
      <c r="J3858" s="30">
        <f>IF(G3858&lt;$H$10,$H$16,IF(G3858&gt;$I$10,$H$16,$H$11))*E3858/600</f>
        <v>5.2353756000000008E-2</v>
      </c>
      <c r="L3858" s="32">
        <f>$J3858*($G3858-$G3857)*60*24</f>
        <v>5.2353755999999814E-2</v>
      </c>
    </row>
    <row r="3859" spans="1:12">
      <c r="A3859" s="22">
        <v>40313.311805555553</v>
      </c>
      <c r="E3859" s="26">
        <v>152.92913999999999</v>
      </c>
      <c r="G3859" s="27">
        <v>0.31180555555555556</v>
      </c>
      <c r="J3859" s="30">
        <f>IF(G3859&lt;$H$10,$H$16,IF(G3859&gt;$I$10,$H$16,$H$11))*E3859/600</f>
        <v>5.0976380000000002E-2</v>
      </c>
      <c r="L3859" s="32">
        <f>$J3859*($G3859-$G3858)*60*24</f>
        <v>5.0976379999999821E-2</v>
      </c>
    </row>
    <row r="3860" spans="1:12">
      <c r="A3860" s="22">
        <v>40313.3125</v>
      </c>
      <c r="E3860" s="26">
        <v>152.515818</v>
      </c>
      <c r="G3860" s="27">
        <v>0.3125</v>
      </c>
      <c r="J3860" s="30">
        <f>IF(G3860&lt;$H$10,$H$16,IF(G3860&gt;$I$10,$H$16,$H$11))*E3860/600</f>
        <v>5.0838606000000001E-2</v>
      </c>
      <c r="L3860" s="32">
        <f>$J3860*($G3860-$G3859)*60*24</f>
        <v>5.0838605999999814E-2</v>
      </c>
    </row>
    <row r="3861" spans="1:12">
      <c r="A3861" s="22">
        <v>40313.313194444447</v>
      </c>
      <c r="E3861" s="26">
        <v>152.52892199999999</v>
      </c>
      <c r="G3861" s="27">
        <v>0.31319444444444444</v>
      </c>
      <c r="J3861" s="30">
        <f>IF(G3861&lt;$H$10,$H$16,IF(G3861&gt;$I$10,$H$16,$H$11))*E3861/600</f>
        <v>5.0842973999999999E-2</v>
      </c>
      <c r="L3861" s="32">
        <f>$J3861*($G3861-$G3860)*60*24</f>
        <v>5.0842973999999819E-2</v>
      </c>
    </row>
    <row r="3862" spans="1:12">
      <c r="A3862" s="22">
        <v>40313.313888888886</v>
      </c>
      <c r="E3862" s="26">
        <v>153.823488</v>
      </c>
      <c r="G3862" s="27">
        <v>0.31388888888888888</v>
      </c>
      <c r="J3862" s="30">
        <f>IF(G3862&lt;$H$10,$H$16,IF(G3862&gt;$I$10,$H$16,$H$11))*E3862/600</f>
        <v>5.1274496000000003E-2</v>
      </c>
      <c r="L3862" s="32">
        <f>$J3862*($G3862-$G3861)*60*24</f>
        <v>5.1274495999999822E-2</v>
      </c>
    </row>
    <row r="3863" spans="1:12">
      <c r="A3863" s="22">
        <v>40313.314583333333</v>
      </c>
      <c r="E3863" s="26">
        <v>154.49570499999999</v>
      </c>
      <c r="G3863" s="27">
        <v>0.31458333333333333</v>
      </c>
      <c r="J3863" s="30">
        <f>IF(G3863&lt;$H$10,$H$16,IF(G3863&gt;$I$10,$H$16,$H$11))*E3863/600</f>
        <v>5.1498568333333335E-2</v>
      </c>
      <c r="L3863" s="32">
        <f>$J3863*($G3863-$G3862)*60*24</f>
        <v>5.1498568333333147E-2</v>
      </c>
    </row>
    <row r="3864" spans="1:12">
      <c r="A3864" s="22">
        <v>40313.31527777778</v>
      </c>
      <c r="E3864" s="26">
        <v>153.89756199999999</v>
      </c>
      <c r="G3864" s="27">
        <v>0.31527777777777777</v>
      </c>
      <c r="J3864" s="30">
        <f>IF(G3864&lt;$H$10,$H$16,IF(G3864&gt;$I$10,$H$16,$H$11))*E3864/600</f>
        <v>5.1299187333333336E-2</v>
      </c>
      <c r="L3864" s="32">
        <f>$J3864*($G3864-$G3863)*60*24</f>
        <v>5.1299187333333156E-2</v>
      </c>
    </row>
    <row r="3865" spans="1:12">
      <c r="A3865" s="22">
        <v>40313.315972222219</v>
      </c>
      <c r="E3865" s="26">
        <v>157.13151999999999</v>
      </c>
      <c r="G3865" s="27">
        <v>0.31597222222222221</v>
      </c>
      <c r="J3865" s="30">
        <f>IF(G3865&lt;$H$10,$H$16,IF(G3865&gt;$I$10,$H$16,$H$11))*E3865/600</f>
        <v>5.2377173333333339E-2</v>
      </c>
      <c r="L3865" s="32">
        <f>$J3865*($G3865-$G3864)*60*24</f>
        <v>5.2377173333333152E-2</v>
      </c>
    </row>
    <row r="3866" spans="1:12">
      <c r="A3866" s="22">
        <v>40313.316666666666</v>
      </c>
      <c r="E3866" s="26">
        <v>154.65450000000001</v>
      </c>
      <c r="G3866" s="27">
        <v>0.31666666666666665</v>
      </c>
      <c r="J3866" s="30">
        <f>IF(G3866&lt;$H$10,$H$16,IF(G3866&gt;$I$10,$H$16,$H$11))*E3866/600</f>
        <v>5.1551500000000007E-2</v>
      </c>
      <c r="L3866" s="32">
        <f>$J3866*($G3866-$G3865)*60*24</f>
        <v>5.155149999999982E-2</v>
      </c>
    </row>
    <row r="3867" spans="1:12">
      <c r="A3867" s="22">
        <v>40313.317361111112</v>
      </c>
      <c r="E3867" s="26">
        <v>152.20841999999999</v>
      </c>
      <c r="G3867" s="27">
        <v>0.31736111111111115</v>
      </c>
      <c r="J3867" s="30">
        <f>IF(G3867&lt;$H$10,$H$16,IF(G3867&gt;$I$10,$H$16,$H$11))*E3867/600</f>
        <v>5.0736139999999999E-2</v>
      </c>
      <c r="L3867" s="32">
        <f>$J3867*($G3867-$G3866)*60*24</f>
        <v>5.0736140000003871E-2</v>
      </c>
    </row>
    <row r="3868" spans="1:12">
      <c r="A3868" s="22">
        <v>40313.318055555559</v>
      </c>
      <c r="E3868" s="26">
        <v>152.24800500000001</v>
      </c>
      <c r="G3868" s="27">
        <v>0.31805555555555554</v>
      </c>
      <c r="J3868" s="30">
        <f>IF(G3868&lt;$H$10,$H$16,IF(G3868&gt;$I$10,$H$16,$H$11))*E3868/600</f>
        <v>5.0749335E-2</v>
      </c>
      <c r="L3868" s="32">
        <f>$J3868*($G3868-$G3867)*60*24</f>
        <v>5.074933499999576E-2</v>
      </c>
    </row>
    <row r="3869" spans="1:12">
      <c r="A3869" s="22">
        <v>40313.318749999999</v>
      </c>
      <c r="E3869" s="26">
        <v>152.65322800000001</v>
      </c>
      <c r="G3869" s="27">
        <v>0.31875000000000003</v>
      </c>
      <c r="J3869" s="30">
        <f>IF(G3869&lt;$H$10,$H$16,IF(G3869&gt;$I$10,$H$16,$H$11))*E3869/600</f>
        <v>5.0884409333333339E-2</v>
      </c>
      <c r="L3869" s="32">
        <f>$J3869*($G3869-$G3868)*60*24</f>
        <v>5.0884409333337224E-2</v>
      </c>
    </row>
    <row r="3870" spans="1:12">
      <c r="A3870" s="22">
        <v>40313.319444444445</v>
      </c>
      <c r="E3870" s="26">
        <v>152.74459200000001</v>
      </c>
      <c r="G3870" s="27">
        <v>0.31944444444444448</v>
      </c>
      <c r="J3870" s="30">
        <f>IF(G3870&lt;$H$10,$H$16,IF(G3870&gt;$I$10,$H$16,$H$11))*E3870/600</f>
        <v>5.0914864000000011E-2</v>
      </c>
      <c r="L3870" s="32">
        <f>$J3870*($G3870-$G3869)*60*24</f>
        <v>5.0914863999999831E-2</v>
      </c>
    </row>
    <row r="3871" spans="1:12">
      <c r="A3871" s="22">
        <v>40313.320138888892</v>
      </c>
      <c r="E3871" s="26">
        <v>152.336275</v>
      </c>
      <c r="G3871" s="27">
        <v>0.32013888888888892</v>
      </c>
      <c r="J3871" s="30">
        <f>IF(G3871&lt;$H$10,$H$16,IF(G3871&gt;$I$10,$H$16,$H$11))*E3871/600</f>
        <v>5.0778758333333333E-2</v>
      </c>
      <c r="L3871" s="32">
        <f>$J3871*($G3871-$G3870)*60*24</f>
        <v>5.077875833333316E-2</v>
      </c>
    </row>
    <row r="3872" spans="1:12">
      <c r="A3872" s="22">
        <v>40313.320833333331</v>
      </c>
      <c r="E3872" s="26">
        <v>153.74049600000001</v>
      </c>
      <c r="G3872" s="27">
        <v>0.32083333333333336</v>
      </c>
      <c r="J3872" s="30">
        <f>IF(G3872&lt;$H$10,$H$16,IF(G3872&gt;$I$10,$H$16,$H$11))*E3872/600</f>
        <v>5.1246832000000006E-2</v>
      </c>
      <c r="L3872" s="32">
        <f>$J3872*($G3872-$G3871)*60*24</f>
        <v>5.1246831999999826E-2</v>
      </c>
    </row>
    <row r="3873" spans="1:12">
      <c r="A3873" s="22">
        <v>40313.321527777778</v>
      </c>
      <c r="E3873" s="26">
        <v>153.18758</v>
      </c>
      <c r="G3873" s="27">
        <v>0.3215277777777778</v>
      </c>
      <c r="J3873" s="30">
        <f>IF(G3873&lt;$H$10,$H$16,IF(G3873&gt;$I$10,$H$16,$H$11))*E3873/600</f>
        <v>5.106252666666667E-2</v>
      </c>
      <c r="L3873" s="32">
        <f>$J3873*($G3873-$G3872)*60*24</f>
        <v>5.1062526666666483E-2</v>
      </c>
    </row>
    <row r="3874" spans="1:12">
      <c r="A3874" s="22">
        <v>40313.322222222225</v>
      </c>
      <c r="E3874" s="26">
        <v>153.00776400000001</v>
      </c>
      <c r="G3874" s="27">
        <v>0.32222222222222224</v>
      </c>
      <c r="J3874" s="30">
        <f>IF(G3874&lt;$H$10,$H$16,IF(G3874&gt;$I$10,$H$16,$H$11))*E3874/600</f>
        <v>5.1002588000000008E-2</v>
      </c>
      <c r="L3874" s="32">
        <f>$J3874*($G3874-$G3873)*60*24</f>
        <v>5.1002587999999828E-2</v>
      </c>
    </row>
    <row r="3875" spans="1:12">
      <c r="A3875" s="22">
        <v>40313.322916666664</v>
      </c>
      <c r="E3875" s="26">
        <v>152.55749599999999</v>
      </c>
      <c r="G3875" s="27">
        <v>0.32291666666666669</v>
      </c>
      <c r="J3875" s="30">
        <f>IF(G3875&lt;$H$10,$H$16,IF(G3875&gt;$I$10,$H$16,$H$11))*E3875/600</f>
        <v>5.0852498666666662E-2</v>
      </c>
      <c r="L3875" s="32">
        <f>$J3875*($G3875-$G3874)*60*24</f>
        <v>5.0852498666666482E-2</v>
      </c>
    </row>
    <row r="3876" spans="1:12">
      <c r="A3876" s="22">
        <v>40313.323611111111</v>
      </c>
      <c r="E3876" s="26">
        <v>152.483058</v>
      </c>
      <c r="G3876" s="27">
        <v>0.32361111111111113</v>
      </c>
      <c r="J3876" s="30">
        <f>IF(G3876&lt;$H$10,$H$16,IF(G3876&gt;$I$10,$H$16,$H$11))*E3876/600</f>
        <v>5.0827686000000004E-2</v>
      </c>
      <c r="L3876" s="32">
        <f>$J3876*($G3876-$G3875)*60*24</f>
        <v>5.0827685999999817E-2</v>
      </c>
    </row>
    <row r="3877" spans="1:12">
      <c r="A3877" s="22">
        <v>40313.324305555558</v>
      </c>
      <c r="E3877" s="26">
        <v>152.89146600000001</v>
      </c>
      <c r="G3877" s="27">
        <v>0.32430555555555557</v>
      </c>
      <c r="J3877" s="30">
        <f>IF(G3877&lt;$H$10,$H$16,IF(G3877&gt;$I$10,$H$16,$H$11))*E3877/600</f>
        <v>5.0963822000000006E-2</v>
      </c>
      <c r="L3877" s="32">
        <f>$J3877*($G3877-$G3876)*60*24</f>
        <v>5.0963821999999825E-2</v>
      </c>
    </row>
    <row r="3878" spans="1:12">
      <c r="A3878" s="22">
        <v>40313.324999999997</v>
      </c>
      <c r="E3878" s="26">
        <v>152.698455</v>
      </c>
      <c r="G3878" s="27">
        <v>0.32500000000000001</v>
      </c>
      <c r="J3878" s="30">
        <f>IF(G3878&lt;$H$10,$H$16,IF(G3878&gt;$I$10,$H$16,$H$11))*E3878/600</f>
        <v>5.0899485000000001E-2</v>
      </c>
      <c r="L3878" s="32">
        <f>$J3878*($G3878-$G3877)*60*24</f>
        <v>5.0899484999999814E-2</v>
      </c>
    </row>
    <row r="3879" spans="1:12">
      <c r="A3879" s="22">
        <v>40313.325694444444</v>
      </c>
      <c r="E3879" s="26">
        <v>151.71729300000001</v>
      </c>
      <c r="G3879" s="27">
        <v>0.32569444444444445</v>
      </c>
      <c r="J3879" s="30">
        <f>IF(G3879&lt;$H$10,$H$16,IF(G3879&gt;$I$10,$H$16,$H$11))*E3879/600</f>
        <v>5.0572431000000008E-2</v>
      </c>
      <c r="L3879" s="32">
        <f>$J3879*($G3879-$G3878)*60*24</f>
        <v>5.0572430999999834E-2</v>
      </c>
    </row>
    <row r="3880" spans="1:12">
      <c r="A3880" s="22">
        <v>40313.326388888891</v>
      </c>
      <c r="E3880" s="26">
        <v>151.82276200000001</v>
      </c>
      <c r="G3880" s="27">
        <v>0.3263888888888889</v>
      </c>
      <c r="J3880" s="30">
        <f>IF(G3880&lt;$H$10,$H$16,IF(G3880&gt;$I$10,$H$16,$H$11))*E3880/600</f>
        <v>5.0607587333333343E-2</v>
      </c>
      <c r="L3880" s="32">
        <f>$J3880*($G3880-$G3879)*60*24</f>
        <v>5.0607587333333162E-2</v>
      </c>
    </row>
    <row r="3881" spans="1:12">
      <c r="A3881" s="22">
        <v>40313.32708333333</v>
      </c>
      <c r="E3881" s="26">
        <v>151.34246400000001</v>
      </c>
      <c r="G3881" s="27">
        <v>0.32708333333333334</v>
      </c>
      <c r="J3881" s="30">
        <f>IF(G3881&lt;$H$10,$H$16,IF(G3881&gt;$I$10,$H$16,$H$11))*E3881/600</f>
        <v>5.0447488000000006E-2</v>
      </c>
      <c r="L3881" s="32">
        <f>$J3881*($G3881-$G3880)*60*24</f>
        <v>5.0447487999999825E-2</v>
      </c>
    </row>
    <row r="3882" spans="1:12">
      <c r="A3882" s="22">
        <v>40313.327777777777</v>
      </c>
      <c r="E3882" s="26">
        <v>151.47568799999999</v>
      </c>
      <c r="G3882" s="27">
        <v>0.32777777777777778</v>
      </c>
      <c r="J3882" s="30">
        <f>IF(G3882&lt;$H$10,$H$16,IF(G3882&gt;$I$10,$H$16,$H$11))*E3882/600</f>
        <v>5.0491896000000001E-2</v>
      </c>
      <c r="L3882" s="32">
        <f>$J3882*($G3882-$G3881)*60*24</f>
        <v>5.0491895999999814E-2</v>
      </c>
    </row>
    <row r="3883" spans="1:12">
      <c r="A3883" s="22">
        <v>40313.328472222223</v>
      </c>
      <c r="E3883" s="26">
        <v>152.33309</v>
      </c>
      <c r="G3883" s="27">
        <v>0.32847222222222222</v>
      </c>
      <c r="J3883" s="30">
        <f>IF(G3883&lt;$H$10,$H$16,IF(G3883&gt;$I$10,$H$16,$H$11))*E3883/600</f>
        <v>5.077769666666667E-2</v>
      </c>
      <c r="L3883" s="32">
        <f>$J3883*($G3883-$G3882)*60*24</f>
        <v>5.0777696666666483E-2</v>
      </c>
    </row>
    <row r="3884" spans="1:12">
      <c r="A3884" s="22">
        <v>40313.32916666667</v>
      </c>
      <c r="E3884" s="26">
        <v>154.00358399999999</v>
      </c>
      <c r="G3884" s="27">
        <v>0.32916666666666666</v>
      </c>
      <c r="J3884" s="30">
        <f>IF(G3884&lt;$H$10,$H$16,IF(G3884&gt;$I$10,$H$16,$H$11))*E3884/600</f>
        <v>5.1334527999999997E-2</v>
      </c>
      <c r="L3884" s="32">
        <f>$J3884*($G3884-$G3883)*60*24</f>
        <v>5.133452799999981E-2</v>
      </c>
    </row>
    <row r="3885" spans="1:12">
      <c r="A3885" s="22">
        <v>40313.329861111109</v>
      </c>
      <c r="E3885" s="26">
        <v>153.80099999999999</v>
      </c>
      <c r="G3885" s="27">
        <v>0.3298611111111111</v>
      </c>
      <c r="J3885" s="30">
        <f>IF(G3885&lt;$H$10,$H$16,IF(G3885&gt;$I$10,$H$16,$H$11))*E3885/600</f>
        <v>5.1266999999999993E-2</v>
      </c>
      <c r="L3885" s="32">
        <f>$J3885*($G3885-$G3884)*60*24</f>
        <v>5.1266999999999813E-2</v>
      </c>
    </row>
    <row r="3886" spans="1:12">
      <c r="A3886" s="22">
        <v>40313.330555555556</v>
      </c>
      <c r="E3886" s="26">
        <v>153.046784</v>
      </c>
      <c r="G3886" s="27">
        <v>0.33055555555555555</v>
      </c>
      <c r="J3886" s="30">
        <f>IF(G3886&lt;$H$10,$H$16,IF(G3886&gt;$I$10,$H$16,$H$11))*E3886/600</f>
        <v>5.1015594666666671E-2</v>
      </c>
      <c r="L3886" s="32">
        <f>$J3886*($G3886-$G3885)*60*24</f>
        <v>5.101559466666649E-2</v>
      </c>
    </row>
    <row r="3887" spans="1:12">
      <c r="A3887" s="22">
        <v>40313.331250000003</v>
      </c>
      <c r="E3887" s="26">
        <v>154.31988000000001</v>
      </c>
      <c r="G3887" s="27">
        <v>0.33124999999999999</v>
      </c>
      <c r="J3887" s="30">
        <f>IF(G3887&lt;$H$10,$H$16,IF(G3887&gt;$I$10,$H$16,$H$11))*E3887/600</f>
        <v>5.1439960000000007E-2</v>
      </c>
      <c r="L3887" s="32">
        <f>$J3887*($G3887-$G3886)*60*24</f>
        <v>5.1439959999999826E-2</v>
      </c>
    </row>
    <row r="3888" spans="1:12">
      <c r="A3888" s="22">
        <v>40313.331944444442</v>
      </c>
      <c r="E3888" s="26">
        <v>154.60471200000001</v>
      </c>
      <c r="G3888" s="27">
        <v>0.33194444444444443</v>
      </c>
      <c r="J3888" s="30">
        <f>IF(G3888&lt;$H$10,$H$16,IF(G3888&gt;$I$10,$H$16,$H$11))*E3888/600</f>
        <v>5.1534903999999999E-2</v>
      </c>
      <c r="L3888" s="32">
        <f>$J3888*($G3888-$G3887)*60*24</f>
        <v>5.1534903999999812E-2</v>
      </c>
    </row>
    <row r="3889" spans="1:12">
      <c r="A3889" s="22">
        <v>40313.332638888889</v>
      </c>
      <c r="E3889" s="26">
        <v>152.689088</v>
      </c>
      <c r="G3889" s="27">
        <v>0.33263888888888887</v>
      </c>
      <c r="J3889" s="30">
        <f>IF(G3889&lt;$H$10,$H$16,IF(G3889&gt;$I$10,$H$16,$H$11))*E3889/600</f>
        <v>5.0896362666666667E-2</v>
      </c>
      <c r="L3889" s="32">
        <f>$J3889*($G3889-$G3888)*60*24</f>
        <v>5.0896362666666486E-2</v>
      </c>
    </row>
    <row r="3890" spans="1:12">
      <c r="A3890" s="22">
        <v>40313.333333333336</v>
      </c>
      <c r="E3890" s="26">
        <v>153.63466399999999</v>
      </c>
      <c r="G3890" s="27">
        <v>0.33333333333333331</v>
      </c>
      <c r="J3890" s="30">
        <f>IF(G3890&lt;$H$10,$H$16,IF(G3890&gt;$I$10,$H$16,$H$11))*E3890/600</f>
        <v>5.1211554666666666E-2</v>
      </c>
      <c r="L3890" s="32">
        <f>$J3890*($G3890-$G3889)*60*24</f>
        <v>5.1211554666666478E-2</v>
      </c>
    </row>
    <row r="3891" spans="1:12">
      <c r="A3891" s="22">
        <v>40313.334027777775</v>
      </c>
      <c r="E3891" s="26">
        <v>153.08395200000001</v>
      </c>
      <c r="G3891" s="27">
        <v>0.33402777777777781</v>
      </c>
      <c r="J3891" s="30">
        <f>IF(G3891&lt;$H$10,$H$16,IF(G3891&gt;$I$10,$H$16,$H$11))*E3891/600</f>
        <v>5.1027984000000005E-2</v>
      </c>
      <c r="L3891" s="32">
        <f>$J3891*($G3891-$G3890)*60*24</f>
        <v>5.1027984000003905E-2</v>
      </c>
    </row>
    <row r="3892" spans="1:12">
      <c r="A3892" s="22">
        <v>40313.334722222222</v>
      </c>
      <c r="E3892" s="26">
        <v>152.96140800000001</v>
      </c>
      <c r="G3892" s="27">
        <v>0.3347222222222222</v>
      </c>
      <c r="J3892" s="30">
        <f>IF(G3892&lt;$H$10,$H$16,IF(G3892&gt;$I$10,$H$16,$H$11))*E3892/600</f>
        <v>5.0987136000000002E-2</v>
      </c>
      <c r="L3892" s="32">
        <f>$J3892*($G3892-$G3891)*60*24</f>
        <v>5.0987135999995756E-2</v>
      </c>
    </row>
    <row r="3893" spans="1:12">
      <c r="A3893" s="22">
        <v>40313.335416666669</v>
      </c>
      <c r="E3893" s="26">
        <v>152.37316000000001</v>
      </c>
      <c r="G3893" s="27">
        <v>0.3354166666666667</v>
      </c>
      <c r="J3893" s="30">
        <f>IF(G3893&lt;$H$10,$H$16,IF(G3893&gt;$I$10,$H$16,$H$11))*E3893/600</f>
        <v>5.0791053333333336E-2</v>
      </c>
      <c r="L3893" s="32">
        <f>$J3893*($G3893-$G3892)*60*24</f>
        <v>5.0791053333337208E-2</v>
      </c>
    </row>
    <row r="3894" spans="1:12">
      <c r="A3894" s="22">
        <v>40313.336111111108</v>
      </c>
      <c r="E3894" s="26">
        <v>152.72460000000001</v>
      </c>
      <c r="G3894" s="27">
        <v>0.33611111111111108</v>
      </c>
      <c r="J3894" s="30">
        <f>IF(G3894&lt;$H$10,$H$16,IF(G3894&gt;$I$10,$H$16,$H$11))*E3894/600</f>
        <v>5.0908200000000008E-2</v>
      </c>
      <c r="L3894" s="32">
        <f>$J3894*($G3894-$G3893)*60*24</f>
        <v>5.0908199999995761E-2</v>
      </c>
    </row>
    <row r="3895" spans="1:12">
      <c r="A3895" s="22">
        <v>40313.336805555555</v>
      </c>
      <c r="E3895" s="26">
        <v>152.75661600000001</v>
      </c>
      <c r="G3895" s="27">
        <v>0.33680555555555558</v>
      </c>
      <c r="J3895" s="30">
        <f>IF(G3895&lt;$H$10,$H$16,IF(G3895&gt;$I$10,$H$16,$H$11))*E3895/600</f>
        <v>5.0918872000000004E-2</v>
      </c>
      <c r="L3895" s="32">
        <f>$J3895*($G3895-$G3894)*60*24</f>
        <v>5.091887200000389E-2</v>
      </c>
    </row>
    <row r="3896" spans="1:12">
      <c r="A3896" s="22">
        <v>40313.337500000001</v>
      </c>
      <c r="E3896" s="26">
        <v>153.00078400000001</v>
      </c>
      <c r="G3896" s="27">
        <v>0.33749999999999997</v>
      </c>
      <c r="J3896" s="30">
        <f>IF(G3896&lt;$H$10,$H$16,IF(G3896&gt;$I$10,$H$16,$H$11))*E3896/600</f>
        <v>5.1000261333333338E-2</v>
      </c>
      <c r="L3896" s="32">
        <f>$J3896*($G3896-$G3895)*60*24</f>
        <v>5.1000261333329085E-2</v>
      </c>
    </row>
    <row r="3897" spans="1:12">
      <c r="A3897" s="22">
        <v>40313.338194444441</v>
      </c>
      <c r="E3897" s="26">
        <v>153.907352</v>
      </c>
      <c r="G3897" s="27">
        <v>0.33819444444444446</v>
      </c>
      <c r="J3897" s="30">
        <f>IF(G3897&lt;$H$10,$H$16,IF(G3897&gt;$I$10,$H$16,$H$11))*E3897/600</f>
        <v>5.1302450666666673E-2</v>
      </c>
      <c r="L3897" s="32">
        <f>$J3897*($G3897-$G3896)*60*24</f>
        <v>5.1302450666670586E-2</v>
      </c>
    </row>
    <row r="3898" spans="1:12">
      <c r="A3898" s="22">
        <v>40313.338888888888</v>
      </c>
      <c r="E3898" s="26">
        <v>153.57606000000001</v>
      </c>
      <c r="G3898" s="27">
        <v>0.33888888888888885</v>
      </c>
      <c r="J3898" s="30">
        <f>IF(G3898&lt;$H$10,$H$16,IF(G3898&gt;$I$10,$H$16,$H$11))*E3898/600</f>
        <v>5.1192020000000005E-2</v>
      </c>
      <c r="L3898" s="32">
        <f>$J3898*($G3898-$G3897)*60*24</f>
        <v>5.119201999999573E-2</v>
      </c>
    </row>
    <row r="3899" spans="1:12">
      <c r="A3899" s="22">
        <v>40313.339583333334</v>
      </c>
      <c r="E3899" s="26">
        <v>153.225436</v>
      </c>
      <c r="G3899" s="27">
        <v>0.33958333333333335</v>
      </c>
      <c r="J3899" s="30">
        <f>IF(G3899&lt;$H$10,$H$16,IF(G3899&gt;$I$10,$H$16,$H$11))*E3899/600</f>
        <v>5.1075145333333336E-2</v>
      </c>
      <c r="L3899" s="32">
        <f>$J3899*($G3899-$G3898)*60*24</f>
        <v>5.1075145333337235E-2</v>
      </c>
    </row>
    <row r="3900" spans="1:12">
      <c r="A3900" s="22">
        <v>40313.340277777781</v>
      </c>
      <c r="E3900" s="26">
        <v>153.24309</v>
      </c>
      <c r="G3900" s="27">
        <v>0.34027777777777773</v>
      </c>
      <c r="J3900" s="30">
        <f>IF(G3900&lt;$H$10,$H$16,IF(G3900&gt;$I$10,$H$16,$H$11))*E3900/600</f>
        <v>5.1081029999999999E-2</v>
      </c>
      <c r="L3900" s="32">
        <f>$J3900*($G3900-$G3899)*60*24</f>
        <v>5.1081029999995725E-2</v>
      </c>
    </row>
    <row r="3901" spans="1:12">
      <c r="A3901" s="22">
        <v>40313.34097222222</v>
      </c>
      <c r="E3901" s="26">
        <v>152.73121499999999</v>
      </c>
      <c r="G3901" s="27">
        <v>0.34097222222222223</v>
      </c>
      <c r="J3901" s="30">
        <f>IF(G3901&lt;$H$10,$H$16,IF(G3901&gt;$I$10,$H$16,$H$11))*E3901/600</f>
        <v>5.0910404999999999E-2</v>
      </c>
      <c r="L3901" s="32">
        <f>$J3901*($G3901-$G3900)*60*24</f>
        <v>5.0910405000003885E-2</v>
      </c>
    </row>
    <row r="3902" spans="1:12">
      <c r="A3902" s="22">
        <v>40313.341666666667</v>
      </c>
      <c r="E3902" s="26">
        <v>152.11723799999999</v>
      </c>
      <c r="G3902" s="27">
        <v>0.34166666666666662</v>
      </c>
      <c r="J3902" s="30">
        <f>IF(G3902&lt;$H$10,$H$16,IF(G3902&gt;$I$10,$H$16,$H$11))*E3902/600</f>
        <v>5.0705745999999996E-2</v>
      </c>
      <c r="L3902" s="32">
        <f>$J3902*($G3902-$G3901)*60*24</f>
        <v>5.0705745999995763E-2</v>
      </c>
    </row>
    <row r="3903" spans="1:12">
      <c r="A3903" s="22">
        <v>40313.342361111114</v>
      </c>
      <c r="E3903" s="26">
        <v>160.73596000000001</v>
      </c>
      <c r="G3903" s="27">
        <v>0.34236111111111112</v>
      </c>
      <c r="J3903" s="30">
        <f>IF(G3903&lt;$H$10,$H$16,IF(G3903&gt;$I$10,$H$16,$H$11))*E3903/600</f>
        <v>5.3578653333333337E-2</v>
      </c>
      <c r="L3903" s="32">
        <f>$J3903*($G3903-$G3902)*60*24</f>
        <v>5.3578653333337431E-2</v>
      </c>
    </row>
    <row r="3904" spans="1:12">
      <c r="A3904" s="22">
        <v>40313.343055555553</v>
      </c>
      <c r="E3904" s="26">
        <v>154.857248</v>
      </c>
      <c r="G3904" s="27">
        <v>0.3430555555555555</v>
      </c>
      <c r="J3904" s="30">
        <f>IF(G3904&lt;$H$10,$H$16,IF(G3904&gt;$I$10,$H$16,$H$11))*E3904/600</f>
        <v>5.1619082666666663E-2</v>
      </c>
      <c r="L3904" s="32">
        <f>$J3904*($G3904-$G3903)*60*24</f>
        <v>5.1619082666662347E-2</v>
      </c>
    </row>
    <row r="3905" spans="1:12">
      <c r="A3905" s="22">
        <v>40313.34375</v>
      </c>
      <c r="E3905" s="26">
        <v>163.67778000000001</v>
      </c>
      <c r="G3905" s="27">
        <v>0.34375</v>
      </c>
      <c r="J3905" s="30">
        <f>IF(G3905&lt;$H$10,$H$16,IF(G3905&gt;$I$10,$H$16,$H$11))*E3905/600</f>
        <v>5.4559260000000005E-2</v>
      </c>
      <c r="L3905" s="32">
        <f>$J3905*($G3905-$G3904)*60*24</f>
        <v>5.4559260000004176E-2</v>
      </c>
    </row>
    <row r="3906" spans="1:12">
      <c r="A3906" s="22">
        <v>40313.344444444447</v>
      </c>
      <c r="E3906" s="26">
        <v>162.33624</v>
      </c>
      <c r="G3906" s="27">
        <v>0.3444444444444445</v>
      </c>
      <c r="J3906" s="30">
        <f>IF(G3906&lt;$H$10,$H$16,IF(G3906&gt;$I$10,$H$16,$H$11))*E3906/600</f>
        <v>5.4112080000000007E-2</v>
      </c>
      <c r="L3906" s="32">
        <f>$J3906*($G3906-$G3905)*60*24</f>
        <v>5.4112080000004149E-2</v>
      </c>
    </row>
    <row r="3907" spans="1:12">
      <c r="A3907" s="22">
        <v>40313.345138888886</v>
      </c>
      <c r="E3907" s="26">
        <v>162.38558699999999</v>
      </c>
      <c r="G3907" s="27">
        <v>0.34513888888888888</v>
      </c>
      <c r="J3907" s="30">
        <f>IF(G3907&lt;$H$10,$H$16,IF(G3907&gt;$I$10,$H$16,$H$11))*E3907/600</f>
        <v>5.4128528999999995E-2</v>
      </c>
      <c r="L3907" s="32">
        <f>$J3907*($G3907-$G3906)*60*24</f>
        <v>5.4128528999995471E-2</v>
      </c>
    </row>
    <row r="3908" spans="1:12">
      <c r="A3908" s="22">
        <v>40313.345833333333</v>
      </c>
      <c r="E3908" s="26">
        <v>158.97248999999999</v>
      </c>
      <c r="G3908" s="27">
        <v>0.34583333333333338</v>
      </c>
      <c r="J3908" s="30">
        <f>IF(G3908&lt;$H$10,$H$16,IF(G3908&gt;$I$10,$H$16,$H$11))*E3908/600</f>
        <v>5.2990830000000003E-2</v>
      </c>
      <c r="L3908" s="32">
        <f>$J3908*($G3908-$G3907)*60*24</f>
        <v>5.2990830000004048E-2</v>
      </c>
    </row>
    <row r="3909" spans="1:12">
      <c r="A3909" s="22">
        <v>40313.34652777778</v>
      </c>
      <c r="E3909" s="26">
        <v>162.65223</v>
      </c>
      <c r="G3909" s="27">
        <v>0.34652777777777777</v>
      </c>
      <c r="J3909" s="30">
        <f>IF(G3909&lt;$H$10,$H$16,IF(G3909&gt;$I$10,$H$16,$H$11))*E3909/600</f>
        <v>5.4217410000000008E-2</v>
      </c>
      <c r="L3909" s="32">
        <f>$J3909*($G3909-$G3908)*60*24</f>
        <v>5.4217409999995483E-2</v>
      </c>
    </row>
    <row r="3910" spans="1:12">
      <c r="A3910" s="22">
        <v>40313.347222222219</v>
      </c>
      <c r="E3910" s="26">
        <v>159.87462400000001</v>
      </c>
      <c r="G3910" s="27">
        <v>0.34722222222222227</v>
      </c>
      <c r="J3910" s="30">
        <f>IF(G3910&lt;$H$10,$H$16,IF(G3910&gt;$I$10,$H$16,$H$11))*E3910/600</f>
        <v>5.3291541333333338E-2</v>
      </c>
      <c r="L3910" s="32">
        <f>$J3910*($G3910-$G3909)*60*24</f>
        <v>5.3291541333337411E-2</v>
      </c>
    </row>
    <row r="3911" spans="1:12">
      <c r="A3911" s="22">
        <v>40313.347916666666</v>
      </c>
      <c r="E3911" s="26">
        <v>159.72028800000001</v>
      </c>
      <c r="G3911" s="27">
        <v>0.34791666666666665</v>
      </c>
      <c r="J3911" s="30">
        <f>IF(G3911&lt;$H$10,$H$16,IF(G3911&gt;$I$10,$H$16,$H$11))*E3911/600</f>
        <v>5.3240096000000008E-2</v>
      </c>
      <c r="L3911" s="32">
        <f>$J3911*($G3911-$G3910)*60*24</f>
        <v>5.324009599999556E-2</v>
      </c>
    </row>
    <row r="3912" spans="1:12">
      <c r="A3912" s="22">
        <v>40313.348611111112</v>
      </c>
      <c r="E3912" s="26">
        <v>159.50024999999999</v>
      </c>
      <c r="G3912" s="27">
        <v>0.34861111111111115</v>
      </c>
      <c r="J3912" s="30">
        <f>IF(G3912&lt;$H$10,$H$16,IF(G3912&gt;$I$10,$H$16,$H$11))*E3912/600</f>
        <v>5.3166749999999999E-2</v>
      </c>
      <c r="L3912" s="32">
        <f>$J3912*($G3912-$G3911)*60*24</f>
        <v>5.3166750000004051E-2</v>
      </c>
    </row>
    <row r="3913" spans="1:12">
      <c r="A3913" s="22">
        <v>40313.349305555559</v>
      </c>
      <c r="E3913" s="26">
        <v>161.673057</v>
      </c>
      <c r="G3913" s="27">
        <v>0.34930555555555554</v>
      </c>
      <c r="J3913" s="30">
        <f>IF(G3913&lt;$H$10,$H$16,IF(G3913&gt;$I$10,$H$16,$H$11))*E3913/600</f>
        <v>5.3891018999999998E-2</v>
      </c>
      <c r="L3913" s="32">
        <f>$J3913*($G3913-$G3912)*60*24</f>
        <v>5.3891018999995502E-2</v>
      </c>
    </row>
    <row r="3914" spans="1:12">
      <c r="A3914" s="22">
        <v>40313.35</v>
      </c>
      <c r="E3914" s="26">
        <v>159.82675800000001</v>
      </c>
      <c r="G3914" s="27">
        <v>0.35000000000000003</v>
      </c>
      <c r="J3914" s="30">
        <f>IF(G3914&lt;$H$10,$H$16,IF(G3914&gt;$I$10,$H$16,$H$11))*E3914/600</f>
        <v>5.3275586000000007E-2</v>
      </c>
      <c r="L3914" s="32">
        <f>$J3914*($G3914-$G3913)*60*24</f>
        <v>5.327558600000408E-2</v>
      </c>
    </row>
    <row r="3915" spans="1:12">
      <c r="A3915" s="22">
        <v>40313.350694444445</v>
      </c>
      <c r="E3915" s="26">
        <v>156.529191</v>
      </c>
      <c r="G3915" s="27">
        <v>0.35069444444444442</v>
      </c>
      <c r="J3915" s="30">
        <f>IF(G3915&lt;$H$10,$H$16,IF(G3915&gt;$I$10,$H$16,$H$11))*E3915/600</f>
        <v>5.2176396999999999E-2</v>
      </c>
      <c r="L3915" s="32">
        <f>$J3915*($G3915-$G3914)*60*24</f>
        <v>5.2176396999995656E-2</v>
      </c>
    </row>
    <row r="3916" spans="1:12">
      <c r="A3916" s="22">
        <v>40313.351388888892</v>
      </c>
      <c r="E3916" s="26">
        <v>160.53300899999999</v>
      </c>
      <c r="G3916" s="27">
        <v>0.35138888888888892</v>
      </c>
      <c r="J3916" s="30">
        <f>IF(G3916&lt;$H$10,$H$16,IF(G3916&gt;$I$10,$H$16,$H$11))*E3916/600</f>
        <v>5.3511003000000001E-2</v>
      </c>
      <c r="L3916" s="32">
        <f>$J3916*($G3916-$G3915)*60*24</f>
        <v>5.3511003000004081E-2</v>
      </c>
    </row>
    <row r="3917" spans="1:12">
      <c r="A3917" s="22">
        <v>40313.352083333331</v>
      </c>
      <c r="E3917" s="26">
        <v>162.101212</v>
      </c>
      <c r="G3917" s="27">
        <v>0.3520833333333333</v>
      </c>
      <c r="J3917" s="30">
        <f>IF(G3917&lt;$H$10,$H$16,IF(G3917&gt;$I$10,$H$16,$H$11))*E3917/600</f>
        <v>5.4033737333333332E-2</v>
      </c>
      <c r="L3917" s="32">
        <f>$J3917*($G3917-$G3916)*60*24</f>
        <v>5.4033737333328821E-2</v>
      </c>
    </row>
    <row r="3918" spans="1:12">
      <c r="A3918" s="22">
        <v>40313.352777777778</v>
      </c>
      <c r="E3918" s="26">
        <v>160.05189200000001</v>
      </c>
      <c r="G3918" s="27">
        <v>0.3527777777777778</v>
      </c>
      <c r="J3918" s="30">
        <f>IF(G3918&lt;$H$10,$H$16,IF(G3918&gt;$I$10,$H$16,$H$11))*E3918/600</f>
        <v>5.3350630666666669E-2</v>
      </c>
      <c r="L3918" s="32">
        <f>$J3918*($G3918-$G3917)*60*24</f>
        <v>5.3350630666670742E-2</v>
      </c>
    </row>
    <row r="3919" spans="1:12">
      <c r="A3919" s="22">
        <v>40313.353472222225</v>
      </c>
      <c r="E3919" s="26">
        <v>157.80710400000001</v>
      </c>
      <c r="G3919" s="27">
        <v>0.35347222222222219</v>
      </c>
      <c r="J3919" s="30">
        <f>IF(G3919&lt;$H$10,$H$16,IF(G3919&gt;$I$10,$H$16,$H$11))*E3919/600</f>
        <v>5.2602368000000004E-2</v>
      </c>
      <c r="L3919" s="32">
        <f>$J3919*($G3919-$G3918)*60*24</f>
        <v>5.2602367999995611E-2</v>
      </c>
    </row>
    <row r="3920" spans="1:12">
      <c r="A3920" s="22">
        <v>40313.354166666664</v>
      </c>
      <c r="E3920" s="26">
        <v>159.50789399999999</v>
      </c>
      <c r="G3920" s="27">
        <v>0.35416666666666669</v>
      </c>
      <c r="J3920" s="30">
        <f>IF(G3920&lt;$H$10,$H$16,IF(G3920&gt;$I$10,$H$16,$H$11))*E3920/600</f>
        <v>5.8486227799999992E-2</v>
      </c>
      <c r="L3920" s="32">
        <f>$J3920*($G3920-$G3919)*60*24</f>
        <v>5.8486227800004453E-2</v>
      </c>
    </row>
    <row r="3921" spans="1:12">
      <c r="A3921" s="22">
        <v>40313.354861111111</v>
      </c>
      <c r="E3921" s="26">
        <v>159.63401999999999</v>
      </c>
      <c r="G3921" s="27">
        <v>0.35486111111111113</v>
      </c>
      <c r="J3921" s="30">
        <f>IF(G3921&lt;$H$10,$H$16,IF(G3921&gt;$I$10,$H$16,$H$11))*E3921/600</f>
        <v>5.8532473999999994E-2</v>
      </c>
      <c r="L3921" s="32">
        <f>$J3921*($G3921-$G3920)*60*24</f>
        <v>5.8532473999999793E-2</v>
      </c>
    </row>
    <row r="3922" spans="1:12">
      <c r="A3922" s="22">
        <v>40313.355555555558</v>
      </c>
      <c r="E3922" s="26">
        <v>162.81488400000001</v>
      </c>
      <c r="G3922" s="27">
        <v>0.35555555555555557</v>
      </c>
      <c r="J3922" s="30">
        <f>IF(G3922&lt;$H$10,$H$16,IF(G3922&gt;$I$10,$H$16,$H$11))*E3922/600</f>
        <v>5.9698790800000005E-2</v>
      </c>
      <c r="L3922" s="32">
        <f>$J3922*($G3922-$G3921)*60*24</f>
        <v>5.9698790799999804E-2</v>
      </c>
    </row>
    <row r="3923" spans="1:12">
      <c r="A3923" s="22">
        <v>40313.356249999997</v>
      </c>
      <c r="E3923" s="26">
        <v>158.436915</v>
      </c>
      <c r="G3923" s="27">
        <v>0.35625000000000001</v>
      </c>
      <c r="J3923" s="30">
        <f>IF(G3923&lt;$H$10,$H$16,IF(G3923&gt;$I$10,$H$16,$H$11))*E3923/600</f>
        <v>5.8093535499999994E-2</v>
      </c>
      <c r="L3923" s="32">
        <f>$J3923*($G3923-$G3922)*60*24</f>
        <v>5.8093535499999779E-2</v>
      </c>
    </row>
    <row r="3924" spans="1:12">
      <c r="A3924" s="22">
        <v>40313.356944444444</v>
      </c>
      <c r="E3924" s="26">
        <v>164.577144</v>
      </c>
      <c r="G3924" s="27">
        <v>0.35694444444444445</v>
      </c>
      <c r="J3924" s="30">
        <f>IF(G3924&lt;$H$10,$H$16,IF(G3924&gt;$I$10,$H$16,$H$11))*E3924/600</f>
        <v>6.0344952800000004E-2</v>
      </c>
      <c r="L3924" s="32">
        <f>$J3924*($G3924-$G3923)*60*24</f>
        <v>6.0344952799999796E-2</v>
      </c>
    </row>
    <row r="3925" spans="1:12">
      <c r="A3925" s="22">
        <v>40313.357638888891</v>
      </c>
      <c r="E3925" s="26">
        <v>162.37175500000001</v>
      </c>
      <c r="G3925" s="27">
        <v>0.3576388888888889</v>
      </c>
      <c r="J3925" s="30">
        <f>IF(G3925&lt;$H$10,$H$16,IF(G3925&gt;$I$10,$H$16,$H$11))*E3925/600</f>
        <v>5.9536310166666669E-2</v>
      </c>
      <c r="L3925" s="32">
        <f>$J3925*($G3925-$G3924)*60*24</f>
        <v>5.9536310166666453E-2</v>
      </c>
    </row>
    <row r="3926" spans="1:12">
      <c r="A3926" s="22">
        <v>40313.35833333333</v>
      </c>
      <c r="E3926" s="26">
        <v>167.88012800000001</v>
      </c>
      <c r="G3926" s="27">
        <v>0.35833333333333334</v>
      </c>
      <c r="J3926" s="30">
        <f>IF(G3926&lt;$H$10,$H$16,IF(G3926&gt;$I$10,$H$16,$H$11))*E3926/600</f>
        <v>6.1556046933333344E-2</v>
      </c>
      <c r="L3926" s="32">
        <f>$J3926*($G3926-$G3925)*60*24</f>
        <v>6.1556046933333129E-2</v>
      </c>
    </row>
    <row r="3927" spans="1:12">
      <c r="A3927" s="22">
        <v>40313.359027777777</v>
      </c>
      <c r="E3927" s="26">
        <v>166.04159999999999</v>
      </c>
      <c r="G3927" s="27">
        <v>0.35902777777777778</v>
      </c>
      <c r="J3927" s="30">
        <f>IF(G3927&lt;$H$10,$H$16,IF(G3927&gt;$I$10,$H$16,$H$11))*E3927/600</f>
        <v>6.0881919999999992E-2</v>
      </c>
      <c r="L3927" s="32">
        <f>$J3927*($G3927-$G3926)*60*24</f>
        <v>6.088191999999977E-2</v>
      </c>
    </row>
    <row r="3928" spans="1:12">
      <c r="A3928" s="22">
        <v>40313.359722222223</v>
      </c>
      <c r="E3928" s="26">
        <v>167.37559999999999</v>
      </c>
      <c r="G3928" s="27">
        <v>0.35972222222222222</v>
      </c>
      <c r="J3928" s="30">
        <f>IF(G3928&lt;$H$10,$H$16,IF(G3928&gt;$I$10,$H$16,$H$11))*E3928/600</f>
        <v>6.1371053333333328E-2</v>
      </c>
      <c r="L3928" s="32">
        <f>$J3928*($G3928-$G3927)*60*24</f>
        <v>6.1371053333333106E-2</v>
      </c>
    </row>
    <row r="3929" spans="1:12">
      <c r="A3929" s="22">
        <v>40313.36041666667</v>
      </c>
      <c r="E3929" s="26">
        <v>163.02686399999999</v>
      </c>
      <c r="G3929" s="27">
        <v>0.36041666666666666</v>
      </c>
      <c r="J3929" s="30">
        <f>IF(G3929&lt;$H$10,$H$16,IF(G3929&gt;$I$10,$H$16,$H$11))*E3929/600</f>
        <v>5.9776516799999999E-2</v>
      </c>
      <c r="L3929" s="32">
        <f>$J3929*($G3929-$G3928)*60*24</f>
        <v>5.9776516799999783E-2</v>
      </c>
    </row>
    <row r="3930" spans="1:12">
      <c r="A3930" s="22">
        <v>40313.361111111109</v>
      </c>
      <c r="E3930" s="26">
        <v>168.084</v>
      </c>
      <c r="G3930" s="27">
        <v>0.3611111111111111</v>
      </c>
      <c r="J3930" s="30">
        <f>IF(G3930&lt;$H$10,$H$16,IF(G3930&gt;$I$10,$H$16,$H$11))*E3930/600</f>
        <v>6.1630799999999993E-2</v>
      </c>
      <c r="L3930" s="32">
        <f>$J3930*($G3930-$G3929)*60*24</f>
        <v>6.1630799999999777E-2</v>
      </c>
    </row>
    <row r="3931" spans="1:12">
      <c r="A3931" s="22">
        <v>40313.361805555556</v>
      </c>
      <c r="E3931" s="26">
        <v>164.698768</v>
      </c>
      <c r="G3931" s="27">
        <v>0.36180555555555555</v>
      </c>
      <c r="J3931" s="30">
        <f>IF(G3931&lt;$H$10,$H$16,IF(G3931&gt;$I$10,$H$16,$H$11))*E3931/600</f>
        <v>6.0389548266666669E-2</v>
      </c>
      <c r="L3931" s="32">
        <f>$J3931*($G3931-$G3930)*60*24</f>
        <v>6.0389548266666454E-2</v>
      </c>
    </row>
    <row r="3932" spans="1:12">
      <c r="A3932" s="22">
        <v>40313.362500000003</v>
      </c>
      <c r="E3932" s="26">
        <v>157.10822400000001</v>
      </c>
      <c r="G3932" s="27">
        <v>0.36249999999999999</v>
      </c>
      <c r="J3932" s="30">
        <f>IF(G3932&lt;$H$10,$H$16,IF(G3932&gt;$I$10,$H$16,$H$11))*E3932/600</f>
        <v>5.7606348799999998E-2</v>
      </c>
      <c r="L3932" s="32">
        <f>$J3932*($G3932-$G3931)*60*24</f>
        <v>5.760634879999979E-2</v>
      </c>
    </row>
    <row r="3933" spans="1:12">
      <c r="A3933" s="22">
        <v>40313.363194444442</v>
      </c>
      <c r="E3933" s="26">
        <v>156.62446800000001</v>
      </c>
      <c r="G3933" s="27">
        <v>0.36319444444444443</v>
      </c>
      <c r="J3933" s="30">
        <f>IF(G3933&lt;$H$10,$H$16,IF(G3933&gt;$I$10,$H$16,$H$11))*E3933/600</f>
        <v>5.7428971600000003E-2</v>
      </c>
      <c r="L3933" s="32">
        <f>$J3933*($G3933-$G3932)*60*24</f>
        <v>5.7428971599999809E-2</v>
      </c>
    </row>
    <row r="3934" spans="1:12">
      <c r="A3934" s="22">
        <v>40313.363888888889</v>
      </c>
      <c r="E3934" s="26">
        <v>156.146445</v>
      </c>
      <c r="G3934" s="27">
        <v>0.36388888888888887</v>
      </c>
      <c r="J3934" s="30">
        <f>IF(G3934&lt;$H$10,$H$16,IF(G3934&gt;$I$10,$H$16,$H$11))*E3934/600</f>
        <v>5.7253696499999999E-2</v>
      </c>
      <c r="L3934" s="32">
        <f>$J3934*($G3934-$G3933)*60*24</f>
        <v>5.7253696499999805E-2</v>
      </c>
    </row>
    <row r="3935" spans="1:12">
      <c r="A3935" s="22">
        <v>40313.364583333336</v>
      </c>
      <c r="E3935" s="26">
        <v>156.066092</v>
      </c>
      <c r="G3935" s="27">
        <v>0.36458333333333331</v>
      </c>
      <c r="J3935" s="30">
        <f>IF(G3935&lt;$H$10,$H$16,IF(G3935&gt;$I$10,$H$16,$H$11))*E3935/600</f>
        <v>5.7224233733333338E-2</v>
      </c>
      <c r="L3935" s="32">
        <f>$J3935*($G3935-$G3934)*60*24</f>
        <v>5.722423373333313E-2</v>
      </c>
    </row>
    <row r="3936" spans="1:12">
      <c r="A3936" s="22">
        <v>40313.365277777775</v>
      </c>
      <c r="E3936" s="26">
        <v>155.81893600000001</v>
      </c>
      <c r="G3936" s="27">
        <v>0.36527777777777781</v>
      </c>
      <c r="J3936" s="30">
        <f>IF(G3936&lt;$H$10,$H$16,IF(G3936&gt;$I$10,$H$16,$H$11))*E3936/600</f>
        <v>5.7133609866666671E-2</v>
      </c>
      <c r="L3936" s="32">
        <f>$J3936*($G3936-$G3935)*60*24</f>
        <v>5.7133609866671042E-2</v>
      </c>
    </row>
    <row r="3937" spans="1:12">
      <c r="A3937" s="22">
        <v>40313.365972222222</v>
      </c>
      <c r="E3937" s="26">
        <v>156.8476</v>
      </c>
      <c r="G3937" s="27">
        <v>0.3659722222222222</v>
      </c>
      <c r="J3937" s="30">
        <f>IF(G3937&lt;$H$10,$H$16,IF(G3937&gt;$I$10,$H$16,$H$11))*E3937/600</f>
        <v>5.7510786666666668E-2</v>
      </c>
      <c r="L3937" s="32">
        <f>$J3937*($G3937-$G3936)*60*24</f>
        <v>5.7510786666661859E-2</v>
      </c>
    </row>
    <row r="3938" spans="1:12">
      <c r="A3938" s="22">
        <v>40313.366666666669</v>
      </c>
      <c r="E3938" s="26">
        <v>156.420264</v>
      </c>
      <c r="G3938" s="27">
        <v>0.3666666666666667</v>
      </c>
      <c r="J3938" s="30">
        <f>IF(G3938&lt;$H$10,$H$16,IF(G3938&gt;$I$10,$H$16,$H$11))*E3938/600</f>
        <v>5.7354096800000004E-2</v>
      </c>
      <c r="L3938" s="32">
        <f>$J3938*($G3938-$G3937)*60*24</f>
        <v>5.7354096800004389E-2</v>
      </c>
    </row>
    <row r="3939" spans="1:12">
      <c r="A3939" s="22">
        <v>40313.367361111108</v>
      </c>
      <c r="E3939" s="26">
        <v>158.48851199999999</v>
      </c>
      <c r="G3939" s="27">
        <v>0.36736111111111108</v>
      </c>
      <c r="J3939" s="30">
        <f>IF(G3939&lt;$H$10,$H$16,IF(G3939&gt;$I$10,$H$16,$H$11))*E3939/600</f>
        <v>5.8112454399999992E-2</v>
      </c>
      <c r="L3939" s="32">
        <f>$J3939*($G3939-$G3938)*60*24</f>
        <v>5.8112454399995135E-2</v>
      </c>
    </row>
    <row r="3940" spans="1:12">
      <c r="A3940" s="22">
        <v>40313.368055555555</v>
      </c>
      <c r="E3940" s="26">
        <v>157.754142</v>
      </c>
      <c r="G3940" s="27">
        <v>0.36805555555555558</v>
      </c>
      <c r="J3940" s="30">
        <f>IF(G3940&lt;$H$10,$H$16,IF(G3940&gt;$I$10,$H$16,$H$11))*E3940/600</f>
        <v>5.7843185399999997E-2</v>
      </c>
      <c r="L3940" s="32">
        <f>$J3940*($G3940-$G3939)*60*24</f>
        <v>5.7843185400004424E-2</v>
      </c>
    </row>
    <row r="3941" spans="1:12">
      <c r="A3941" s="22">
        <v>40313.368750000001</v>
      </c>
      <c r="E3941" s="26">
        <v>157.20022499999999</v>
      </c>
      <c r="G3941" s="27">
        <v>0.36874999999999997</v>
      </c>
      <c r="J3941" s="30">
        <f>IF(G3941&lt;$H$10,$H$16,IF(G3941&gt;$I$10,$H$16,$H$11))*E3941/600</f>
        <v>5.7640082499999995E-2</v>
      </c>
      <c r="L3941" s="32">
        <f>$J3941*($G3941-$G3940)*60*24</f>
        <v>5.7640082499995186E-2</v>
      </c>
    </row>
    <row r="3942" spans="1:12">
      <c r="A3942" s="22">
        <v>40313.369444444441</v>
      </c>
      <c r="E3942" s="26">
        <v>164.35689600000001</v>
      </c>
      <c r="G3942" s="27">
        <v>0.36944444444444446</v>
      </c>
      <c r="J3942" s="30">
        <f>IF(G3942&lt;$H$10,$H$16,IF(G3942&gt;$I$10,$H$16,$H$11))*E3942/600</f>
        <v>6.0264195199999995E-2</v>
      </c>
      <c r="L3942" s="32">
        <f>$J3942*($G3942-$G3941)*60*24</f>
        <v>6.0264195200004603E-2</v>
      </c>
    </row>
    <row r="3943" spans="1:12">
      <c r="A3943" s="22">
        <v>40313.370138888888</v>
      </c>
      <c r="E3943" s="26">
        <v>159.26346799999999</v>
      </c>
      <c r="G3943" s="27">
        <v>0.37013888888888885</v>
      </c>
      <c r="J3943" s="30">
        <f>IF(G3943&lt;$H$10,$H$16,IF(G3943&gt;$I$10,$H$16,$H$11))*E3943/600</f>
        <v>5.8396604933333325E-2</v>
      </c>
      <c r="L3943" s="32">
        <f>$J3943*($G3943-$G3942)*60*24</f>
        <v>5.8396604933328454E-2</v>
      </c>
    </row>
    <row r="3944" spans="1:12">
      <c r="A3944" s="22">
        <v>40313.370833333334</v>
      </c>
      <c r="E3944" s="26">
        <v>165.27616</v>
      </c>
      <c r="G3944" s="27">
        <v>0.37083333333333335</v>
      </c>
      <c r="J3944" s="30">
        <f>IF(G3944&lt;$H$10,$H$16,IF(G3944&gt;$I$10,$H$16,$H$11))*E3944/600</f>
        <v>6.0601258666666664E-2</v>
      </c>
      <c r="L3944" s="32">
        <f>$J3944*($G3944-$G3943)*60*24</f>
        <v>6.0601258666671293E-2</v>
      </c>
    </row>
    <row r="3945" spans="1:12">
      <c r="A3945" s="22">
        <v>40313.371527777781</v>
      </c>
      <c r="E3945" s="26">
        <v>162.26573999999999</v>
      </c>
      <c r="G3945" s="27">
        <v>0.37152777777777773</v>
      </c>
      <c r="J3945" s="30">
        <f>IF(G3945&lt;$H$10,$H$16,IF(G3945&gt;$I$10,$H$16,$H$11))*E3945/600</f>
        <v>5.9497438E-2</v>
      </c>
      <c r="L3945" s="32">
        <f>$J3945*($G3945-$G3944)*60*24</f>
        <v>5.9497437999995031E-2</v>
      </c>
    </row>
    <row r="3946" spans="1:12">
      <c r="A3946" s="22">
        <v>40313.37222222222</v>
      </c>
      <c r="E3946" s="26">
        <v>164.22315</v>
      </c>
      <c r="G3946" s="27">
        <v>0.37222222222222223</v>
      </c>
      <c r="J3946" s="30">
        <f>IF(G3946&lt;$H$10,$H$16,IF(G3946&gt;$I$10,$H$16,$H$11))*E3946/600</f>
        <v>6.0215155000000006E-2</v>
      </c>
      <c r="L3946" s="32">
        <f>$J3946*($G3946-$G3945)*60*24</f>
        <v>6.0215155000004607E-2</v>
      </c>
    </row>
    <row r="3947" spans="1:12">
      <c r="A3947" s="22">
        <v>40313.372916666667</v>
      </c>
      <c r="E3947" s="26">
        <v>159.467581</v>
      </c>
      <c r="G3947" s="27">
        <v>0.37291666666666662</v>
      </c>
      <c r="J3947" s="30">
        <f>IF(G3947&lt;$H$10,$H$16,IF(G3947&gt;$I$10,$H$16,$H$11))*E3947/600</f>
        <v>5.8471446366666659E-2</v>
      </c>
      <c r="L3947" s="32">
        <f>$J3947*($G3947-$G3946)*60*24</f>
        <v>5.8471446366661781E-2</v>
      </c>
    </row>
    <row r="3948" spans="1:12">
      <c r="A3948" s="22">
        <v>40313.373611111114</v>
      </c>
      <c r="E3948" s="26">
        <v>157.25673599999999</v>
      </c>
      <c r="G3948" s="27">
        <v>0.37361111111111112</v>
      </c>
      <c r="J3948" s="30">
        <f>IF(G3948&lt;$H$10,$H$16,IF(G3948&gt;$I$10,$H$16,$H$11))*E3948/600</f>
        <v>5.7660803199999992E-2</v>
      </c>
      <c r="L3948" s="32">
        <f>$J3948*($G3948-$G3947)*60*24</f>
        <v>5.7660803200004399E-2</v>
      </c>
    </row>
    <row r="3949" spans="1:12">
      <c r="A3949" s="22">
        <v>40313.374305555553</v>
      </c>
      <c r="E3949" s="26">
        <v>162.27458999999999</v>
      </c>
      <c r="G3949" s="27">
        <v>0.3743055555555555</v>
      </c>
      <c r="J3949" s="30">
        <f>IF(G3949&lt;$H$10,$H$16,IF(G3949&gt;$I$10,$H$16,$H$11))*E3949/600</f>
        <v>5.9500682999999992E-2</v>
      </c>
      <c r="L3949" s="32">
        <f>$J3949*($G3949-$G3948)*60*24</f>
        <v>5.9500682999995023E-2</v>
      </c>
    </row>
    <row r="3950" spans="1:12">
      <c r="A3950" s="22">
        <v>40313.375</v>
      </c>
      <c r="E3950" s="26">
        <v>161.05068</v>
      </c>
      <c r="G3950" s="27">
        <v>0.375</v>
      </c>
      <c r="J3950" s="30">
        <f>IF(G3950&lt;$H$10,$H$16,IF(G3950&gt;$I$10,$H$16,$H$11))*E3950/600</f>
        <v>5.9051915999999996E-2</v>
      </c>
      <c r="L3950" s="32">
        <f>$J3950*($G3950-$G3949)*60*24</f>
        <v>5.9051916000004499E-2</v>
      </c>
    </row>
    <row r="3951" spans="1:12">
      <c r="A3951" s="22">
        <v>40313.375694444447</v>
      </c>
      <c r="E3951" s="26">
        <v>155.10316800000001</v>
      </c>
      <c r="G3951" s="27">
        <v>0.3756944444444445</v>
      </c>
      <c r="J3951" s="30">
        <f>IF(G3951&lt;$H$10,$H$16,IF(G3951&gt;$I$10,$H$16,$H$11))*E3951/600</f>
        <v>5.6871161600000011E-2</v>
      </c>
      <c r="L3951" s="32">
        <f>$J3951*($G3951-$G3950)*60*24</f>
        <v>5.6871161600004355E-2</v>
      </c>
    </row>
    <row r="3952" spans="1:12">
      <c r="A3952" s="22">
        <v>40313.376388888886</v>
      </c>
      <c r="E3952" s="26">
        <v>159.89048</v>
      </c>
      <c r="G3952" s="27">
        <v>0.37638888888888888</v>
      </c>
      <c r="J3952" s="30">
        <f>IF(G3952&lt;$H$10,$H$16,IF(G3952&gt;$I$10,$H$16,$H$11))*E3952/600</f>
        <v>5.8626509333333333E-2</v>
      </c>
      <c r="L3952" s="32">
        <f>$J3952*($G3952-$G3951)*60*24</f>
        <v>5.8626509333328441E-2</v>
      </c>
    </row>
    <row r="3953" spans="1:12">
      <c r="A3953" s="22">
        <v>40313.377083333333</v>
      </c>
      <c r="E3953" s="26">
        <v>171.26117400000001</v>
      </c>
      <c r="G3953" s="27">
        <v>0.37708333333333338</v>
      </c>
      <c r="J3953" s="30">
        <f>IF(G3953&lt;$H$10,$H$16,IF(G3953&gt;$I$10,$H$16,$H$11))*E3953/600</f>
        <v>6.2795763800000001E-2</v>
      </c>
      <c r="L3953" s="32">
        <f>$J3953*($G3953-$G3952)*60*24</f>
        <v>6.2795763800004789E-2</v>
      </c>
    </row>
    <row r="3954" spans="1:12">
      <c r="A3954" s="22">
        <v>40313.37777777778</v>
      </c>
      <c r="E3954" s="26">
        <v>175.27533299999999</v>
      </c>
      <c r="G3954" s="27">
        <v>0.37777777777777777</v>
      </c>
      <c r="J3954" s="30">
        <f>IF(G3954&lt;$H$10,$H$16,IF(G3954&gt;$I$10,$H$16,$H$11))*E3954/600</f>
        <v>6.4267622099999991E-2</v>
      </c>
      <c r="L3954" s="32">
        <f>$J3954*($G3954-$G3953)*60*24</f>
        <v>6.426762209999462E-2</v>
      </c>
    </row>
    <row r="3955" spans="1:12">
      <c r="A3955" s="22">
        <v>40313.378472222219</v>
      </c>
      <c r="E3955" s="26">
        <v>166.150452</v>
      </c>
      <c r="G3955" s="27">
        <v>0.37847222222222227</v>
      </c>
      <c r="J3955" s="30">
        <f>IF(G3955&lt;$H$10,$H$16,IF(G3955&gt;$I$10,$H$16,$H$11))*E3955/600</f>
        <v>6.0921832400000007E-2</v>
      </c>
      <c r="L3955" s="32">
        <f>$J3955*($G3955-$G3954)*60*24</f>
        <v>6.0921832400004663E-2</v>
      </c>
    </row>
    <row r="3956" spans="1:12">
      <c r="A3956" s="22">
        <v>40313.379166666666</v>
      </c>
      <c r="E3956" s="26">
        <v>157.67162400000001</v>
      </c>
      <c r="G3956" s="27">
        <v>0.37916666666666665</v>
      </c>
      <c r="J3956" s="30">
        <f>IF(G3956&lt;$H$10,$H$16,IF(G3956&gt;$I$10,$H$16,$H$11))*E3956/600</f>
        <v>5.7812928799999996E-2</v>
      </c>
      <c r="L3956" s="32">
        <f>$J3956*($G3956-$G3955)*60*24</f>
        <v>5.7812928799995167E-2</v>
      </c>
    </row>
    <row r="3957" spans="1:12">
      <c r="A3957" s="22">
        <v>40313.379861111112</v>
      </c>
      <c r="E3957" s="26">
        <v>161.18192999999999</v>
      </c>
      <c r="G3957" s="27">
        <v>0.37986111111111115</v>
      </c>
      <c r="J3957" s="30">
        <f>IF(G3957&lt;$H$10,$H$16,IF(G3957&gt;$I$10,$H$16,$H$11))*E3957/600</f>
        <v>5.9100040999999992E-2</v>
      </c>
      <c r="L3957" s="32">
        <f>$J3957*($G3957-$G3956)*60*24</f>
        <v>5.9100041000004516E-2</v>
      </c>
    </row>
    <row r="3958" spans="1:12">
      <c r="A3958" s="22">
        <v>40313.380555555559</v>
      </c>
      <c r="E3958" s="26">
        <v>164.08547999999999</v>
      </c>
      <c r="G3958" s="27">
        <v>0.38055555555555554</v>
      </c>
      <c r="J3958" s="30">
        <f>IF(G3958&lt;$H$10,$H$16,IF(G3958&gt;$I$10,$H$16,$H$11))*E3958/600</f>
        <v>6.0164676E-2</v>
      </c>
      <c r="L3958" s="32">
        <f>$J3958*($G3958-$G3957)*60*24</f>
        <v>6.0164675999994977E-2</v>
      </c>
    </row>
    <row r="3959" spans="1:12">
      <c r="A3959" s="22">
        <v>40313.381249999999</v>
      </c>
      <c r="E3959" s="26">
        <v>163.46311800000001</v>
      </c>
      <c r="G3959" s="27">
        <v>0.38125000000000003</v>
      </c>
      <c r="J3959" s="30">
        <f>IF(G3959&lt;$H$10,$H$16,IF(G3959&gt;$I$10,$H$16,$H$11))*E3959/600</f>
        <v>5.9936476600000003E-2</v>
      </c>
      <c r="L3959" s="32">
        <f>$J3959*($G3959-$G3958)*60*24</f>
        <v>5.9936476600004583E-2</v>
      </c>
    </row>
    <row r="3960" spans="1:12">
      <c r="A3960" s="22">
        <v>40313.381944444445</v>
      </c>
      <c r="E3960" s="26">
        <v>165.274655</v>
      </c>
      <c r="G3960" s="27">
        <v>0.38194444444444442</v>
      </c>
      <c r="J3960" s="30">
        <f>IF(G3960&lt;$H$10,$H$16,IF(G3960&gt;$I$10,$H$16,$H$11))*E3960/600</f>
        <v>6.0600706833333323E-2</v>
      </c>
      <c r="L3960" s="32">
        <f>$J3960*($G3960-$G3959)*60*24</f>
        <v>6.0600706833328258E-2</v>
      </c>
    </row>
    <row r="3961" spans="1:12">
      <c r="A3961" s="22">
        <v>40313.382638888892</v>
      </c>
      <c r="E3961" s="26">
        <v>163.931859</v>
      </c>
      <c r="G3961" s="27">
        <v>0.38263888888888892</v>
      </c>
      <c r="J3961" s="30">
        <f>IF(G3961&lt;$H$10,$H$16,IF(G3961&gt;$I$10,$H$16,$H$11))*E3961/600</f>
        <v>6.0108348300000003E-2</v>
      </c>
      <c r="L3961" s="32">
        <f>$J3961*($G3961-$G3960)*60*24</f>
        <v>6.0108348300004596E-2</v>
      </c>
    </row>
    <row r="3962" spans="1:12">
      <c r="A3962" s="22">
        <v>40313.383333333331</v>
      </c>
      <c r="E3962" s="26">
        <v>166.92748800000001</v>
      </c>
      <c r="G3962" s="27">
        <v>0.3833333333333333</v>
      </c>
      <c r="J3962" s="30">
        <f>IF(G3962&lt;$H$10,$H$16,IF(G3962&gt;$I$10,$H$16,$H$11))*E3962/600</f>
        <v>6.1206745600000001E-2</v>
      </c>
      <c r="L3962" s="32">
        <f>$J3962*($G3962-$G3961)*60*24</f>
        <v>6.1206745599994894E-2</v>
      </c>
    </row>
    <row r="3963" spans="1:12">
      <c r="A3963" s="22">
        <v>40313.384027777778</v>
      </c>
      <c r="E3963" s="26">
        <v>162.44646599999999</v>
      </c>
      <c r="G3963" s="27">
        <v>0.3840277777777778</v>
      </c>
      <c r="J3963" s="30">
        <f>IF(G3963&lt;$H$10,$H$16,IF(G3963&gt;$I$10,$H$16,$H$11))*E3963/600</f>
        <v>5.9563704200000005E-2</v>
      </c>
      <c r="L3963" s="32">
        <f>$J3963*($G3963-$G3962)*60*24</f>
        <v>5.956370420000455E-2</v>
      </c>
    </row>
    <row r="3964" spans="1:12">
      <c r="A3964" s="22">
        <v>40313.384722222225</v>
      </c>
      <c r="E3964" s="26">
        <v>162.533098</v>
      </c>
      <c r="G3964" s="27">
        <v>0.38472222222222219</v>
      </c>
      <c r="J3964" s="30">
        <f>IF(G3964&lt;$H$10,$H$16,IF(G3964&gt;$I$10,$H$16,$H$11))*E3964/600</f>
        <v>5.9595469266666673E-2</v>
      </c>
      <c r="L3964" s="32">
        <f>$J3964*($G3964-$G3963)*60*24</f>
        <v>5.9595469266661698E-2</v>
      </c>
    </row>
    <row r="3965" spans="1:12">
      <c r="A3965" s="22">
        <v>40313.385416666664</v>
      </c>
      <c r="E3965" s="26">
        <v>161.24553900000001</v>
      </c>
      <c r="G3965" s="27">
        <v>0.38541666666666669</v>
      </c>
      <c r="J3965" s="30">
        <f>IF(G3965&lt;$H$10,$H$16,IF(G3965&gt;$I$10,$H$16,$H$11))*E3965/600</f>
        <v>5.9123364300000002E-2</v>
      </c>
      <c r="L3965" s="32">
        <f>$J3965*($G3965-$G3964)*60*24</f>
        <v>5.9123364300004512E-2</v>
      </c>
    </row>
    <row r="3966" spans="1:12">
      <c r="A3966" s="22">
        <v>40313.386111111111</v>
      </c>
      <c r="E3966" s="26">
        <v>163.81965600000001</v>
      </c>
      <c r="G3966" s="27">
        <v>0.38611111111111113</v>
      </c>
      <c r="J3966" s="30">
        <f>IF(G3966&lt;$H$10,$H$16,IF(G3966&gt;$I$10,$H$16,$H$11))*E3966/600</f>
        <v>6.0067207200000007E-2</v>
      </c>
      <c r="L3966" s="32">
        <f>$J3966*($G3966-$G3965)*60*24</f>
        <v>6.0067207199999792E-2</v>
      </c>
    </row>
    <row r="3967" spans="1:12">
      <c r="A3967" s="22">
        <v>40313.386805555558</v>
      </c>
      <c r="E3967" s="26">
        <v>160.99983900000001</v>
      </c>
      <c r="G3967" s="27">
        <v>0.38680555555555557</v>
      </c>
      <c r="J3967" s="30">
        <f>IF(G3967&lt;$H$10,$H$16,IF(G3967&gt;$I$10,$H$16,$H$11))*E3967/600</f>
        <v>5.9033274300000008E-2</v>
      </c>
      <c r="L3967" s="32">
        <f>$J3967*($G3967-$G3966)*60*24</f>
        <v>5.9033274299999799E-2</v>
      </c>
    </row>
    <row r="3968" spans="1:12">
      <c r="A3968" s="22">
        <v>40313.387499999997</v>
      </c>
      <c r="E3968" s="26">
        <v>165.389679</v>
      </c>
      <c r="G3968" s="27">
        <v>0.38750000000000001</v>
      </c>
      <c r="J3968" s="30">
        <f>IF(G3968&lt;$H$10,$H$16,IF(G3968&gt;$I$10,$H$16,$H$11))*E3968/600</f>
        <v>6.0642882299999999E-2</v>
      </c>
      <c r="L3968" s="32">
        <f>$J3968*($G3968-$G3967)*60*24</f>
        <v>6.0642882299999777E-2</v>
      </c>
    </row>
    <row r="3969" spans="1:12">
      <c r="A3969" s="22">
        <v>40313.388194444444</v>
      </c>
      <c r="E3969" s="26">
        <v>159.63401999999999</v>
      </c>
      <c r="G3969" s="27">
        <v>0.38819444444444445</v>
      </c>
      <c r="J3969" s="30">
        <f>IF(G3969&lt;$H$10,$H$16,IF(G3969&gt;$I$10,$H$16,$H$11))*E3969/600</f>
        <v>5.8532473999999994E-2</v>
      </c>
      <c r="L3969" s="32">
        <f>$J3969*($G3969-$G3968)*60*24</f>
        <v>5.8532473999999793E-2</v>
      </c>
    </row>
    <row r="3970" spans="1:12">
      <c r="A3970" s="22">
        <v>40313.388888888891</v>
      </c>
      <c r="E3970" s="26">
        <v>159.45702499999999</v>
      </c>
      <c r="G3970" s="27">
        <v>0.3888888888888889</v>
      </c>
      <c r="J3970" s="30">
        <f>IF(G3970&lt;$H$10,$H$16,IF(G3970&gt;$I$10,$H$16,$H$11))*E3970/600</f>
        <v>5.8467575833333334E-2</v>
      </c>
      <c r="L3970" s="32">
        <f>$J3970*($G3970-$G3969)*60*24</f>
        <v>5.8467575833333119E-2</v>
      </c>
    </row>
    <row r="3971" spans="1:12">
      <c r="A3971" s="22">
        <v>40313.38958333333</v>
      </c>
      <c r="E3971" s="26">
        <v>160.69872000000001</v>
      </c>
      <c r="G3971" s="27">
        <v>0.38958333333333334</v>
      </c>
      <c r="J3971" s="30">
        <f>IF(G3971&lt;$H$10,$H$16,IF(G3971&gt;$I$10,$H$16,$H$11))*E3971/600</f>
        <v>5.8922864000000012E-2</v>
      </c>
      <c r="L3971" s="32">
        <f>$J3971*($G3971-$G3970)*60*24</f>
        <v>5.8922863999999811E-2</v>
      </c>
    </row>
    <row r="3972" spans="1:12">
      <c r="A3972" s="22">
        <v>40313.390277777777</v>
      </c>
      <c r="E3972" s="26">
        <v>159.27912000000001</v>
      </c>
      <c r="G3972" s="27">
        <v>0.39027777777777778</v>
      </c>
      <c r="J3972" s="30">
        <f>IF(G3972&lt;$H$10,$H$16,IF(G3972&gt;$I$10,$H$16,$H$11))*E3972/600</f>
        <v>5.8402344000000002E-2</v>
      </c>
      <c r="L3972" s="32">
        <f>$J3972*($G3972-$G3971)*60*24</f>
        <v>5.8402343999999801E-2</v>
      </c>
    </row>
    <row r="3973" spans="1:12">
      <c r="A3973" s="22">
        <v>40313.390972222223</v>
      </c>
      <c r="E3973" s="26">
        <v>160.34381999999999</v>
      </c>
      <c r="G3973" s="27">
        <v>0.39097222222222222</v>
      </c>
      <c r="J3973" s="30">
        <f>IF(G3973&lt;$H$10,$H$16,IF(G3973&gt;$I$10,$H$16,$H$11))*E3973/600</f>
        <v>5.8792733999999999E-2</v>
      </c>
      <c r="L3973" s="32">
        <f>$J3973*($G3973-$G3972)*60*24</f>
        <v>5.8792733999999791E-2</v>
      </c>
    </row>
    <row r="3974" spans="1:12">
      <c r="A3974" s="22">
        <v>40313.39166666667</v>
      </c>
      <c r="E3974" s="26">
        <v>158.84869</v>
      </c>
      <c r="G3974" s="27">
        <v>0.39166666666666666</v>
      </c>
      <c r="J3974" s="30">
        <f>IF(G3974&lt;$H$10,$H$16,IF(G3974&gt;$I$10,$H$16,$H$11))*E3974/600</f>
        <v>5.8244519666666668E-2</v>
      </c>
      <c r="L3974" s="32">
        <f>$J3974*($G3974-$G3973)*60*24</f>
        <v>5.824451966666646E-2</v>
      </c>
    </row>
    <row r="3975" spans="1:12">
      <c r="A3975" s="22">
        <v>40313.392361111109</v>
      </c>
      <c r="E3975" s="26">
        <v>158.23262</v>
      </c>
      <c r="G3975" s="27">
        <v>0.3923611111111111</v>
      </c>
      <c r="J3975" s="30">
        <f>IF(G3975&lt;$H$10,$H$16,IF(G3975&gt;$I$10,$H$16,$H$11))*E3975/600</f>
        <v>5.8018627333333336E-2</v>
      </c>
      <c r="L3975" s="32">
        <f>$J3975*($G3975-$G3974)*60*24</f>
        <v>5.8018627333333135E-2</v>
      </c>
    </row>
    <row r="3976" spans="1:12">
      <c r="A3976" s="22">
        <v>40313.393055555556</v>
      </c>
      <c r="E3976" s="26">
        <v>158.84869</v>
      </c>
      <c r="G3976" s="27">
        <v>0.39305555555555555</v>
      </c>
      <c r="J3976" s="30">
        <f>IF(G3976&lt;$H$10,$H$16,IF(G3976&gt;$I$10,$H$16,$H$11))*E3976/600</f>
        <v>5.8244519666666668E-2</v>
      </c>
      <c r="L3976" s="32">
        <f>$J3976*($G3976-$G3975)*60*24</f>
        <v>5.824451966666646E-2</v>
      </c>
    </row>
    <row r="3977" spans="1:12">
      <c r="A3977" s="22">
        <v>40313.393750000003</v>
      </c>
      <c r="E3977" s="26">
        <v>158.82866999999999</v>
      </c>
      <c r="G3977" s="27">
        <v>0.39374999999999999</v>
      </c>
      <c r="J3977" s="30">
        <f>IF(G3977&lt;$H$10,$H$16,IF(G3977&gt;$I$10,$H$16,$H$11))*E3977/600</f>
        <v>5.8237178999999993E-2</v>
      </c>
      <c r="L3977" s="32">
        <f>$J3977*($G3977-$G3976)*60*24</f>
        <v>5.8237178999999778E-2</v>
      </c>
    </row>
    <row r="3978" spans="1:12">
      <c r="A3978" s="22">
        <v>40313.394444444442</v>
      </c>
      <c r="E3978" s="26">
        <v>154.19678400000001</v>
      </c>
      <c r="G3978" s="27">
        <v>0.39444444444444443</v>
      </c>
      <c r="J3978" s="30">
        <f>IF(G3978&lt;$H$10,$H$16,IF(G3978&gt;$I$10,$H$16,$H$11))*E3978/600</f>
        <v>5.65388208E-2</v>
      </c>
      <c r="L3978" s="32">
        <f>$J3978*($G3978-$G3977)*60*24</f>
        <v>5.6538820799999806E-2</v>
      </c>
    </row>
    <row r="3979" spans="1:12">
      <c r="A3979" s="22">
        <v>40313.395138888889</v>
      </c>
      <c r="E3979" s="26">
        <v>163.56249</v>
      </c>
      <c r="G3979" s="27">
        <v>0.39513888888888887</v>
      </c>
      <c r="J3979" s="30">
        <f>IF(G3979&lt;$H$10,$H$16,IF(G3979&gt;$I$10,$H$16,$H$11))*E3979/600</f>
        <v>5.9972912999999996E-2</v>
      </c>
      <c r="L3979" s="32">
        <f>$J3979*($G3979-$G3978)*60*24</f>
        <v>5.9972912999999781E-2</v>
      </c>
    </row>
    <row r="3980" spans="1:12">
      <c r="A3980" s="22">
        <v>40313.395833333336</v>
      </c>
      <c r="E3980" s="26">
        <v>162.61245</v>
      </c>
      <c r="G3980" s="27">
        <v>0.39583333333333331</v>
      </c>
      <c r="J3980" s="30">
        <f>IF(G3980&lt;$H$10,$H$16,IF(G3980&gt;$I$10,$H$16,$H$11))*E3980/600</f>
        <v>5.9624564999999997E-2</v>
      </c>
      <c r="L3980" s="32">
        <f>$J3980*($G3980-$G3979)*60*24</f>
        <v>5.9624564999999796E-2</v>
      </c>
    </row>
    <row r="3981" spans="1:12">
      <c r="A3981" s="22">
        <v>40313.396527777775</v>
      </c>
      <c r="E3981" s="26">
        <v>157.94415000000001</v>
      </c>
      <c r="G3981" s="27">
        <v>0.39652777777777781</v>
      </c>
      <c r="J3981" s="30">
        <f>IF(G3981&lt;$H$10,$H$16,IF(G3981&gt;$I$10,$H$16,$H$11))*E3981/600</f>
        <v>5.7912855000000006E-2</v>
      </c>
      <c r="L3981" s="32">
        <f>$J3981*($G3981-$G3980)*60*24</f>
        <v>5.7912855000004426E-2</v>
      </c>
    </row>
    <row r="3982" spans="1:12">
      <c r="A3982" s="22">
        <v>40313.397222222222</v>
      </c>
      <c r="E3982" s="26">
        <v>157.37549100000001</v>
      </c>
      <c r="G3982" s="27">
        <v>0.3972222222222222</v>
      </c>
      <c r="J3982" s="30">
        <f>IF(G3982&lt;$H$10,$H$16,IF(G3982&gt;$I$10,$H$16,$H$11))*E3982/600</f>
        <v>5.7704346699999999E-2</v>
      </c>
      <c r="L3982" s="32">
        <f>$J3982*($G3982-$G3981)*60*24</f>
        <v>5.7704346699995183E-2</v>
      </c>
    </row>
    <row r="3983" spans="1:12">
      <c r="A3983" s="22">
        <v>40313.397916666669</v>
      </c>
      <c r="E3983" s="26">
        <v>158.069366</v>
      </c>
      <c r="G3983" s="27">
        <v>0.3979166666666667</v>
      </c>
      <c r="J3983" s="30">
        <f>IF(G3983&lt;$H$10,$H$16,IF(G3983&gt;$I$10,$H$16,$H$11))*E3983/600</f>
        <v>5.7958767533333337E-2</v>
      </c>
      <c r="L3983" s="32">
        <f>$J3983*($G3983-$G3982)*60*24</f>
        <v>5.7958767533337764E-2</v>
      </c>
    </row>
    <row r="3984" spans="1:12">
      <c r="A3984" s="22">
        <v>40313.398611111108</v>
      </c>
      <c r="E3984" s="26">
        <v>158.35820000000001</v>
      </c>
      <c r="G3984" s="27">
        <v>0.39861111111111108</v>
      </c>
      <c r="J3984" s="30">
        <f>IF(G3984&lt;$H$10,$H$16,IF(G3984&gt;$I$10,$H$16,$H$11))*E3984/600</f>
        <v>5.8064673333333337E-2</v>
      </c>
      <c r="L3984" s="32">
        <f>$J3984*($G3984-$G3983)*60*24</f>
        <v>5.8064673333328487E-2</v>
      </c>
    </row>
    <row r="3985" spans="1:12">
      <c r="A3985" s="22">
        <v>40313.399305555555</v>
      </c>
      <c r="E3985" s="26">
        <v>158.10913300000001</v>
      </c>
      <c r="G3985" s="27">
        <v>0.39930555555555558</v>
      </c>
      <c r="J3985" s="30">
        <f>IF(G3985&lt;$H$10,$H$16,IF(G3985&gt;$I$10,$H$16,$H$11))*E3985/600</f>
        <v>5.7973348766666676E-2</v>
      </c>
      <c r="L3985" s="32">
        <f>$J3985*($G3985-$G3984)*60*24</f>
        <v>5.7973348766671103E-2</v>
      </c>
    </row>
    <row r="3986" spans="1:12">
      <c r="A3986" s="22">
        <v>40313.4</v>
      </c>
      <c r="E3986" s="26">
        <v>155.9331</v>
      </c>
      <c r="G3986" s="27">
        <v>0.39999999999999997</v>
      </c>
      <c r="J3986" s="30">
        <f>IF(G3986&lt;$H$10,$H$16,IF(G3986&gt;$I$10,$H$16,$H$11))*E3986/600</f>
        <v>5.7175469999999999E-2</v>
      </c>
      <c r="L3986" s="32">
        <f>$J3986*($G3986-$G3985)*60*24</f>
        <v>5.7175469999995225E-2</v>
      </c>
    </row>
    <row r="3987" spans="1:12">
      <c r="A3987" s="22">
        <v>40313.400694444441</v>
      </c>
      <c r="E3987" s="26">
        <v>152.75827200000001</v>
      </c>
      <c r="G3987" s="27">
        <v>0.40069444444444446</v>
      </c>
      <c r="J3987" s="30">
        <f>IF(G3987&lt;$H$10,$H$16,IF(G3987&gt;$I$10,$H$16,$H$11))*E3987/600</f>
        <v>5.6011366399999998E-2</v>
      </c>
      <c r="L3987" s="32">
        <f>$J3987*($G3987-$G3986)*60*24</f>
        <v>5.6011366400004273E-2</v>
      </c>
    </row>
    <row r="3988" spans="1:12">
      <c r="A3988" s="22">
        <v>40313.401388888888</v>
      </c>
      <c r="E3988" s="26">
        <v>153.23851199999999</v>
      </c>
      <c r="G3988" s="27">
        <v>0.40138888888888885</v>
      </c>
      <c r="J3988" s="30">
        <f>IF(G3988&lt;$H$10,$H$16,IF(G3988&gt;$I$10,$H$16,$H$11))*E3988/600</f>
        <v>5.6187454399999989E-2</v>
      </c>
      <c r="L3988" s="32">
        <f>$J3988*($G3988-$G3987)*60*24</f>
        <v>5.6187454399995305E-2</v>
      </c>
    </row>
    <row r="3989" spans="1:12">
      <c r="A3989" s="22">
        <v>40313.402083333334</v>
      </c>
      <c r="E3989" s="26">
        <v>152.76599999999999</v>
      </c>
      <c r="G3989" s="27">
        <v>0.40208333333333335</v>
      </c>
      <c r="J3989" s="30">
        <f>IF(G3989&lt;$H$10,$H$16,IF(G3989&gt;$I$10,$H$16,$H$11))*E3989/600</f>
        <v>5.60142E-2</v>
      </c>
      <c r="L3989" s="32">
        <f>$J3989*($G3989-$G3988)*60*24</f>
        <v>5.6014200000004281E-2</v>
      </c>
    </row>
    <row r="3990" spans="1:12">
      <c r="A3990" s="22">
        <v>40313.402777777781</v>
      </c>
      <c r="E3990" s="26">
        <v>152.76599999999999</v>
      </c>
      <c r="G3990" s="27">
        <v>0.40277777777777773</v>
      </c>
      <c r="J3990" s="30">
        <f>IF(G3990&lt;$H$10,$H$16,IF(G3990&gt;$I$10,$H$16,$H$11))*E3990/600</f>
        <v>5.60142E-2</v>
      </c>
      <c r="L3990" s="32">
        <f>$J3990*($G3990-$G3989)*60*24</f>
        <v>5.6014199999995323E-2</v>
      </c>
    </row>
    <row r="3991" spans="1:12">
      <c r="A3991" s="22">
        <v>40313.40347222222</v>
      </c>
      <c r="E3991" s="26">
        <v>152.697</v>
      </c>
      <c r="G3991" s="27">
        <v>0.40347222222222223</v>
      </c>
      <c r="J3991" s="30">
        <f>IF(G3991&lt;$H$10,$H$16,IF(G3991&gt;$I$10,$H$16,$H$11))*E3991/600</f>
        <v>5.5988899999999994E-2</v>
      </c>
      <c r="L3991" s="32">
        <f>$J3991*($G3991-$G3990)*60*24</f>
        <v>5.5988900000004276E-2</v>
      </c>
    </row>
    <row r="3992" spans="1:12">
      <c r="A3992" s="22">
        <v>40313.404166666667</v>
      </c>
      <c r="E3992" s="26">
        <v>152.831504</v>
      </c>
      <c r="G3992" s="27">
        <v>0.40416666666666662</v>
      </c>
      <c r="J3992" s="30">
        <f>IF(G3992&lt;$H$10,$H$16,IF(G3992&gt;$I$10,$H$16,$H$11))*E3992/600</f>
        <v>5.6038218133333331E-2</v>
      </c>
      <c r="L3992" s="32">
        <f>$J3992*($G3992-$G3991)*60*24</f>
        <v>5.6038218133328654E-2</v>
      </c>
    </row>
    <row r="3993" spans="1:12">
      <c r="A3993" s="22">
        <v>40313.404861111114</v>
      </c>
      <c r="E3993" s="26">
        <v>152.540232</v>
      </c>
      <c r="G3993" s="27">
        <v>0.40486111111111112</v>
      </c>
      <c r="J3993" s="30">
        <f>IF(G3993&lt;$H$10,$H$16,IF(G3993&gt;$I$10,$H$16,$H$11))*E3993/600</f>
        <v>5.5931418400000002E-2</v>
      </c>
      <c r="L3993" s="32">
        <f>$J3993*($G3993-$G3992)*60*24</f>
        <v>5.5931418400004276E-2</v>
      </c>
    </row>
    <row r="3994" spans="1:12">
      <c r="A3994" s="22">
        <v>40313.405555555553</v>
      </c>
      <c r="E3994" s="26">
        <v>153.11707200000001</v>
      </c>
      <c r="G3994" s="27">
        <v>0.4055555555555555</v>
      </c>
      <c r="J3994" s="30">
        <f>IF(G3994&lt;$H$10,$H$16,IF(G3994&gt;$I$10,$H$16,$H$11))*E3994/600</f>
        <v>5.6142926400000001E-2</v>
      </c>
      <c r="L3994" s="32">
        <f>$J3994*($G3994-$G3993)*60*24</f>
        <v>5.614292639999531E-2</v>
      </c>
    </row>
    <row r="3995" spans="1:12">
      <c r="A3995" s="22">
        <v>40313.40625</v>
      </c>
      <c r="E3995" s="26">
        <v>153.66576000000001</v>
      </c>
      <c r="G3995" s="27">
        <v>0.40625</v>
      </c>
      <c r="J3995" s="30">
        <f>IF(G3995&lt;$H$10,$H$16,IF(G3995&gt;$I$10,$H$16,$H$11))*E3995/600</f>
        <v>5.6344112000000002E-2</v>
      </c>
      <c r="L3995" s="32">
        <f>$J3995*($G3995-$G3994)*60*24</f>
        <v>5.6344112000004304E-2</v>
      </c>
    </row>
    <row r="3996" spans="1:12">
      <c r="A3996" s="22">
        <v>40313.406944444447</v>
      </c>
      <c r="E3996" s="26">
        <v>154.216104</v>
      </c>
      <c r="G3996" s="27">
        <v>0.4069444444444445</v>
      </c>
      <c r="J3996" s="30">
        <f>IF(G3996&lt;$H$10,$H$16,IF(G3996&gt;$I$10,$H$16,$H$11))*E3996/600</f>
        <v>5.6545904799999998E-2</v>
      </c>
      <c r="L3996" s="32">
        <f>$J3996*($G3996-$G3995)*60*24</f>
        <v>5.6545904800004321E-2</v>
      </c>
    </row>
    <row r="3997" spans="1:12">
      <c r="A3997" s="22">
        <v>40313.407638888886</v>
      </c>
      <c r="E3997" s="26">
        <v>176.34474</v>
      </c>
      <c r="G3997" s="27">
        <v>0.40763888888888888</v>
      </c>
      <c r="J3997" s="30">
        <f>IF(G3997&lt;$H$10,$H$16,IF(G3997&gt;$I$10,$H$16,$H$11))*E3997/600</f>
        <v>6.4659738000000008E-2</v>
      </c>
      <c r="L3997" s="32">
        <f>$J3997*($G3997-$G3996)*60*24</f>
        <v>6.465973799999461E-2</v>
      </c>
    </row>
    <row r="3998" spans="1:12">
      <c r="A3998" s="22">
        <v>40313.408333333333</v>
      </c>
      <c r="E3998" s="26">
        <v>179.37886499999999</v>
      </c>
      <c r="G3998" s="27">
        <v>0.40833333333333338</v>
      </c>
      <c r="J3998" s="30">
        <f>IF(G3998&lt;$H$10,$H$16,IF(G3998&gt;$I$10,$H$16,$H$11))*E3998/600</f>
        <v>6.577225049999999E-2</v>
      </c>
      <c r="L3998" s="32">
        <f>$J3998*($G3998-$G3997)*60*24</f>
        <v>6.5772250500005014E-2</v>
      </c>
    </row>
    <row r="3999" spans="1:12">
      <c r="A3999" s="22">
        <v>40313.40902777778</v>
      </c>
      <c r="E3999" s="26">
        <v>180.18296000000001</v>
      </c>
      <c r="G3999" s="27">
        <v>0.40902777777777777</v>
      </c>
      <c r="J3999" s="30">
        <f>IF(G3999&lt;$H$10,$H$16,IF(G3999&gt;$I$10,$H$16,$H$11))*E3999/600</f>
        <v>6.6067085333333331E-2</v>
      </c>
      <c r="L3999" s="32">
        <f>$J3999*($G3999-$G3998)*60*24</f>
        <v>6.6067085333327807E-2</v>
      </c>
    </row>
    <row r="4000" spans="1:12">
      <c r="A4000" s="22">
        <v>40313.409722222219</v>
      </c>
      <c r="E4000" s="26">
        <v>179.48736</v>
      </c>
      <c r="G4000" s="27">
        <v>0.40972222222222227</v>
      </c>
      <c r="J4000" s="30">
        <f>IF(G4000&lt;$H$10,$H$16,IF(G4000&gt;$I$10,$H$16,$H$11))*E4000/600</f>
        <v>6.5812031999999993E-2</v>
      </c>
      <c r="L4000" s="32">
        <f>$J4000*($G4000-$G3999)*60*24</f>
        <v>6.5812032000005016E-2</v>
      </c>
    </row>
    <row r="4001" spans="1:12">
      <c r="A4001" s="22">
        <v>40313.410416666666</v>
      </c>
      <c r="E4001" s="26">
        <v>180.84406200000001</v>
      </c>
      <c r="G4001" s="27">
        <v>0.41041666666666665</v>
      </c>
      <c r="J4001" s="30">
        <f>IF(G4001&lt;$H$10,$H$16,IF(G4001&gt;$I$10,$H$16,$H$11))*E4001/600</f>
        <v>6.6309489400000005E-2</v>
      </c>
      <c r="L4001" s="32">
        <f>$J4001*($G4001-$G4000)*60*24</f>
        <v>6.6309489399994453E-2</v>
      </c>
    </row>
    <row r="4002" spans="1:12">
      <c r="A4002" s="22">
        <v>40313.411111111112</v>
      </c>
      <c r="E4002" s="26">
        <v>180.02034</v>
      </c>
      <c r="G4002" s="27">
        <v>0.41111111111111115</v>
      </c>
      <c r="J4002" s="30">
        <f>IF(G4002&lt;$H$10,$H$16,IF(G4002&gt;$I$10,$H$16,$H$11))*E4002/600</f>
        <v>6.6007457999999991E-2</v>
      </c>
      <c r="L4002" s="32">
        <f>$J4002*($G4002-$G4001)*60*24</f>
        <v>6.6007458000005029E-2</v>
      </c>
    </row>
    <row r="4003" spans="1:12">
      <c r="A4003" s="22">
        <v>40313.411805555559</v>
      </c>
      <c r="E4003" s="26">
        <v>179.65862799999999</v>
      </c>
      <c r="G4003" s="27">
        <v>0.41180555555555554</v>
      </c>
      <c r="J4003" s="30">
        <f>IF(G4003&lt;$H$10,$H$16,IF(G4003&gt;$I$10,$H$16,$H$11))*E4003/600</f>
        <v>6.587483026666667E-2</v>
      </c>
      <c r="L4003" s="32">
        <f>$J4003*($G4003-$G4002)*60*24</f>
        <v>6.5874830266661161E-2</v>
      </c>
    </row>
    <row r="4004" spans="1:12">
      <c r="A4004" s="22">
        <v>40313.412499999999</v>
      </c>
      <c r="E4004" s="26">
        <v>180.20946799999999</v>
      </c>
      <c r="G4004" s="27">
        <v>0.41250000000000003</v>
      </c>
      <c r="J4004" s="30">
        <f>IF(G4004&lt;$H$10,$H$16,IF(G4004&gt;$I$10,$H$16,$H$11))*E4004/600</f>
        <v>6.607680493333333E-2</v>
      </c>
      <c r="L4004" s="32">
        <f>$J4004*($G4004-$G4003)*60*24</f>
        <v>6.6076804933338382E-2</v>
      </c>
    </row>
    <row r="4005" spans="1:12">
      <c r="A4005" s="22">
        <v>40313.413194444445</v>
      </c>
      <c r="E4005" s="26">
        <v>181.44237200000001</v>
      </c>
      <c r="G4005" s="27">
        <v>0.41319444444444442</v>
      </c>
      <c r="J4005" s="30">
        <f>IF(G4005&lt;$H$10,$H$16,IF(G4005&gt;$I$10,$H$16,$H$11))*E4005/600</f>
        <v>6.6528869733333329E-2</v>
      </c>
      <c r="L4005" s="32">
        <f>$J4005*($G4005-$G4004)*60*24</f>
        <v>6.6528869733327778E-2</v>
      </c>
    </row>
    <row r="4006" spans="1:12">
      <c r="A4006" s="22">
        <v>40313.413888888892</v>
      </c>
      <c r="E4006" s="26">
        <v>181.240272</v>
      </c>
      <c r="G4006" s="27">
        <v>0.41388888888888892</v>
      </c>
      <c r="J4006" s="30">
        <f>IF(G4006&lt;$H$10,$H$16,IF(G4006&gt;$I$10,$H$16,$H$11))*E4006/600</f>
        <v>6.6454766400000004E-2</v>
      </c>
      <c r="L4006" s="32">
        <f>$J4006*($G4006-$G4005)*60*24</f>
        <v>6.6454766400005083E-2</v>
      </c>
    </row>
    <row r="4007" spans="1:12">
      <c r="A4007" s="22">
        <v>40313.414583333331</v>
      </c>
      <c r="E4007" s="26">
        <v>181.14269999999999</v>
      </c>
      <c r="G4007" s="27">
        <v>0.4145833333333333</v>
      </c>
      <c r="J4007" s="30">
        <f>IF(G4007&lt;$H$10,$H$16,IF(G4007&gt;$I$10,$H$16,$H$11))*E4007/600</f>
        <v>6.6418989999999997E-2</v>
      </c>
      <c r="L4007" s="32">
        <f>$J4007*($G4007-$G4006)*60*24</f>
        <v>6.641898999999446E-2</v>
      </c>
    </row>
    <row r="4008" spans="1:12">
      <c r="A4008" s="22">
        <v>40313.415277777778</v>
      </c>
      <c r="E4008" s="26">
        <v>180.64299600000001</v>
      </c>
      <c r="G4008" s="27">
        <v>0.4152777777777778</v>
      </c>
      <c r="J4008" s="30">
        <f>IF(G4008&lt;$H$10,$H$16,IF(G4008&gt;$I$10,$H$16,$H$11))*E4008/600</f>
        <v>6.6235765200000005E-2</v>
      </c>
      <c r="L4008" s="32">
        <f>$J4008*($G4008-$G4007)*60*24</f>
        <v>6.623576520000507E-2</v>
      </c>
    </row>
    <row r="4009" spans="1:12">
      <c r="A4009" s="22">
        <v>40313.415972222225</v>
      </c>
      <c r="E4009" s="26">
        <v>179.469594</v>
      </c>
      <c r="G4009" s="27">
        <v>0.41597222222222219</v>
      </c>
      <c r="J4009" s="30">
        <f>IF(G4009&lt;$H$10,$H$16,IF(G4009&gt;$I$10,$H$16,$H$11))*E4009/600</f>
        <v>6.5805517800000005E-2</v>
      </c>
      <c r="L4009" s="32">
        <f>$J4009*($G4009-$G4008)*60*24</f>
        <v>6.5805517799994509E-2</v>
      </c>
    </row>
    <row r="4010" spans="1:12">
      <c r="A4010" s="22">
        <v>40313.416666666664</v>
      </c>
      <c r="E4010" s="26">
        <v>178.216668</v>
      </c>
      <c r="G4010" s="27">
        <v>0.41666666666666669</v>
      </c>
      <c r="J4010" s="30">
        <f>IF(G4010&lt;$H$10,$H$16,IF(G4010&gt;$I$10,$H$16,$H$11))*E4010/600</f>
        <v>6.5346111599999993E-2</v>
      </c>
      <c r="L4010" s="32">
        <f>$J4010*($G4010-$G4009)*60*24</f>
        <v>6.5346111600004989E-2</v>
      </c>
    </row>
    <row r="4011" spans="1:12">
      <c r="A4011" s="22">
        <v>40313.417361111111</v>
      </c>
      <c r="E4011" s="26">
        <v>180.45029600000001</v>
      </c>
      <c r="G4011" s="27">
        <v>0.41736111111111113</v>
      </c>
      <c r="J4011" s="30">
        <f>IF(G4011&lt;$H$10,$H$16,IF(G4011&gt;$I$10,$H$16,$H$11))*E4011/600</f>
        <v>6.6165108533333336E-2</v>
      </c>
      <c r="L4011" s="32">
        <f>$J4011*($G4011-$G4010)*60*24</f>
        <v>6.61651085333331E-2</v>
      </c>
    </row>
    <row r="4012" spans="1:12">
      <c r="A4012" s="22">
        <v>40313.418055555558</v>
      </c>
      <c r="E4012" s="26">
        <v>178.96678800000001</v>
      </c>
      <c r="G4012" s="27">
        <v>0.41805555555555557</v>
      </c>
      <c r="J4012" s="30">
        <f>IF(G4012&lt;$H$10,$H$16,IF(G4012&gt;$I$10,$H$16,$H$11))*E4012/600</f>
        <v>6.5621155599999995E-2</v>
      </c>
      <c r="L4012" s="32">
        <f>$J4012*($G4012-$G4011)*60*24</f>
        <v>6.5621155599999759E-2</v>
      </c>
    </row>
    <row r="4013" spans="1:12">
      <c r="A4013" s="22">
        <v>40313.418749999997</v>
      </c>
      <c r="E4013" s="26">
        <v>162.557211</v>
      </c>
      <c r="G4013" s="27">
        <v>0.41875000000000001</v>
      </c>
      <c r="J4013" s="30">
        <f>IF(G4013&lt;$H$10,$H$16,IF(G4013&gt;$I$10,$H$16,$H$11))*E4013/600</f>
        <v>5.9604310699999996E-2</v>
      </c>
      <c r="L4013" s="32">
        <f>$J4013*($G4013-$G4012)*60*24</f>
        <v>5.9604310699999788E-2</v>
      </c>
    </row>
    <row r="4014" spans="1:12">
      <c r="A4014" s="22">
        <v>40313.419444444444</v>
      </c>
      <c r="E4014" s="26">
        <v>152.36304000000001</v>
      </c>
      <c r="G4014" s="27">
        <v>0.41944444444444445</v>
      </c>
      <c r="J4014" s="30">
        <f>IF(G4014&lt;$H$10,$H$16,IF(G4014&gt;$I$10,$H$16,$H$11))*E4014/600</f>
        <v>5.5866448000000006E-2</v>
      </c>
      <c r="L4014" s="32">
        <f>$J4014*($G4014-$G4013)*60*24</f>
        <v>5.5866447999999819E-2</v>
      </c>
    </row>
    <row r="4015" spans="1:12">
      <c r="A4015" s="22">
        <v>40313.420138888891</v>
      </c>
      <c r="E4015" s="26">
        <v>151.991544</v>
      </c>
      <c r="G4015" s="27">
        <v>0.4201388888888889</v>
      </c>
      <c r="J4015" s="30">
        <f>IF(G4015&lt;$H$10,$H$16,IF(G4015&gt;$I$10,$H$16,$H$11))*E4015/600</f>
        <v>5.5730232800000001E-2</v>
      </c>
      <c r="L4015" s="32">
        <f>$J4015*($G4015-$G4014)*60*24</f>
        <v>5.5730232799999807E-2</v>
      </c>
    </row>
    <row r="4016" spans="1:12">
      <c r="A4016" s="22">
        <v>40313.42083333333</v>
      </c>
      <c r="E4016" s="26">
        <v>153.04908399999999</v>
      </c>
      <c r="G4016" s="27">
        <v>0.42083333333333334</v>
      </c>
      <c r="J4016" s="30">
        <f>IF(G4016&lt;$H$10,$H$16,IF(G4016&gt;$I$10,$H$16,$H$11))*E4016/600</f>
        <v>5.6117997466666673E-2</v>
      </c>
      <c r="L4016" s="32">
        <f>$J4016*($G4016-$G4015)*60*24</f>
        <v>5.6117997466666472E-2</v>
      </c>
    </row>
    <row r="4017" spans="1:12">
      <c r="A4017" s="22">
        <v>40313.421527777777</v>
      </c>
      <c r="E4017" s="26">
        <v>152.361108</v>
      </c>
      <c r="G4017" s="27">
        <v>0.42152777777777778</v>
      </c>
      <c r="J4017" s="30">
        <f>IF(G4017&lt;$H$10,$H$16,IF(G4017&gt;$I$10,$H$16,$H$11))*E4017/600</f>
        <v>5.5865739600000006E-2</v>
      </c>
      <c r="L4017" s="32">
        <f>$J4017*($G4017-$G4016)*60*24</f>
        <v>5.5865739599999797E-2</v>
      </c>
    </row>
    <row r="4018" spans="1:12">
      <c r="A4018" s="22">
        <v>40313.422222222223</v>
      </c>
      <c r="E4018" s="26">
        <v>153.39196799999999</v>
      </c>
      <c r="G4018" s="27">
        <v>0.42222222222222222</v>
      </c>
      <c r="J4018" s="30">
        <f>IF(G4018&lt;$H$10,$H$16,IF(G4018&gt;$I$10,$H$16,$H$11))*E4018/600</f>
        <v>5.6243721599999998E-2</v>
      </c>
      <c r="L4018" s="32">
        <f>$J4018*($G4018-$G4017)*60*24</f>
        <v>5.6243721599999796E-2</v>
      </c>
    </row>
    <row r="4019" spans="1:12">
      <c r="A4019" s="22">
        <v>40313.42291666667</v>
      </c>
      <c r="E4019" s="26">
        <v>152.77565999999999</v>
      </c>
      <c r="G4019" s="27">
        <v>0.42291666666666666</v>
      </c>
      <c r="J4019" s="30">
        <f>IF(G4019&lt;$H$10,$H$16,IF(G4019&gt;$I$10,$H$16,$H$11))*E4019/600</f>
        <v>5.6017742000000002E-2</v>
      </c>
      <c r="L4019" s="32">
        <f>$J4019*($G4019-$G4018)*60*24</f>
        <v>5.6017741999999801E-2</v>
      </c>
    </row>
    <row r="4020" spans="1:12">
      <c r="A4020" s="22">
        <v>40313.423611111109</v>
      </c>
      <c r="E4020" s="26">
        <v>152.75358</v>
      </c>
      <c r="G4020" s="27">
        <v>0.4236111111111111</v>
      </c>
      <c r="J4020" s="30">
        <f>IF(G4020&lt;$H$10,$H$16,IF(G4020&gt;$I$10,$H$16,$H$11))*E4020/600</f>
        <v>5.6009645999999996E-2</v>
      </c>
      <c r="L4020" s="32">
        <f>$J4020*($G4020-$G4019)*60*24</f>
        <v>5.6009645999999802E-2</v>
      </c>
    </row>
    <row r="4021" spans="1:12">
      <c r="A4021" s="22">
        <v>40313.424305555556</v>
      </c>
      <c r="E4021" s="26">
        <v>151.613608</v>
      </c>
      <c r="G4021" s="27">
        <v>0.42430555555555555</v>
      </c>
      <c r="J4021" s="30">
        <f>IF(G4021&lt;$H$10,$H$16,IF(G4021&gt;$I$10,$H$16,$H$11))*E4021/600</f>
        <v>5.5591656266666664E-2</v>
      </c>
      <c r="L4021" s="32">
        <f>$J4021*($G4021-$G4020)*60*24</f>
        <v>5.559165626666647E-2</v>
      </c>
    </row>
    <row r="4022" spans="1:12">
      <c r="A4022" s="22">
        <v>40313.425000000003</v>
      </c>
      <c r="E4022" s="26">
        <v>151.069152</v>
      </c>
      <c r="G4022" s="27">
        <v>0.42499999999999999</v>
      </c>
      <c r="J4022" s="30">
        <f>IF(G4022&lt;$H$10,$H$16,IF(G4022&gt;$I$10,$H$16,$H$11))*E4022/600</f>
        <v>5.5392022400000004E-2</v>
      </c>
      <c r="L4022" s="32">
        <f>$J4022*($G4022-$G4021)*60*24</f>
        <v>5.539202239999981E-2</v>
      </c>
    </row>
    <row r="4023" spans="1:12">
      <c r="A4023" s="22">
        <v>40313.425694444442</v>
      </c>
      <c r="E4023" s="26">
        <v>149.63570000000001</v>
      </c>
      <c r="G4023" s="27">
        <v>0.42569444444444443</v>
      </c>
      <c r="J4023" s="30">
        <f>IF(G4023&lt;$H$10,$H$16,IF(G4023&gt;$I$10,$H$16,$H$11))*E4023/600</f>
        <v>5.4866423333333338E-2</v>
      </c>
      <c r="L4023" s="32">
        <f>$J4023*($G4023-$G4022)*60*24</f>
        <v>5.4866423333333143E-2</v>
      </c>
    </row>
    <row r="4024" spans="1:12">
      <c r="A4024" s="22">
        <v>40313.426388888889</v>
      </c>
      <c r="E4024" s="26">
        <v>149.99358000000001</v>
      </c>
      <c r="G4024" s="27">
        <v>0.42638888888888887</v>
      </c>
      <c r="J4024" s="30">
        <f>IF(G4024&lt;$H$10,$H$16,IF(G4024&gt;$I$10,$H$16,$H$11))*E4024/600</f>
        <v>5.4997646000000004E-2</v>
      </c>
      <c r="L4024" s="32">
        <f>$J4024*($G4024-$G4023)*60*24</f>
        <v>5.4997645999999817E-2</v>
      </c>
    </row>
    <row r="4025" spans="1:12">
      <c r="A4025" s="22">
        <v>40313.427083333336</v>
      </c>
      <c r="E4025" s="26">
        <v>150.200028</v>
      </c>
      <c r="G4025" s="27">
        <v>0.42708333333333331</v>
      </c>
      <c r="J4025" s="30">
        <f>IF(G4025&lt;$H$10,$H$16,IF(G4025&gt;$I$10,$H$16,$H$11))*E4025/600</f>
        <v>5.5073343600000005E-2</v>
      </c>
      <c r="L4025" s="32">
        <f>$J4025*($G4025-$G4024)*60*24</f>
        <v>5.5073343599999797E-2</v>
      </c>
    </row>
    <row r="4026" spans="1:12">
      <c r="A4026" s="22">
        <v>40313.427777777775</v>
      </c>
      <c r="E4026" s="26">
        <v>149.80139199999999</v>
      </c>
      <c r="G4026" s="27">
        <v>0.42777777777777781</v>
      </c>
      <c r="J4026" s="30">
        <f>IF(G4026&lt;$H$10,$H$16,IF(G4026&gt;$I$10,$H$16,$H$11))*E4026/600</f>
        <v>5.4927177066666659E-2</v>
      </c>
      <c r="L4026" s="32">
        <f>$J4026*($G4026-$G4025)*60*24</f>
        <v>5.4927177066670857E-2</v>
      </c>
    </row>
    <row r="4027" spans="1:12">
      <c r="A4027" s="22">
        <v>40313.428472222222</v>
      </c>
      <c r="E4027" s="26">
        <v>149.48049599999999</v>
      </c>
      <c r="G4027" s="27">
        <v>0.4284722222222222</v>
      </c>
      <c r="J4027" s="30">
        <f>IF(G4027&lt;$H$10,$H$16,IF(G4027&gt;$I$10,$H$16,$H$11))*E4027/600</f>
        <v>5.4809515199999992E-2</v>
      </c>
      <c r="L4027" s="32">
        <f>$J4027*($G4027-$G4026)*60*24</f>
        <v>5.4809515199995412E-2</v>
      </c>
    </row>
    <row r="4028" spans="1:12">
      <c r="A4028" s="22">
        <v>40313.429166666669</v>
      </c>
      <c r="E4028" s="26">
        <v>150.18227200000001</v>
      </c>
      <c r="G4028" s="27">
        <v>0.4291666666666667</v>
      </c>
      <c r="J4028" s="30">
        <f>IF(G4028&lt;$H$10,$H$16,IF(G4028&gt;$I$10,$H$16,$H$11))*E4028/600</f>
        <v>5.5066833066666675E-2</v>
      </c>
      <c r="L4028" s="32">
        <f>$J4028*($G4028-$G4027)*60*24</f>
        <v>5.506683306667088E-2</v>
      </c>
    </row>
    <row r="4029" spans="1:12">
      <c r="A4029" s="22">
        <v>40313.429861111108</v>
      </c>
      <c r="E4029" s="26">
        <v>149.62438399999999</v>
      </c>
      <c r="G4029" s="27">
        <v>0.42986111111111108</v>
      </c>
      <c r="J4029" s="30">
        <f>IF(G4029&lt;$H$10,$H$16,IF(G4029&gt;$I$10,$H$16,$H$11))*E4029/600</f>
        <v>5.4862274133333326E-2</v>
      </c>
      <c r="L4029" s="32">
        <f>$J4029*($G4029-$G4028)*60*24</f>
        <v>5.4862274133328739E-2</v>
      </c>
    </row>
    <row r="4030" spans="1:12">
      <c r="A4030" s="22">
        <v>40313.430555555555</v>
      </c>
      <c r="E4030" s="26">
        <v>149.81445600000001</v>
      </c>
      <c r="G4030" s="27">
        <v>0.43055555555555558</v>
      </c>
      <c r="J4030" s="30">
        <f>IF(G4030&lt;$H$10,$H$16,IF(G4030&gt;$I$10,$H$16,$H$11))*E4030/600</f>
        <v>5.4931967200000001E-2</v>
      </c>
      <c r="L4030" s="32">
        <f>$J4030*($G4030-$G4029)*60*24</f>
        <v>5.4931967200004192E-2</v>
      </c>
    </row>
    <row r="4031" spans="1:12">
      <c r="A4031" s="22">
        <v>40313.431250000001</v>
      </c>
      <c r="E4031" s="26">
        <v>149.94803999999999</v>
      </c>
      <c r="G4031" s="27">
        <v>0.43124999999999997</v>
      </c>
      <c r="J4031" s="30">
        <f>IF(G4031&lt;$H$10,$H$16,IF(G4031&gt;$I$10,$H$16,$H$11))*E4031/600</f>
        <v>5.4980947999999995E-2</v>
      </c>
      <c r="L4031" s="32">
        <f>$J4031*($G4031-$G4030)*60*24</f>
        <v>5.4980947999995408E-2</v>
      </c>
    </row>
    <row r="4032" spans="1:12">
      <c r="A4032" s="22">
        <v>40313.431944444441</v>
      </c>
      <c r="E4032" s="26">
        <v>150.08162400000001</v>
      </c>
      <c r="G4032" s="27">
        <v>0.43194444444444446</v>
      </c>
      <c r="J4032" s="30">
        <f>IF(G4032&lt;$H$10,$H$16,IF(G4032&gt;$I$10,$H$16,$H$11))*E4032/600</f>
        <v>5.5029928800000009E-2</v>
      </c>
      <c r="L4032" s="32">
        <f>$J4032*($G4032-$G4031)*60*24</f>
        <v>5.5029928800004214E-2</v>
      </c>
    </row>
    <row r="4033" spans="1:12">
      <c r="A4033" s="22">
        <v>40313.432638888888</v>
      </c>
      <c r="E4033" s="26">
        <v>149.76679999999999</v>
      </c>
      <c r="G4033" s="27">
        <v>0.43263888888888885</v>
      </c>
      <c r="J4033" s="30">
        <f>IF(G4033&lt;$H$10,$H$16,IF(G4033&gt;$I$10,$H$16,$H$11))*E4033/600</f>
        <v>5.4914493333333328E-2</v>
      </c>
      <c r="L4033" s="32">
        <f>$J4033*($G4033-$G4032)*60*24</f>
        <v>5.4914493333328741E-2</v>
      </c>
    </row>
    <row r="4034" spans="1:12">
      <c r="A4034" s="22">
        <v>40313.433333333334</v>
      </c>
      <c r="E4034" s="26">
        <v>150.22716800000001</v>
      </c>
      <c r="G4034" s="27">
        <v>0.43333333333333335</v>
      </c>
      <c r="J4034" s="30">
        <f>IF(G4034&lt;$H$10,$H$16,IF(G4034&gt;$I$10,$H$16,$H$11))*E4034/600</f>
        <v>5.5083294933333339E-2</v>
      </c>
      <c r="L4034" s="32">
        <f>$J4034*($G4034-$G4033)*60*24</f>
        <v>5.5083294933337551E-2</v>
      </c>
    </row>
    <row r="4035" spans="1:12">
      <c r="A4035" s="22">
        <v>40313.434027777781</v>
      </c>
      <c r="E4035" s="26">
        <v>150.71605600000001</v>
      </c>
      <c r="G4035" s="27">
        <v>0.43402777777777773</v>
      </c>
      <c r="J4035" s="30">
        <f>IF(G4035&lt;$H$10,$H$16,IF(G4035&gt;$I$10,$H$16,$H$11))*E4035/600</f>
        <v>5.5262553866666668E-2</v>
      </c>
      <c r="L4035" s="32">
        <f>$J4035*($G4035-$G4034)*60*24</f>
        <v>5.5262553866662054E-2</v>
      </c>
    </row>
    <row r="4036" spans="1:12">
      <c r="A4036" s="22">
        <v>40313.43472222222</v>
      </c>
      <c r="E4036" s="26">
        <v>150.61899600000001</v>
      </c>
      <c r="G4036" s="27">
        <v>0.43472222222222223</v>
      </c>
      <c r="J4036" s="30">
        <f>IF(G4036&lt;$H$10,$H$16,IF(G4036&gt;$I$10,$H$16,$H$11))*E4036/600</f>
        <v>5.5226965200000006E-2</v>
      </c>
      <c r="L4036" s="32">
        <f>$J4036*($G4036-$G4035)*60*24</f>
        <v>5.5226965200004224E-2</v>
      </c>
    </row>
    <row r="4037" spans="1:12">
      <c r="A4037" s="22">
        <v>40313.435416666667</v>
      </c>
      <c r="E4037" s="26">
        <v>150.58320800000001</v>
      </c>
      <c r="G4037" s="27">
        <v>0.43541666666666662</v>
      </c>
      <c r="J4037" s="30">
        <f>IF(G4037&lt;$H$10,$H$16,IF(G4037&gt;$I$10,$H$16,$H$11))*E4037/600</f>
        <v>5.521384293333334E-2</v>
      </c>
      <c r="L4037" s="32">
        <f>$J4037*($G4037-$G4036)*60*24</f>
        <v>5.5213842933328726E-2</v>
      </c>
    </row>
    <row r="4038" spans="1:12">
      <c r="A4038" s="22">
        <v>40313.436111111114</v>
      </c>
      <c r="E4038" s="26">
        <v>151.65647999999999</v>
      </c>
      <c r="G4038" s="27">
        <v>0.43611111111111112</v>
      </c>
      <c r="J4038" s="30">
        <f>IF(G4038&lt;$H$10,$H$16,IF(G4038&gt;$I$10,$H$16,$H$11))*E4038/600</f>
        <v>5.5607375999999993E-2</v>
      </c>
      <c r="L4038" s="32">
        <f>$J4038*($G4038-$G4037)*60*24</f>
        <v>5.5607376000004247E-2</v>
      </c>
    </row>
    <row r="4039" spans="1:12">
      <c r="A4039" s="22">
        <v>40313.436805555553</v>
      </c>
      <c r="E4039" s="26">
        <v>151.559144</v>
      </c>
      <c r="G4039" s="27">
        <v>0.4368055555555555</v>
      </c>
      <c r="J4039" s="30">
        <f>IF(G4039&lt;$H$10,$H$16,IF(G4039&gt;$I$10,$H$16,$H$11))*E4039/600</f>
        <v>5.557168613333334E-2</v>
      </c>
      <c r="L4039" s="32">
        <f>$J4039*($G4039-$G4038)*60*24</f>
        <v>5.5571686133328697E-2</v>
      </c>
    </row>
    <row r="4040" spans="1:12">
      <c r="A4040" s="22">
        <v>40313.4375</v>
      </c>
      <c r="E4040" s="26">
        <v>150.15458000000001</v>
      </c>
      <c r="G4040" s="27">
        <v>0.4375</v>
      </c>
      <c r="J4040" s="30">
        <f>IF(G4040&lt;$H$10,$H$16,IF(G4040&gt;$I$10,$H$16,$H$11))*E4040/600</f>
        <v>5.5056679333333337E-2</v>
      </c>
      <c r="L4040" s="32">
        <f>$J4040*($G4040-$G4039)*60*24</f>
        <v>5.5056679333337542E-2</v>
      </c>
    </row>
    <row r="4041" spans="1:12">
      <c r="A4041" s="22">
        <v>40313.438194444447</v>
      </c>
      <c r="E4041" s="26">
        <v>150.43352400000001</v>
      </c>
      <c r="G4041" s="27">
        <v>0.4381944444444445</v>
      </c>
      <c r="J4041" s="30">
        <f>IF(G4041&lt;$H$10,$H$16,IF(G4041&gt;$I$10,$H$16,$H$11))*E4041/600</f>
        <v>5.5158958799999998E-2</v>
      </c>
      <c r="L4041" s="32">
        <f>$J4041*($G4041-$G4040)*60*24</f>
        <v>5.515895880000421E-2</v>
      </c>
    </row>
    <row r="4042" spans="1:12">
      <c r="A4042" s="22">
        <v>40313.438888888886</v>
      </c>
      <c r="E4042" s="26">
        <v>150.160192</v>
      </c>
      <c r="G4042" s="27">
        <v>0.43888888888888888</v>
      </c>
      <c r="J4042" s="30">
        <f>IF(G4042&lt;$H$10,$H$16,IF(G4042&gt;$I$10,$H$16,$H$11))*E4042/600</f>
        <v>5.5058737066666669E-2</v>
      </c>
      <c r="L4042" s="32">
        <f>$J4042*($G4042-$G4041)*60*24</f>
        <v>5.5058737066662075E-2</v>
      </c>
    </row>
    <row r="4043" spans="1:12">
      <c r="A4043" s="22">
        <v>40313.439583333333</v>
      </c>
      <c r="E4043" s="26">
        <v>150.23231999999999</v>
      </c>
      <c r="G4043" s="27">
        <v>0.43958333333333338</v>
      </c>
      <c r="J4043" s="30">
        <f>IF(G4043&lt;$H$10,$H$16,IF(G4043&gt;$I$10,$H$16,$H$11))*E4043/600</f>
        <v>5.5085183999999995E-2</v>
      </c>
      <c r="L4043" s="32">
        <f>$J4043*($G4043-$G4042)*60*24</f>
        <v>5.50851840000042E-2</v>
      </c>
    </row>
    <row r="4044" spans="1:12">
      <c r="A4044" s="22">
        <v>40313.44027777778</v>
      </c>
      <c r="E4044" s="26">
        <v>150.1026</v>
      </c>
      <c r="G4044" s="27">
        <v>0.44027777777777777</v>
      </c>
      <c r="J4044" s="30">
        <f>IF(G4044&lt;$H$10,$H$16,IF(G4044&gt;$I$10,$H$16,$H$11))*E4044/600</f>
        <v>5.5037619999999995E-2</v>
      </c>
      <c r="L4044" s="32">
        <f>$J4044*($G4044-$G4043)*60*24</f>
        <v>5.5037619999995395E-2</v>
      </c>
    </row>
    <row r="4045" spans="1:12">
      <c r="A4045" s="22">
        <v>40313.440972222219</v>
      </c>
      <c r="E4045" s="26">
        <v>149.84592000000001</v>
      </c>
      <c r="G4045" s="27">
        <v>0.44097222222222227</v>
      </c>
      <c r="J4045" s="30">
        <f>IF(G4045&lt;$H$10,$H$16,IF(G4045&gt;$I$10,$H$16,$H$11))*E4045/600</f>
        <v>5.4943504000000004E-2</v>
      </c>
      <c r="L4045" s="32">
        <f>$J4045*($G4045-$G4044)*60*24</f>
        <v>5.4943504000004195E-2</v>
      </c>
    </row>
    <row r="4046" spans="1:12">
      <c r="A4046" s="22">
        <v>40313.441666666666</v>
      </c>
      <c r="E4046" s="26">
        <v>149.846656</v>
      </c>
      <c r="G4046" s="27">
        <v>0.44166666666666665</v>
      </c>
      <c r="J4046" s="30">
        <f>IF(G4046&lt;$H$10,$H$16,IF(G4046&gt;$I$10,$H$16,$H$11))*E4046/600</f>
        <v>5.494377386666667E-2</v>
      </c>
      <c r="L4046" s="32">
        <f>$J4046*($G4046-$G4045)*60*24</f>
        <v>5.4943773866662091E-2</v>
      </c>
    </row>
    <row r="4047" spans="1:12">
      <c r="A4047" s="22">
        <v>40313.442361111112</v>
      </c>
      <c r="E4047" s="26">
        <v>149.490432</v>
      </c>
      <c r="G4047" s="27">
        <v>0.44236111111111115</v>
      </c>
      <c r="J4047" s="30">
        <f>IF(G4047&lt;$H$10,$H$16,IF(G4047&gt;$I$10,$H$16,$H$11))*E4047/600</f>
        <v>5.4813158399999992E-2</v>
      </c>
      <c r="L4047" s="32">
        <f>$J4047*($G4047-$G4046)*60*24</f>
        <v>5.4813158400004169E-2</v>
      </c>
    </row>
    <row r="4048" spans="1:12">
      <c r="A4048" s="22">
        <v>40313.443055555559</v>
      </c>
      <c r="E4048" s="26">
        <v>150.59296000000001</v>
      </c>
      <c r="G4048" s="27">
        <v>0.44305555555555554</v>
      </c>
      <c r="J4048" s="30">
        <f>IF(G4048&lt;$H$10,$H$16,IF(G4048&gt;$I$10,$H$16,$H$11))*E4048/600</f>
        <v>5.5217418666666671E-2</v>
      </c>
      <c r="L4048" s="32">
        <f>$J4048*($G4048-$G4047)*60*24</f>
        <v>5.5217418666662063E-2</v>
      </c>
    </row>
    <row r="4049" spans="1:12">
      <c r="A4049" s="22">
        <v>40313.443749999999</v>
      </c>
      <c r="E4049" s="26">
        <v>149.711232</v>
      </c>
      <c r="G4049" s="27">
        <v>0.44375000000000003</v>
      </c>
      <c r="J4049" s="30">
        <f>IF(G4049&lt;$H$10,$H$16,IF(G4049&gt;$I$10,$H$16,$H$11))*E4049/600</f>
        <v>5.4894118400000004E-2</v>
      </c>
      <c r="L4049" s="32">
        <f>$J4049*($G4049-$G4048)*60*24</f>
        <v>5.4894118400004202E-2</v>
      </c>
    </row>
    <row r="4050" spans="1:12">
      <c r="A4050" s="22">
        <v>40313.444444444445</v>
      </c>
      <c r="E4050" s="26">
        <v>149.70571200000001</v>
      </c>
      <c r="G4050" s="27">
        <v>0.44444444444444442</v>
      </c>
      <c r="J4050" s="30">
        <f>IF(G4050&lt;$H$10,$H$16,IF(G4050&gt;$I$10,$H$16,$H$11))*E4050/600</f>
        <v>5.4892094400000001E-2</v>
      </c>
      <c r="L4050" s="32">
        <f>$J4050*($G4050-$G4049)*60*24</f>
        <v>5.4892094399995414E-2</v>
      </c>
    </row>
    <row r="4051" spans="1:12">
      <c r="A4051" s="22">
        <v>40313.445138888892</v>
      </c>
      <c r="E4051" s="26">
        <v>149.76422400000001</v>
      </c>
      <c r="G4051" s="27">
        <v>0.44513888888888892</v>
      </c>
      <c r="J4051" s="30">
        <f>IF(G4051&lt;$H$10,$H$16,IF(G4051&gt;$I$10,$H$16,$H$11))*E4051/600</f>
        <v>5.4913548800000003E-2</v>
      </c>
      <c r="L4051" s="32">
        <f>$J4051*($G4051-$G4050)*60*24</f>
        <v>5.4913548800004194E-2</v>
      </c>
    </row>
    <row r="4052" spans="1:12">
      <c r="A4052" s="22">
        <v>40313.445833333331</v>
      </c>
      <c r="E4052" s="26">
        <v>149.34866</v>
      </c>
      <c r="G4052" s="27">
        <v>0.4458333333333333</v>
      </c>
      <c r="J4052" s="30">
        <f>IF(G4052&lt;$H$10,$H$16,IF(G4052&gt;$I$10,$H$16,$H$11))*E4052/600</f>
        <v>5.4761175333333335E-2</v>
      </c>
      <c r="L4052" s="32">
        <f>$J4052*($G4052-$G4051)*60*24</f>
        <v>5.4761175333328763E-2</v>
      </c>
    </row>
    <row r="4053" spans="1:12">
      <c r="A4053" s="22">
        <v>40313.446527777778</v>
      </c>
      <c r="E4053" s="26">
        <v>148.98663999999999</v>
      </c>
      <c r="G4053" s="27">
        <v>0.4465277777777778</v>
      </c>
      <c r="J4053" s="30">
        <f>IF(G4053&lt;$H$10,$H$16,IF(G4053&gt;$I$10,$H$16,$H$11))*E4053/600</f>
        <v>5.462843466666667E-2</v>
      </c>
      <c r="L4053" s="32">
        <f>$J4053*($G4053-$G4052)*60*24</f>
        <v>5.4628434666670847E-2</v>
      </c>
    </row>
    <row r="4054" spans="1:12">
      <c r="A4054" s="22">
        <v>40313.447222222225</v>
      </c>
      <c r="E4054" s="26">
        <v>149.53036</v>
      </c>
      <c r="G4054" s="27">
        <v>0.44722222222222219</v>
      </c>
      <c r="J4054" s="30">
        <f>IF(G4054&lt;$H$10,$H$16,IF(G4054&gt;$I$10,$H$16,$H$11))*E4054/600</f>
        <v>5.482779866666667E-2</v>
      </c>
      <c r="L4054" s="32">
        <f>$J4054*($G4054-$G4053)*60*24</f>
        <v>5.4827798666662098E-2</v>
      </c>
    </row>
    <row r="4055" spans="1:12">
      <c r="A4055" s="22">
        <v>40313.447916666664</v>
      </c>
      <c r="E4055" s="26">
        <v>149.90111999999999</v>
      </c>
      <c r="G4055" s="27">
        <v>0.44791666666666669</v>
      </c>
      <c r="J4055" s="30">
        <f>IF(G4055&lt;$H$10,$H$16,IF(G4055&gt;$I$10,$H$16,$H$11))*E4055/600</f>
        <v>5.4963743999999995E-2</v>
      </c>
      <c r="L4055" s="32">
        <f>$J4055*($G4055-$G4054)*60*24</f>
        <v>5.49637440000042E-2</v>
      </c>
    </row>
    <row r="4056" spans="1:12">
      <c r="A4056" s="22">
        <v>40313.448611111111</v>
      </c>
      <c r="E4056" s="26">
        <v>150.883128</v>
      </c>
      <c r="G4056" s="27">
        <v>0.44861111111111113</v>
      </c>
      <c r="J4056" s="30">
        <f>IF(G4056&lt;$H$10,$H$16,IF(G4056&gt;$I$10,$H$16,$H$11))*E4056/600</f>
        <v>5.5323813600000001E-2</v>
      </c>
      <c r="L4056" s="32">
        <f>$J4056*($G4056-$G4055)*60*24</f>
        <v>5.5323813599999806E-2</v>
      </c>
    </row>
    <row r="4057" spans="1:12">
      <c r="A4057" s="22">
        <v>40313.449305555558</v>
      </c>
      <c r="E4057" s="26">
        <v>150.459192</v>
      </c>
      <c r="G4057" s="27">
        <v>0.44930555555555557</v>
      </c>
      <c r="J4057" s="30">
        <f>IF(G4057&lt;$H$10,$H$16,IF(G4057&gt;$I$10,$H$16,$H$11))*E4057/600</f>
        <v>5.51683704E-2</v>
      </c>
      <c r="L4057" s="32">
        <f>$J4057*($G4057-$G4056)*60*24</f>
        <v>5.5168370399999798E-2</v>
      </c>
    </row>
    <row r="4058" spans="1:12">
      <c r="A4058" s="22">
        <v>40313.449999999997</v>
      </c>
      <c r="E4058" s="26">
        <v>150.55588399999999</v>
      </c>
      <c r="G4058" s="27">
        <v>0.45</v>
      </c>
      <c r="J4058" s="30">
        <f>IF(G4058&lt;$H$10,$H$16,IF(G4058&gt;$I$10,$H$16,$H$11))*E4058/600</f>
        <v>5.5203824133333336E-2</v>
      </c>
      <c r="L4058" s="32">
        <f>$J4058*($G4058-$G4057)*60*24</f>
        <v>5.5203824133333142E-2</v>
      </c>
    </row>
    <row r="4059" spans="1:12">
      <c r="A4059" s="22">
        <v>40313.450694444444</v>
      </c>
      <c r="E4059" s="26">
        <v>149.881248</v>
      </c>
      <c r="G4059" s="27">
        <v>0.45069444444444445</v>
      </c>
      <c r="J4059" s="30">
        <f>IF(G4059&lt;$H$10,$H$16,IF(G4059&gt;$I$10,$H$16,$H$11))*E4059/600</f>
        <v>5.4956457600000001E-2</v>
      </c>
      <c r="L4059" s="32">
        <f>$J4059*($G4059-$G4058)*60*24</f>
        <v>5.49564575999998E-2</v>
      </c>
    </row>
    <row r="4060" spans="1:12">
      <c r="A4060" s="22">
        <v>40313.451388888891</v>
      </c>
      <c r="E4060" s="26">
        <v>149.83395999999999</v>
      </c>
      <c r="G4060" s="27">
        <v>0.4513888888888889</v>
      </c>
      <c r="J4060" s="30">
        <f>IF(G4060&lt;$H$10,$H$16,IF(G4060&gt;$I$10,$H$16,$H$11))*E4060/600</f>
        <v>5.4939118666666668E-2</v>
      </c>
      <c r="L4060" s="32">
        <f>$J4060*($G4060-$G4059)*60*24</f>
        <v>5.4939118666666467E-2</v>
      </c>
    </row>
    <row r="4061" spans="1:12">
      <c r="A4061" s="22">
        <v>40313.45208333333</v>
      </c>
      <c r="E4061" s="26">
        <v>149.69963999999999</v>
      </c>
      <c r="G4061" s="27">
        <v>0.45208333333333334</v>
      </c>
      <c r="J4061" s="30">
        <f>IF(G4061&lt;$H$10,$H$16,IF(G4061&gt;$I$10,$H$16,$H$11))*E4061/600</f>
        <v>5.4889867999999994E-2</v>
      </c>
      <c r="L4061" s="32">
        <f>$J4061*($G4061-$G4060)*60*24</f>
        <v>5.48898679999998E-2</v>
      </c>
    </row>
    <row r="4062" spans="1:12">
      <c r="A4062" s="22">
        <v>40313.452777777777</v>
      </c>
      <c r="E4062" s="26">
        <v>149.63570000000001</v>
      </c>
      <c r="G4062" s="27">
        <v>0.45277777777777778</v>
      </c>
      <c r="J4062" s="30">
        <f>IF(G4062&lt;$H$10,$H$16,IF(G4062&gt;$I$10,$H$16,$H$11))*E4062/600</f>
        <v>5.4866423333333338E-2</v>
      </c>
      <c r="L4062" s="32">
        <f>$J4062*($G4062-$G4061)*60*24</f>
        <v>5.4866423333333143E-2</v>
      </c>
    </row>
    <row r="4063" spans="1:12">
      <c r="A4063" s="22">
        <v>40313.453472222223</v>
      </c>
      <c r="E4063" s="26">
        <v>149.56532000000001</v>
      </c>
      <c r="G4063" s="27">
        <v>0.45347222222222222</v>
      </c>
      <c r="J4063" s="30">
        <f>IF(G4063&lt;$H$10,$H$16,IF(G4063&gt;$I$10,$H$16,$H$11))*E4063/600</f>
        <v>5.4840617333333341E-2</v>
      </c>
      <c r="L4063" s="32">
        <f>$J4063*($G4063-$G4062)*60*24</f>
        <v>5.4840617333333147E-2</v>
      </c>
    </row>
    <row r="4064" spans="1:12">
      <c r="A4064" s="22">
        <v>40313.45416666667</v>
      </c>
      <c r="E4064" s="26">
        <v>150.25164000000001</v>
      </c>
      <c r="G4064" s="27">
        <v>0.45416666666666666</v>
      </c>
      <c r="J4064" s="30">
        <f>IF(G4064&lt;$H$10,$H$16,IF(G4064&gt;$I$10,$H$16,$H$11))*E4064/600</f>
        <v>5.5092268000000007E-2</v>
      </c>
      <c r="L4064" s="32">
        <f>$J4064*($G4064-$G4063)*60*24</f>
        <v>5.5092267999999812E-2</v>
      </c>
    </row>
    <row r="4065" spans="1:12">
      <c r="A4065" s="22">
        <v>40313.454861111109</v>
      </c>
      <c r="E4065" s="26">
        <v>158.130336</v>
      </c>
      <c r="G4065" s="27">
        <v>0.4548611111111111</v>
      </c>
      <c r="J4065" s="30">
        <f>IF(G4065&lt;$H$10,$H$16,IF(G4065&gt;$I$10,$H$16,$H$11))*E4065/600</f>
        <v>5.7981123199999998E-2</v>
      </c>
      <c r="L4065" s="32">
        <f>$J4065*($G4065-$G4064)*60*24</f>
        <v>5.798112319999979E-2</v>
      </c>
    </row>
    <row r="4066" spans="1:12">
      <c r="A4066" s="22">
        <v>40313.455555555556</v>
      </c>
      <c r="E4066" s="26">
        <v>159.77698100000001</v>
      </c>
      <c r="G4066" s="27">
        <v>0.45555555555555555</v>
      </c>
      <c r="J4066" s="30">
        <f>IF(G4066&lt;$H$10,$H$16,IF(G4066&gt;$I$10,$H$16,$H$11))*E4066/600</f>
        <v>5.8584893033333335E-2</v>
      </c>
      <c r="L4066" s="32">
        <f>$J4066*($G4066-$G4065)*60*24</f>
        <v>5.8584893033333127E-2</v>
      </c>
    </row>
    <row r="4067" spans="1:12">
      <c r="A4067" s="22">
        <v>40313.456250000003</v>
      </c>
      <c r="E4067" s="26">
        <v>158.77461600000001</v>
      </c>
      <c r="G4067" s="27">
        <v>0.45624999999999999</v>
      </c>
      <c r="J4067" s="30">
        <f>IF(G4067&lt;$H$10,$H$16,IF(G4067&gt;$I$10,$H$16,$H$11))*E4067/600</f>
        <v>5.8217359200000006E-2</v>
      </c>
      <c r="L4067" s="32">
        <f>$J4067*($G4067-$G4066)*60*24</f>
        <v>5.8217359199999805E-2</v>
      </c>
    </row>
    <row r="4068" spans="1:12">
      <c r="A4068" s="22">
        <v>40313.456944444442</v>
      </c>
      <c r="E4068" s="26">
        <v>162.32907599999999</v>
      </c>
      <c r="G4068" s="27">
        <v>0.45694444444444443</v>
      </c>
      <c r="J4068" s="30">
        <f>IF(G4068&lt;$H$10,$H$16,IF(G4068&gt;$I$10,$H$16,$H$11))*E4068/600</f>
        <v>5.9520661199999991E-2</v>
      </c>
      <c r="L4068" s="32">
        <f>$J4068*($G4068-$G4067)*60*24</f>
        <v>5.9520661199999783E-2</v>
      </c>
    </row>
    <row r="4069" spans="1:12">
      <c r="A4069" s="22">
        <v>40313.457638888889</v>
      </c>
      <c r="E4069" s="26">
        <v>161.53774000000001</v>
      </c>
      <c r="G4069" s="27">
        <v>0.45763888888888887</v>
      </c>
      <c r="J4069" s="30">
        <f>IF(G4069&lt;$H$10,$H$16,IF(G4069&gt;$I$10,$H$16,$H$11))*E4069/600</f>
        <v>5.9230504666666677E-2</v>
      </c>
      <c r="L4069" s="32">
        <f>$J4069*($G4069-$G4068)*60*24</f>
        <v>5.9230504666666475E-2</v>
      </c>
    </row>
    <row r="4070" spans="1:12">
      <c r="A4070" s="22">
        <v>40313.458333333336</v>
      </c>
      <c r="E4070" s="26">
        <v>160.33149</v>
      </c>
      <c r="G4070" s="27">
        <v>0.45833333333333331</v>
      </c>
      <c r="J4070" s="30">
        <f>IF(G4070&lt;$H$10,$H$16,IF(G4070&gt;$I$10,$H$16,$H$11))*E4070/600</f>
        <v>5.8788212999999999E-2</v>
      </c>
      <c r="L4070" s="32">
        <f>$J4070*($G4070-$G4069)*60*24</f>
        <v>5.8788212999999791E-2</v>
      </c>
    </row>
    <row r="4071" spans="1:12">
      <c r="A4071" s="22">
        <v>40313.459027777775</v>
      </c>
      <c r="E4071" s="26">
        <v>163.60344000000001</v>
      </c>
      <c r="G4071" s="27">
        <v>0.45902777777777781</v>
      </c>
      <c r="J4071" s="30">
        <f>IF(G4071&lt;$H$10,$H$16,IF(G4071&gt;$I$10,$H$16,$H$11))*E4071/600</f>
        <v>5.9987928000000003E-2</v>
      </c>
      <c r="L4071" s="32">
        <f>$J4071*($G4071-$G4070)*60*24</f>
        <v>5.9987928000004589E-2</v>
      </c>
    </row>
    <row r="4072" spans="1:12">
      <c r="A4072" s="22">
        <v>40313.459722222222</v>
      </c>
      <c r="E4072" s="26">
        <v>159.77598</v>
      </c>
      <c r="G4072" s="27">
        <v>0.4597222222222222</v>
      </c>
      <c r="J4072" s="30">
        <f>IF(G4072&lt;$H$10,$H$16,IF(G4072&gt;$I$10,$H$16,$H$11))*E4072/600</f>
        <v>5.8584525999999998E-2</v>
      </c>
      <c r="L4072" s="32">
        <f>$J4072*($G4072-$G4071)*60*24</f>
        <v>5.8584525999995113E-2</v>
      </c>
    </row>
    <row r="4073" spans="1:12">
      <c r="A4073" s="22">
        <v>40313.460416666669</v>
      </c>
      <c r="E4073" s="26">
        <v>157.58160599999999</v>
      </c>
      <c r="G4073" s="27">
        <v>0.4604166666666667</v>
      </c>
      <c r="J4073" s="30">
        <f>IF(G4073&lt;$H$10,$H$16,IF(G4073&gt;$I$10,$H$16,$H$11))*E4073/600</f>
        <v>5.7779922200000007E-2</v>
      </c>
      <c r="L4073" s="32">
        <f>$J4073*($G4073-$G4072)*60*24</f>
        <v>5.7779922200004427E-2</v>
      </c>
    </row>
    <row r="4074" spans="1:12">
      <c r="A4074" s="22">
        <v>40313.461111111108</v>
      </c>
      <c r="E4074" s="26">
        <v>154.829948</v>
      </c>
      <c r="G4074" s="27">
        <v>0.46111111111111108</v>
      </c>
      <c r="J4074" s="30">
        <f>IF(G4074&lt;$H$10,$H$16,IF(G4074&gt;$I$10,$H$16,$H$11))*E4074/600</f>
        <v>5.6770980933333333E-2</v>
      </c>
      <c r="L4074" s="32">
        <f>$J4074*($G4074-$G4073)*60*24</f>
        <v>5.6770980933328594E-2</v>
      </c>
    </row>
    <row r="4075" spans="1:12">
      <c r="A4075" s="22">
        <v>40313.461805555555</v>
      </c>
      <c r="E4075" s="26">
        <v>156.60727600000001</v>
      </c>
      <c r="G4075" s="27">
        <v>0.46180555555555558</v>
      </c>
      <c r="J4075" s="30">
        <f>IF(G4075&lt;$H$10,$H$16,IF(G4075&gt;$I$10,$H$16,$H$11))*E4075/600</f>
        <v>5.7422667866666673E-2</v>
      </c>
      <c r="L4075" s="32">
        <f>$J4075*($G4075-$G4074)*60*24</f>
        <v>5.7422667866671065E-2</v>
      </c>
    </row>
    <row r="4076" spans="1:12">
      <c r="A4076" s="22">
        <v>40313.462500000001</v>
      </c>
      <c r="E4076" s="26">
        <v>157.5017</v>
      </c>
      <c r="G4076" s="27">
        <v>0.46249999999999997</v>
      </c>
      <c r="J4076" s="30">
        <f>IF(G4076&lt;$H$10,$H$16,IF(G4076&gt;$I$10,$H$16,$H$11))*E4076/600</f>
        <v>5.7750623333333334E-2</v>
      </c>
      <c r="L4076" s="32">
        <f>$J4076*($G4076-$G4075)*60*24</f>
        <v>5.7750623333328505E-2</v>
      </c>
    </row>
    <row r="4077" spans="1:12">
      <c r="A4077" s="22">
        <v>40313.463194444441</v>
      </c>
      <c r="E4077" s="26">
        <v>157.044276</v>
      </c>
      <c r="G4077" s="27">
        <v>0.46319444444444446</v>
      </c>
      <c r="J4077" s="30">
        <f>IF(G4077&lt;$H$10,$H$16,IF(G4077&gt;$I$10,$H$16,$H$11))*E4077/600</f>
        <v>5.7582901200000002E-2</v>
      </c>
      <c r="L4077" s="32">
        <f>$J4077*($G4077-$G4076)*60*24</f>
        <v>5.7582901200004401E-2</v>
      </c>
    </row>
    <row r="4078" spans="1:12">
      <c r="A4078" s="22">
        <v>40313.463888888888</v>
      </c>
      <c r="E4078" s="26">
        <v>157.37078399999999</v>
      </c>
      <c r="G4078" s="27">
        <v>0.46388888888888885</v>
      </c>
      <c r="J4078" s="30">
        <f>IF(G4078&lt;$H$10,$H$16,IF(G4078&gt;$I$10,$H$16,$H$11))*E4078/600</f>
        <v>5.7702620799999993E-2</v>
      </c>
      <c r="L4078" s="32">
        <f>$J4078*($G4078-$G4077)*60*24</f>
        <v>5.7702620799995177E-2</v>
      </c>
    </row>
    <row r="4079" spans="1:12">
      <c r="A4079" s="22">
        <v>40313.464583333334</v>
      </c>
      <c r="E4079" s="26">
        <v>157.07849999999999</v>
      </c>
      <c r="G4079" s="27">
        <v>0.46458333333333335</v>
      </c>
      <c r="J4079" s="30">
        <f>IF(G4079&lt;$H$10,$H$16,IF(G4079&gt;$I$10,$H$16,$H$11))*E4079/600</f>
        <v>5.7595449999999992E-2</v>
      </c>
      <c r="L4079" s="32">
        <f>$J4079*($G4079-$G4078)*60*24</f>
        <v>5.7595450000004399E-2</v>
      </c>
    </row>
    <row r="4080" spans="1:12">
      <c r="A4080" s="22">
        <v>40313.465277777781</v>
      </c>
      <c r="E4080" s="26">
        <v>155.95944</v>
      </c>
      <c r="G4080" s="27">
        <v>0.46527777777777773</v>
      </c>
      <c r="J4080" s="30">
        <f>IF(G4080&lt;$H$10,$H$16,IF(G4080&gt;$I$10,$H$16,$H$11))*E4080/600</f>
        <v>5.7185128000000002E-2</v>
      </c>
      <c r="L4080" s="32">
        <f>$J4080*($G4080-$G4079)*60*24</f>
        <v>5.7185127999995221E-2</v>
      </c>
    </row>
    <row r="4081" spans="1:12">
      <c r="A4081" s="22">
        <v>40313.46597222222</v>
      </c>
      <c r="E4081" s="26">
        <v>155.94306</v>
      </c>
      <c r="G4081" s="27">
        <v>0.46597222222222223</v>
      </c>
      <c r="J4081" s="30">
        <f>IF(G4081&lt;$H$10,$H$16,IF(G4081&gt;$I$10,$H$16,$H$11))*E4081/600</f>
        <v>5.7179122000000006E-2</v>
      </c>
      <c r="L4081" s="32">
        <f>$J4081*($G4081-$G4080)*60*24</f>
        <v>5.7179122000004377E-2</v>
      </c>
    </row>
    <row r="4082" spans="1:12">
      <c r="A4082" s="22">
        <v>40313.466666666667</v>
      </c>
      <c r="E4082" s="26">
        <v>157.25458800000001</v>
      </c>
      <c r="G4082" s="27">
        <v>0.46666666666666662</v>
      </c>
      <c r="J4082" s="30">
        <f>IF(G4082&lt;$H$10,$H$16,IF(G4082&gt;$I$10,$H$16,$H$11))*E4082/600</f>
        <v>5.7660015600000003E-2</v>
      </c>
      <c r="L4082" s="32">
        <f>$J4082*($G4082-$G4081)*60*24</f>
        <v>5.7660015599995194E-2</v>
      </c>
    </row>
    <row r="4083" spans="1:12">
      <c r="A4083" s="22">
        <v>40313.467361111114</v>
      </c>
      <c r="E4083" s="26">
        <v>164.09304</v>
      </c>
      <c r="G4083" s="27">
        <v>0.46736111111111112</v>
      </c>
      <c r="J4083" s="30">
        <f>IF(G4083&lt;$H$10,$H$16,IF(G4083&gt;$I$10,$H$16,$H$11))*E4083/600</f>
        <v>6.0167448000000005E-2</v>
      </c>
      <c r="L4083" s="32">
        <f>$J4083*($G4083-$G4082)*60*24</f>
        <v>6.0167448000004606E-2</v>
      </c>
    </row>
    <row r="4084" spans="1:12">
      <c r="A4084" s="22">
        <v>40313.468055555553</v>
      </c>
      <c r="E4084" s="26">
        <v>155.92012800000001</v>
      </c>
      <c r="G4084" s="27">
        <v>0.4680555555555555</v>
      </c>
      <c r="J4084" s="30">
        <f>IF(G4084&lt;$H$10,$H$16,IF(G4084&gt;$I$10,$H$16,$H$11))*E4084/600</f>
        <v>5.7170713599999999E-2</v>
      </c>
      <c r="L4084" s="32">
        <f>$J4084*($G4084-$G4083)*60*24</f>
        <v>5.7170713599995232E-2</v>
      </c>
    </row>
    <row r="4085" spans="1:12">
      <c r="A4085" s="22">
        <v>40313.46875</v>
      </c>
      <c r="E4085" s="26">
        <v>158.01676800000001</v>
      </c>
      <c r="G4085" s="27">
        <v>0.46875</v>
      </c>
      <c r="J4085" s="30">
        <f>IF(G4085&lt;$H$10,$H$16,IF(G4085&gt;$I$10,$H$16,$H$11))*E4085/600</f>
        <v>5.7939481600000002E-2</v>
      </c>
      <c r="L4085" s="32">
        <f>$J4085*($G4085-$G4084)*60*24</f>
        <v>5.7939481600004429E-2</v>
      </c>
    </row>
    <row r="4086" spans="1:12">
      <c r="A4086" s="22">
        <v>40313.469444444447</v>
      </c>
      <c r="E4086" s="26">
        <v>157.682343</v>
      </c>
      <c r="G4086" s="27">
        <v>0.4694444444444445</v>
      </c>
      <c r="J4086" s="30">
        <f>IF(G4086&lt;$H$10,$H$16,IF(G4086&gt;$I$10,$H$16,$H$11))*E4086/600</f>
        <v>5.78168591E-2</v>
      </c>
      <c r="L4086" s="32">
        <f>$J4086*($G4086-$G4085)*60*24</f>
        <v>5.781685910000442E-2</v>
      </c>
    </row>
    <row r="4087" spans="1:12">
      <c r="A4087" s="22">
        <v>40313.470138888886</v>
      </c>
      <c r="E4087" s="26">
        <v>164.49600000000001</v>
      </c>
      <c r="G4087" s="27">
        <v>0.47013888888888888</v>
      </c>
      <c r="J4087" s="30">
        <f>IF(G4087&lt;$H$10,$H$16,IF(G4087&gt;$I$10,$H$16,$H$11))*E4087/600</f>
        <v>6.0315200000000006E-2</v>
      </c>
      <c r="L4087" s="32">
        <f>$J4087*($G4087-$G4086)*60*24</f>
        <v>6.0315199999994976E-2</v>
      </c>
    </row>
    <row r="4088" spans="1:12">
      <c r="A4088" s="22">
        <v>40313.470833333333</v>
      </c>
      <c r="E4088" s="26">
        <v>166.322936</v>
      </c>
      <c r="G4088" s="27">
        <v>0.47083333333333338</v>
      </c>
      <c r="J4088" s="30">
        <f>IF(G4088&lt;$H$10,$H$16,IF(G4088&gt;$I$10,$H$16,$H$11))*E4088/600</f>
        <v>6.0985076533333335E-2</v>
      </c>
      <c r="L4088" s="32">
        <f>$J4088*($G4088-$G4087)*60*24</f>
        <v>6.0985076533337991E-2</v>
      </c>
    </row>
    <row r="4089" spans="1:12">
      <c r="A4089" s="22">
        <v>40313.47152777778</v>
      </c>
      <c r="E4089" s="26">
        <v>157.82676000000001</v>
      </c>
      <c r="G4089" s="27">
        <v>0.47152777777777777</v>
      </c>
      <c r="J4089" s="30">
        <f>IF(G4089&lt;$H$10,$H$16,IF(G4089&gt;$I$10,$H$16,$H$11))*E4089/600</f>
        <v>5.7869812000000007E-2</v>
      </c>
      <c r="L4089" s="32">
        <f>$J4089*($G4089-$G4088)*60*24</f>
        <v>5.7869811999995177E-2</v>
      </c>
    </row>
    <row r="4090" spans="1:12">
      <c r="A4090" s="22">
        <v>40313.472222222219</v>
      </c>
      <c r="E4090" s="26">
        <v>166.4556</v>
      </c>
      <c r="G4090" s="27">
        <v>0.47222222222222227</v>
      </c>
      <c r="J4090" s="30">
        <f>IF(G4090&lt;$H$10,$H$16,IF(G4090&gt;$I$10,$H$16,$H$11))*E4090/600</f>
        <v>6.103372E-2</v>
      </c>
      <c r="L4090" s="32">
        <f>$J4090*($G4090-$G4089)*60*24</f>
        <v>6.1033720000004656E-2</v>
      </c>
    </row>
    <row r="4091" spans="1:12">
      <c r="A4091" s="22">
        <v>40313.472916666666</v>
      </c>
      <c r="E4091" s="26">
        <v>164.74329599999999</v>
      </c>
      <c r="G4091" s="27">
        <v>0.47291666666666665</v>
      </c>
      <c r="J4091" s="30">
        <f>IF(G4091&lt;$H$10,$H$16,IF(G4091&gt;$I$10,$H$16,$H$11))*E4091/600</f>
        <v>6.0405875199999987E-2</v>
      </c>
      <c r="L4091" s="32">
        <f>$J4091*($G4091-$G4090)*60*24</f>
        <v>6.0405875199994935E-2</v>
      </c>
    </row>
    <row r="4092" spans="1:12">
      <c r="A4092" s="22">
        <v>40313.473611111112</v>
      </c>
      <c r="E4092" s="26">
        <v>164.49820800000001</v>
      </c>
      <c r="G4092" s="27">
        <v>0.47361111111111115</v>
      </c>
      <c r="J4092" s="30">
        <f>IF(G4092&lt;$H$10,$H$16,IF(G4092&gt;$I$10,$H$16,$H$11))*E4092/600</f>
        <v>6.0316009599999998E-2</v>
      </c>
      <c r="L4092" s="32">
        <f>$J4092*($G4092-$G4091)*60*24</f>
        <v>6.0316009600004605E-2</v>
      </c>
    </row>
    <row r="4093" spans="1:12">
      <c r="A4093" s="22">
        <v>40313.474305555559</v>
      </c>
      <c r="E4093" s="26">
        <v>172.48895999999999</v>
      </c>
      <c r="G4093" s="27">
        <v>0.47430555555555554</v>
      </c>
      <c r="J4093" s="30">
        <f>IF(G4093&lt;$H$10,$H$16,IF(G4093&gt;$I$10,$H$16,$H$11))*E4093/600</f>
        <v>6.3245951999999994E-2</v>
      </c>
      <c r="L4093" s="32">
        <f>$J4093*($G4093-$G4092)*60*24</f>
        <v>6.3245951999994721E-2</v>
      </c>
    </row>
    <row r="4094" spans="1:12">
      <c r="A4094" s="22">
        <v>40313.474999999999</v>
      </c>
      <c r="E4094" s="26">
        <v>178.346565</v>
      </c>
      <c r="G4094" s="27">
        <v>0.47500000000000003</v>
      </c>
      <c r="J4094" s="30">
        <f>IF(G4094&lt;$H$10,$H$16,IF(G4094&gt;$I$10,$H$16,$H$11))*E4094/600</f>
        <v>6.5393740500000005E-2</v>
      </c>
      <c r="L4094" s="32">
        <f>$J4094*($G4094-$G4093)*60*24</f>
        <v>6.5393740500005001E-2</v>
      </c>
    </row>
    <row r="4095" spans="1:12">
      <c r="A4095" s="22">
        <v>40313.475694444445</v>
      </c>
      <c r="E4095" s="26">
        <v>168.982564</v>
      </c>
      <c r="G4095" s="27">
        <v>0.47569444444444442</v>
      </c>
      <c r="J4095" s="30">
        <f>IF(G4095&lt;$H$10,$H$16,IF(G4095&gt;$I$10,$H$16,$H$11))*E4095/600</f>
        <v>6.1960273466666667E-2</v>
      </c>
      <c r="L4095" s="32">
        <f>$J4095*($G4095-$G4094)*60*24</f>
        <v>6.196027346666149E-2</v>
      </c>
    </row>
    <row r="4096" spans="1:12">
      <c r="A4096" s="22">
        <v>40313.476388888892</v>
      </c>
      <c r="E4096" s="26">
        <v>157.22843499999999</v>
      </c>
      <c r="G4096" s="27">
        <v>0.47638888888888892</v>
      </c>
      <c r="J4096" s="30">
        <f>IF(G4096&lt;$H$10,$H$16,IF(G4096&gt;$I$10,$H$16,$H$11))*E4096/600</f>
        <v>5.7650426166666664E-2</v>
      </c>
      <c r="L4096" s="32">
        <f>$J4096*($G4096-$G4095)*60*24</f>
        <v>5.765042616667107E-2</v>
      </c>
    </row>
    <row r="4097" spans="1:12">
      <c r="A4097" s="22">
        <v>40313.477083333331</v>
      </c>
      <c r="E4097" s="26">
        <v>158.99520000000001</v>
      </c>
      <c r="G4097" s="27">
        <v>0.4770833333333333</v>
      </c>
      <c r="J4097" s="30">
        <f>IF(G4097&lt;$H$10,$H$16,IF(G4097&gt;$I$10,$H$16,$H$11))*E4097/600</f>
        <v>5.8298240000000008E-2</v>
      </c>
      <c r="L4097" s="32">
        <f>$J4097*($G4097-$G4096)*60*24</f>
        <v>5.8298239999995144E-2</v>
      </c>
    </row>
    <row r="4098" spans="1:12">
      <c r="A4098" s="22">
        <v>40313.477777777778</v>
      </c>
      <c r="E4098" s="26">
        <v>162.85471999999999</v>
      </c>
      <c r="G4098" s="27">
        <v>0.4777777777777778</v>
      </c>
      <c r="J4098" s="30">
        <f>IF(G4098&lt;$H$10,$H$16,IF(G4098&gt;$I$10,$H$16,$H$11))*E4098/600</f>
        <v>5.9713397333333328E-2</v>
      </c>
      <c r="L4098" s="32">
        <f>$J4098*($G4098-$G4097)*60*24</f>
        <v>5.9713397333337886E-2</v>
      </c>
    </row>
    <row r="4099" spans="1:12">
      <c r="A4099" s="22">
        <v>40313.478472222225</v>
      </c>
      <c r="E4099" s="26">
        <v>159.173742</v>
      </c>
      <c r="G4099" s="27">
        <v>0.47847222222222219</v>
      </c>
      <c r="J4099" s="30">
        <f>IF(G4099&lt;$H$10,$H$16,IF(G4099&gt;$I$10,$H$16,$H$11))*E4099/600</f>
        <v>5.8363705400000007E-2</v>
      </c>
      <c r="L4099" s="32">
        <f>$J4099*($G4099-$G4098)*60*24</f>
        <v>5.8363705399995136E-2</v>
      </c>
    </row>
    <row r="4100" spans="1:12">
      <c r="A4100" s="22">
        <v>40313.479166666664</v>
      </c>
      <c r="E4100" s="26">
        <v>160.66814400000001</v>
      </c>
      <c r="G4100" s="27">
        <v>0.47916666666666669</v>
      </c>
      <c r="J4100" s="30">
        <f>IF(G4100&lt;$H$10,$H$16,IF(G4100&gt;$I$10,$H$16,$H$11))*E4100/600</f>
        <v>5.8911652800000006E-2</v>
      </c>
      <c r="L4100" s="32">
        <f>$J4100*($G4100-$G4099)*60*24</f>
        <v>5.8911652800004502E-2</v>
      </c>
    </row>
    <row r="4101" spans="1:12">
      <c r="A4101" s="22">
        <v>40313.479861111111</v>
      </c>
      <c r="E4101" s="26">
        <v>158.259556</v>
      </c>
      <c r="G4101" s="27">
        <v>0.47986111111111113</v>
      </c>
      <c r="J4101" s="30">
        <f>IF(G4101&lt;$H$10,$H$16,IF(G4101&gt;$I$10,$H$16,$H$11))*E4101/600</f>
        <v>5.8028503866666671E-2</v>
      </c>
      <c r="L4101" s="32">
        <f>$J4101*($G4101-$G4100)*60*24</f>
        <v>5.802850386666647E-2</v>
      </c>
    </row>
    <row r="4102" spans="1:12">
      <c r="A4102" s="22">
        <v>40313.480555555558</v>
      </c>
      <c r="E4102" s="26">
        <v>160.64856</v>
      </c>
      <c r="G4102" s="27">
        <v>0.48055555555555557</v>
      </c>
      <c r="J4102" s="30">
        <f>IF(G4102&lt;$H$10,$H$16,IF(G4102&gt;$I$10,$H$16,$H$11))*E4102/600</f>
        <v>5.8904472000000006E-2</v>
      </c>
      <c r="L4102" s="32">
        <f>$J4102*($G4102-$G4101)*60*24</f>
        <v>5.8904471999999798E-2</v>
      </c>
    </row>
    <row r="4103" spans="1:12">
      <c r="A4103" s="22">
        <v>40313.481249999997</v>
      </c>
      <c r="E4103" s="26">
        <v>162.22314</v>
      </c>
      <c r="G4103" s="27">
        <v>0.48125000000000001</v>
      </c>
      <c r="J4103" s="30">
        <f>IF(G4103&lt;$H$10,$H$16,IF(G4103&gt;$I$10,$H$16,$H$11))*E4103/600</f>
        <v>5.9481818000000006E-2</v>
      </c>
      <c r="L4103" s="32">
        <f>$J4103*($G4103-$G4102)*60*24</f>
        <v>5.9481817999999791E-2</v>
      </c>
    </row>
    <row r="4104" spans="1:12">
      <c r="A4104" s="22">
        <v>40313.481944444444</v>
      </c>
      <c r="E4104" s="26">
        <v>156.64048399999999</v>
      </c>
      <c r="G4104" s="27">
        <v>0.48194444444444445</v>
      </c>
      <c r="J4104" s="30">
        <f>IF(G4104&lt;$H$10,$H$16,IF(G4104&gt;$I$10,$H$16,$H$11))*E4104/600</f>
        <v>5.7434844133333329E-2</v>
      </c>
      <c r="L4104" s="32">
        <f>$J4104*($G4104-$G4103)*60*24</f>
        <v>5.7434844133333121E-2</v>
      </c>
    </row>
    <row r="4105" spans="1:12">
      <c r="A4105" s="22">
        <v>40313.482638888891</v>
      </c>
      <c r="E4105" s="26">
        <v>154.80974599999999</v>
      </c>
      <c r="G4105" s="27">
        <v>0.4826388888888889</v>
      </c>
      <c r="J4105" s="30">
        <f>IF(G4105&lt;$H$10,$H$16,IF(G4105&gt;$I$10,$H$16,$H$11))*E4105/600</f>
        <v>5.6763573533333334E-2</v>
      </c>
      <c r="L4105" s="32">
        <f>$J4105*($G4105-$G4104)*60*24</f>
        <v>5.6763573533333125E-2</v>
      </c>
    </row>
    <row r="4106" spans="1:12">
      <c r="A4106" s="22">
        <v>40313.48333333333</v>
      </c>
      <c r="E4106" s="26">
        <v>155.472408</v>
      </c>
      <c r="G4106" s="27">
        <v>0.48333333333333334</v>
      </c>
      <c r="J4106" s="30">
        <f>IF(G4106&lt;$H$10,$H$16,IF(G4106&gt;$I$10,$H$16,$H$11))*E4106/600</f>
        <v>5.7006549600000005E-2</v>
      </c>
      <c r="L4106" s="32">
        <f>$J4106*($G4106-$G4105)*60*24</f>
        <v>5.7006549599999796E-2</v>
      </c>
    </row>
    <row r="4107" spans="1:12">
      <c r="A4107" s="22">
        <v>40313.484027777777</v>
      </c>
      <c r="E4107" s="26">
        <v>156.251732</v>
      </c>
      <c r="G4107" s="27">
        <v>0.48402777777777778</v>
      </c>
      <c r="J4107" s="30">
        <f>IF(G4107&lt;$H$10,$H$16,IF(G4107&gt;$I$10,$H$16,$H$11))*E4107/600</f>
        <v>5.7292301733333335E-2</v>
      </c>
      <c r="L4107" s="32">
        <f>$J4107*($G4107-$G4106)*60*24</f>
        <v>5.7292301733333134E-2</v>
      </c>
    </row>
    <row r="4108" spans="1:12">
      <c r="A4108" s="22">
        <v>40313.484722222223</v>
      </c>
      <c r="E4108" s="26">
        <v>156.59361899999999</v>
      </c>
      <c r="G4108" s="27">
        <v>0.48472222222222222</v>
      </c>
      <c r="J4108" s="30">
        <f>IF(G4108&lt;$H$10,$H$16,IF(G4108&gt;$I$10,$H$16,$H$11))*E4108/600</f>
        <v>5.7417660299999999E-2</v>
      </c>
      <c r="L4108" s="32">
        <f>$J4108*($G4108-$G4107)*60*24</f>
        <v>5.7417660299999791E-2</v>
      </c>
    </row>
    <row r="4109" spans="1:12">
      <c r="A4109" s="22">
        <v>40313.48541666667</v>
      </c>
      <c r="E4109" s="26">
        <v>162.23004</v>
      </c>
      <c r="G4109" s="27">
        <v>0.48541666666666666</v>
      </c>
      <c r="J4109" s="30">
        <f>IF(G4109&lt;$H$10,$H$16,IF(G4109&gt;$I$10,$H$16,$H$11))*E4109/600</f>
        <v>5.9484347999999999E-2</v>
      </c>
      <c r="L4109" s="32">
        <f>$J4109*($G4109-$G4108)*60*24</f>
        <v>5.9484347999999791E-2</v>
      </c>
    </row>
    <row r="4110" spans="1:12">
      <c r="A4110" s="22">
        <v>40313.486111111109</v>
      </c>
      <c r="E4110" s="26">
        <v>165.86312000000001</v>
      </c>
      <c r="G4110" s="27">
        <v>0.4861111111111111</v>
      </c>
      <c r="J4110" s="30">
        <f>IF(G4110&lt;$H$10,$H$16,IF(G4110&gt;$I$10,$H$16,$H$11))*E4110/600</f>
        <v>6.0816477333333341E-2</v>
      </c>
      <c r="L4110" s="32">
        <f>$J4110*($G4110-$G4109)*60*24</f>
        <v>6.0816477333333126E-2</v>
      </c>
    </row>
    <row r="4111" spans="1:12">
      <c r="A4111" s="22">
        <v>40313.486805555556</v>
      </c>
      <c r="E4111" s="26">
        <v>159.953408</v>
      </c>
      <c r="G4111" s="27">
        <v>0.48680555555555555</v>
      </c>
      <c r="J4111" s="30">
        <f>IF(G4111&lt;$H$10,$H$16,IF(G4111&gt;$I$10,$H$16,$H$11))*E4111/600</f>
        <v>5.8649582933333333E-2</v>
      </c>
      <c r="L4111" s="32">
        <f>$J4111*($G4111-$G4110)*60*24</f>
        <v>5.8649582933333125E-2</v>
      </c>
    </row>
    <row r="4112" spans="1:12">
      <c r="A4112" s="22">
        <v>40313.487500000003</v>
      </c>
      <c r="E4112" s="26">
        <v>156.465136</v>
      </c>
      <c r="G4112" s="27">
        <v>0.48749999999999999</v>
      </c>
      <c r="J4112" s="30">
        <f>IF(G4112&lt;$H$10,$H$16,IF(G4112&gt;$I$10,$H$16,$H$11))*E4112/600</f>
        <v>5.7370549866666669E-2</v>
      </c>
      <c r="L4112" s="32">
        <f>$J4112*($G4112-$G4111)*60*24</f>
        <v>5.7370549866666454E-2</v>
      </c>
    </row>
    <row r="4113" spans="1:12">
      <c r="A4113" s="22">
        <v>40313.488194444442</v>
      </c>
      <c r="E4113" s="26">
        <v>155.75876</v>
      </c>
      <c r="G4113" s="27">
        <v>0.48819444444444443</v>
      </c>
      <c r="J4113" s="30">
        <f>IF(G4113&lt;$H$10,$H$16,IF(G4113&gt;$I$10,$H$16,$H$11))*E4113/600</f>
        <v>5.7111545333333333E-2</v>
      </c>
      <c r="L4113" s="32">
        <f>$J4113*($G4113-$G4112)*60*24</f>
        <v>5.7111545333333132E-2</v>
      </c>
    </row>
    <row r="4114" spans="1:12">
      <c r="A4114" s="22">
        <v>40313.488888888889</v>
      </c>
      <c r="E4114" s="26">
        <v>156.036608</v>
      </c>
      <c r="G4114" s="27">
        <v>0.48888888888888887</v>
      </c>
      <c r="J4114" s="30">
        <f>IF(G4114&lt;$H$10,$H$16,IF(G4114&gt;$I$10,$H$16,$H$11))*E4114/600</f>
        <v>5.7213422933333341E-2</v>
      </c>
      <c r="L4114" s="32">
        <f>$J4114*($G4114-$G4113)*60*24</f>
        <v>5.721342293333314E-2</v>
      </c>
    </row>
    <row r="4115" spans="1:12">
      <c r="A4115" s="22">
        <v>40313.489583333336</v>
      </c>
      <c r="E4115" s="26">
        <v>156.329082</v>
      </c>
      <c r="G4115" s="27">
        <v>0.48958333333333331</v>
      </c>
      <c r="J4115" s="30">
        <f>IF(G4115&lt;$H$10,$H$16,IF(G4115&gt;$I$10,$H$16,$H$11))*E4115/600</f>
        <v>5.7320663400000006E-2</v>
      </c>
      <c r="L4115" s="32">
        <f>$J4115*($G4115-$G4114)*60*24</f>
        <v>5.7320663399999805E-2</v>
      </c>
    </row>
    <row r="4116" spans="1:12">
      <c r="A4116" s="22">
        <v>40313.490277777775</v>
      </c>
      <c r="E4116" s="26">
        <v>156.27320800000001</v>
      </c>
      <c r="G4116" s="27">
        <v>0.49027777777777781</v>
      </c>
      <c r="J4116" s="30">
        <f>IF(G4116&lt;$H$10,$H$16,IF(G4116&gt;$I$10,$H$16,$H$11))*E4116/600</f>
        <v>5.7300176266666662E-2</v>
      </c>
      <c r="L4116" s="32">
        <f>$J4116*($G4116-$G4115)*60*24</f>
        <v>5.7300176266671041E-2</v>
      </c>
    </row>
    <row r="4117" spans="1:12">
      <c r="A4117" s="22">
        <v>40313.490972222222</v>
      </c>
      <c r="E4117" s="26">
        <v>159.07801000000001</v>
      </c>
      <c r="G4117" s="27">
        <v>0.4909722222222222</v>
      </c>
      <c r="J4117" s="30">
        <f>IF(G4117&lt;$H$10,$H$16,IF(G4117&gt;$I$10,$H$16,$H$11))*E4117/600</f>
        <v>5.8328603666666666E-2</v>
      </c>
      <c r="L4117" s="32">
        <f>$J4117*($G4117-$G4116)*60*24</f>
        <v>5.8328603666661795E-2</v>
      </c>
    </row>
    <row r="4118" spans="1:12">
      <c r="A4118" s="22">
        <v>40313.491666666669</v>
      </c>
      <c r="E4118" s="26">
        <v>163.20487199999999</v>
      </c>
      <c r="G4118" s="27">
        <v>0.4916666666666667</v>
      </c>
      <c r="J4118" s="30">
        <f>IF(G4118&lt;$H$10,$H$16,IF(G4118&gt;$I$10,$H$16,$H$11))*E4118/600</f>
        <v>5.9841786399999999E-2</v>
      </c>
      <c r="L4118" s="32">
        <f>$J4118*($G4118-$G4117)*60*24</f>
        <v>5.9841786400004572E-2</v>
      </c>
    </row>
    <row r="4119" spans="1:12">
      <c r="A4119" s="22">
        <v>40313.492361111108</v>
      </c>
      <c r="E4119" s="26">
        <v>161.95679999999999</v>
      </c>
      <c r="G4119" s="27">
        <v>0.49236111111111108</v>
      </c>
      <c r="J4119" s="30">
        <f>IF(G4119&lt;$H$10,$H$16,IF(G4119&gt;$I$10,$H$16,$H$11))*E4119/600</f>
        <v>5.9384159999999998E-2</v>
      </c>
      <c r="L4119" s="32">
        <f>$J4119*($G4119-$G4118)*60*24</f>
        <v>5.9384159999995037E-2</v>
      </c>
    </row>
    <row r="4120" spans="1:12">
      <c r="A4120" s="22">
        <v>40313.493055555555</v>
      </c>
      <c r="E4120" s="26">
        <v>159.34399999999999</v>
      </c>
      <c r="G4120" s="27">
        <v>0.49305555555555558</v>
      </c>
      <c r="J4120" s="30">
        <f>IF(G4120&lt;$H$10,$H$16,IF(G4120&gt;$I$10,$H$16,$H$11))*E4120/600</f>
        <v>5.8426133333333338E-2</v>
      </c>
      <c r="L4120" s="32">
        <f>$J4120*($G4120-$G4119)*60*24</f>
        <v>5.8426133333337807E-2</v>
      </c>
    </row>
    <row r="4121" spans="1:12">
      <c r="A4121" s="22">
        <v>40313.493750000001</v>
      </c>
      <c r="E4121" s="26">
        <v>158.66978399999999</v>
      </c>
      <c r="G4121" s="27">
        <v>0.49374999999999997</v>
      </c>
      <c r="J4121" s="30">
        <f>IF(G4121&lt;$H$10,$H$16,IF(G4121&gt;$I$10,$H$16,$H$11))*E4121/600</f>
        <v>5.8178920799999999E-2</v>
      </c>
      <c r="L4121" s="32">
        <f>$J4121*($G4121-$G4120)*60*24</f>
        <v>5.8178920799995149E-2</v>
      </c>
    </row>
    <row r="4122" spans="1:12">
      <c r="A4122" s="22">
        <v>40313.494444444441</v>
      </c>
      <c r="E4122" s="26">
        <v>164.12616</v>
      </c>
      <c r="G4122" s="27">
        <v>0.49444444444444446</v>
      </c>
      <c r="J4122" s="30">
        <f>IF(G4122&lt;$H$10,$H$16,IF(G4122&gt;$I$10,$H$16,$H$11))*E4122/600</f>
        <v>6.0179591999999997E-2</v>
      </c>
      <c r="L4122" s="32">
        <f>$J4122*($G4122-$G4121)*60*24</f>
        <v>6.0179592000004591E-2</v>
      </c>
    </row>
    <row r="4123" spans="1:12">
      <c r="A4123" s="22">
        <v>40313.495138888888</v>
      </c>
      <c r="E4123" s="26">
        <v>158.45502400000001</v>
      </c>
      <c r="G4123" s="27">
        <v>0.49513888888888885</v>
      </c>
      <c r="J4123" s="30">
        <f>IF(G4123&lt;$H$10,$H$16,IF(G4123&gt;$I$10,$H$16,$H$11))*E4123/600</f>
        <v>5.8100175466666668E-2</v>
      </c>
      <c r="L4123" s="32">
        <f>$J4123*($G4123-$G4122)*60*24</f>
        <v>5.8100175466661817E-2</v>
      </c>
    </row>
    <row r="4124" spans="1:12">
      <c r="A4124" s="22">
        <v>40313.495833333334</v>
      </c>
      <c r="E4124" s="26">
        <v>155.66068799999999</v>
      </c>
      <c r="G4124" s="27">
        <v>0.49583333333333335</v>
      </c>
      <c r="J4124" s="30">
        <f>IF(G4124&lt;$H$10,$H$16,IF(G4124&gt;$I$10,$H$16,$H$11))*E4124/600</f>
        <v>5.7075585599999999E-2</v>
      </c>
      <c r="L4124" s="32">
        <f>$J4124*($G4124-$G4123)*60*24</f>
        <v>5.707558560000435E-2</v>
      </c>
    </row>
    <row r="4125" spans="1:12">
      <c r="A4125" s="22">
        <v>40313.496527777781</v>
      </c>
      <c r="E4125" s="26">
        <v>159.55477200000001</v>
      </c>
      <c r="G4125" s="27">
        <v>0.49652777777777773</v>
      </c>
      <c r="J4125" s="30">
        <f>IF(G4125&lt;$H$10,$H$16,IF(G4125&gt;$I$10,$H$16,$H$11))*E4125/600</f>
        <v>5.8503416400000008E-2</v>
      </c>
      <c r="L4125" s="32">
        <f>$J4125*($G4125-$G4124)*60*24</f>
        <v>5.8503416399995123E-2</v>
      </c>
    </row>
    <row r="4126" spans="1:12">
      <c r="A4126" s="22">
        <v>40313.49722222222</v>
      </c>
      <c r="E4126" s="26">
        <v>158.83076299999999</v>
      </c>
      <c r="G4126" s="27">
        <v>0.49722222222222223</v>
      </c>
      <c r="J4126" s="30">
        <f>IF(G4126&lt;$H$10,$H$16,IF(G4126&gt;$I$10,$H$16,$H$11))*E4126/600</f>
        <v>5.8237946433333326E-2</v>
      </c>
      <c r="L4126" s="32">
        <f>$J4126*($G4126-$G4125)*60*24</f>
        <v>5.8237946433337774E-2</v>
      </c>
    </row>
    <row r="4127" spans="1:12">
      <c r="A4127" s="22">
        <v>40313.497916666667</v>
      </c>
      <c r="E4127" s="26">
        <v>163.203768</v>
      </c>
      <c r="G4127" s="27">
        <v>0.49791666666666662</v>
      </c>
      <c r="J4127" s="30">
        <f>IF(G4127&lt;$H$10,$H$16,IF(G4127&gt;$I$10,$H$16,$H$11))*E4127/600</f>
        <v>5.9841381599999993E-2</v>
      </c>
      <c r="L4127" s="32">
        <f>$J4127*($G4127-$G4126)*60*24</f>
        <v>5.9841381599994997E-2</v>
      </c>
    </row>
    <row r="4128" spans="1:12">
      <c r="A4128" s="22">
        <v>40313.498611111114</v>
      </c>
      <c r="E4128" s="26">
        <v>161.00018399999999</v>
      </c>
      <c r="G4128" s="27">
        <v>0.49861111111111112</v>
      </c>
      <c r="J4128" s="30">
        <f>IF(G4128&lt;$H$10,$H$16,IF(G4128&gt;$I$10,$H$16,$H$11))*E4128/600</f>
        <v>5.9033400799999997E-2</v>
      </c>
      <c r="L4128" s="32">
        <f>$J4128*($G4128-$G4127)*60*24</f>
        <v>5.9033400800004507E-2</v>
      </c>
    </row>
    <row r="4129" spans="1:12">
      <c r="A4129" s="22">
        <v>40313.499305555553</v>
      </c>
      <c r="E4129" s="26">
        <v>162.58240000000001</v>
      </c>
      <c r="G4129" s="27">
        <v>0.4993055555555555</v>
      </c>
      <c r="J4129" s="30">
        <f>IF(G4129&lt;$H$10,$H$16,IF(G4129&gt;$I$10,$H$16,$H$11))*E4129/600</f>
        <v>5.9613546666666677E-2</v>
      </c>
      <c r="L4129" s="32">
        <f>$J4129*($G4129-$G4128)*60*24</f>
        <v>5.9613546666661701E-2</v>
      </c>
    </row>
    <row r="4130" spans="1:12">
      <c r="A4130" s="22">
        <v>40313.5</v>
      </c>
      <c r="E4130" s="26">
        <v>157.820481</v>
      </c>
      <c r="G4130" s="27">
        <v>0.5</v>
      </c>
      <c r="J4130" s="30">
        <f>IF(G4130&lt;$H$10,$H$16,IF(G4130&gt;$I$10,$H$16,$H$11))*E4130/600</f>
        <v>5.78675097E-2</v>
      </c>
      <c r="L4130" s="32">
        <f>$J4130*($G4130-$G4129)*60*24</f>
        <v>5.7867509700004427E-2</v>
      </c>
    </row>
    <row r="4131" spans="1:12">
      <c r="A4131" s="22">
        <v>40313.500694444447</v>
      </c>
      <c r="E4131" s="26">
        <v>161.850234</v>
      </c>
      <c r="G4131" s="27">
        <v>0.50069444444444444</v>
      </c>
      <c r="J4131" s="30">
        <f>IF(G4131&lt;$H$10,$H$16,IF(G4131&gt;$I$10,$H$16,$H$11))*E4131/600</f>
        <v>5.9345085800000003E-2</v>
      </c>
      <c r="L4131" s="32">
        <f>$J4131*($G4131-$G4130)*60*24</f>
        <v>5.9345085799999794E-2</v>
      </c>
    </row>
    <row r="4132" spans="1:12">
      <c r="A4132" s="22">
        <v>40313.501388888886</v>
      </c>
      <c r="E4132" s="26">
        <v>166.47767999999999</v>
      </c>
      <c r="G4132" s="27">
        <v>0.50138888888888888</v>
      </c>
      <c r="J4132" s="30">
        <f>IF(G4132&lt;$H$10,$H$16,IF(G4132&gt;$I$10,$H$16,$H$11))*E4132/600</f>
        <v>6.1041815999999992E-2</v>
      </c>
      <c r="L4132" s="32">
        <f>$J4132*($G4132-$G4131)*60*24</f>
        <v>6.1041815999999777E-2</v>
      </c>
    </row>
    <row r="4133" spans="1:12">
      <c r="A4133" s="22">
        <v>40313.502083333333</v>
      </c>
      <c r="E4133" s="26">
        <v>167.10462000000001</v>
      </c>
      <c r="G4133" s="27">
        <v>0.50208333333333333</v>
      </c>
      <c r="J4133" s="30">
        <f>IF(G4133&lt;$H$10,$H$16,IF(G4133&gt;$I$10,$H$16,$H$11))*E4133/600</f>
        <v>6.1271694000000008E-2</v>
      </c>
      <c r="L4133" s="32">
        <f>$J4133*($G4133-$G4132)*60*24</f>
        <v>6.1271693999999793E-2</v>
      </c>
    </row>
    <row r="4134" spans="1:12">
      <c r="A4134" s="22">
        <v>40313.50277777778</v>
      </c>
      <c r="E4134" s="26">
        <v>172.46115</v>
      </c>
      <c r="G4134" s="27">
        <v>0.50277777777777777</v>
      </c>
      <c r="J4134" s="30">
        <f>IF(G4134&lt;$H$10,$H$16,IF(G4134&gt;$I$10,$H$16,$H$11))*E4134/600</f>
        <v>6.3235755000000005E-2</v>
      </c>
      <c r="L4134" s="32">
        <f>$J4134*($G4134-$G4133)*60*24</f>
        <v>6.3235754999999783E-2</v>
      </c>
    </row>
    <row r="4135" spans="1:12">
      <c r="A4135" s="22">
        <v>40313.503472222219</v>
      </c>
      <c r="E4135" s="26">
        <v>167.18796</v>
      </c>
      <c r="G4135" s="27">
        <v>0.50347222222222221</v>
      </c>
      <c r="J4135" s="30">
        <f>IF(G4135&lt;$H$10,$H$16,IF(G4135&gt;$I$10,$H$16,$H$11))*E4135/600</f>
        <v>6.1302252000000008E-2</v>
      </c>
      <c r="L4135" s="32">
        <f>$J4135*($G4135-$G4134)*60*24</f>
        <v>6.1302251999999786E-2</v>
      </c>
    </row>
    <row r="4136" spans="1:12">
      <c r="A4136" s="22">
        <v>40313.504166666666</v>
      </c>
      <c r="E4136" s="26">
        <v>167.39243999999999</v>
      </c>
      <c r="G4136" s="27">
        <v>0.50416666666666665</v>
      </c>
      <c r="J4136" s="30">
        <f>IF(G4136&lt;$H$10,$H$16,IF(G4136&gt;$I$10,$H$16,$H$11))*E4136/600</f>
        <v>6.1377227999999999E-2</v>
      </c>
      <c r="L4136" s="32">
        <f>$J4136*($G4136-$G4135)*60*24</f>
        <v>6.1377227999999791E-2</v>
      </c>
    </row>
    <row r="4137" spans="1:12">
      <c r="A4137" s="22">
        <v>40313.504861111112</v>
      </c>
      <c r="E4137" s="26">
        <v>162.721923</v>
      </c>
      <c r="G4137" s="27">
        <v>0.50486111111111109</v>
      </c>
      <c r="J4137" s="30">
        <f>IF(G4137&lt;$H$10,$H$16,IF(G4137&gt;$I$10,$H$16,$H$11))*E4137/600</f>
        <v>5.9664705100000007E-2</v>
      </c>
      <c r="L4137" s="32">
        <f>$J4137*($G4137-$G4136)*60*24</f>
        <v>5.9664705099999792E-2</v>
      </c>
    </row>
    <row r="4138" spans="1:12">
      <c r="A4138" s="22">
        <v>40313.505555555559</v>
      </c>
      <c r="E4138" s="26">
        <v>160.217512</v>
      </c>
      <c r="G4138" s="27">
        <v>0.50555555555555554</v>
      </c>
      <c r="J4138" s="30">
        <f>IF(G4138&lt;$H$10,$H$16,IF(G4138&gt;$I$10,$H$16,$H$11))*E4138/600</f>
        <v>5.8746421066666665E-2</v>
      </c>
      <c r="L4138" s="32">
        <f>$J4138*($G4138-$G4137)*60*24</f>
        <v>5.8746421066666457E-2</v>
      </c>
    </row>
    <row r="4139" spans="1:12">
      <c r="A4139" s="22">
        <v>40313.506249999999</v>
      </c>
      <c r="E4139" s="26">
        <v>160.32334499999999</v>
      </c>
      <c r="G4139" s="27">
        <v>0.50624999999999998</v>
      </c>
      <c r="J4139" s="30">
        <f>IF(G4139&lt;$H$10,$H$16,IF(G4139&gt;$I$10,$H$16,$H$11))*E4139/600</f>
        <v>5.8785226499999996E-2</v>
      </c>
      <c r="L4139" s="32">
        <f>$J4139*($G4139-$G4138)*60*24</f>
        <v>5.8785226499999781E-2</v>
      </c>
    </row>
    <row r="4140" spans="1:12">
      <c r="A4140" s="22">
        <v>40313.506944444445</v>
      </c>
      <c r="E4140" s="26">
        <v>159.53737799999999</v>
      </c>
      <c r="G4140" s="27">
        <v>0.50694444444444442</v>
      </c>
      <c r="J4140" s="30">
        <f>IF(G4140&lt;$H$10,$H$16,IF(G4140&gt;$I$10,$H$16,$H$11))*E4140/600</f>
        <v>5.8497038599999995E-2</v>
      </c>
      <c r="L4140" s="32">
        <f>$J4140*($G4140-$G4139)*60*24</f>
        <v>5.8497038599999787E-2</v>
      </c>
    </row>
    <row r="4141" spans="1:12">
      <c r="A4141" s="22">
        <v>40313.507638888892</v>
      </c>
      <c r="E4141" s="26">
        <v>159.81147000000001</v>
      </c>
      <c r="G4141" s="27">
        <v>0.50763888888888886</v>
      </c>
      <c r="J4141" s="30">
        <f>IF(G4141&lt;$H$10,$H$16,IF(G4141&gt;$I$10,$H$16,$H$11))*E4141/600</f>
        <v>5.8597538999999997E-2</v>
      </c>
      <c r="L4141" s="32">
        <f>$J4141*($G4141-$G4140)*60*24</f>
        <v>5.8597538999999782E-2</v>
      </c>
    </row>
    <row r="4142" spans="1:12">
      <c r="A4142" s="22">
        <v>40313.508333333331</v>
      </c>
      <c r="E4142" s="26">
        <v>159.60908599999999</v>
      </c>
      <c r="G4142" s="27">
        <v>0.5083333333333333</v>
      </c>
      <c r="J4142" s="30">
        <f>IF(G4142&lt;$H$10,$H$16,IF(G4142&gt;$I$10,$H$16,$H$11))*E4142/600</f>
        <v>5.8523331533333334E-2</v>
      </c>
      <c r="L4142" s="32">
        <f>$J4142*($G4142-$G4141)*60*24</f>
        <v>5.8523331533333126E-2</v>
      </c>
    </row>
    <row r="4143" spans="1:12">
      <c r="A4143" s="22">
        <v>40313.509027777778</v>
      </c>
      <c r="E4143" s="26">
        <v>156.59380100000001</v>
      </c>
      <c r="G4143" s="27">
        <v>0.50902777777777775</v>
      </c>
      <c r="J4143" s="30">
        <f>IF(G4143&lt;$H$10,$H$16,IF(G4143&gt;$I$10,$H$16,$H$11))*E4143/600</f>
        <v>5.7417727033333331E-2</v>
      </c>
      <c r="L4143" s="32">
        <f>$J4143*($G4143-$G4142)*60*24</f>
        <v>5.741772703333313E-2</v>
      </c>
    </row>
    <row r="4144" spans="1:12">
      <c r="A4144" s="22">
        <v>40313.509722222225</v>
      </c>
      <c r="E4144" s="26">
        <v>156.22698</v>
      </c>
      <c r="G4144" s="27">
        <v>0.50972222222222219</v>
      </c>
      <c r="J4144" s="30">
        <f>IF(G4144&lt;$H$10,$H$16,IF(G4144&gt;$I$10,$H$16,$H$11))*E4144/600</f>
        <v>5.7283226E-2</v>
      </c>
      <c r="L4144" s="32">
        <f>$J4144*($G4144-$G4143)*60*24</f>
        <v>5.7283225999999791E-2</v>
      </c>
    </row>
    <row r="4145" spans="1:12">
      <c r="A4145" s="22">
        <v>40313.510416666664</v>
      </c>
      <c r="E4145" s="26">
        <v>155.58543</v>
      </c>
      <c r="G4145" s="27">
        <v>0.51041666666666663</v>
      </c>
      <c r="J4145" s="30">
        <f>IF(G4145&lt;$H$10,$H$16,IF(G4145&gt;$I$10,$H$16,$H$11))*E4145/600</f>
        <v>5.7047990999999999E-2</v>
      </c>
      <c r="L4145" s="32">
        <f>$J4145*($G4145-$G4144)*60*24</f>
        <v>5.7047990999999791E-2</v>
      </c>
    </row>
    <row r="4146" spans="1:12">
      <c r="A4146" s="22">
        <v>40313.511111111111</v>
      </c>
      <c r="E4146" s="26">
        <v>155.90893500000001</v>
      </c>
      <c r="G4146" s="27">
        <v>0.51111111111111118</v>
      </c>
      <c r="J4146" s="30">
        <f>IF(G4146&lt;$H$10,$H$16,IF(G4146&gt;$I$10,$H$16,$H$11))*E4146/600</f>
        <v>5.71666095E-2</v>
      </c>
      <c r="L4146" s="32">
        <f>$J4146*($G4146-$G4145)*60*24</f>
        <v>5.716660950000893E-2</v>
      </c>
    </row>
    <row r="4147" spans="1:12">
      <c r="A4147" s="22">
        <v>40313.511805555558</v>
      </c>
      <c r="E4147" s="26">
        <v>156.48487399999999</v>
      </c>
      <c r="G4147" s="27">
        <v>0.51180555555555551</v>
      </c>
      <c r="J4147" s="30">
        <f>IF(G4147&lt;$H$10,$H$16,IF(G4147&gt;$I$10,$H$16,$H$11))*E4147/600</f>
        <v>5.737778713333333E-2</v>
      </c>
      <c r="L4147" s="32">
        <f>$J4147*($G4147-$G4146)*60*24</f>
        <v>5.7377787133323956E-2</v>
      </c>
    </row>
    <row r="4148" spans="1:12">
      <c r="A4148" s="22">
        <v>40313.512499999997</v>
      </c>
      <c r="E4148" s="26">
        <v>156.84259499999999</v>
      </c>
      <c r="G4148" s="27">
        <v>0.51250000000000007</v>
      </c>
      <c r="J4148" s="30">
        <f>IF(G4148&lt;$H$10,$H$16,IF(G4148&gt;$I$10,$H$16,$H$11))*E4148/600</f>
        <v>5.7508951499999995E-2</v>
      </c>
      <c r="L4148" s="32">
        <f>$J4148*($G4148-$G4147)*60*24</f>
        <v>5.7508951500008981E-2</v>
      </c>
    </row>
    <row r="4149" spans="1:12">
      <c r="A4149" s="22">
        <v>40313.513194444444</v>
      </c>
      <c r="E4149" s="26">
        <v>156.14143999999999</v>
      </c>
      <c r="G4149" s="27">
        <v>0.5131944444444444</v>
      </c>
      <c r="J4149" s="30">
        <f>IF(G4149&lt;$H$10,$H$16,IF(G4149&gt;$I$10,$H$16,$H$11))*E4149/600</f>
        <v>5.7251861333333334E-2</v>
      </c>
      <c r="L4149" s="32">
        <f>$J4149*($G4149-$G4148)*60*24</f>
        <v>5.7251861333323981E-2</v>
      </c>
    </row>
    <row r="4150" spans="1:12">
      <c r="A4150" s="22">
        <v>40313.513888888891</v>
      </c>
      <c r="E4150" s="26">
        <v>155.70327499999999</v>
      </c>
      <c r="G4150" s="27">
        <v>0.51388888888888895</v>
      </c>
      <c r="J4150" s="30">
        <f>IF(G4150&lt;$H$10,$H$16,IF(G4150&gt;$I$10,$H$16,$H$11))*E4150/600</f>
        <v>5.7091200833333328E-2</v>
      </c>
      <c r="L4150" s="32">
        <f>$J4150*($G4150-$G4149)*60*24</f>
        <v>5.7091200833342258E-2</v>
      </c>
    </row>
    <row r="4151" spans="1:12">
      <c r="A4151" s="22">
        <v>40313.51458333333</v>
      </c>
      <c r="E4151" s="26">
        <v>155.46767600000001</v>
      </c>
      <c r="G4151" s="27">
        <v>0.51458333333333328</v>
      </c>
      <c r="J4151" s="30">
        <f>IF(G4151&lt;$H$10,$H$16,IF(G4151&gt;$I$10,$H$16,$H$11))*E4151/600</f>
        <v>5.7004814533333344E-2</v>
      </c>
      <c r="L4151" s="32">
        <f>$J4151*($G4151-$G4150)*60*24</f>
        <v>5.7004814533324025E-2</v>
      </c>
    </row>
    <row r="4152" spans="1:12">
      <c r="A4152" s="22">
        <v>40313.515277777777</v>
      </c>
      <c r="E4152" s="26">
        <v>154.454016</v>
      </c>
      <c r="G4152" s="27">
        <v>0.51527777777777783</v>
      </c>
      <c r="J4152" s="30">
        <f>IF(G4152&lt;$H$10,$H$16,IF(G4152&gt;$I$10,$H$16,$H$11))*E4152/600</f>
        <v>5.6633139200000002E-2</v>
      </c>
      <c r="L4152" s="32">
        <f>$J4152*($G4152-$G4151)*60*24</f>
        <v>5.6633139200008856E-2</v>
      </c>
    </row>
    <row r="4153" spans="1:12">
      <c r="A4153" s="22">
        <v>40313.515972222223</v>
      </c>
      <c r="E4153" s="26">
        <v>153.16767200000001</v>
      </c>
      <c r="G4153" s="27">
        <v>0.51597222222222217</v>
      </c>
      <c r="J4153" s="30">
        <f>IF(G4153&lt;$H$10,$H$16,IF(G4153&gt;$I$10,$H$16,$H$11))*E4153/600</f>
        <v>5.6161479733333339E-2</v>
      </c>
      <c r="L4153" s="32">
        <f>$J4153*($G4153-$G4152)*60*24</f>
        <v>5.6161479733324166E-2</v>
      </c>
    </row>
    <row r="4154" spans="1:12">
      <c r="A4154" s="22">
        <v>40313.51666666667</v>
      </c>
      <c r="E4154" s="26">
        <v>152.74253999999999</v>
      </c>
      <c r="G4154" s="27">
        <v>0.51666666666666672</v>
      </c>
      <c r="J4154" s="30">
        <f>IF(G4154&lt;$H$10,$H$16,IF(G4154&gt;$I$10,$H$16,$H$11))*E4154/600</f>
        <v>5.600559799999999E-2</v>
      </c>
      <c r="L4154" s="32">
        <f>$J4154*($G4154-$G4153)*60*24</f>
        <v>5.6005598000008747E-2</v>
      </c>
    </row>
    <row r="4155" spans="1:12">
      <c r="A4155" s="22">
        <v>40313.517361111109</v>
      </c>
      <c r="E4155" s="26">
        <v>153.58075199999999</v>
      </c>
      <c r="G4155" s="27">
        <v>0.51736111111111105</v>
      </c>
      <c r="J4155" s="30">
        <f>IF(G4155&lt;$H$10,$H$16,IF(G4155&gt;$I$10,$H$16,$H$11))*E4155/600</f>
        <v>5.6312942400000003E-2</v>
      </c>
      <c r="L4155" s="32">
        <f>$J4155*($G4155-$G4154)*60*24</f>
        <v>5.6312942399990795E-2</v>
      </c>
    </row>
    <row r="4156" spans="1:12">
      <c r="A4156" s="22">
        <v>40313.518055555556</v>
      </c>
      <c r="E4156" s="26">
        <v>155.33647999999999</v>
      </c>
      <c r="G4156" s="27">
        <v>0.5180555555555556</v>
      </c>
      <c r="J4156" s="30">
        <f>IF(G4156&lt;$H$10,$H$16,IF(G4156&gt;$I$10,$H$16,$H$11))*E4156/600</f>
        <v>5.6956709333333334E-2</v>
      </c>
      <c r="L4156" s="32">
        <f>$J4156*($G4156-$G4155)*60*24</f>
        <v>5.695670933334223E-2</v>
      </c>
    </row>
    <row r="4157" spans="1:12">
      <c r="A4157" s="22">
        <v>40313.518750000003</v>
      </c>
      <c r="E4157" s="26">
        <v>155.880088</v>
      </c>
      <c r="G4157" s="27">
        <v>0.51874999999999993</v>
      </c>
      <c r="J4157" s="30">
        <f>IF(G4157&lt;$H$10,$H$16,IF(G4157&gt;$I$10,$H$16,$H$11))*E4157/600</f>
        <v>5.715603226666667E-2</v>
      </c>
      <c r="L4157" s="32">
        <f>$J4157*($G4157-$G4156)*60*24</f>
        <v>5.7156032266657331E-2</v>
      </c>
    </row>
    <row r="4158" spans="1:12">
      <c r="A4158" s="22">
        <v>40313.519444444442</v>
      </c>
      <c r="E4158" s="26">
        <v>156.16146000000001</v>
      </c>
      <c r="G4158" s="27">
        <v>0.51944444444444449</v>
      </c>
      <c r="J4158" s="30">
        <f>IF(G4158&lt;$H$10,$H$16,IF(G4158&gt;$I$10,$H$16,$H$11))*E4158/600</f>
        <v>5.7259201999999995E-2</v>
      </c>
      <c r="L4158" s="32">
        <f>$J4158*($G4158-$G4157)*60*24</f>
        <v>5.7259202000008946E-2</v>
      </c>
    </row>
    <row r="4159" spans="1:12">
      <c r="A4159" s="22">
        <v>40313.520138888889</v>
      </c>
      <c r="E4159" s="26">
        <v>156.42445000000001</v>
      </c>
      <c r="G4159" s="27">
        <v>0.52013888888888882</v>
      </c>
      <c r="J4159" s="30">
        <f>IF(G4159&lt;$H$10,$H$16,IF(G4159&gt;$I$10,$H$16,$H$11))*E4159/600</f>
        <v>5.7355631666666664E-2</v>
      </c>
      <c r="L4159" s="32">
        <f>$J4159*($G4159-$G4158)*60*24</f>
        <v>5.7355631666657289E-2</v>
      </c>
    </row>
    <row r="4160" spans="1:12">
      <c r="A4160" s="22">
        <v>40313.520833333336</v>
      </c>
      <c r="E4160" s="26">
        <v>155.648675</v>
      </c>
      <c r="G4160" s="27">
        <v>0.52083333333333337</v>
      </c>
      <c r="J4160" s="30">
        <f>IF(G4160&lt;$H$10,$H$16,IF(G4160&gt;$I$10,$H$16,$H$11))*E4160/600</f>
        <v>5.7071180833333332E-2</v>
      </c>
      <c r="L4160" s="32">
        <f>$J4160*($G4160-$G4159)*60*24</f>
        <v>5.7071180833342255E-2</v>
      </c>
    </row>
    <row r="4161" spans="1:12">
      <c r="A4161" s="22">
        <v>40313.521527777775</v>
      </c>
      <c r="E4161" s="26">
        <v>155.29605000000001</v>
      </c>
      <c r="G4161" s="27">
        <v>0.52152777777777781</v>
      </c>
      <c r="J4161" s="30">
        <f>IF(G4161&lt;$H$10,$H$16,IF(G4161&gt;$I$10,$H$16,$H$11))*E4161/600</f>
        <v>5.6941885000000005E-2</v>
      </c>
      <c r="L4161" s="32">
        <f>$J4161*($G4161-$G4160)*60*24</f>
        <v>5.6941884999999803E-2</v>
      </c>
    </row>
    <row r="4162" spans="1:12">
      <c r="A4162" s="22">
        <v>40313.522222222222</v>
      </c>
      <c r="E4162" s="26">
        <v>155.27511999999999</v>
      </c>
      <c r="G4162" s="27">
        <v>0.52222222222222225</v>
      </c>
      <c r="J4162" s="30">
        <f>IF(G4162&lt;$H$10,$H$16,IF(G4162&gt;$I$10,$H$16,$H$11))*E4162/600</f>
        <v>5.6934210666666658E-2</v>
      </c>
      <c r="L4162" s="32">
        <f>$J4162*($G4162-$G4161)*60*24</f>
        <v>5.693421066666645E-2</v>
      </c>
    </row>
    <row r="4163" spans="1:12">
      <c r="A4163" s="22">
        <v>40313.522916666669</v>
      </c>
      <c r="E4163" s="26">
        <v>155.43791899999999</v>
      </c>
      <c r="G4163" s="27">
        <v>0.5229166666666667</v>
      </c>
      <c r="J4163" s="30">
        <f>IF(G4163&lt;$H$10,$H$16,IF(G4163&gt;$I$10,$H$16,$H$11))*E4163/600</f>
        <v>5.6993903633333336E-2</v>
      </c>
      <c r="L4163" s="32">
        <f>$J4163*($G4163-$G4162)*60*24</f>
        <v>5.6993903633333128E-2</v>
      </c>
    </row>
    <row r="4164" spans="1:12">
      <c r="A4164" s="22">
        <v>40313.523611111108</v>
      </c>
      <c r="E4164" s="26">
        <v>155.67916</v>
      </c>
      <c r="G4164" s="27">
        <v>0.52361111111111114</v>
      </c>
      <c r="J4164" s="30">
        <f>IF(G4164&lt;$H$10,$H$16,IF(G4164&gt;$I$10,$H$16,$H$11))*E4164/600</f>
        <v>5.7082358666666666E-2</v>
      </c>
      <c r="L4164" s="32">
        <f>$J4164*($G4164-$G4163)*60*24</f>
        <v>5.7082358666666458E-2</v>
      </c>
    </row>
    <row r="4165" spans="1:12">
      <c r="A4165" s="22">
        <v>40313.524305555555</v>
      </c>
      <c r="E4165" s="26">
        <v>156.090844</v>
      </c>
      <c r="G4165" s="27">
        <v>0.52430555555555558</v>
      </c>
      <c r="J4165" s="30">
        <f>IF(G4165&lt;$H$10,$H$16,IF(G4165&gt;$I$10,$H$16,$H$11))*E4165/600</f>
        <v>5.7233309466666667E-2</v>
      </c>
      <c r="L4165" s="32">
        <f>$J4165*($G4165-$G4164)*60*24</f>
        <v>5.7233309466666459E-2</v>
      </c>
    </row>
    <row r="4166" spans="1:12">
      <c r="A4166" s="22">
        <v>40313.525000000001</v>
      </c>
      <c r="E4166" s="26">
        <v>155.94378800000001</v>
      </c>
      <c r="G4166" s="27">
        <v>0.52500000000000002</v>
      </c>
      <c r="J4166" s="30">
        <f>IF(G4166&lt;$H$10,$H$16,IF(G4166&gt;$I$10,$H$16,$H$11))*E4166/600</f>
        <v>5.7179388933333339E-2</v>
      </c>
      <c r="L4166" s="32">
        <f>$J4166*($G4166-$G4165)*60*24</f>
        <v>5.7179388933333131E-2</v>
      </c>
    </row>
    <row r="4167" spans="1:12">
      <c r="A4167" s="22">
        <v>40313.525694444441</v>
      </c>
      <c r="E4167" s="26">
        <v>153.680072</v>
      </c>
      <c r="G4167" s="27">
        <v>0.52569444444444446</v>
      </c>
      <c r="J4167" s="30">
        <f>IF(G4167&lt;$H$10,$H$16,IF(G4167&gt;$I$10,$H$16,$H$11))*E4167/600</f>
        <v>5.6349359733333333E-2</v>
      </c>
      <c r="L4167" s="32">
        <f>$J4167*($G4167-$G4166)*60*24</f>
        <v>5.6349359733333125E-2</v>
      </c>
    </row>
    <row r="4168" spans="1:12">
      <c r="A4168" s="22">
        <v>40313.526388888888</v>
      </c>
      <c r="E4168" s="26">
        <v>152.58798100000001</v>
      </c>
      <c r="G4168" s="27">
        <v>0.52638888888888891</v>
      </c>
      <c r="J4168" s="30">
        <f>IF(G4168&lt;$H$10,$H$16,IF(G4168&gt;$I$10,$H$16,$H$11))*E4168/600</f>
        <v>5.5948926366666679E-2</v>
      </c>
      <c r="L4168" s="32">
        <f>$J4168*($G4168-$G4167)*60*24</f>
        <v>5.5948926366666485E-2</v>
      </c>
    </row>
    <row r="4169" spans="1:12">
      <c r="A4169" s="22">
        <v>40313.527083333334</v>
      </c>
      <c r="E4169" s="26">
        <v>154.012404</v>
      </c>
      <c r="G4169" s="27">
        <v>0.52708333333333335</v>
      </c>
      <c r="J4169" s="30">
        <f>IF(G4169&lt;$H$10,$H$16,IF(G4169&gt;$I$10,$H$16,$H$11))*E4169/600</f>
        <v>5.6471214800000002E-2</v>
      </c>
      <c r="L4169" s="32">
        <f>$J4169*($G4169-$G4168)*60*24</f>
        <v>5.6471214799999808E-2</v>
      </c>
    </row>
    <row r="4170" spans="1:12">
      <c r="A4170" s="22">
        <v>40313.527777777781</v>
      </c>
      <c r="E4170" s="26">
        <v>152.53492800000001</v>
      </c>
      <c r="G4170" s="27">
        <v>0.52777777777777779</v>
      </c>
      <c r="J4170" s="30">
        <f>IF(G4170&lt;$H$10,$H$16,IF(G4170&gt;$I$10,$H$16,$H$11))*E4170/600</f>
        <v>5.5929473600000001E-2</v>
      </c>
      <c r="L4170" s="32">
        <f>$J4170*($G4170-$G4169)*60*24</f>
        <v>5.59294735999998E-2</v>
      </c>
    </row>
    <row r="4171" spans="1:12">
      <c r="A4171" s="22">
        <v>40313.52847222222</v>
      </c>
      <c r="E4171" s="26">
        <v>152.40425200000001</v>
      </c>
      <c r="G4171" s="27">
        <v>0.52847222222222223</v>
      </c>
      <c r="J4171" s="30">
        <f>IF(G4171&lt;$H$10,$H$16,IF(G4171&gt;$I$10,$H$16,$H$11))*E4171/600</f>
        <v>5.5881559066666676E-2</v>
      </c>
      <c r="L4171" s="32">
        <f>$J4171*($G4171-$G4170)*60*24</f>
        <v>5.5881559066666475E-2</v>
      </c>
    </row>
    <row r="4172" spans="1:12">
      <c r="A4172" s="22">
        <v>40313.529166666667</v>
      </c>
      <c r="E4172" s="26">
        <v>153.85822400000001</v>
      </c>
      <c r="G4172" s="27">
        <v>0.52916666666666667</v>
      </c>
      <c r="J4172" s="30">
        <f>IF(G4172&lt;$H$10,$H$16,IF(G4172&gt;$I$10,$H$16,$H$11))*E4172/600</f>
        <v>5.6414682133333338E-2</v>
      </c>
      <c r="L4172" s="32">
        <f>$J4172*($G4172-$G4171)*60*24</f>
        <v>5.6414682133333144E-2</v>
      </c>
    </row>
    <row r="4173" spans="1:12">
      <c r="A4173" s="22">
        <v>40313.529861111114</v>
      </c>
      <c r="E4173" s="26">
        <v>157.30454399999999</v>
      </c>
      <c r="G4173" s="27">
        <v>0.52986111111111112</v>
      </c>
      <c r="J4173" s="30">
        <f>IF(G4173&lt;$H$10,$H$16,IF(G4173&gt;$I$10,$H$16,$H$11))*E4173/600</f>
        <v>5.7678332800000003E-2</v>
      </c>
      <c r="L4173" s="32">
        <f>$J4173*($G4173-$G4172)*60*24</f>
        <v>5.7678332799999801E-2</v>
      </c>
    </row>
    <row r="4174" spans="1:12">
      <c r="A4174" s="22">
        <v>40313.530555555553</v>
      </c>
      <c r="E4174" s="26">
        <v>156.63229999999999</v>
      </c>
      <c r="G4174" s="27">
        <v>0.53055555555555556</v>
      </c>
      <c r="J4174" s="30">
        <f>IF(G4174&lt;$H$10,$H$16,IF(G4174&gt;$I$10,$H$16,$H$11))*E4174/600</f>
        <v>5.7431843333333329E-2</v>
      </c>
      <c r="L4174" s="32">
        <f>$J4174*($G4174-$G4173)*60*24</f>
        <v>5.7431843333333121E-2</v>
      </c>
    </row>
    <row r="4175" spans="1:12">
      <c r="A4175" s="22">
        <v>40313.53125</v>
      </c>
      <c r="E4175" s="26">
        <v>156.752544</v>
      </c>
      <c r="G4175" s="27">
        <v>0.53125</v>
      </c>
      <c r="J4175" s="30">
        <f>IF(G4175&lt;$H$10,$H$16,IF(G4175&gt;$I$10,$H$16,$H$11))*E4175/600</f>
        <v>5.7475932800000004E-2</v>
      </c>
      <c r="L4175" s="32">
        <f>$J4175*($G4175-$G4174)*60*24</f>
        <v>5.7475932799999796E-2</v>
      </c>
    </row>
    <row r="4176" spans="1:12">
      <c r="A4176" s="22">
        <v>40313.531944444447</v>
      </c>
      <c r="E4176" s="26">
        <v>157.79656</v>
      </c>
      <c r="G4176" s="27">
        <v>0.53194444444444444</v>
      </c>
      <c r="J4176" s="30">
        <f>IF(G4176&lt;$H$10,$H$16,IF(G4176&gt;$I$10,$H$16,$H$11))*E4176/600</f>
        <v>5.7858738666666673E-2</v>
      </c>
      <c r="L4176" s="32">
        <f>$J4176*($G4176-$G4175)*60*24</f>
        <v>5.7858738666666472E-2</v>
      </c>
    </row>
    <row r="4177" spans="1:12">
      <c r="A4177" s="22">
        <v>40313.532638888886</v>
      </c>
      <c r="E4177" s="26">
        <v>159.73297600000001</v>
      </c>
      <c r="G4177" s="27">
        <v>0.53263888888888888</v>
      </c>
      <c r="J4177" s="30">
        <f>IF(G4177&lt;$H$10,$H$16,IF(G4177&gt;$I$10,$H$16,$H$11))*E4177/600</f>
        <v>5.8568757866666668E-2</v>
      </c>
      <c r="L4177" s="32">
        <f>$J4177*($G4177-$G4176)*60*24</f>
        <v>5.856875786666646E-2</v>
      </c>
    </row>
    <row r="4178" spans="1:12">
      <c r="A4178" s="22">
        <v>40313.533333333333</v>
      </c>
      <c r="E4178" s="26">
        <v>154.48455999999999</v>
      </c>
      <c r="G4178" s="27">
        <v>0.53333333333333333</v>
      </c>
      <c r="J4178" s="30">
        <f>IF(G4178&lt;$H$10,$H$16,IF(G4178&gt;$I$10,$H$16,$H$11))*E4178/600</f>
        <v>5.6644338666666662E-2</v>
      </c>
      <c r="L4178" s="32">
        <f>$J4178*($G4178-$G4177)*60*24</f>
        <v>5.6644338666666461E-2</v>
      </c>
    </row>
    <row r="4179" spans="1:12">
      <c r="A4179" s="22">
        <v>40313.53402777778</v>
      </c>
      <c r="E4179" s="26">
        <v>155.17456000000001</v>
      </c>
      <c r="G4179" s="27">
        <v>0.53402777777777777</v>
      </c>
      <c r="J4179" s="30">
        <f>IF(G4179&lt;$H$10,$H$16,IF(G4179&gt;$I$10,$H$16,$H$11))*E4179/600</f>
        <v>5.6897338666666679E-2</v>
      </c>
      <c r="L4179" s="32">
        <f>$J4179*($G4179-$G4178)*60*24</f>
        <v>5.6897338666666478E-2</v>
      </c>
    </row>
    <row r="4180" spans="1:12">
      <c r="A4180" s="22">
        <v>40313.534722222219</v>
      </c>
      <c r="E4180" s="26">
        <v>159.41732400000001</v>
      </c>
      <c r="G4180" s="27">
        <v>0.53472222222222221</v>
      </c>
      <c r="J4180" s="30">
        <f>IF(G4180&lt;$H$10,$H$16,IF(G4180&gt;$I$10,$H$16,$H$11))*E4180/600</f>
        <v>5.8453018799999999E-2</v>
      </c>
      <c r="L4180" s="32">
        <f>$J4180*($G4180-$G4179)*60*24</f>
        <v>5.8453018799999798E-2</v>
      </c>
    </row>
    <row r="4181" spans="1:12">
      <c r="A4181" s="22">
        <v>40313.535416666666</v>
      </c>
      <c r="E4181" s="26">
        <v>157.186048</v>
      </c>
      <c r="G4181" s="27">
        <v>0.53541666666666665</v>
      </c>
      <c r="J4181" s="30">
        <f>IF(G4181&lt;$H$10,$H$16,IF(G4181&gt;$I$10,$H$16,$H$11))*E4181/600</f>
        <v>5.7634884266666665E-2</v>
      </c>
      <c r="L4181" s="32">
        <f>$J4181*($G4181-$G4180)*60*24</f>
        <v>5.7634884266666464E-2</v>
      </c>
    </row>
    <row r="4182" spans="1:12">
      <c r="A4182" s="22">
        <v>40313.536111111112</v>
      </c>
      <c r="E4182" s="26">
        <v>155.27815200000001</v>
      </c>
      <c r="G4182" s="27">
        <v>0.53611111111111109</v>
      </c>
      <c r="J4182" s="30">
        <f>IF(G4182&lt;$H$10,$H$16,IF(G4182&gt;$I$10,$H$16,$H$11))*E4182/600</f>
        <v>5.6935322399999995E-2</v>
      </c>
      <c r="L4182" s="32">
        <f>$J4182*($G4182-$G4181)*60*24</f>
        <v>5.6935322399999794E-2</v>
      </c>
    </row>
    <row r="4183" spans="1:12">
      <c r="A4183" s="22">
        <v>40313.536805555559</v>
      </c>
      <c r="E4183" s="26">
        <v>154.006068</v>
      </c>
      <c r="G4183" s="27">
        <v>0.53680555555555554</v>
      </c>
      <c r="J4183" s="30">
        <f>IF(G4183&lt;$H$10,$H$16,IF(G4183&gt;$I$10,$H$16,$H$11))*E4183/600</f>
        <v>5.6468891599999994E-2</v>
      </c>
      <c r="L4183" s="32">
        <f>$J4183*($G4183-$G4182)*60*24</f>
        <v>5.6468891599999793E-2</v>
      </c>
    </row>
    <row r="4184" spans="1:12">
      <c r="A4184" s="22">
        <v>40313.537499999999</v>
      </c>
      <c r="E4184" s="26">
        <v>153.52959999999999</v>
      </c>
      <c r="G4184" s="27">
        <v>0.53749999999999998</v>
      </c>
      <c r="J4184" s="30">
        <f>IF(G4184&lt;$H$10,$H$16,IF(G4184&gt;$I$10,$H$16,$H$11))*E4184/600</f>
        <v>5.6294186666666662E-2</v>
      </c>
      <c r="L4184" s="32">
        <f>$J4184*($G4184-$G4183)*60*24</f>
        <v>5.6294186666666468E-2</v>
      </c>
    </row>
    <row r="4185" spans="1:12">
      <c r="A4185" s="22">
        <v>40313.538194444445</v>
      </c>
      <c r="E4185" s="26">
        <v>153.65656000000001</v>
      </c>
      <c r="G4185" s="27">
        <v>0.53819444444444442</v>
      </c>
      <c r="J4185" s="30">
        <f>IF(G4185&lt;$H$10,$H$16,IF(G4185&gt;$I$10,$H$16,$H$11))*E4185/600</f>
        <v>5.6340738666666668E-2</v>
      </c>
      <c r="L4185" s="32">
        <f>$J4185*($G4185-$G4184)*60*24</f>
        <v>5.6340738666666473E-2</v>
      </c>
    </row>
    <row r="4186" spans="1:12">
      <c r="A4186" s="22">
        <v>40313.538888888892</v>
      </c>
      <c r="E4186" s="26">
        <v>153.29454000000001</v>
      </c>
      <c r="G4186" s="27">
        <v>0.53888888888888886</v>
      </c>
      <c r="J4186" s="30">
        <f>IF(G4186&lt;$H$10,$H$16,IF(G4186&gt;$I$10,$H$16,$H$11))*E4186/600</f>
        <v>5.6207998000000002E-2</v>
      </c>
      <c r="L4186" s="32">
        <f>$J4186*($G4186-$G4185)*60*24</f>
        <v>5.6207997999999801E-2</v>
      </c>
    </row>
    <row r="4187" spans="1:12">
      <c r="A4187" s="22">
        <v>40313.539583333331</v>
      </c>
      <c r="E4187" s="26">
        <v>153.31616</v>
      </c>
      <c r="G4187" s="27">
        <v>0.5395833333333333</v>
      </c>
      <c r="J4187" s="30">
        <f>IF(G4187&lt;$H$10,$H$16,IF(G4187&gt;$I$10,$H$16,$H$11))*E4187/600</f>
        <v>5.6215925333333333E-2</v>
      </c>
      <c r="L4187" s="32">
        <f>$J4187*($G4187-$G4186)*60*24</f>
        <v>5.6215925333333132E-2</v>
      </c>
    </row>
    <row r="4188" spans="1:12">
      <c r="A4188" s="22">
        <v>40313.540277777778</v>
      </c>
      <c r="E4188" s="26">
        <v>153.31294</v>
      </c>
      <c r="G4188" s="27">
        <v>0.54027777777777775</v>
      </c>
      <c r="J4188" s="30">
        <f>IF(G4188&lt;$H$10,$H$16,IF(G4188&gt;$I$10,$H$16,$H$11))*E4188/600</f>
        <v>5.6214744666666663E-2</v>
      </c>
      <c r="L4188" s="32">
        <f>$J4188*($G4188-$G4187)*60*24</f>
        <v>5.6214744666666469E-2</v>
      </c>
    </row>
    <row r="4189" spans="1:12">
      <c r="A4189" s="22">
        <v>40313.540972222225</v>
      </c>
      <c r="E4189" s="26">
        <v>153.529416</v>
      </c>
      <c r="G4189" s="27">
        <v>0.54097222222222219</v>
      </c>
      <c r="J4189" s="30">
        <f>IF(G4189&lt;$H$10,$H$16,IF(G4189&gt;$I$10,$H$16,$H$11))*E4189/600</f>
        <v>5.6294119199999999E-2</v>
      </c>
      <c r="L4189" s="32">
        <f>$J4189*($G4189-$G4188)*60*24</f>
        <v>5.6294119199999798E-2</v>
      </c>
    </row>
    <row r="4190" spans="1:12">
      <c r="A4190" s="22">
        <v>40313.541666666664</v>
      </c>
      <c r="E4190" s="26">
        <v>153.11743999999999</v>
      </c>
      <c r="G4190" s="27">
        <v>0.54166666666666663</v>
      </c>
      <c r="J4190" s="30">
        <f>IF(G4190&lt;$H$10,$H$16,IF(G4190&gt;$I$10,$H$16,$H$11))*E4190/600</f>
        <v>5.6143061333333327E-2</v>
      </c>
      <c r="L4190" s="32">
        <f>$J4190*($G4190-$G4189)*60*24</f>
        <v>5.6143061333333133E-2</v>
      </c>
    </row>
    <row r="4191" spans="1:12">
      <c r="A4191" s="22">
        <v>40313.542361111111</v>
      </c>
      <c r="E4191" s="26">
        <v>153.10897600000001</v>
      </c>
      <c r="G4191" s="27">
        <v>0.54236111111111118</v>
      </c>
      <c r="J4191" s="30">
        <f>IF(G4191&lt;$H$10,$H$16,IF(G4191&gt;$I$10,$H$16,$H$11))*E4191/600</f>
        <v>5.6139957866666673E-2</v>
      </c>
      <c r="L4191" s="32">
        <f>$J4191*($G4191-$G4190)*60*24</f>
        <v>5.6139957866675444E-2</v>
      </c>
    </row>
    <row r="4192" spans="1:12">
      <c r="A4192" s="22">
        <v>40313.543055555558</v>
      </c>
      <c r="E4192" s="26">
        <v>152.97300000000001</v>
      </c>
      <c r="G4192" s="27">
        <v>0.54305555555555551</v>
      </c>
      <c r="J4192" s="30">
        <f>IF(G4192&lt;$H$10,$H$16,IF(G4192&gt;$I$10,$H$16,$H$11))*E4192/600</f>
        <v>5.6090100000000004E-2</v>
      </c>
      <c r="L4192" s="32">
        <f>$J4192*($G4192-$G4191)*60*24</f>
        <v>5.6090099999990845E-2</v>
      </c>
    </row>
    <row r="4193" spans="1:12">
      <c r="A4193" s="22">
        <v>40313.543749999997</v>
      </c>
      <c r="E4193" s="26">
        <v>151.13290499999999</v>
      </c>
      <c r="G4193" s="27">
        <v>0.54375000000000007</v>
      </c>
      <c r="J4193" s="30">
        <f>IF(G4193&lt;$H$10,$H$16,IF(G4193&gt;$I$10,$H$16,$H$11))*E4193/600</f>
        <v>5.5415398499999997E-2</v>
      </c>
      <c r="L4193" s="32">
        <f>$J4193*($G4193-$G4192)*60*24</f>
        <v>5.5415398500008664E-2</v>
      </c>
    </row>
    <row r="4194" spans="1:12">
      <c r="A4194" s="22">
        <v>40313.544444444444</v>
      </c>
      <c r="E4194" s="26">
        <v>150.381</v>
      </c>
      <c r="G4194" s="27">
        <v>0.5444444444444444</v>
      </c>
      <c r="J4194" s="30">
        <f>IF(G4194&lt;$H$10,$H$16,IF(G4194&gt;$I$10,$H$16,$H$11))*E4194/600</f>
        <v>5.5139700000000007E-2</v>
      </c>
      <c r="L4194" s="32">
        <f>$J4194*($G4194-$G4193)*60*24</f>
        <v>5.5139699999990993E-2</v>
      </c>
    </row>
    <row r="4195" spans="1:12">
      <c r="A4195" s="22">
        <v>40313.545138888891</v>
      </c>
      <c r="E4195" s="26">
        <v>150.31180800000001</v>
      </c>
      <c r="G4195" s="27">
        <v>0.54513888888888895</v>
      </c>
      <c r="J4195" s="30">
        <f>IF(G4195&lt;$H$10,$H$16,IF(G4195&gt;$I$10,$H$16,$H$11))*E4195/600</f>
        <v>5.5114329600000005E-2</v>
      </c>
      <c r="L4195" s="32">
        <f>$J4195*($G4195-$G4194)*60*24</f>
        <v>5.5114329600008616E-2</v>
      </c>
    </row>
    <row r="4196" spans="1:12">
      <c r="A4196" s="22">
        <v>40313.54583333333</v>
      </c>
      <c r="E4196" s="26">
        <v>149.03227200000001</v>
      </c>
      <c r="G4196" s="27">
        <v>0.54583333333333328</v>
      </c>
      <c r="J4196" s="30">
        <f>IF(G4196&lt;$H$10,$H$16,IF(G4196&gt;$I$10,$H$16,$H$11))*E4196/600</f>
        <v>5.4645166400000007E-2</v>
      </c>
      <c r="L4196" s="32">
        <f>$J4196*($G4196-$G4195)*60*24</f>
        <v>5.4645166399991084E-2</v>
      </c>
    </row>
    <row r="4197" spans="1:12">
      <c r="A4197" s="22">
        <v>40313.546527777777</v>
      </c>
      <c r="E4197" s="26">
        <v>152.02431000000001</v>
      </c>
      <c r="G4197" s="27">
        <v>0.54652777777777783</v>
      </c>
      <c r="J4197" s="30">
        <f>IF(G4197&lt;$H$10,$H$16,IF(G4197&gt;$I$10,$H$16,$H$11))*E4197/600</f>
        <v>5.5742247000000009E-2</v>
      </c>
      <c r="L4197" s="32">
        <f>$J4197*($G4197-$G4196)*60*24</f>
        <v>5.5742247000008724E-2</v>
      </c>
    </row>
    <row r="4198" spans="1:12">
      <c r="A4198" s="22">
        <v>40313.547222222223</v>
      </c>
      <c r="E4198" s="26">
        <v>153.60484500000001</v>
      </c>
      <c r="G4198" s="27">
        <v>0.54722222222222217</v>
      </c>
      <c r="J4198" s="30">
        <f>IF(G4198&lt;$H$10,$H$16,IF(G4198&gt;$I$10,$H$16,$H$11))*E4198/600</f>
        <v>5.6321776500000004E-2</v>
      </c>
      <c r="L4198" s="32">
        <f>$J4198*($G4198-$G4197)*60*24</f>
        <v>5.6321776499990803E-2</v>
      </c>
    </row>
    <row r="4199" spans="1:12">
      <c r="A4199" s="22">
        <v>40313.54791666667</v>
      </c>
      <c r="E4199" s="26">
        <v>153.88337999999999</v>
      </c>
      <c r="G4199" s="27">
        <v>0.54791666666666672</v>
      </c>
      <c r="J4199" s="30">
        <f>IF(G4199&lt;$H$10,$H$16,IF(G4199&gt;$I$10,$H$16,$H$11))*E4199/600</f>
        <v>5.6423906000000003E-2</v>
      </c>
      <c r="L4199" s="32">
        <f>$J4199*($G4199-$G4198)*60*24</f>
        <v>5.6423906000008822E-2</v>
      </c>
    </row>
    <row r="4200" spans="1:12">
      <c r="A4200" s="22">
        <v>40313.548611111109</v>
      </c>
      <c r="E4200" s="26">
        <v>153.53183999999999</v>
      </c>
      <c r="G4200" s="27">
        <v>0.54861111111111105</v>
      </c>
      <c r="J4200" s="30">
        <f>IF(G4200&lt;$H$10,$H$16,IF(G4200&gt;$I$10,$H$16,$H$11))*E4200/600</f>
        <v>5.6295008000000001E-2</v>
      </c>
      <c r="L4200" s="32">
        <f>$J4200*($G4200-$G4199)*60*24</f>
        <v>5.6295007999990807E-2</v>
      </c>
    </row>
    <row r="4201" spans="1:12">
      <c r="A4201" s="22">
        <v>40313.549305555556</v>
      </c>
      <c r="E4201" s="26">
        <v>153.46329900000001</v>
      </c>
      <c r="G4201" s="27">
        <v>0.5493055555555556</v>
      </c>
      <c r="J4201" s="30">
        <f>IF(G4201&lt;$H$10,$H$16,IF(G4201&gt;$I$10,$H$16,$H$11))*E4201/600</f>
        <v>5.62698763E-2</v>
      </c>
      <c r="L4201" s="32">
        <f>$J4201*($G4201-$G4200)*60*24</f>
        <v>5.6269876300008792E-2</v>
      </c>
    </row>
    <row r="4202" spans="1:12">
      <c r="A4202" s="22">
        <v>40313.550000000003</v>
      </c>
      <c r="E4202" s="26">
        <v>153.85176000000001</v>
      </c>
      <c r="G4202" s="27">
        <v>0.54999999999999993</v>
      </c>
      <c r="J4202" s="30">
        <f>IF(G4202&lt;$H$10,$H$16,IF(G4202&gt;$I$10,$H$16,$H$11))*E4202/600</f>
        <v>5.6412311999999999E-2</v>
      </c>
      <c r="L4202" s="32">
        <f>$J4202*($G4202-$G4201)*60*24</f>
        <v>5.6412311999990784E-2</v>
      </c>
    </row>
    <row r="4203" spans="1:12">
      <c r="A4203" s="22">
        <v>40313.550694444442</v>
      </c>
      <c r="E4203" s="26">
        <v>153.50561400000001</v>
      </c>
      <c r="G4203" s="27">
        <v>0.55069444444444449</v>
      </c>
      <c r="J4203" s="30">
        <f>IF(G4203&lt;$H$10,$H$16,IF(G4203&gt;$I$10,$H$16,$H$11))*E4203/600</f>
        <v>5.6285391800000008E-2</v>
      </c>
      <c r="L4203" s="32">
        <f>$J4203*($G4203-$G4202)*60*24</f>
        <v>5.6285391800008799E-2</v>
      </c>
    </row>
    <row r="4204" spans="1:12">
      <c r="A4204" s="22">
        <v>40313.551388888889</v>
      </c>
      <c r="E4204" s="26">
        <v>153.794286</v>
      </c>
      <c r="G4204" s="27">
        <v>0.55138888888888882</v>
      </c>
      <c r="J4204" s="30">
        <f>IF(G4204&lt;$H$10,$H$16,IF(G4204&gt;$I$10,$H$16,$H$11))*E4204/600</f>
        <v>5.6391238200000006E-2</v>
      </c>
      <c r="L4204" s="32">
        <f>$J4204*($G4204-$G4203)*60*24</f>
        <v>5.6391238199990784E-2</v>
      </c>
    </row>
    <row r="4205" spans="1:12">
      <c r="A4205" s="22">
        <v>40313.552083333336</v>
      </c>
      <c r="E4205" s="26">
        <v>153.51138</v>
      </c>
      <c r="G4205" s="27">
        <v>0.55208333333333337</v>
      </c>
      <c r="J4205" s="30">
        <f>IF(G4205&lt;$H$10,$H$16,IF(G4205&gt;$I$10,$H$16,$H$11))*E4205/600</f>
        <v>5.6287506000000001E-2</v>
      </c>
      <c r="L4205" s="32">
        <f>$J4205*($G4205-$G4204)*60*24</f>
        <v>5.6287506000008806E-2</v>
      </c>
    </row>
    <row r="4206" spans="1:12">
      <c r="A4206" s="22">
        <v>40313.552777777775</v>
      </c>
      <c r="E4206" s="26">
        <v>153.58075199999999</v>
      </c>
      <c r="G4206" s="27">
        <v>0.55277777777777781</v>
      </c>
      <c r="J4206" s="30">
        <f>IF(G4206&lt;$H$10,$H$16,IF(G4206&gt;$I$10,$H$16,$H$11))*E4206/600</f>
        <v>5.6312942400000003E-2</v>
      </c>
      <c r="L4206" s="32">
        <f>$J4206*($G4206-$G4205)*60*24</f>
        <v>5.6312942399999802E-2</v>
      </c>
    </row>
    <row r="4207" spans="1:12">
      <c r="A4207" s="22">
        <v>40313.553472222222</v>
      </c>
      <c r="E4207" s="26">
        <v>154.76092800000001</v>
      </c>
      <c r="G4207" s="27">
        <v>0.55347222222222225</v>
      </c>
      <c r="J4207" s="30">
        <f>IF(G4207&lt;$H$10,$H$16,IF(G4207&gt;$I$10,$H$16,$H$11))*E4207/600</f>
        <v>5.6745673599999998E-2</v>
      </c>
      <c r="L4207" s="32">
        <f>$J4207*($G4207-$G4206)*60*24</f>
        <v>5.6745673599999803E-2</v>
      </c>
    </row>
    <row r="4208" spans="1:12">
      <c r="A4208" s="22">
        <v>40313.554166666669</v>
      </c>
      <c r="E4208" s="26">
        <v>153.73264399999999</v>
      </c>
      <c r="G4208" s="27">
        <v>0.5541666666666667</v>
      </c>
      <c r="J4208" s="30">
        <f>IF(G4208&lt;$H$10,$H$16,IF(G4208&gt;$I$10,$H$16,$H$11))*E4208/600</f>
        <v>5.6368636133333337E-2</v>
      </c>
      <c r="L4208" s="32">
        <f>$J4208*($G4208-$G4207)*60*24</f>
        <v>5.6368636133333136E-2</v>
      </c>
    </row>
    <row r="4209" spans="1:12">
      <c r="A4209" s="22">
        <v>40313.554861111108</v>
      </c>
      <c r="E4209" s="26">
        <v>154.347848</v>
      </c>
      <c r="G4209" s="27">
        <v>0.55486111111111114</v>
      </c>
      <c r="J4209" s="30">
        <f>IF(G4209&lt;$H$10,$H$16,IF(G4209&gt;$I$10,$H$16,$H$11))*E4209/600</f>
        <v>5.6594210933333333E-2</v>
      </c>
      <c r="L4209" s="32">
        <f>$J4209*($G4209-$G4208)*60*24</f>
        <v>5.6594210933333125E-2</v>
      </c>
    </row>
    <row r="4210" spans="1:12">
      <c r="A4210" s="22">
        <v>40313.555555555555</v>
      </c>
      <c r="E4210" s="26">
        <v>153.864204</v>
      </c>
      <c r="G4210" s="27">
        <v>0.55555555555555558</v>
      </c>
      <c r="J4210" s="30">
        <f>IF(G4210&lt;$H$10,$H$16,IF(G4210&gt;$I$10,$H$16,$H$11))*E4210/600</f>
        <v>5.6416874800000003E-2</v>
      </c>
      <c r="L4210" s="32">
        <f>$J4210*($G4210-$G4209)*60*24</f>
        <v>5.6416874799999808E-2</v>
      </c>
    </row>
    <row r="4211" spans="1:12">
      <c r="A4211" s="22">
        <v>40313.556250000001</v>
      </c>
      <c r="E4211" s="26">
        <v>153.39086399999999</v>
      </c>
      <c r="G4211" s="27">
        <v>0.55625000000000002</v>
      </c>
      <c r="J4211" s="30">
        <f>IF(G4211&lt;$H$10,$H$16,IF(G4211&gt;$I$10,$H$16,$H$11))*E4211/600</f>
        <v>5.6243316799999998E-2</v>
      </c>
      <c r="L4211" s="32">
        <f>$J4211*($G4211-$G4210)*60*24</f>
        <v>5.6243316799999804E-2</v>
      </c>
    </row>
    <row r="4212" spans="1:12">
      <c r="A4212" s="22">
        <v>40313.556944444441</v>
      </c>
      <c r="E4212" s="26">
        <v>153.66668000000001</v>
      </c>
      <c r="G4212" s="27">
        <v>0.55694444444444446</v>
      </c>
      <c r="J4212" s="30">
        <f>IF(G4212&lt;$H$10,$H$16,IF(G4212&gt;$I$10,$H$16,$H$11))*E4212/600</f>
        <v>5.6344449333333345E-2</v>
      </c>
      <c r="L4212" s="32">
        <f>$J4212*($G4212-$G4211)*60*24</f>
        <v>5.6344449333333144E-2</v>
      </c>
    </row>
    <row r="4213" spans="1:12">
      <c r="A4213" s="22">
        <v>40313.557638888888</v>
      </c>
      <c r="E4213" s="26">
        <v>153.73264399999999</v>
      </c>
      <c r="G4213" s="27">
        <v>0.55763888888888891</v>
      </c>
      <c r="J4213" s="30">
        <f>IF(G4213&lt;$H$10,$H$16,IF(G4213&gt;$I$10,$H$16,$H$11))*E4213/600</f>
        <v>5.6368636133333337E-2</v>
      </c>
      <c r="L4213" s="32">
        <f>$J4213*($G4213-$G4212)*60*24</f>
        <v>5.6368636133333136E-2</v>
      </c>
    </row>
    <row r="4214" spans="1:12">
      <c r="A4214" s="22">
        <v>40313.558333333334</v>
      </c>
      <c r="E4214" s="26">
        <v>154.285472</v>
      </c>
      <c r="G4214" s="27">
        <v>0.55833333333333335</v>
      </c>
      <c r="J4214" s="30">
        <f>IF(G4214&lt;$H$10,$H$16,IF(G4214&gt;$I$10,$H$16,$H$11))*E4214/600</f>
        <v>5.6571339733333337E-2</v>
      </c>
      <c r="L4214" s="32">
        <f>$J4214*($G4214-$G4213)*60*24</f>
        <v>5.6571339733333129E-2</v>
      </c>
    </row>
    <row r="4215" spans="1:12">
      <c r="A4215" s="22">
        <v>40313.559027777781</v>
      </c>
      <c r="E4215" s="26">
        <v>153.87294399999999</v>
      </c>
      <c r="G4215" s="27">
        <v>0.55902777777777779</v>
      </c>
      <c r="J4215" s="30">
        <f>IF(G4215&lt;$H$10,$H$16,IF(G4215&gt;$I$10,$H$16,$H$11))*E4215/600</f>
        <v>5.6420079466666662E-2</v>
      </c>
      <c r="L4215" s="32">
        <f>$J4215*($G4215-$G4214)*60*24</f>
        <v>5.6420079466666453E-2</v>
      </c>
    </row>
    <row r="4216" spans="1:12">
      <c r="A4216" s="22">
        <v>40313.55972222222</v>
      </c>
      <c r="E4216" s="26">
        <v>153.93955199999999</v>
      </c>
      <c r="G4216" s="27">
        <v>0.55972222222222223</v>
      </c>
      <c r="J4216" s="30">
        <f>IF(G4216&lt;$H$10,$H$16,IF(G4216&gt;$I$10,$H$16,$H$11))*E4216/600</f>
        <v>5.6444502399999999E-2</v>
      </c>
      <c r="L4216" s="32">
        <f>$J4216*($G4216-$G4215)*60*24</f>
        <v>5.6444502399999791E-2</v>
      </c>
    </row>
    <row r="4217" spans="1:12">
      <c r="A4217" s="22">
        <v>40313.560416666667</v>
      </c>
      <c r="E4217" s="26">
        <v>155.18100000000001</v>
      </c>
      <c r="G4217" s="27">
        <v>0.56041666666666667</v>
      </c>
      <c r="J4217" s="30">
        <f>IF(G4217&lt;$H$10,$H$16,IF(G4217&gt;$I$10,$H$16,$H$11))*E4217/600</f>
        <v>5.6899699999999998E-2</v>
      </c>
      <c r="L4217" s="32">
        <f>$J4217*($G4217-$G4216)*60*24</f>
        <v>5.6899699999999789E-2</v>
      </c>
    </row>
    <row r="4218" spans="1:12">
      <c r="A4218" s="22">
        <v>40313.561111111114</v>
      </c>
      <c r="E4218" s="26">
        <v>153.93531999999999</v>
      </c>
      <c r="G4218" s="27">
        <v>0.56111111111111112</v>
      </c>
      <c r="J4218" s="30">
        <f>IF(G4218&lt;$H$10,$H$16,IF(G4218&gt;$I$10,$H$16,$H$11))*E4218/600</f>
        <v>5.6442950666666658E-2</v>
      </c>
      <c r="L4218" s="32">
        <f>$J4218*($G4218-$G4217)*60*24</f>
        <v>5.644295066666645E-2</v>
      </c>
    </row>
    <row r="4219" spans="1:12">
      <c r="A4219" s="22">
        <v>40313.561805555553</v>
      </c>
      <c r="E4219" s="26">
        <v>154.354288</v>
      </c>
      <c r="G4219" s="27">
        <v>0.56180555555555556</v>
      </c>
      <c r="J4219" s="30">
        <f>IF(G4219&lt;$H$10,$H$16,IF(G4219&gt;$I$10,$H$16,$H$11))*E4219/600</f>
        <v>5.6596572266666673E-2</v>
      </c>
      <c r="L4219" s="32">
        <f>$J4219*($G4219-$G4218)*60*24</f>
        <v>5.6596572266666478E-2</v>
      </c>
    </row>
    <row r="4220" spans="1:12">
      <c r="A4220" s="22">
        <v>40313.5625</v>
      </c>
      <c r="E4220" s="26">
        <v>154.01020800000001</v>
      </c>
      <c r="G4220" s="27">
        <v>0.5625</v>
      </c>
      <c r="J4220" s="30">
        <f>IF(G4220&lt;$H$10,$H$16,IF(G4220&gt;$I$10,$H$16,$H$11))*E4220/600</f>
        <v>5.6470409600000007E-2</v>
      </c>
      <c r="L4220" s="32">
        <f>$J4220*($G4220-$G4219)*60*24</f>
        <v>5.6470409599999806E-2</v>
      </c>
    </row>
    <row r="4221" spans="1:12">
      <c r="A4221" s="22">
        <v>40313.563194444447</v>
      </c>
      <c r="E4221" s="26">
        <v>153.59731199999999</v>
      </c>
      <c r="G4221" s="27">
        <v>0.56319444444444444</v>
      </c>
      <c r="J4221" s="30">
        <f>IF(G4221&lt;$H$10,$H$16,IF(G4221&gt;$I$10,$H$16,$H$11))*E4221/600</f>
        <v>5.6319014399999999E-2</v>
      </c>
      <c r="L4221" s="32">
        <f>$J4221*($G4221-$G4220)*60*24</f>
        <v>5.6319014399999798E-2</v>
      </c>
    </row>
    <row r="4222" spans="1:12">
      <c r="A4222" s="22">
        <v>40313.563888888886</v>
      </c>
      <c r="E4222" s="26">
        <v>153.80265600000001</v>
      </c>
      <c r="G4222" s="27">
        <v>0.56388888888888888</v>
      </c>
      <c r="J4222" s="30">
        <f>IF(G4222&lt;$H$10,$H$16,IF(G4222&gt;$I$10,$H$16,$H$11))*E4222/600</f>
        <v>5.63943072E-2</v>
      </c>
      <c r="L4222" s="32">
        <f>$J4222*($G4222-$G4221)*60*24</f>
        <v>5.6394307199999799E-2</v>
      </c>
    </row>
    <row r="4223" spans="1:12">
      <c r="A4223" s="22">
        <v>40313.564583333333</v>
      </c>
      <c r="E4223" s="26">
        <v>154.35300000000001</v>
      </c>
      <c r="G4223" s="27">
        <v>0.56458333333333333</v>
      </c>
      <c r="J4223" s="30">
        <f>IF(G4223&lt;$H$10,$H$16,IF(G4223&gt;$I$10,$H$16,$H$11))*E4223/600</f>
        <v>5.659610000000001E-2</v>
      </c>
      <c r="L4223" s="32">
        <f>$J4223*($G4223-$G4222)*60*24</f>
        <v>5.6596099999999802E-2</v>
      </c>
    </row>
    <row r="4224" spans="1:12">
      <c r="A4224" s="22">
        <v>40313.56527777778</v>
      </c>
      <c r="E4224" s="26">
        <v>153.25626800000001</v>
      </c>
      <c r="G4224" s="27">
        <v>0.56527777777777777</v>
      </c>
      <c r="J4224" s="30">
        <f>IF(G4224&lt;$H$10,$H$16,IF(G4224&gt;$I$10,$H$16,$H$11))*E4224/600</f>
        <v>5.6193964933333333E-2</v>
      </c>
      <c r="L4224" s="32">
        <f>$J4224*($G4224-$G4223)*60*24</f>
        <v>5.6193964933333132E-2</v>
      </c>
    </row>
    <row r="4225" spans="1:12">
      <c r="A4225" s="22">
        <v>40313.565972222219</v>
      </c>
      <c r="E4225" s="26">
        <v>154.60572400000001</v>
      </c>
      <c r="G4225" s="27">
        <v>0.56597222222222221</v>
      </c>
      <c r="J4225" s="30">
        <f>IF(G4225&lt;$H$10,$H$16,IF(G4225&gt;$I$10,$H$16,$H$11))*E4225/600</f>
        <v>5.6688765466666666E-2</v>
      </c>
      <c r="L4225" s="32">
        <f>$J4225*($G4225-$G4224)*60*24</f>
        <v>5.6688765466666471E-2</v>
      </c>
    </row>
    <row r="4226" spans="1:12">
      <c r="A4226" s="22">
        <v>40313.566666666666</v>
      </c>
      <c r="E4226" s="26">
        <v>153.63954000000001</v>
      </c>
      <c r="G4226" s="27">
        <v>0.56666666666666665</v>
      </c>
      <c r="J4226" s="30">
        <f>IF(G4226&lt;$H$10,$H$16,IF(G4226&gt;$I$10,$H$16,$H$11))*E4226/600</f>
        <v>5.6334497999999997E-2</v>
      </c>
      <c r="L4226" s="32">
        <f>$J4226*($G4226-$G4225)*60*24</f>
        <v>5.6334497999999789E-2</v>
      </c>
    </row>
    <row r="4227" spans="1:12">
      <c r="A4227" s="22">
        <v>40313.567361111112</v>
      </c>
      <c r="E4227" s="26">
        <v>153.909008</v>
      </c>
      <c r="G4227" s="27">
        <v>0.56736111111111109</v>
      </c>
      <c r="J4227" s="30">
        <f>IF(G4227&lt;$H$10,$H$16,IF(G4227&gt;$I$10,$H$16,$H$11))*E4227/600</f>
        <v>5.6433302933333339E-2</v>
      </c>
      <c r="L4227" s="32">
        <f>$J4227*($G4227-$G4226)*60*24</f>
        <v>5.6433302933333138E-2</v>
      </c>
    </row>
    <row r="4228" spans="1:12">
      <c r="A4228" s="22">
        <v>40313.568055555559</v>
      </c>
      <c r="E4228" s="26">
        <v>154.27709999999999</v>
      </c>
      <c r="G4228" s="27">
        <v>0.56805555555555554</v>
      </c>
      <c r="J4228" s="30">
        <f>IF(G4228&lt;$H$10,$H$16,IF(G4228&gt;$I$10,$H$16,$H$11))*E4228/600</f>
        <v>5.6568269999999997E-2</v>
      </c>
      <c r="L4228" s="32">
        <f>$J4228*($G4228-$G4227)*60*24</f>
        <v>5.6568269999999796E-2</v>
      </c>
    </row>
    <row r="4229" spans="1:12">
      <c r="A4229" s="22">
        <v>40313.568749999999</v>
      </c>
      <c r="E4229" s="26">
        <v>154.51648399999999</v>
      </c>
      <c r="G4229" s="27">
        <v>0.56874999999999998</v>
      </c>
      <c r="J4229" s="30">
        <f>IF(G4229&lt;$H$10,$H$16,IF(G4229&gt;$I$10,$H$16,$H$11))*E4229/600</f>
        <v>5.6656044133333326E-2</v>
      </c>
      <c r="L4229" s="32">
        <f>$J4229*($G4229-$G4228)*60*24</f>
        <v>5.6656044133333125E-2</v>
      </c>
    </row>
    <row r="4230" spans="1:12">
      <c r="A4230" s="22">
        <v>40313.569444444445</v>
      </c>
      <c r="E4230" s="26">
        <v>154.835172</v>
      </c>
      <c r="G4230" s="27">
        <v>0.56944444444444442</v>
      </c>
      <c r="J4230" s="30">
        <f>IF(G4230&lt;$H$10,$H$16,IF(G4230&gt;$I$10,$H$16,$H$11))*E4230/600</f>
        <v>5.6772896400000002E-2</v>
      </c>
      <c r="L4230" s="32">
        <f>$J4230*($G4230-$G4229)*60*24</f>
        <v>5.67728963999998E-2</v>
      </c>
    </row>
    <row r="4231" spans="1:12">
      <c r="A4231" s="22">
        <v>40313.570138888892</v>
      </c>
      <c r="E4231" s="26">
        <v>153.80099999999999</v>
      </c>
      <c r="G4231" s="27">
        <v>0.57013888888888886</v>
      </c>
      <c r="J4231" s="30">
        <f>IF(G4231&lt;$H$10,$H$16,IF(G4231&gt;$I$10,$H$16,$H$11))*E4231/600</f>
        <v>5.6393699999999998E-2</v>
      </c>
      <c r="L4231" s="32">
        <f>$J4231*($G4231-$G4230)*60*24</f>
        <v>5.6393699999999797E-2</v>
      </c>
    </row>
    <row r="4232" spans="1:12">
      <c r="A4232" s="22">
        <v>40313.570833333331</v>
      </c>
      <c r="E4232" s="26">
        <v>156.903516</v>
      </c>
      <c r="G4232" s="27">
        <v>0.5708333333333333</v>
      </c>
      <c r="J4232" s="30">
        <f>IF(G4232&lt;$H$10,$H$16,IF(G4232&gt;$I$10,$H$16,$H$11))*E4232/600</f>
        <v>5.7531289199999995E-2</v>
      </c>
      <c r="L4232" s="32">
        <f>$J4232*($G4232-$G4231)*60*24</f>
        <v>5.7531289199999794E-2</v>
      </c>
    </row>
    <row r="4233" spans="1:12">
      <c r="A4233" s="22">
        <v>40313.571527777778</v>
      </c>
      <c r="E4233" s="26">
        <v>162.27833999999999</v>
      </c>
      <c r="G4233" s="27">
        <v>0.57152777777777775</v>
      </c>
      <c r="J4233" s="30">
        <f>IF(G4233&lt;$H$10,$H$16,IF(G4233&gt;$I$10,$H$16,$H$11))*E4233/600</f>
        <v>5.950205799999999E-2</v>
      </c>
      <c r="L4233" s="32">
        <f>$J4233*($G4233-$G4232)*60*24</f>
        <v>5.9502057999999788E-2</v>
      </c>
    </row>
    <row r="4234" spans="1:12">
      <c r="A4234" s="22">
        <v>40313.572222222225</v>
      </c>
      <c r="E4234" s="26">
        <v>175.467285</v>
      </c>
      <c r="G4234" s="27">
        <v>0.57222222222222219</v>
      </c>
      <c r="J4234" s="30">
        <f>IF(G4234&lt;$H$10,$H$16,IF(G4234&gt;$I$10,$H$16,$H$11))*E4234/600</f>
        <v>6.433800449999999E-2</v>
      </c>
      <c r="L4234" s="32">
        <f>$J4234*($G4234-$G4233)*60*24</f>
        <v>6.4338004499999768E-2</v>
      </c>
    </row>
    <row r="4235" spans="1:12">
      <c r="A4235" s="22">
        <v>40313.572916666664</v>
      </c>
      <c r="E4235" s="26">
        <v>171.16650000000001</v>
      </c>
      <c r="G4235" s="27">
        <v>0.57291666666666663</v>
      </c>
      <c r="J4235" s="30">
        <f>IF(G4235&lt;$H$10,$H$16,IF(G4235&gt;$I$10,$H$16,$H$11))*E4235/600</f>
        <v>6.2761049999999999E-2</v>
      </c>
      <c r="L4235" s="32">
        <f>$J4235*($G4235-$G4234)*60*24</f>
        <v>6.2761049999999791E-2</v>
      </c>
    </row>
    <row r="4236" spans="1:12">
      <c r="A4236" s="22">
        <v>40313.573611111111</v>
      </c>
      <c r="E4236" s="26">
        <v>153.66612799999999</v>
      </c>
      <c r="G4236" s="27">
        <v>0.57361111111111118</v>
      </c>
      <c r="J4236" s="30">
        <f>IF(G4236&lt;$H$10,$H$16,IF(G4236&gt;$I$10,$H$16,$H$11))*E4236/600</f>
        <v>5.6344246933333328E-2</v>
      </c>
      <c r="L4236" s="32">
        <f>$J4236*($G4236-$G4235)*60*24</f>
        <v>5.6344246933342126E-2</v>
      </c>
    </row>
    <row r="4237" spans="1:12">
      <c r="A4237" s="22">
        <v>40313.574305555558</v>
      </c>
      <c r="E4237" s="26">
        <v>153.59151600000001</v>
      </c>
      <c r="G4237" s="27">
        <v>0.57430555555555551</v>
      </c>
      <c r="J4237" s="30">
        <f>IF(G4237&lt;$H$10,$H$16,IF(G4237&gt;$I$10,$H$16,$H$11))*E4237/600</f>
        <v>5.6316889200000005E-2</v>
      </c>
      <c r="L4237" s="32">
        <f>$J4237*($G4237-$G4236)*60*24</f>
        <v>5.6316889199990797E-2</v>
      </c>
    </row>
    <row r="4238" spans="1:12">
      <c r="A4238" s="22">
        <v>40313.574999999997</v>
      </c>
      <c r="E4238" s="26">
        <v>155.22239999999999</v>
      </c>
      <c r="G4238" s="27">
        <v>0.57500000000000007</v>
      </c>
      <c r="J4238" s="30">
        <f>IF(G4238&lt;$H$10,$H$16,IF(G4238&gt;$I$10,$H$16,$H$11))*E4238/600</f>
        <v>5.6914879999999994E-2</v>
      </c>
      <c r="L4238" s="32">
        <f>$J4238*($G4238-$G4237)*60*24</f>
        <v>5.6914880000008883E-2</v>
      </c>
    </row>
    <row r="4239" spans="1:12">
      <c r="A4239" s="22">
        <v>40313.575694444444</v>
      </c>
      <c r="E4239" s="26">
        <v>154.57932</v>
      </c>
      <c r="G4239" s="27">
        <v>0.5756944444444444</v>
      </c>
      <c r="J4239" s="30">
        <f>IF(G4239&lt;$H$10,$H$16,IF(G4239&gt;$I$10,$H$16,$H$11))*E4239/600</f>
        <v>5.6679083999999991E-2</v>
      </c>
      <c r="L4239" s="32">
        <f>$J4239*($G4239-$G4238)*60*24</f>
        <v>5.667908399999072E-2</v>
      </c>
    </row>
    <row r="4240" spans="1:12">
      <c r="A4240" s="22">
        <v>40313.576388888891</v>
      </c>
      <c r="E4240" s="26">
        <v>154.0264</v>
      </c>
      <c r="G4240" s="27">
        <v>0.57638888888888895</v>
      </c>
      <c r="J4240" s="30">
        <f>IF(G4240&lt;$H$10,$H$16,IF(G4240&gt;$I$10,$H$16,$H$11))*E4240/600</f>
        <v>5.6476346666666663E-2</v>
      </c>
      <c r="L4240" s="32">
        <f>$J4240*($G4240-$G4239)*60*24</f>
        <v>5.6476346666675489E-2</v>
      </c>
    </row>
    <row r="4241" spans="1:12">
      <c r="A4241" s="22">
        <v>40313.57708333333</v>
      </c>
      <c r="E4241" s="26">
        <v>154.563312</v>
      </c>
      <c r="G4241" s="27">
        <v>0.57708333333333328</v>
      </c>
      <c r="J4241" s="30">
        <f>IF(G4241&lt;$H$10,$H$16,IF(G4241&gt;$I$10,$H$16,$H$11))*E4241/600</f>
        <v>5.6673214399999998E-2</v>
      </c>
      <c r="L4241" s="32">
        <f>$J4241*($G4241-$G4240)*60*24</f>
        <v>5.6673214399990735E-2</v>
      </c>
    </row>
    <row r="4242" spans="1:12">
      <c r="A4242" s="22">
        <v>40313.577777777777</v>
      </c>
      <c r="E4242" s="26">
        <v>153.02037999999999</v>
      </c>
      <c r="G4242" s="27">
        <v>0.57777777777777783</v>
      </c>
      <c r="J4242" s="30">
        <f>IF(G4242&lt;$H$10,$H$16,IF(G4242&gt;$I$10,$H$16,$H$11))*E4242/600</f>
        <v>5.6107472666666665E-2</v>
      </c>
      <c r="L4242" s="32">
        <f>$J4242*($G4242-$G4241)*60*24</f>
        <v>5.6107472666675443E-2</v>
      </c>
    </row>
    <row r="4243" spans="1:12">
      <c r="A4243" s="22">
        <v>40313.578472222223</v>
      </c>
      <c r="E4243" s="26">
        <v>152.97300000000001</v>
      </c>
      <c r="G4243" s="27">
        <v>0.57847222222222217</v>
      </c>
      <c r="J4243" s="30">
        <f>IF(G4243&lt;$H$10,$H$16,IF(G4243&gt;$I$10,$H$16,$H$11))*E4243/600</f>
        <v>5.6090100000000004E-2</v>
      </c>
      <c r="L4243" s="32">
        <f>$J4243*($G4243-$G4242)*60*24</f>
        <v>5.6090099999990845E-2</v>
      </c>
    </row>
    <row r="4244" spans="1:12">
      <c r="A4244" s="22">
        <v>40313.57916666667</v>
      </c>
      <c r="E4244" s="26">
        <v>152.60362000000001</v>
      </c>
      <c r="G4244" s="27">
        <v>0.57916666666666672</v>
      </c>
      <c r="J4244" s="30">
        <f>IF(G4244&lt;$H$10,$H$16,IF(G4244&gt;$I$10,$H$16,$H$11))*E4244/600</f>
        <v>5.595466066666667E-2</v>
      </c>
      <c r="L4244" s="32">
        <f>$J4244*($G4244-$G4243)*60*24</f>
        <v>5.5954660666675413E-2</v>
      </c>
    </row>
    <row r="4245" spans="1:12">
      <c r="A4245" s="22">
        <v>40313.579861111109</v>
      </c>
      <c r="E4245" s="26">
        <v>152.81770399999999</v>
      </c>
      <c r="G4245" s="27">
        <v>0.57986111111111105</v>
      </c>
      <c r="J4245" s="30">
        <f>IF(G4245&lt;$H$10,$H$16,IF(G4245&gt;$I$10,$H$16,$H$11))*E4245/600</f>
        <v>5.603315813333333E-2</v>
      </c>
      <c r="L4245" s="32">
        <f>$J4245*($G4245-$G4244)*60*24</f>
        <v>5.6033158133324171E-2</v>
      </c>
    </row>
    <row r="4246" spans="1:12">
      <c r="A4246" s="22">
        <v>40313.580555555556</v>
      </c>
      <c r="E4246" s="26">
        <v>153.32398000000001</v>
      </c>
      <c r="G4246" s="27">
        <v>0.5805555555555556</v>
      </c>
      <c r="J4246" s="30">
        <f>IF(G4246&lt;$H$10,$H$16,IF(G4246&gt;$I$10,$H$16,$H$11))*E4246/600</f>
        <v>5.621879266666667E-2</v>
      </c>
      <c r="L4246" s="32">
        <f>$J4246*($G4246-$G4245)*60*24</f>
        <v>5.6218792666675454E-2</v>
      </c>
    </row>
    <row r="4247" spans="1:12">
      <c r="A4247" s="22">
        <v>40313.581250000003</v>
      </c>
      <c r="E4247" s="26">
        <v>155.455344</v>
      </c>
      <c r="G4247" s="27">
        <v>0.58124999999999993</v>
      </c>
      <c r="J4247" s="30">
        <f>IF(G4247&lt;$H$10,$H$16,IF(G4247&gt;$I$10,$H$16,$H$11))*E4247/600</f>
        <v>5.7000292800000005E-2</v>
      </c>
      <c r="L4247" s="32">
        <f>$J4247*($G4247-$G4246)*60*24</f>
        <v>5.7000292799990693E-2</v>
      </c>
    </row>
    <row r="4248" spans="1:12">
      <c r="A4248" s="22">
        <v>40313.581944444442</v>
      </c>
      <c r="E4248" s="26">
        <v>161.52760799999999</v>
      </c>
      <c r="G4248" s="27">
        <v>0.58194444444444449</v>
      </c>
      <c r="J4248" s="30">
        <f>IF(G4248&lt;$H$10,$H$16,IF(G4248&gt;$I$10,$H$16,$H$11))*E4248/600</f>
        <v>5.9226789600000003E-2</v>
      </c>
      <c r="L4248" s="32">
        <f>$J4248*($G4248-$G4247)*60*24</f>
        <v>5.9226789600009259E-2</v>
      </c>
    </row>
    <row r="4249" spans="1:12">
      <c r="A4249" s="22">
        <v>40313.582638888889</v>
      </c>
      <c r="E4249" s="26">
        <v>153.64552</v>
      </c>
      <c r="G4249" s="27">
        <v>0.58263888888888882</v>
      </c>
      <c r="J4249" s="30">
        <f>IF(G4249&lt;$H$10,$H$16,IF(G4249&gt;$I$10,$H$16,$H$11))*E4249/600</f>
        <v>5.6336690666666675E-2</v>
      </c>
      <c r="L4249" s="32">
        <f>$J4249*($G4249-$G4248)*60*24</f>
        <v>5.6336690666657467E-2</v>
      </c>
    </row>
    <row r="4250" spans="1:12">
      <c r="A4250" s="22">
        <v>40313.583333333336</v>
      </c>
      <c r="E4250" s="26">
        <v>160.09577999999999</v>
      </c>
      <c r="G4250" s="27">
        <v>0.58333333333333337</v>
      </c>
      <c r="J4250" s="30">
        <f>IF(G4250&lt;$H$10,$H$16,IF(G4250&gt;$I$10,$H$16,$H$11))*E4250/600</f>
        <v>5.8701785999999992E-2</v>
      </c>
      <c r="L4250" s="32">
        <f>$J4250*($G4250-$G4249)*60*24</f>
        <v>5.8701786000009165E-2</v>
      </c>
    </row>
    <row r="4251" spans="1:12">
      <c r="A4251" s="22">
        <v>40313.584027777775</v>
      </c>
      <c r="E4251" s="26">
        <v>156.58639199999999</v>
      </c>
      <c r="G4251" s="27">
        <v>0.58402777777777781</v>
      </c>
      <c r="J4251" s="30">
        <f>IF(G4251&lt;$H$10,$H$16,IF(G4251&gt;$I$10,$H$16,$H$11))*E4251/600</f>
        <v>5.7415010399999994E-2</v>
      </c>
      <c r="L4251" s="32">
        <f>$J4251*($G4251-$G4250)*60*24</f>
        <v>5.7415010399999786E-2</v>
      </c>
    </row>
    <row r="4252" spans="1:12">
      <c r="A4252" s="22">
        <v>40313.584722222222</v>
      </c>
      <c r="E4252" s="26">
        <v>155.83511999999999</v>
      </c>
      <c r="G4252" s="27">
        <v>0.58472222222222225</v>
      </c>
      <c r="J4252" s="30">
        <f>IF(G4252&lt;$H$10,$H$16,IF(G4252&gt;$I$10,$H$16,$H$11))*E4252/600</f>
        <v>5.7139544E-2</v>
      </c>
      <c r="L4252" s="32">
        <f>$J4252*($G4252-$G4251)*60*24</f>
        <v>5.7139543999999792E-2</v>
      </c>
    </row>
    <row r="4253" spans="1:12">
      <c r="A4253" s="22">
        <v>40313.585416666669</v>
      </c>
      <c r="E4253" s="26">
        <v>162.10569599999999</v>
      </c>
      <c r="G4253" s="27">
        <v>0.5854166666666667</v>
      </c>
      <c r="J4253" s="30">
        <f>IF(G4253&lt;$H$10,$H$16,IF(G4253&gt;$I$10,$H$16,$H$11))*E4253/600</f>
        <v>5.9438755199999999E-2</v>
      </c>
      <c r="L4253" s="32">
        <f>$J4253*($G4253-$G4252)*60*24</f>
        <v>5.943875519999979E-2</v>
      </c>
    </row>
    <row r="4254" spans="1:12">
      <c r="A4254" s="22">
        <v>40313.586111111108</v>
      </c>
      <c r="E4254" s="26">
        <v>158.49431999999999</v>
      </c>
      <c r="G4254" s="27">
        <v>0.58611111111111114</v>
      </c>
      <c r="J4254" s="30">
        <f>IF(G4254&lt;$H$10,$H$16,IF(G4254&gt;$I$10,$H$16,$H$11))*E4254/600</f>
        <v>5.8114583999999997E-2</v>
      </c>
      <c r="L4254" s="32">
        <f>$J4254*($G4254-$G4253)*60*24</f>
        <v>5.8114583999999789E-2</v>
      </c>
    </row>
    <row r="4255" spans="1:12">
      <c r="A4255" s="22">
        <v>40313.586805555555</v>
      </c>
      <c r="E4255" s="26">
        <v>153.147156</v>
      </c>
      <c r="G4255" s="27">
        <v>0.58680555555555558</v>
      </c>
      <c r="J4255" s="30">
        <f>IF(G4255&lt;$H$10,$H$16,IF(G4255&gt;$I$10,$H$16,$H$11))*E4255/600</f>
        <v>5.61539572E-2</v>
      </c>
      <c r="L4255" s="32">
        <f>$J4255*($G4255-$G4254)*60*24</f>
        <v>5.6153957199999806E-2</v>
      </c>
    </row>
    <row r="4256" spans="1:12">
      <c r="A4256" s="22">
        <v>40313.587500000001</v>
      </c>
      <c r="E4256" s="26">
        <v>156.89201600000001</v>
      </c>
      <c r="G4256" s="27">
        <v>0.58750000000000002</v>
      </c>
      <c r="J4256" s="30">
        <f>IF(G4256&lt;$H$10,$H$16,IF(G4256&gt;$I$10,$H$16,$H$11))*E4256/600</f>
        <v>5.7527072533333341E-2</v>
      </c>
      <c r="L4256" s="32">
        <f>$J4256*($G4256-$G4255)*60*24</f>
        <v>5.7527072533333133E-2</v>
      </c>
    </row>
    <row r="4257" spans="1:12">
      <c r="A4257" s="22">
        <v>40313.588194444441</v>
      </c>
      <c r="E4257" s="26">
        <v>163.78155599999999</v>
      </c>
      <c r="G4257" s="27">
        <v>0.58819444444444446</v>
      </c>
      <c r="J4257" s="30">
        <f>IF(G4257&lt;$H$10,$H$16,IF(G4257&gt;$I$10,$H$16,$H$11))*E4257/600</f>
        <v>6.0053237199999998E-2</v>
      </c>
      <c r="L4257" s="32">
        <f>$J4257*($G4257-$G4256)*60*24</f>
        <v>6.005323719999979E-2</v>
      </c>
    </row>
    <row r="4258" spans="1:12">
      <c r="A4258" s="22">
        <v>40313.588888888888</v>
      </c>
      <c r="E4258" s="26">
        <v>162.324432</v>
      </c>
      <c r="G4258" s="27">
        <v>0.58888888888888891</v>
      </c>
      <c r="J4258" s="30">
        <f>IF(G4258&lt;$H$10,$H$16,IF(G4258&gt;$I$10,$H$16,$H$11))*E4258/600</f>
        <v>5.9518958400000002E-2</v>
      </c>
      <c r="L4258" s="32">
        <f>$J4258*($G4258-$G4257)*60*24</f>
        <v>5.9518958399999794E-2</v>
      </c>
    </row>
    <row r="4259" spans="1:12">
      <c r="A4259" s="22">
        <v>40313.589583333334</v>
      </c>
      <c r="E4259" s="26">
        <v>164.01293999999999</v>
      </c>
      <c r="G4259" s="27">
        <v>0.58958333333333335</v>
      </c>
      <c r="J4259" s="30">
        <f>IF(G4259&lt;$H$10,$H$16,IF(G4259&gt;$I$10,$H$16,$H$11))*E4259/600</f>
        <v>6.0138077999999998E-2</v>
      </c>
      <c r="L4259" s="32">
        <f>$J4259*($G4259-$G4258)*60*24</f>
        <v>6.0138077999999789E-2</v>
      </c>
    </row>
    <row r="4260" spans="1:12">
      <c r="A4260" s="22">
        <v>40313.590277777781</v>
      </c>
      <c r="E4260" s="26">
        <v>156.565324</v>
      </c>
      <c r="G4260" s="27">
        <v>0.59027777777777779</v>
      </c>
      <c r="J4260" s="30">
        <f>IF(G4260&lt;$H$10,$H$16,IF(G4260&gt;$I$10,$H$16,$H$11))*E4260/600</f>
        <v>5.7407285466666666E-2</v>
      </c>
      <c r="L4260" s="32">
        <f>$J4260*($G4260-$G4259)*60*24</f>
        <v>5.7407285466666458E-2</v>
      </c>
    </row>
    <row r="4261" spans="1:12">
      <c r="A4261" s="22">
        <v>40313.59097222222</v>
      </c>
      <c r="E4261" s="26">
        <v>163.74993599999999</v>
      </c>
      <c r="G4261" s="27">
        <v>0.59097222222222223</v>
      </c>
      <c r="J4261" s="30">
        <f>IF(G4261&lt;$H$10,$H$16,IF(G4261&gt;$I$10,$H$16,$H$11))*E4261/600</f>
        <v>6.0041643200000001E-2</v>
      </c>
      <c r="L4261" s="32">
        <f>$J4261*($G4261-$G4260)*60*24</f>
        <v>6.0041643199999779E-2</v>
      </c>
    </row>
    <row r="4262" spans="1:12">
      <c r="A4262" s="22">
        <v>40313.591666666667</v>
      </c>
      <c r="E4262" s="26">
        <v>161.07228000000001</v>
      </c>
      <c r="G4262" s="27">
        <v>0.59166666666666667</v>
      </c>
      <c r="J4262" s="30">
        <f>IF(G4262&lt;$H$10,$H$16,IF(G4262&gt;$I$10,$H$16,$H$11))*E4262/600</f>
        <v>5.9059836000000004E-2</v>
      </c>
      <c r="L4262" s="32">
        <f>$J4262*($G4262-$G4261)*60*24</f>
        <v>5.9059835999999796E-2</v>
      </c>
    </row>
    <row r="4263" spans="1:12">
      <c r="A4263" s="22">
        <v>40313.592361111114</v>
      </c>
      <c r="E4263" s="26">
        <v>168.59598</v>
      </c>
      <c r="G4263" s="27">
        <v>0.59236111111111112</v>
      </c>
      <c r="J4263" s="30">
        <f>IF(G4263&lt;$H$10,$H$16,IF(G4263&gt;$I$10,$H$16,$H$11))*E4263/600</f>
        <v>6.1818526000000006E-2</v>
      </c>
      <c r="L4263" s="32">
        <f>$J4263*($G4263-$G4262)*60*24</f>
        <v>6.181852599999979E-2</v>
      </c>
    </row>
    <row r="4264" spans="1:12">
      <c r="A4264" s="22">
        <v>40313.593055555553</v>
      </c>
      <c r="E4264" s="26">
        <v>160.21109999999999</v>
      </c>
      <c r="G4264" s="27">
        <v>0.59305555555555556</v>
      </c>
      <c r="J4264" s="30">
        <f>IF(G4264&lt;$H$10,$H$16,IF(G4264&gt;$I$10,$H$16,$H$11))*E4264/600</f>
        <v>5.8744069999999989E-2</v>
      </c>
      <c r="L4264" s="32">
        <f>$J4264*($G4264-$G4263)*60*24</f>
        <v>5.8744069999999787E-2</v>
      </c>
    </row>
    <row r="4265" spans="1:12">
      <c r="A4265" s="22">
        <v>40313.59375</v>
      </c>
      <c r="E4265" s="26">
        <v>164.09152499999999</v>
      </c>
      <c r="G4265" s="27">
        <v>0.59375</v>
      </c>
      <c r="J4265" s="30">
        <f>IF(G4265&lt;$H$10,$H$16,IF(G4265&gt;$I$10,$H$16,$H$11))*E4265/600</f>
        <v>6.0166892499999999E-2</v>
      </c>
      <c r="L4265" s="32">
        <f>$J4265*($G4265-$G4264)*60*24</f>
        <v>6.0166892499999784E-2</v>
      </c>
    </row>
    <row r="4266" spans="1:12">
      <c r="A4266" s="22">
        <v>40313.594444444447</v>
      </c>
      <c r="E4266" s="26">
        <v>160.05448799999999</v>
      </c>
      <c r="G4266" s="27">
        <v>0.59444444444444444</v>
      </c>
      <c r="J4266" s="30">
        <f>IF(G4266&lt;$H$10,$H$16,IF(G4266&gt;$I$10,$H$16,$H$11))*E4266/600</f>
        <v>5.8686645600000004E-2</v>
      </c>
      <c r="L4266" s="32">
        <f>$J4266*($G4266-$G4265)*60*24</f>
        <v>5.8686645599999795E-2</v>
      </c>
    </row>
    <row r="4267" spans="1:12">
      <c r="A4267" s="22">
        <v>40313.595138888886</v>
      </c>
      <c r="E4267" s="26">
        <v>160.31154000000001</v>
      </c>
      <c r="G4267" s="27">
        <v>0.59513888888888888</v>
      </c>
      <c r="J4267" s="30">
        <f>IF(G4267&lt;$H$10,$H$16,IF(G4267&gt;$I$10,$H$16,$H$11))*E4267/600</f>
        <v>5.8780898000000005E-2</v>
      </c>
      <c r="L4267" s="32">
        <f>$J4267*($G4267-$G4266)*60*24</f>
        <v>5.878089799999979E-2</v>
      </c>
    </row>
    <row r="4268" spans="1:12">
      <c r="A4268" s="22">
        <v>40313.595833333333</v>
      </c>
      <c r="E4268" s="26">
        <v>161.543418</v>
      </c>
      <c r="G4268" s="27">
        <v>0.59583333333333333</v>
      </c>
      <c r="J4268" s="30">
        <f>IF(G4268&lt;$H$10,$H$16,IF(G4268&gt;$I$10,$H$16,$H$11))*E4268/600</f>
        <v>5.9232586600000005E-2</v>
      </c>
      <c r="L4268" s="32">
        <f>$J4268*($G4268-$G4267)*60*24</f>
        <v>5.9232586599999797E-2</v>
      </c>
    </row>
    <row r="4269" spans="1:12">
      <c r="A4269" s="22">
        <v>40313.59652777778</v>
      </c>
      <c r="E4269" s="26">
        <v>160.07308800000001</v>
      </c>
      <c r="G4269" s="27">
        <v>0.59652777777777777</v>
      </c>
      <c r="J4269" s="30">
        <f>IF(G4269&lt;$H$10,$H$16,IF(G4269&gt;$I$10,$H$16,$H$11))*E4269/600</f>
        <v>5.8693465600000001E-2</v>
      </c>
      <c r="L4269" s="32">
        <f>$J4269*($G4269-$G4268)*60*24</f>
        <v>5.8693465599999793E-2</v>
      </c>
    </row>
    <row r="4270" spans="1:12">
      <c r="A4270" s="22">
        <v>40313.597222222219</v>
      </c>
      <c r="E4270" s="26">
        <v>161.95764</v>
      </c>
      <c r="G4270" s="27">
        <v>0.59722222222222221</v>
      </c>
      <c r="J4270" s="30">
        <f>IF(G4270&lt;$H$10,$H$16,IF(G4270&gt;$I$10,$H$16,$H$11))*E4270/600</f>
        <v>5.9384468000000003E-2</v>
      </c>
      <c r="L4270" s="32">
        <f>$J4270*($G4270-$G4269)*60*24</f>
        <v>5.9384467999999788E-2</v>
      </c>
    </row>
    <row r="4271" spans="1:12">
      <c r="A4271" s="22">
        <v>40313.597916666666</v>
      </c>
      <c r="E4271" s="26">
        <v>163.63070999999999</v>
      </c>
      <c r="G4271" s="27">
        <v>0.59791666666666665</v>
      </c>
      <c r="J4271" s="30">
        <f>IF(G4271&lt;$H$10,$H$16,IF(G4271&gt;$I$10,$H$16,$H$11))*E4271/600</f>
        <v>5.9997926999999993E-2</v>
      </c>
      <c r="L4271" s="32">
        <f>$J4271*($G4271-$G4270)*60*24</f>
        <v>5.9997926999999771E-2</v>
      </c>
    </row>
    <row r="4272" spans="1:12">
      <c r="A4272" s="22">
        <v>40313.598611111112</v>
      </c>
      <c r="E4272" s="26">
        <v>155.10418000000001</v>
      </c>
      <c r="G4272" s="27">
        <v>0.59861111111111109</v>
      </c>
      <c r="J4272" s="30">
        <f>IF(G4272&lt;$H$10,$H$16,IF(G4272&gt;$I$10,$H$16,$H$11))*E4272/600</f>
        <v>5.6871532666666669E-2</v>
      </c>
      <c r="L4272" s="32">
        <f>$J4272*($G4272-$G4271)*60*24</f>
        <v>5.6871532666666468E-2</v>
      </c>
    </row>
    <row r="4273" spans="1:12">
      <c r="A4273" s="22">
        <v>40313.599305555559</v>
      </c>
      <c r="E4273" s="26">
        <v>153.11836</v>
      </c>
      <c r="G4273" s="27">
        <v>0.59930555555555554</v>
      </c>
      <c r="J4273" s="30">
        <f>IF(G4273&lt;$H$10,$H$16,IF(G4273&gt;$I$10,$H$16,$H$11))*E4273/600</f>
        <v>5.6143398666666663E-2</v>
      </c>
      <c r="L4273" s="32">
        <f>$J4273*($G4273-$G4272)*60*24</f>
        <v>5.6143398666666469E-2</v>
      </c>
    </row>
    <row r="4274" spans="1:12">
      <c r="A4274" s="22">
        <v>40313.599999999999</v>
      </c>
      <c r="E4274" s="26">
        <v>152.70527999999999</v>
      </c>
      <c r="G4274" s="27">
        <v>0.6</v>
      </c>
      <c r="J4274" s="30">
        <f>IF(G4274&lt;$H$10,$H$16,IF(G4274&gt;$I$10,$H$16,$H$11))*E4274/600</f>
        <v>5.5991935999999992E-2</v>
      </c>
      <c r="L4274" s="32">
        <f>$J4274*($G4274-$G4273)*60*24</f>
        <v>5.5991935999999798E-2</v>
      </c>
    </row>
    <row r="4275" spans="1:12">
      <c r="A4275" s="22">
        <v>40313.600694444445</v>
      </c>
      <c r="E4275" s="26">
        <v>153.38424000000001</v>
      </c>
      <c r="G4275" s="27">
        <v>0.60069444444444442</v>
      </c>
      <c r="J4275" s="30">
        <f>IF(G4275&lt;$H$10,$H$16,IF(G4275&gt;$I$10,$H$16,$H$11))*E4275/600</f>
        <v>5.6240888000000003E-2</v>
      </c>
      <c r="L4275" s="32">
        <f>$J4275*($G4275-$G4274)*60*24</f>
        <v>5.6240887999999808E-2</v>
      </c>
    </row>
    <row r="4276" spans="1:12">
      <c r="A4276" s="22">
        <v>40313.601388888892</v>
      </c>
      <c r="E4276" s="26">
        <v>157.309236</v>
      </c>
      <c r="G4276" s="27">
        <v>0.60138888888888886</v>
      </c>
      <c r="J4276" s="30">
        <f>IF(G4276&lt;$H$10,$H$16,IF(G4276&gt;$I$10,$H$16,$H$11))*E4276/600</f>
        <v>5.7680053200000005E-2</v>
      </c>
      <c r="L4276" s="32">
        <f>$J4276*($G4276-$G4275)*60*24</f>
        <v>5.7680053199999803E-2</v>
      </c>
    </row>
    <row r="4277" spans="1:12">
      <c r="A4277" s="22">
        <v>40313.602083333331</v>
      </c>
      <c r="E4277" s="26">
        <v>152.769036</v>
      </c>
      <c r="G4277" s="27">
        <v>0.6020833333333333</v>
      </c>
      <c r="J4277" s="30">
        <f>IF(G4277&lt;$H$10,$H$16,IF(G4277&gt;$I$10,$H$16,$H$11))*E4277/600</f>
        <v>5.6015313200000007E-2</v>
      </c>
      <c r="L4277" s="32">
        <f>$J4277*($G4277-$G4276)*60*24</f>
        <v>5.6015313199999799E-2</v>
      </c>
    </row>
    <row r="4278" spans="1:12">
      <c r="A4278" s="22">
        <v>40313.602777777778</v>
      </c>
      <c r="E4278" s="26">
        <v>158.46208799999999</v>
      </c>
      <c r="G4278" s="27">
        <v>0.60277777777777775</v>
      </c>
      <c r="J4278" s="30">
        <f>IF(G4278&lt;$H$10,$H$16,IF(G4278&gt;$I$10,$H$16,$H$11))*E4278/600</f>
        <v>5.8102765599999995E-2</v>
      </c>
      <c r="L4278" s="32">
        <f>$J4278*($G4278-$G4277)*60*24</f>
        <v>5.8102765599999794E-2</v>
      </c>
    </row>
    <row r="4279" spans="1:12">
      <c r="A4279" s="22">
        <v>40313.603472222225</v>
      </c>
      <c r="E4279" s="26">
        <v>160.28828999999999</v>
      </c>
      <c r="G4279" s="27">
        <v>0.60347222222222219</v>
      </c>
      <c r="J4279" s="30">
        <f>IF(G4279&lt;$H$10,$H$16,IF(G4279&gt;$I$10,$H$16,$H$11))*E4279/600</f>
        <v>5.8772372999999996E-2</v>
      </c>
      <c r="L4279" s="32">
        <f>$J4279*($G4279-$G4278)*60*24</f>
        <v>5.8772372999999781E-2</v>
      </c>
    </row>
    <row r="4280" spans="1:12">
      <c r="A4280" s="22">
        <v>40313.604166666664</v>
      </c>
      <c r="E4280" s="26">
        <v>154.041212</v>
      </c>
      <c r="G4280" s="27">
        <v>0.60416666666666663</v>
      </c>
      <c r="J4280" s="30">
        <f>IF(G4280&lt;$H$10,$H$16,IF(G4280&gt;$I$10,$H$16,$H$11))*E4280/600</f>
        <v>5.6481777733333335E-2</v>
      </c>
      <c r="L4280" s="32">
        <f>$J4280*($G4280-$G4279)*60*24</f>
        <v>5.6481777733333127E-2</v>
      </c>
    </row>
    <row r="4281" spans="1:12">
      <c r="A4281" s="22">
        <v>40313.604861111111</v>
      </c>
      <c r="E4281" s="26">
        <v>152.65422000000001</v>
      </c>
      <c r="G4281" s="27">
        <v>0.60486111111111118</v>
      </c>
      <c r="J4281" s="30">
        <f>IF(G4281&lt;$H$10,$H$16,IF(G4281&gt;$I$10,$H$16,$H$11))*E4281/600</f>
        <v>5.5973214000000007E-2</v>
      </c>
      <c r="L4281" s="32">
        <f>$J4281*($G4281-$G4280)*60*24</f>
        <v>5.597321400000875E-2</v>
      </c>
    </row>
    <row r="4282" spans="1:12">
      <c r="A4282" s="22">
        <v>40313.605555555558</v>
      </c>
      <c r="E4282" s="26">
        <v>155.606224</v>
      </c>
      <c r="G4282" s="27">
        <v>0.60555555555555551</v>
      </c>
      <c r="J4282" s="30">
        <f>IF(G4282&lt;$H$10,$H$16,IF(G4282&gt;$I$10,$H$16,$H$11))*E4282/600</f>
        <v>5.7055615466666661E-2</v>
      </c>
      <c r="L4282" s="32">
        <f>$J4282*($G4282-$G4281)*60*24</f>
        <v>5.7055615466657342E-2</v>
      </c>
    </row>
    <row r="4283" spans="1:12">
      <c r="A4283" s="22">
        <v>40313.606249999997</v>
      </c>
      <c r="E4283" s="26">
        <v>153.78030000000001</v>
      </c>
      <c r="G4283" s="27">
        <v>0.60625000000000007</v>
      </c>
      <c r="J4283" s="30">
        <f>IF(G4283&lt;$H$10,$H$16,IF(G4283&gt;$I$10,$H$16,$H$11))*E4283/600</f>
        <v>5.638611000000001E-2</v>
      </c>
      <c r="L4283" s="32">
        <f>$J4283*($G4283-$G4282)*60*24</f>
        <v>5.6386110000008823E-2</v>
      </c>
    </row>
    <row r="4284" spans="1:12">
      <c r="A4284" s="22">
        <v>40313.606944444444</v>
      </c>
      <c r="E4284" s="26">
        <v>149.95576800000001</v>
      </c>
      <c r="G4284" s="27">
        <v>0.6069444444444444</v>
      </c>
      <c r="J4284" s="30">
        <f>IF(G4284&lt;$H$10,$H$16,IF(G4284&gt;$I$10,$H$16,$H$11))*E4284/600</f>
        <v>5.4983781600000003E-2</v>
      </c>
      <c r="L4284" s="32">
        <f>$J4284*($G4284-$G4283)*60*24</f>
        <v>5.4983781599991018E-2</v>
      </c>
    </row>
    <row r="4285" spans="1:12">
      <c r="A4285" s="22">
        <v>40313.607638888891</v>
      </c>
      <c r="E4285" s="26">
        <v>149.89698000000001</v>
      </c>
      <c r="G4285" s="27">
        <v>0.60763888888888895</v>
      </c>
      <c r="J4285" s="30">
        <f>IF(G4285&lt;$H$10,$H$16,IF(G4285&gt;$I$10,$H$16,$H$11))*E4285/600</f>
        <v>5.4962226000000003E-2</v>
      </c>
      <c r="L4285" s="32">
        <f>$J4285*($G4285-$G4284)*60*24</f>
        <v>5.4962226000008593E-2</v>
      </c>
    </row>
    <row r="4286" spans="1:12">
      <c r="A4286" s="22">
        <v>40313.60833333333</v>
      </c>
      <c r="E4286" s="26">
        <v>149.89698000000001</v>
      </c>
      <c r="G4286" s="27">
        <v>0.60833333333333328</v>
      </c>
      <c r="J4286" s="30">
        <f>IF(G4286&lt;$H$10,$H$16,IF(G4286&gt;$I$10,$H$16,$H$11))*E4286/600</f>
        <v>5.4962226000000003E-2</v>
      </c>
      <c r="L4286" s="32">
        <f>$J4286*($G4286-$G4285)*60*24</f>
        <v>5.4962225999991024E-2</v>
      </c>
    </row>
    <row r="4287" spans="1:12">
      <c r="A4287" s="22">
        <v>40313.609027777777</v>
      </c>
      <c r="E4287" s="26">
        <v>149.812432</v>
      </c>
      <c r="G4287" s="27">
        <v>0.60902777777777783</v>
      </c>
      <c r="J4287" s="30">
        <f>IF(G4287&lt;$H$10,$H$16,IF(G4287&gt;$I$10,$H$16,$H$11))*E4287/600</f>
        <v>5.4931225066666665E-2</v>
      </c>
      <c r="L4287" s="32">
        <f>$J4287*($G4287-$G4286)*60*24</f>
        <v>5.4931225066675263E-2</v>
      </c>
    </row>
    <row r="4288" spans="1:12">
      <c r="A4288" s="22">
        <v>40313.609722222223</v>
      </c>
      <c r="E4288" s="26">
        <v>149.99091200000001</v>
      </c>
      <c r="G4288" s="27">
        <v>0.60972222222222217</v>
      </c>
      <c r="J4288" s="30">
        <f>IF(G4288&lt;$H$10,$H$16,IF(G4288&gt;$I$10,$H$16,$H$11))*E4288/600</f>
        <v>5.4996667733333338E-2</v>
      </c>
      <c r="L4288" s="32">
        <f>$J4288*($G4288-$G4287)*60*24</f>
        <v>5.4996667733324345E-2</v>
      </c>
    </row>
    <row r="4289" spans="1:12">
      <c r="A4289" s="22">
        <v>40313.61041666667</v>
      </c>
      <c r="E4289" s="26">
        <v>152.81016</v>
      </c>
      <c r="G4289" s="27">
        <v>0.61041666666666672</v>
      </c>
      <c r="J4289" s="30">
        <f>IF(G4289&lt;$H$10,$H$16,IF(G4289&gt;$I$10,$H$16,$H$11))*E4289/600</f>
        <v>5.6030391999999998E-2</v>
      </c>
      <c r="L4289" s="32">
        <f>$J4289*($G4289-$G4288)*60*24</f>
        <v>5.6030392000008748E-2</v>
      </c>
    </row>
    <row r="4290" spans="1:12">
      <c r="A4290" s="22">
        <v>40313.611111111109</v>
      </c>
      <c r="E4290" s="26">
        <v>150.28108</v>
      </c>
      <c r="G4290" s="27">
        <v>0.61111111111111105</v>
      </c>
      <c r="J4290" s="30">
        <f>IF(G4290&lt;$H$10,$H$16,IF(G4290&gt;$I$10,$H$16,$H$11))*E4290/600</f>
        <v>5.5103062666666675E-2</v>
      </c>
      <c r="L4290" s="32">
        <f>$J4290*($G4290-$G4289)*60*24</f>
        <v>5.5103062666657668E-2</v>
      </c>
    </row>
    <row r="4291" spans="1:12">
      <c r="A4291" s="22">
        <v>40313.611805555556</v>
      </c>
      <c r="E4291" s="26">
        <v>149.92964000000001</v>
      </c>
      <c r="G4291" s="27">
        <v>0.6118055555555556</v>
      </c>
      <c r="J4291" s="30">
        <f>IF(G4291&lt;$H$10,$H$16,IF(G4291&gt;$I$10,$H$16,$H$11))*E4291/600</f>
        <v>5.4974201333333333E-2</v>
      </c>
      <c r="L4291" s="32">
        <f>$J4291*($G4291-$G4290)*60*24</f>
        <v>5.4974201333341924E-2</v>
      </c>
    </row>
    <row r="4292" spans="1:12">
      <c r="A4292" s="22">
        <v>40313.612500000003</v>
      </c>
      <c r="E4292" s="26">
        <v>152.31409600000001</v>
      </c>
      <c r="G4292" s="27">
        <v>0.61249999999999993</v>
      </c>
      <c r="J4292" s="30">
        <f>IF(G4292&lt;$H$10,$H$16,IF(G4292&gt;$I$10,$H$16,$H$11))*E4292/600</f>
        <v>5.5848501866666671E-2</v>
      </c>
      <c r="L4292" s="32">
        <f>$J4292*($G4292-$G4291)*60*24</f>
        <v>5.5848501866657546E-2</v>
      </c>
    </row>
    <row r="4293" spans="1:12">
      <c r="A4293" s="22">
        <v>40313.613194444442</v>
      </c>
      <c r="E4293" s="26">
        <v>156.54206400000001</v>
      </c>
      <c r="G4293" s="27">
        <v>0.61319444444444449</v>
      </c>
      <c r="J4293" s="30">
        <f>IF(G4293&lt;$H$10,$H$16,IF(G4293&gt;$I$10,$H$16,$H$11))*E4293/600</f>
        <v>5.7398756800000006E-2</v>
      </c>
      <c r="L4293" s="32">
        <f>$J4293*($G4293-$G4292)*60*24</f>
        <v>5.7398756800008985E-2</v>
      </c>
    </row>
    <row r="4294" spans="1:12">
      <c r="A4294" s="22">
        <v>40313.613888888889</v>
      </c>
      <c r="E4294" s="26">
        <v>162.13285200000001</v>
      </c>
      <c r="G4294" s="27">
        <v>0.61388888888888882</v>
      </c>
      <c r="J4294" s="30">
        <f>IF(G4294&lt;$H$10,$H$16,IF(G4294&gt;$I$10,$H$16,$H$11))*E4294/600</f>
        <v>5.9448712399999999E-2</v>
      </c>
      <c r="L4294" s="32">
        <f>$J4294*($G4294-$G4293)*60*24</f>
        <v>5.9448712399990278E-2</v>
      </c>
    </row>
    <row r="4295" spans="1:12">
      <c r="A4295" s="22">
        <v>40313.614583333336</v>
      </c>
      <c r="E4295" s="26">
        <v>161.82939300000001</v>
      </c>
      <c r="G4295" s="27">
        <v>0.61458333333333337</v>
      </c>
      <c r="J4295" s="30">
        <f>IF(G4295&lt;$H$10,$H$16,IF(G4295&gt;$I$10,$H$16,$H$11))*E4295/600</f>
        <v>5.9337444100000004E-2</v>
      </c>
      <c r="L4295" s="32">
        <f>$J4295*($G4295-$G4294)*60*24</f>
        <v>5.9337444100009282E-2</v>
      </c>
    </row>
    <row r="4296" spans="1:12">
      <c r="A4296" s="22">
        <v>40313.615277777775</v>
      </c>
      <c r="E4296" s="26">
        <v>152.14904799999999</v>
      </c>
      <c r="G4296" s="27">
        <v>0.61527777777777781</v>
      </c>
      <c r="J4296" s="30">
        <f>IF(G4296&lt;$H$10,$H$16,IF(G4296&gt;$I$10,$H$16,$H$11))*E4296/600</f>
        <v>5.5787984266666667E-2</v>
      </c>
      <c r="L4296" s="32">
        <f>$J4296*($G4296-$G4295)*60*24</f>
        <v>5.5787984266666472E-2</v>
      </c>
    </row>
    <row r="4297" spans="1:12">
      <c r="A4297" s="22">
        <v>40313.615972222222</v>
      </c>
      <c r="E4297" s="26">
        <v>152.04453599999999</v>
      </c>
      <c r="G4297" s="27">
        <v>0.61597222222222225</v>
      </c>
      <c r="J4297" s="30">
        <f>IF(G4297&lt;$H$10,$H$16,IF(G4297&gt;$I$10,$H$16,$H$11))*E4297/600</f>
        <v>5.5749663200000001E-2</v>
      </c>
      <c r="L4297" s="32">
        <f>$J4297*($G4297-$G4296)*60*24</f>
        <v>5.5749663199999799E-2</v>
      </c>
    </row>
    <row r="4298" spans="1:12">
      <c r="A4298" s="22">
        <v>40313.616666666669</v>
      </c>
      <c r="E4298" s="26">
        <v>152.24932799999999</v>
      </c>
      <c r="G4298" s="27">
        <v>0.6166666666666667</v>
      </c>
      <c r="J4298" s="30">
        <f>IF(G4298&lt;$H$10,$H$16,IF(G4298&gt;$I$10,$H$16,$H$11))*E4298/600</f>
        <v>5.5824753599999999E-2</v>
      </c>
      <c r="L4298" s="32">
        <f>$J4298*($G4298-$G4297)*60*24</f>
        <v>5.5824753599999798E-2</v>
      </c>
    </row>
    <row r="4299" spans="1:12">
      <c r="A4299" s="22">
        <v>40313.617361111108</v>
      </c>
      <c r="E4299" s="26">
        <v>152.12236799999999</v>
      </c>
      <c r="G4299" s="27">
        <v>0.61736111111111114</v>
      </c>
      <c r="J4299" s="30">
        <f>IF(G4299&lt;$H$10,$H$16,IF(G4299&gt;$I$10,$H$16,$H$11))*E4299/600</f>
        <v>5.5778201599999994E-2</v>
      </c>
      <c r="L4299" s="32">
        <f>$J4299*($G4299-$G4298)*60*24</f>
        <v>5.5778201599999785E-2</v>
      </c>
    </row>
    <row r="4300" spans="1:12">
      <c r="A4300" s="22">
        <v>40313.618055555555</v>
      </c>
      <c r="E4300" s="26">
        <v>151.5976</v>
      </c>
      <c r="G4300" s="27">
        <v>0.61805555555555558</v>
      </c>
      <c r="J4300" s="30">
        <f>IF(G4300&lt;$H$10,$H$16,IF(G4300&gt;$I$10,$H$16,$H$11))*E4300/600</f>
        <v>5.5585786666666671E-2</v>
      </c>
      <c r="L4300" s="32">
        <f>$J4300*($G4300-$G4299)*60*24</f>
        <v>5.5585786666666477E-2</v>
      </c>
    </row>
    <row r="4301" spans="1:12">
      <c r="A4301" s="22">
        <v>40313.618750000001</v>
      </c>
      <c r="E4301" s="26">
        <v>151.48535999999999</v>
      </c>
      <c r="G4301" s="27">
        <v>0.61875000000000002</v>
      </c>
      <c r="J4301" s="30">
        <f>IF(G4301&lt;$H$10,$H$16,IF(G4301&gt;$I$10,$H$16,$H$11))*E4301/600</f>
        <v>5.5544631999999997E-2</v>
      </c>
      <c r="L4301" s="32">
        <f>$J4301*($G4301-$G4300)*60*24</f>
        <v>5.5544631999999802E-2</v>
      </c>
    </row>
    <row r="4302" spans="1:12">
      <c r="A4302" s="22">
        <v>40313.619444444441</v>
      </c>
      <c r="E4302" s="26">
        <v>151.67957200000001</v>
      </c>
      <c r="G4302" s="27">
        <v>0.61944444444444446</v>
      </c>
      <c r="J4302" s="30">
        <f>IF(G4302&lt;$H$10,$H$16,IF(G4302&gt;$I$10,$H$16,$H$11))*E4302/600</f>
        <v>5.561584306666667E-2</v>
      </c>
      <c r="L4302" s="32">
        <f>$J4302*($G4302-$G4301)*60*24</f>
        <v>5.5615843066666469E-2</v>
      </c>
    </row>
    <row r="4303" spans="1:12">
      <c r="A4303" s="22">
        <v>40313.620138888888</v>
      </c>
      <c r="E4303" s="26">
        <v>151.44120000000001</v>
      </c>
      <c r="G4303" s="27">
        <v>0.62013888888888891</v>
      </c>
      <c r="J4303" s="30">
        <f>IF(G4303&lt;$H$10,$H$16,IF(G4303&gt;$I$10,$H$16,$H$11))*E4303/600</f>
        <v>5.5528440000000005E-2</v>
      </c>
      <c r="L4303" s="32">
        <f>$J4303*($G4303-$G4302)*60*24</f>
        <v>5.5528439999999804E-2</v>
      </c>
    </row>
    <row r="4304" spans="1:12">
      <c r="A4304" s="22">
        <v>40313.620833333334</v>
      </c>
      <c r="E4304" s="26">
        <v>151.56374400000001</v>
      </c>
      <c r="G4304" s="27">
        <v>0.62083333333333335</v>
      </c>
      <c r="J4304" s="30">
        <f>IF(G4304&lt;$H$10,$H$16,IF(G4304&gt;$I$10,$H$16,$H$11))*E4304/600</f>
        <v>5.5573372800000014E-2</v>
      </c>
      <c r="L4304" s="32">
        <f>$J4304*($G4304-$G4303)*60*24</f>
        <v>5.5573372799999819E-2</v>
      </c>
    </row>
    <row r="4305" spans="1:12">
      <c r="A4305" s="22">
        <v>40313.621527777781</v>
      </c>
      <c r="E4305" s="26">
        <v>151.4136</v>
      </c>
      <c r="G4305" s="27">
        <v>0.62152777777777779</v>
      </c>
      <c r="J4305" s="30">
        <f>IF(G4305&lt;$H$10,$H$16,IF(G4305&gt;$I$10,$H$16,$H$11))*E4305/600</f>
        <v>5.5518319999999996E-2</v>
      </c>
      <c r="L4305" s="32">
        <f>$J4305*($G4305-$G4304)*60*24</f>
        <v>5.5518319999999795E-2</v>
      </c>
    </row>
    <row r="4306" spans="1:12">
      <c r="A4306" s="22">
        <v>40313.62222222222</v>
      </c>
      <c r="E4306" s="26">
        <v>151.66844</v>
      </c>
      <c r="G4306" s="27">
        <v>0.62222222222222223</v>
      </c>
      <c r="J4306" s="30">
        <f>IF(G4306&lt;$H$10,$H$16,IF(G4306&gt;$I$10,$H$16,$H$11))*E4306/600</f>
        <v>5.5611761333333336E-2</v>
      </c>
      <c r="L4306" s="32">
        <f>$J4306*($G4306-$G4305)*60*24</f>
        <v>5.5611761333333135E-2</v>
      </c>
    </row>
    <row r="4307" spans="1:12">
      <c r="A4307" s="22">
        <v>40313.622916666667</v>
      </c>
      <c r="E4307" s="26">
        <v>162.23487299999999</v>
      </c>
      <c r="G4307" s="27">
        <v>0.62291666666666667</v>
      </c>
      <c r="J4307" s="30">
        <f>IF(G4307&lt;$H$10,$H$16,IF(G4307&gt;$I$10,$H$16,$H$11))*E4307/600</f>
        <v>5.9486120100000005E-2</v>
      </c>
      <c r="L4307" s="32">
        <f>$J4307*($G4307-$G4306)*60*24</f>
        <v>5.948612009999979E-2</v>
      </c>
    </row>
    <row r="4308" spans="1:12">
      <c r="A4308" s="22">
        <v>40313.623611111114</v>
      </c>
      <c r="E4308" s="26">
        <v>179.50239999999999</v>
      </c>
      <c r="G4308" s="27">
        <v>0.62361111111111112</v>
      </c>
      <c r="J4308" s="30">
        <f>IF(G4308&lt;$H$10,$H$16,IF(G4308&gt;$I$10,$H$16,$H$11))*E4308/600</f>
        <v>6.5817546666666657E-2</v>
      </c>
      <c r="L4308" s="32">
        <f>$J4308*($G4308-$G4307)*60*24</f>
        <v>6.5817546666666421E-2</v>
      </c>
    </row>
    <row r="4309" spans="1:12">
      <c r="A4309" s="22">
        <v>40313.624305555553</v>
      </c>
      <c r="E4309" s="26">
        <v>178.96105399999999</v>
      </c>
      <c r="G4309" s="27">
        <v>0.62430555555555556</v>
      </c>
      <c r="J4309" s="30">
        <f>IF(G4309&lt;$H$10,$H$16,IF(G4309&gt;$I$10,$H$16,$H$11))*E4309/600</f>
        <v>6.5619053133333327E-2</v>
      </c>
      <c r="L4309" s="32">
        <f>$J4309*($G4309-$G4308)*60*24</f>
        <v>6.5619053133333105E-2</v>
      </c>
    </row>
    <row r="4310" spans="1:12">
      <c r="A4310" s="22">
        <v>40313.625</v>
      </c>
      <c r="E4310" s="26">
        <v>178.148518</v>
      </c>
      <c r="G4310" s="27">
        <v>0.625</v>
      </c>
      <c r="J4310" s="30">
        <f>IF(G4310&lt;$H$10,$H$16,IF(G4310&gt;$I$10,$H$16,$H$11))*E4310/600</f>
        <v>6.532112326666667E-2</v>
      </c>
      <c r="L4310" s="32">
        <f>$J4310*($G4310-$G4309)*60*24</f>
        <v>6.5321123266666434E-2</v>
      </c>
    </row>
    <row r="4311" spans="1:12">
      <c r="A4311" s="22">
        <v>40313.625694444447</v>
      </c>
      <c r="E4311" s="26">
        <v>178.36067600000001</v>
      </c>
      <c r="G4311" s="27">
        <v>0.62569444444444444</v>
      </c>
      <c r="J4311" s="30">
        <f>IF(G4311&lt;$H$10,$H$16,IF(G4311&gt;$I$10,$H$16,$H$11))*E4311/600</f>
        <v>6.5398914533333338E-2</v>
      </c>
      <c r="L4311" s="32">
        <f>$J4311*($G4311-$G4310)*60*24</f>
        <v>6.5398914533333102E-2</v>
      </c>
    </row>
    <row r="4312" spans="1:12">
      <c r="A4312" s="22">
        <v>40313.626388888886</v>
      </c>
      <c r="E4312" s="26">
        <v>178.66674</v>
      </c>
      <c r="G4312" s="27">
        <v>0.62638888888888888</v>
      </c>
      <c r="J4312" s="30">
        <f>IF(G4312&lt;$H$10,$H$16,IF(G4312&gt;$I$10,$H$16,$H$11))*E4312/600</f>
        <v>6.551113800000001E-2</v>
      </c>
      <c r="L4312" s="32">
        <f>$J4312*($G4312-$G4311)*60*24</f>
        <v>6.5511137999999774E-2</v>
      </c>
    </row>
    <row r="4313" spans="1:12">
      <c r="A4313" s="22">
        <v>40313.627083333333</v>
      </c>
      <c r="E4313" s="26">
        <v>178.29299599999999</v>
      </c>
      <c r="G4313" s="27">
        <v>0.62708333333333333</v>
      </c>
      <c r="J4313" s="30">
        <f>IF(G4313&lt;$H$10,$H$16,IF(G4313&gt;$I$10,$H$16,$H$11))*E4313/600</f>
        <v>6.5374098533333327E-2</v>
      </c>
      <c r="L4313" s="32">
        <f>$J4313*($G4313-$G4312)*60*24</f>
        <v>6.5374098533333092E-2</v>
      </c>
    </row>
    <row r="4314" spans="1:12">
      <c r="A4314" s="22">
        <v>40313.62777777778</v>
      </c>
      <c r="E4314" s="26">
        <v>178.22775999999999</v>
      </c>
      <c r="G4314" s="27">
        <v>0.62777777777777777</v>
      </c>
      <c r="J4314" s="30">
        <f>IF(G4314&lt;$H$10,$H$16,IF(G4314&gt;$I$10,$H$16,$H$11))*E4314/600</f>
        <v>6.5350178666666661E-2</v>
      </c>
      <c r="L4314" s="32">
        <f>$J4314*($G4314-$G4313)*60*24</f>
        <v>6.5350178666666425E-2</v>
      </c>
    </row>
    <row r="4315" spans="1:12">
      <c r="A4315" s="22">
        <v>40313.628472222219</v>
      </c>
      <c r="E4315" s="26">
        <v>177.666674</v>
      </c>
      <c r="G4315" s="27">
        <v>0.62847222222222221</v>
      </c>
      <c r="J4315" s="30">
        <f>IF(G4315&lt;$H$10,$H$16,IF(G4315&gt;$I$10,$H$16,$H$11))*E4315/600</f>
        <v>6.5144447133333325E-2</v>
      </c>
      <c r="L4315" s="32">
        <f>$J4315*($G4315-$G4314)*60*24</f>
        <v>6.5144447133333089E-2</v>
      </c>
    </row>
    <row r="4316" spans="1:12">
      <c r="A4316" s="22">
        <v>40313.629166666666</v>
      </c>
      <c r="E4316" s="26">
        <v>179.82143600000001</v>
      </c>
      <c r="G4316" s="27">
        <v>0.62916666666666665</v>
      </c>
      <c r="J4316" s="30">
        <f>IF(G4316&lt;$H$10,$H$16,IF(G4316&gt;$I$10,$H$16,$H$11))*E4316/600</f>
        <v>6.5934526533333329E-2</v>
      </c>
      <c r="L4316" s="32">
        <f>$J4316*($G4316-$G4315)*60*24</f>
        <v>6.5934526533333093E-2</v>
      </c>
    </row>
    <row r="4317" spans="1:12">
      <c r="A4317" s="22">
        <v>40313.629861111112</v>
      </c>
      <c r="E4317" s="26">
        <v>178.42393799999999</v>
      </c>
      <c r="G4317" s="27">
        <v>0.62986111111111109</v>
      </c>
      <c r="J4317" s="30">
        <f>IF(G4317&lt;$H$10,$H$16,IF(G4317&gt;$I$10,$H$16,$H$11))*E4317/600</f>
        <v>6.54221106E-2</v>
      </c>
      <c r="L4317" s="32">
        <f>$J4317*($G4317-$G4316)*60*24</f>
        <v>6.5422110599999764E-2</v>
      </c>
    </row>
    <row r="4318" spans="1:12">
      <c r="A4318" s="22">
        <v>40313.630555555559</v>
      </c>
      <c r="E4318" s="26">
        <v>179.2251</v>
      </c>
      <c r="G4318" s="27">
        <v>0.63055555555555554</v>
      </c>
      <c r="J4318" s="30">
        <f>IF(G4318&lt;$H$10,$H$16,IF(G4318&gt;$I$10,$H$16,$H$11))*E4318/600</f>
        <v>6.5715869999999996E-2</v>
      </c>
      <c r="L4318" s="32">
        <f>$J4318*($G4318-$G4317)*60*24</f>
        <v>6.571586999999976E-2</v>
      </c>
    </row>
    <row r="4319" spans="1:12">
      <c r="A4319" s="22">
        <v>40313.631249999999</v>
      </c>
      <c r="E4319" s="26">
        <v>180.337872</v>
      </c>
      <c r="G4319" s="27">
        <v>0.63124999999999998</v>
      </c>
      <c r="J4319" s="30">
        <f>IF(G4319&lt;$H$10,$H$16,IF(G4319&gt;$I$10,$H$16,$H$11))*E4319/600</f>
        <v>6.6123886399999998E-2</v>
      </c>
      <c r="L4319" s="32">
        <f>$J4319*($G4319-$G4318)*60*24</f>
        <v>6.6123886399999762E-2</v>
      </c>
    </row>
    <row r="4320" spans="1:12">
      <c r="A4320" s="22">
        <v>40313.631944444445</v>
      </c>
      <c r="E4320" s="26">
        <v>180.015264</v>
      </c>
      <c r="G4320" s="27">
        <v>0.63194444444444442</v>
      </c>
      <c r="J4320" s="30">
        <f>IF(G4320&lt;$H$10,$H$16,IF(G4320&gt;$I$10,$H$16,$H$11))*E4320/600</f>
        <v>6.6005596799999997E-2</v>
      </c>
      <c r="L4320" s="32">
        <f>$J4320*($G4320-$G4319)*60*24</f>
        <v>6.6005596799999761E-2</v>
      </c>
    </row>
    <row r="4321" spans="1:12">
      <c r="A4321" s="22">
        <v>40313.632638888892</v>
      </c>
      <c r="E4321" s="26">
        <v>178.65639999999999</v>
      </c>
      <c r="G4321" s="27">
        <v>0.63263888888888886</v>
      </c>
      <c r="J4321" s="30">
        <f>IF(G4321&lt;$H$10,$H$16,IF(G4321&gt;$I$10,$H$16,$H$11))*E4321/600</f>
        <v>6.550734666666666E-2</v>
      </c>
      <c r="L4321" s="32">
        <f>$J4321*($G4321-$G4320)*60*24</f>
        <v>6.5507346666666424E-2</v>
      </c>
    </row>
    <row r="4322" spans="1:12">
      <c r="A4322" s="22">
        <v>40313.633333333331</v>
      </c>
      <c r="E4322" s="26">
        <v>178.714304</v>
      </c>
      <c r="G4322" s="27">
        <v>0.6333333333333333</v>
      </c>
      <c r="J4322" s="30">
        <f>IF(G4322&lt;$H$10,$H$16,IF(G4322&gt;$I$10,$H$16,$H$11))*E4322/600</f>
        <v>6.5528578133333334E-2</v>
      </c>
      <c r="L4322" s="32">
        <f>$J4322*($G4322-$G4321)*60*24</f>
        <v>6.5528578133333099E-2</v>
      </c>
    </row>
    <row r="4323" spans="1:12">
      <c r="A4323" s="22">
        <v>40313.634027777778</v>
      </c>
      <c r="E4323" s="26">
        <v>178.82325</v>
      </c>
      <c r="G4323" s="27">
        <v>0.63402777777777775</v>
      </c>
      <c r="J4323" s="30">
        <f>IF(G4323&lt;$H$10,$H$16,IF(G4323&gt;$I$10,$H$16,$H$11))*E4323/600</f>
        <v>6.5568525000000003E-2</v>
      </c>
      <c r="L4323" s="32">
        <f>$J4323*($G4323-$G4322)*60*24</f>
        <v>6.556852499999978E-2</v>
      </c>
    </row>
    <row r="4324" spans="1:12">
      <c r="A4324" s="22">
        <v>40313.634722222225</v>
      </c>
      <c r="E4324" s="26">
        <v>155.10418000000001</v>
      </c>
      <c r="G4324" s="27">
        <v>0.63472222222222219</v>
      </c>
      <c r="J4324" s="30">
        <f>IF(G4324&lt;$H$10,$H$16,IF(G4324&gt;$I$10,$H$16,$H$11))*E4324/600</f>
        <v>5.6871532666666669E-2</v>
      </c>
      <c r="L4324" s="32">
        <f>$J4324*($G4324-$G4323)*60*24</f>
        <v>5.6871532666666468E-2</v>
      </c>
    </row>
    <row r="4325" spans="1:12">
      <c r="A4325" s="22">
        <v>40313.635416666664</v>
      </c>
      <c r="E4325" s="26">
        <v>152.08851200000001</v>
      </c>
      <c r="G4325" s="27">
        <v>0.63541666666666663</v>
      </c>
      <c r="J4325" s="30">
        <f>IF(G4325&lt;$H$10,$H$16,IF(G4325&gt;$I$10,$H$16,$H$11))*E4325/600</f>
        <v>5.5765787733333336E-2</v>
      </c>
      <c r="L4325" s="32">
        <f>$J4325*($G4325-$G4324)*60*24</f>
        <v>5.5765787733333141E-2</v>
      </c>
    </row>
    <row r="4326" spans="1:12">
      <c r="A4326" s="22">
        <v>40313.636111111111</v>
      </c>
      <c r="E4326" s="26">
        <v>151.57597999999999</v>
      </c>
      <c r="G4326" s="27">
        <v>0.63611111111111118</v>
      </c>
      <c r="J4326" s="30">
        <f>IF(G4326&lt;$H$10,$H$16,IF(G4326&gt;$I$10,$H$16,$H$11))*E4326/600</f>
        <v>5.5577859333333327E-2</v>
      </c>
      <c r="L4326" s="32">
        <f>$J4326*($G4326-$G4325)*60*24</f>
        <v>5.5577859333342014E-2</v>
      </c>
    </row>
    <row r="4327" spans="1:12">
      <c r="A4327" s="22">
        <v>40313.636805555558</v>
      </c>
      <c r="E4327" s="26">
        <v>151.585272</v>
      </c>
      <c r="G4327" s="27">
        <v>0.63680555555555551</v>
      </c>
      <c r="J4327" s="30">
        <f>IF(G4327&lt;$H$10,$H$16,IF(G4327&gt;$I$10,$H$16,$H$11))*E4327/600</f>
        <v>5.5581266400000003E-2</v>
      </c>
      <c r="L4327" s="32">
        <f>$J4327*($G4327-$G4326)*60*24</f>
        <v>5.558126639999092E-2</v>
      </c>
    </row>
    <row r="4328" spans="1:12">
      <c r="A4328" s="22">
        <v>40313.637499999997</v>
      </c>
      <c r="E4328" s="26">
        <v>151.90350000000001</v>
      </c>
      <c r="G4328" s="27">
        <v>0.63750000000000007</v>
      </c>
      <c r="J4328" s="30">
        <f>IF(G4328&lt;$H$10,$H$16,IF(G4328&gt;$I$10,$H$16,$H$11))*E4328/600</f>
        <v>5.5697950000000003E-2</v>
      </c>
      <c r="L4328" s="32">
        <f>$J4328*($G4328-$G4327)*60*24</f>
        <v>5.5697950000008704E-2</v>
      </c>
    </row>
    <row r="4329" spans="1:12">
      <c r="A4329" s="22">
        <v>40313.638194444444</v>
      </c>
      <c r="E4329" s="26">
        <v>153.024888</v>
      </c>
      <c r="G4329" s="27">
        <v>0.6381944444444444</v>
      </c>
      <c r="J4329" s="30">
        <f>IF(G4329&lt;$H$10,$H$16,IF(G4329&gt;$I$10,$H$16,$H$11))*E4329/600</f>
        <v>5.6109125600000004E-2</v>
      </c>
      <c r="L4329" s="32">
        <f>$J4329*($G4329-$G4328)*60*24</f>
        <v>5.6109125599990838E-2</v>
      </c>
    </row>
    <row r="4330" spans="1:12">
      <c r="A4330" s="22">
        <v>40313.638888888891</v>
      </c>
      <c r="E4330" s="26">
        <v>152.07820799999999</v>
      </c>
      <c r="G4330" s="27">
        <v>0.63888888888888895</v>
      </c>
      <c r="J4330" s="30">
        <f>IF(G4330&lt;$H$10,$H$16,IF(G4330&gt;$I$10,$H$16,$H$11))*E4330/600</f>
        <v>5.5762009600000002E-2</v>
      </c>
      <c r="L4330" s="32">
        <f>$J4330*($G4330-$G4329)*60*24</f>
        <v>5.5762009600008718E-2</v>
      </c>
    </row>
    <row r="4331" spans="1:12">
      <c r="A4331" s="22">
        <v>40313.63958333333</v>
      </c>
      <c r="E4331" s="26">
        <v>151.94030000000001</v>
      </c>
      <c r="G4331" s="27">
        <v>0.63958333333333328</v>
      </c>
      <c r="J4331" s="30">
        <f>IF(G4331&lt;$H$10,$H$16,IF(G4331&gt;$I$10,$H$16,$H$11))*E4331/600</f>
        <v>5.5711443333333339E-2</v>
      </c>
      <c r="L4331" s="32">
        <f>$J4331*($G4331-$G4330)*60*24</f>
        <v>5.5711443333324229E-2</v>
      </c>
    </row>
    <row r="4332" spans="1:12">
      <c r="A4332" s="22">
        <v>40313.640277777777</v>
      </c>
      <c r="E4332" s="26">
        <v>152.085384</v>
      </c>
      <c r="G4332" s="27">
        <v>0.64027777777777783</v>
      </c>
      <c r="J4332" s="30">
        <f>IF(G4332&lt;$H$10,$H$16,IF(G4332&gt;$I$10,$H$16,$H$11))*E4332/600</f>
        <v>5.5764640799999994E-2</v>
      </c>
      <c r="L4332" s="32">
        <f>$J4332*($G4332-$G4331)*60*24</f>
        <v>5.5764640800008716E-2</v>
      </c>
    </row>
    <row r="4333" spans="1:12">
      <c r="A4333" s="22">
        <v>40313.640972222223</v>
      </c>
      <c r="E4333" s="26">
        <v>152.37270000000001</v>
      </c>
      <c r="G4333" s="27">
        <v>0.64097222222222217</v>
      </c>
      <c r="J4333" s="30">
        <f>IF(G4333&lt;$H$10,$H$16,IF(G4333&gt;$I$10,$H$16,$H$11))*E4333/600</f>
        <v>5.5869990000000001E-2</v>
      </c>
      <c r="L4333" s="32">
        <f>$J4333*($G4333-$G4332)*60*24</f>
        <v>5.5869989999990877E-2</v>
      </c>
    </row>
    <row r="4334" spans="1:12">
      <c r="A4334" s="22">
        <v>40313.64166666667</v>
      </c>
      <c r="E4334" s="26">
        <v>152.1542</v>
      </c>
      <c r="G4334" s="27">
        <v>0.64166666666666672</v>
      </c>
      <c r="J4334" s="30">
        <f>IF(G4334&lt;$H$10,$H$16,IF(G4334&gt;$I$10,$H$16,$H$11))*E4334/600</f>
        <v>5.5789873333333337E-2</v>
      </c>
      <c r="L4334" s="32">
        <f>$J4334*($G4334-$G4333)*60*24</f>
        <v>5.5789873333342059E-2</v>
      </c>
    </row>
    <row r="4335" spans="1:12">
      <c r="A4335" s="22">
        <v>40313.642361111109</v>
      </c>
      <c r="E4335" s="26">
        <v>152.16432</v>
      </c>
      <c r="G4335" s="27">
        <v>0.64236111111111105</v>
      </c>
      <c r="J4335" s="30">
        <f>IF(G4335&lt;$H$10,$H$16,IF(G4335&gt;$I$10,$H$16,$H$11))*E4335/600</f>
        <v>5.5793584E-2</v>
      </c>
      <c r="L4335" s="32">
        <f>$J4335*($G4335-$G4334)*60*24</f>
        <v>5.5793583999990883E-2</v>
      </c>
    </row>
    <row r="4336" spans="1:12">
      <c r="A4336" s="22">
        <v>40313.643055555556</v>
      </c>
      <c r="E4336" s="26">
        <v>152.242704</v>
      </c>
      <c r="G4336" s="27">
        <v>0.6430555555555556</v>
      </c>
      <c r="J4336" s="30">
        <f>IF(G4336&lt;$H$10,$H$16,IF(G4336&gt;$I$10,$H$16,$H$11))*E4336/600</f>
        <v>5.5822324800000003E-2</v>
      </c>
      <c r="L4336" s="32">
        <f>$J4336*($G4336-$G4335)*60*24</f>
        <v>5.5822324800008732E-2</v>
      </c>
    </row>
    <row r="4337" spans="1:12">
      <c r="A4337" s="22">
        <v>40313.643750000003</v>
      </c>
      <c r="E4337" s="26">
        <v>152.33433600000001</v>
      </c>
      <c r="G4337" s="27">
        <v>0.64374999999999993</v>
      </c>
      <c r="J4337" s="30">
        <f>IF(G4337&lt;$H$10,$H$16,IF(G4337&gt;$I$10,$H$16,$H$11))*E4337/600</f>
        <v>5.5855923199999997E-2</v>
      </c>
      <c r="L4337" s="32">
        <f>$J4337*($G4337-$G4336)*60*24</f>
        <v>5.5855923199990873E-2</v>
      </c>
    </row>
    <row r="4338" spans="1:12">
      <c r="A4338" s="22">
        <v>40313.644444444442</v>
      </c>
      <c r="E4338" s="26">
        <v>154.55080000000001</v>
      </c>
      <c r="G4338" s="27">
        <v>0.64444444444444449</v>
      </c>
      <c r="J4338" s="30">
        <f>IF(G4338&lt;$H$10,$H$16,IF(G4338&gt;$I$10,$H$16,$H$11))*E4338/600</f>
        <v>5.6668626666666666E-2</v>
      </c>
      <c r="L4338" s="32">
        <f>$J4338*($G4338-$G4337)*60*24</f>
        <v>5.666862666667552E-2</v>
      </c>
    </row>
    <row r="4339" spans="1:12">
      <c r="A4339" s="22">
        <v>40313.645138888889</v>
      </c>
      <c r="E4339" s="26">
        <v>154.229536</v>
      </c>
      <c r="G4339" s="27">
        <v>0.64513888888888882</v>
      </c>
      <c r="J4339" s="30">
        <f>IF(G4339&lt;$H$10,$H$16,IF(G4339&gt;$I$10,$H$16,$H$11))*E4339/600</f>
        <v>5.6550829866666666E-2</v>
      </c>
      <c r="L4339" s="32">
        <f>$J4339*($G4339-$G4338)*60*24</f>
        <v>5.655082986665743E-2</v>
      </c>
    </row>
    <row r="4340" spans="1:12">
      <c r="A4340" s="22">
        <v>40313.645833333336</v>
      </c>
      <c r="E4340" s="26">
        <v>156.27708799999999</v>
      </c>
      <c r="G4340" s="27">
        <v>0.64583333333333337</v>
      </c>
      <c r="J4340" s="30">
        <f>IF(G4340&lt;$H$10,$H$16,IF(G4340&gt;$I$10,$H$16,$H$11))*E4340/600</f>
        <v>5.7301598933333329E-2</v>
      </c>
      <c r="L4340" s="32">
        <f>$J4340*($G4340-$G4339)*60*24</f>
        <v>5.7301598933342288E-2</v>
      </c>
    </row>
    <row r="4341" spans="1:12">
      <c r="A4341" s="22">
        <v>40313.646527777775</v>
      </c>
      <c r="E4341" s="26">
        <v>157.80024</v>
      </c>
      <c r="G4341" s="27">
        <v>0.64652777777777781</v>
      </c>
      <c r="J4341" s="30">
        <f>IF(G4341&lt;$H$10,$H$16,IF(G4341&gt;$I$10,$H$16,$H$11))*E4341/600</f>
        <v>5.7860087999999997E-2</v>
      </c>
      <c r="L4341" s="32">
        <f>$J4341*($G4341-$G4340)*60*24</f>
        <v>5.7860087999999789E-2</v>
      </c>
    </row>
    <row r="4342" spans="1:12">
      <c r="A4342" s="22">
        <v>40313.647222222222</v>
      </c>
      <c r="E4342" s="26">
        <v>157.31126</v>
      </c>
      <c r="G4342" s="27">
        <v>0.64722222222222225</v>
      </c>
      <c r="J4342" s="30">
        <f>IF(G4342&lt;$H$10,$H$16,IF(G4342&gt;$I$10,$H$16,$H$11))*E4342/600</f>
        <v>5.768079533333334E-2</v>
      </c>
      <c r="L4342" s="32">
        <f>$J4342*($G4342-$G4341)*60*24</f>
        <v>5.7680795333333139E-2</v>
      </c>
    </row>
    <row r="4343" spans="1:12">
      <c r="A4343" s="22">
        <v>40313.647916666669</v>
      </c>
      <c r="E4343" s="26">
        <v>163.250451</v>
      </c>
      <c r="G4343" s="27">
        <v>0.6479166666666667</v>
      </c>
      <c r="J4343" s="30">
        <f>IF(G4343&lt;$H$10,$H$16,IF(G4343&gt;$I$10,$H$16,$H$11))*E4343/600</f>
        <v>5.9858498700000005E-2</v>
      </c>
      <c r="L4343" s="32">
        <f>$J4343*($G4343-$G4342)*60*24</f>
        <v>5.9858498699999797E-2</v>
      </c>
    </row>
    <row r="4344" spans="1:12">
      <c r="A4344" s="22">
        <v>40313.648611111108</v>
      </c>
      <c r="E4344" s="26">
        <v>166.11667800000001</v>
      </c>
      <c r="G4344" s="27">
        <v>0.64861111111111114</v>
      </c>
      <c r="J4344" s="30">
        <f>IF(G4344&lt;$H$10,$H$16,IF(G4344&gt;$I$10,$H$16,$H$11))*E4344/600</f>
        <v>6.0909448600000006E-2</v>
      </c>
      <c r="L4344" s="32">
        <f>$J4344*($G4344-$G4343)*60*24</f>
        <v>6.0909448599999791E-2</v>
      </c>
    </row>
    <row r="4345" spans="1:12">
      <c r="A4345" s="22">
        <v>40313.649305555555</v>
      </c>
      <c r="E4345" s="26">
        <v>170.49690000000001</v>
      </c>
      <c r="G4345" s="27">
        <v>0.64930555555555558</v>
      </c>
      <c r="J4345" s="30">
        <f>IF(G4345&lt;$H$10,$H$16,IF(G4345&gt;$I$10,$H$16,$H$11))*E4345/600</f>
        <v>6.251553E-2</v>
      </c>
      <c r="L4345" s="32">
        <f>$J4345*($G4345-$G4344)*60*24</f>
        <v>6.2515529999999778E-2</v>
      </c>
    </row>
    <row r="4346" spans="1:12">
      <c r="A4346" s="22">
        <v>40313.65</v>
      </c>
      <c r="E4346" s="26">
        <v>170.6157</v>
      </c>
      <c r="G4346" s="27">
        <v>0.65</v>
      </c>
      <c r="J4346" s="30">
        <f>IF(G4346&lt;$H$10,$H$16,IF(G4346&gt;$I$10,$H$16,$H$11))*E4346/600</f>
        <v>6.2559089999999998E-2</v>
      </c>
      <c r="L4346" s="32">
        <f>$J4346*($G4346-$G4345)*60*24</f>
        <v>6.2559089999999776E-2</v>
      </c>
    </row>
    <row r="4347" spans="1:12">
      <c r="A4347" s="22">
        <v>40313.650694444441</v>
      </c>
      <c r="E4347" s="26">
        <v>172.55037799999999</v>
      </c>
      <c r="G4347" s="27">
        <v>0.65069444444444446</v>
      </c>
      <c r="J4347" s="30">
        <f>IF(G4347&lt;$H$10,$H$16,IF(G4347&gt;$I$10,$H$16,$H$11))*E4347/600</f>
        <v>6.3268471933333334E-2</v>
      </c>
      <c r="L4347" s="32">
        <f>$J4347*($G4347-$G4346)*60*24</f>
        <v>6.3268471933333098E-2</v>
      </c>
    </row>
    <row r="4348" spans="1:12">
      <c r="A4348" s="22">
        <v>40313.651388888888</v>
      </c>
      <c r="E4348" s="26">
        <v>174.829746</v>
      </c>
      <c r="G4348" s="27">
        <v>0.65138888888888891</v>
      </c>
      <c r="J4348" s="30">
        <f>IF(G4348&lt;$H$10,$H$16,IF(G4348&gt;$I$10,$H$16,$H$11))*E4348/600</f>
        <v>6.4104240199999996E-2</v>
      </c>
      <c r="L4348" s="32">
        <f>$J4348*($G4348-$G4347)*60*24</f>
        <v>6.410424019999976E-2</v>
      </c>
    </row>
    <row r="4349" spans="1:12">
      <c r="A4349" s="22">
        <v>40313.652083333334</v>
      </c>
      <c r="E4349" s="26">
        <v>169.045604</v>
      </c>
      <c r="G4349" s="27">
        <v>0.65208333333333335</v>
      </c>
      <c r="J4349" s="30">
        <f>IF(G4349&lt;$H$10,$H$16,IF(G4349&gt;$I$10,$H$16,$H$11))*E4349/600</f>
        <v>6.1983388133333331E-2</v>
      </c>
      <c r="L4349" s="32">
        <f>$J4349*($G4349-$G4348)*60*24</f>
        <v>6.1983388133333109E-2</v>
      </c>
    </row>
    <row r="4350" spans="1:12">
      <c r="A4350" s="22">
        <v>40313.652777777781</v>
      </c>
      <c r="E4350" s="26">
        <v>161.15499399999999</v>
      </c>
      <c r="G4350" s="27">
        <v>0.65277777777777779</v>
      </c>
      <c r="J4350" s="30">
        <f>IF(G4350&lt;$H$10,$H$16,IF(G4350&gt;$I$10,$H$16,$H$11))*E4350/600</f>
        <v>5.9090164466666657E-2</v>
      </c>
      <c r="L4350" s="32">
        <f>$J4350*($G4350-$G4349)*60*24</f>
        <v>5.9090164466666442E-2</v>
      </c>
    </row>
    <row r="4351" spans="1:12">
      <c r="A4351" s="22">
        <v>40313.65347222222</v>
      </c>
      <c r="E4351" s="26">
        <v>171.49444</v>
      </c>
      <c r="G4351" s="27">
        <v>0.65347222222222223</v>
      </c>
      <c r="J4351" s="30">
        <f>IF(G4351&lt;$H$10,$H$16,IF(G4351&gt;$I$10,$H$16,$H$11))*E4351/600</f>
        <v>6.2881294666666671E-2</v>
      </c>
      <c r="L4351" s="32">
        <f>$J4351*($G4351-$G4350)*60*24</f>
        <v>6.2881294666666449E-2</v>
      </c>
    </row>
    <row r="4352" spans="1:12">
      <c r="A4352" s="22">
        <v>40313.654166666667</v>
      </c>
      <c r="E4352" s="26">
        <v>161.71054899999999</v>
      </c>
      <c r="G4352" s="27">
        <v>0.65416666666666667</v>
      </c>
      <c r="J4352" s="30">
        <f>IF(G4352&lt;$H$10,$H$16,IF(G4352&gt;$I$10,$H$16,$H$11))*E4352/600</f>
        <v>5.9293867966666663E-2</v>
      </c>
      <c r="L4352" s="32">
        <f>$J4352*($G4352-$G4351)*60*24</f>
        <v>5.9293867966666455E-2</v>
      </c>
    </row>
    <row r="4353" spans="1:12">
      <c r="A4353" s="22">
        <v>40313.654861111114</v>
      </c>
      <c r="E4353" s="26">
        <v>160.51817600000001</v>
      </c>
      <c r="G4353" s="27">
        <v>0.65486111111111112</v>
      </c>
      <c r="J4353" s="30">
        <f>IF(G4353&lt;$H$10,$H$16,IF(G4353&gt;$I$10,$H$16,$H$11))*E4353/600</f>
        <v>5.8856664533333332E-2</v>
      </c>
      <c r="L4353" s="32">
        <f>$J4353*($G4353-$G4352)*60*24</f>
        <v>5.8856664533333131E-2</v>
      </c>
    </row>
    <row r="4354" spans="1:12">
      <c r="A4354" s="22">
        <v>40313.655555555553</v>
      </c>
      <c r="E4354" s="26">
        <v>160.490512</v>
      </c>
      <c r="G4354" s="27">
        <v>0.65555555555555556</v>
      </c>
      <c r="J4354" s="30">
        <f>IF(G4354&lt;$H$10,$H$16,IF(G4354&gt;$I$10,$H$16,$H$11))*E4354/600</f>
        <v>5.8846521066666664E-2</v>
      </c>
      <c r="L4354" s="32">
        <f>$J4354*($G4354-$G4353)*60*24</f>
        <v>5.8846521066666456E-2</v>
      </c>
    </row>
    <row r="4355" spans="1:12">
      <c r="A4355" s="22">
        <v>40313.65625</v>
      </c>
      <c r="E4355" s="26">
        <v>158.76242199999999</v>
      </c>
      <c r="G4355" s="27">
        <v>0.65625</v>
      </c>
      <c r="J4355" s="30">
        <f>IF(G4355&lt;$H$10,$H$16,IF(G4355&gt;$I$10,$H$16,$H$11))*E4355/600</f>
        <v>5.8212888066666663E-2</v>
      </c>
      <c r="L4355" s="32">
        <f>$J4355*($G4355-$G4354)*60*24</f>
        <v>5.8212888066666454E-2</v>
      </c>
    </row>
    <row r="4356" spans="1:12">
      <c r="A4356" s="22">
        <v>40313.656944444447</v>
      </c>
      <c r="E4356" s="26">
        <v>158.27175</v>
      </c>
      <c r="G4356" s="27">
        <v>0.65694444444444444</v>
      </c>
      <c r="J4356" s="30">
        <f>IF(G4356&lt;$H$10,$H$16,IF(G4356&gt;$I$10,$H$16,$H$11))*E4356/600</f>
        <v>5.8032975000000007E-2</v>
      </c>
      <c r="L4356" s="32">
        <f>$J4356*($G4356-$G4355)*60*24</f>
        <v>5.8032974999999799E-2</v>
      </c>
    </row>
    <row r="4357" spans="1:12">
      <c r="A4357" s="22">
        <v>40313.657638888886</v>
      </c>
      <c r="E4357" s="26">
        <v>157.24281300000001</v>
      </c>
      <c r="G4357" s="27">
        <v>0.65763888888888888</v>
      </c>
      <c r="J4357" s="30">
        <f>IF(G4357&lt;$H$10,$H$16,IF(G4357&gt;$I$10,$H$16,$H$11))*E4357/600</f>
        <v>5.76556981E-2</v>
      </c>
      <c r="L4357" s="32">
        <f>$J4357*($G4357-$G4356)*60*24</f>
        <v>5.7655698099999791E-2</v>
      </c>
    </row>
    <row r="4358" spans="1:12">
      <c r="A4358" s="22">
        <v>40313.658333333333</v>
      </c>
      <c r="E4358" s="26">
        <v>156.73967400000001</v>
      </c>
      <c r="G4358" s="27">
        <v>0.65833333333333333</v>
      </c>
      <c r="J4358" s="30">
        <f>IF(G4358&lt;$H$10,$H$16,IF(G4358&gt;$I$10,$H$16,$H$11))*E4358/600</f>
        <v>5.7471213800000004E-2</v>
      </c>
      <c r="L4358" s="32">
        <f>$J4358*($G4358-$G4357)*60*24</f>
        <v>5.7471213799999796E-2</v>
      </c>
    </row>
    <row r="4359" spans="1:12">
      <c r="A4359" s="22">
        <v>40313.65902777778</v>
      </c>
      <c r="E4359" s="26">
        <v>156.42445000000001</v>
      </c>
      <c r="G4359" s="27">
        <v>0.65902777777777777</v>
      </c>
      <c r="J4359" s="30">
        <f>IF(G4359&lt;$H$10,$H$16,IF(G4359&gt;$I$10,$H$16,$H$11))*E4359/600</f>
        <v>5.7355631666666664E-2</v>
      </c>
      <c r="L4359" s="32">
        <f>$J4359*($G4359-$G4358)*60*24</f>
        <v>5.7355631666666455E-2</v>
      </c>
    </row>
    <row r="4360" spans="1:12">
      <c r="A4360" s="22">
        <v>40313.659722222219</v>
      </c>
      <c r="E4360" s="26">
        <v>156.90875199999999</v>
      </c>
      <c r="G4360" s="27">
        <v>0.65972222222222221</v>
      </c>
      <c r="J4360" s="30">
        <f>IF(G4360&lt;$H$10,$H$16,IF(G4360&gt;$I$10,$H$16,$H$11))*E4360/600</f>
        <v>5.7533209066666667E-2</v>
      </c>
      <c r="L4360" s="32">
        <f>$J4360*($G4360-$G4359)*60*24</f>
        <v>5.7533209066666466E-2</v>
      </c>
    </row>
    <row r="4361" spans="1:12">
      <c r="A4361" s="22">
        <v>40313.660416666666</v>
      </c>
      <c r="E4361" s="26">
        <v>157.30269100000001</v>
      </c>
      <c r="G4361" s="27">
        <v>0.66041666666666665</v>
      </c>
      <c r="J4361" s="30">
        <f>IF(G4361&lt;$H$10,$H$16,IF(G4361&gt;$I$10,$H$16,$H$11))*E4361/600</f>
        <v>5.7677653366666665E-2</v>
      </c>
      <c r="L4361" s="32">
        <f>$J4361*($G4361-$G4360)*60*24</f>
        <v>5.7677653366666463E-2</v>
      </c>
    </row>
    <row r="4362" spans="1:12">
      <c r="A4362" s="22">
        <v>40313.661111111112</v>
      </c>
      <c r="E4362" s="26">
        <v>156.81756999999999</v>
      </c>
      <c r="G4362" s="27">
        <v>0.66111111111111109</v>
      </c>
      <c r="J4362" s="30">
        <f>IF(G4362&lt;$H$10,$H$16,IF(G4362&gt;$I$10,$H$16,$H$11))*E4362/600</f>
        <v>5.7499775666666662E-2</v>
      </c>
      <c r="L4362" s="32">
        <f>$J4362*($G4362-$G4361)*60*24</f>
        <v>5.7499775666666447E-2</v>
      </c>
    </row>
    <row r="4363" spans="1:12">
      <c r="A4363" s="22">
        <v>40313.661805555559</v>
      </c>
      <c r="E4363" s="26">
        <v>158.24294399999999</v>
      </c>
      <c r="G4363" s="27">
        <v>0.66180555555555554</v>
      </c>
      <c r="J4363" s="30">
        <f>IF(G4363&lt;$H$10,$H$16,IF(G4363&gt;$I$10,$H$16,$H$11))*E4363/600</f>
        <v>5.8022412799999992E-2</v>
      </c>
      <c r="L4363" s="32">
        <f>$J4363*($G4363-$G4362)*60*24</f>
        <v>5.8022412799999784E-2</v>
      </c>
    </row>
    <row r="4364" spans="1:12">
      <c r="A4364" s="22">
        <v>40313.662499999999</v>
      </c>
      <c r="E4364" s="26">
        <v>155.51718</v>
      </c>
      <c r="G4364" s="27">
        <v>0.66249999999999998</v>
      </c>
      <c r="J4364" s="30">
        <f>IF(G4364&lt;$H$10,$H$16,IF(G4364&gt;$I$10,$H$16,$H$11))*E4364/600</f>
        <v>5.7022966000000001E-2</v>
      </c>
      <c r="L4364" s="32">
        <f>$J4364*($G4364-$G4363)*60*24</f>
        <v>5.70229659999998E-2</v>
      </c>
    </row>
    <row r="4365" spans="1:12">
      <c r="A4365" s="22">
        <v>40313.663194444445</v>
      </c>
      <c r="E4365" s="26">
        <v>155.47404599999999</v>
      </c>
      <c r="G4365" s="27">
        <v>0.66319444444444442</v>
      </c>
      <c r="J4365" s="30">
        <f>IF(G4365&lt;$H$10,$H$16,IF(G4365&gt;$I$10,$H$16,$H$11))*E4365/600</f>
        <v>5.7007150199999995E-2</v>
      </c>
      <c r="L4365" s="32">
        <f>$J4365*($G4365-$G4364)*60*24</f>
        <v>5.7007150199999787E-2</v>
      </c>
    </row>
    <row r="4366" spans="1:12">
      <c r="A4366" s="22">
        <v>40313.663888888892</v>
      </c>
      <c r="E4366" s="26">
        <v>157.71559999999999</v>
      </c>
      <c r="G4366" s="27">
        <v>0.66388888888888886</v>
      </c>
      <c r="J4366" s="30">
        <f>IF(G4366&lt;$H$10,$H$16,IF(G4366&gt;$I$10,$H$16,$H$11))*E4366/600</f>
        <v>5.7829053333333331E-2</v>
      </c>
      <c r="L4366" s="32">
        <f>$J4366*($G4366-$G4365)*60*24</f>
        <v>5.7829053333333123E-2</v>
      </c>
    </row>
    <row r="4367" spans="1:12">
      <c r="A4367" s="22">
        <v>40313.664583333331</v>
      </c>
      <c r="E4367" s="26">
        <v>155.22825499999999</v>
      </c>
      <c r="G4367" s="27">
        <v>0.6645833333333333</v>
      </c>
      <c r="J4367" s="30">
        <f>IF(G4367&lt;$H$10,$H$16,IF(G4367&gt;$I$10,$H$16,$H$11))*E4367/600</f>
        <v>5.6917026833333335E-2</v>
      </c>
      <c r="L4367" s="32">
        <f>$J4367*($G4367-$G4366)*60*24</f>
        <v>5.6917026833333134E-2</v>
      </c>
    </row>
    <row r="4368" spans="1:12">
      <c r="A4368" s="22">
        <v>40313.665277777778</v>
      </c>
      <c r="E4368" s="26">
        <v>155.24454399999999</v>
      </c>
      <c r="G4368" s="27">
        <v>0.66527777777777775</v>
      </c>
      <c r="J4368" s="30">
        <f>IF(G4368&lt;$H$10,$H$16,IF(G4368&gt;$I$10,$H$16,$H$11))*E4368/600</f>
        <v>5.6922999466666666E-2</v>
      </c>
      <c r="L4368" s="32">
        <f>$J4368*($G4368-$G4367)*60*24</f>
        <v>5.6922999466666464E-2</v>
      </c>
    </row>
    <row r="4369" spans="1:12">
      <c r="A4369" s="22">
        <v>40313.665972222225</v>
      </c>
      <c r="E4369" s="26">
        <v>157.293136</v>
      </c>
      <c r="G4369" s="27">
        <v>0.66597222222222219</v>
      </c>
      <c r="J4369" s="30">
        <f>IF(G4369&lt;$H$10,$H$16,IF(G4369&gt;$I$10,$H$16,$H$11))*E4369/600</f>
        <v>5.7674149866666663E-2</v>
      </c>
      <c r="L4369" s="32">
        <f>$J4369*($G4369-$G4368)*60*24</f>
        <v>5.7674149866666455E-2</v>
      </c>
    </row>
    <row r="4370" spans="1:12">
      <c r="A4370" s="22">
        <v>40313.666666666664</v>
      </c>
      <c r="E4370" s="26">
        <v>158.05554000000001</v>
      </c>
      <c r="G4370" s="27">
        <v>0.66666666666666663</v>
      </c>
      <c r="J4370" s="30">
        <f>IF(G4370&lt;$H$10,$H$16,IF(G4370&gt;$I$10,$H$16,$H$11))*E4370/600</f>
        <v>5.7953698000000005E-2</v>
      </c>
      <c r="L4370" s="32">
        <f>$J4370*($G4370-$G4369)*60*24</f>
        <v>5.7953697999999804E-2</v>
      </c>
    </row>
    <row r="4371" spans="1:12">
      <c r="A4371" s="22">
        <v>40313.667361111111</v>
      </c>
      <c r="E4371" s="26">
        <v>157.00940800000001</v>
      </c>
      <c r="G4371" s="27">
        <v>0.66736111111111107</v>
      </c>
      <c r="J4371" s="30">
        <f>IF(G4371&lt;$H$10,$H$16,IF(G4371&gt;$I$10,$H$16,$H$11))*E4371/600</f>
        <v>5.7570116266666672E-2</v>
      </c>
      <c r="L4371" s="32">
        <f>$J4371*($G4371-$G4370)*60*24</f>
        <v>5.7570116266666471E-2</v>
      </c>
    </row>
    <row r="4372" spans="1:12">
      <c r="A4372" s="22">
        <v>40313.668055555558</v>
      </c>
      <c r="E4372" s="26">
        <v>156.22888</v>
      </c>
      <c r="G4372" s="27">
        <v>0.66805555555555562</v>
      </c>
      <c r="J4372" s="30">
        <f>IF(G4372&lt;$H$10,$H$16,IF(G4372&gt;$I$10,$H$16,$H$11))*E4372/600</f>
        <v>5.7283922666666667E-2</v>
      </c>
      <c r="L4372" s="32">
        <f>$J4372*($G4372-$G4371)*60*24</f>
        <v>5.7283922666675632E-2</v>
      </c>
    </row>
    <row r="4373" spans="1:12">
      <c r="A4373" s="22">
        <v>40313.668749999997</v>
      </c>
      <c r="E4373" s="26">
        <v>160.01541599999999</v>
      </c>
      <c r="G4373" s="27">
        <v>0.66875000000000007</v>
      </c>
      <c r="J4373" s="30">
        <f>IF(G4373&lt;$H$10,$H$16,IF(G4373&gt;$I$10,$H$16,$H$11))*E4373/600</f>
        <v>5.8672319199999996E-2</v>
      </c>
      <c r="L4373" s="32">
        <f>$J4373*($G4373-$G4372)*60*24</f>
        <v>5.8672319199999795E-2</v>
      </c>
    </row>
    <row r="4374" spans="1:12">
      <c r="A4374" s="22">
        <v>40313.669444444444</v>
      </c>
      <c r="E4374" s="26">
        <v>175.40060399999999</v>
      </c>
      <c r="G4374" s="27">
        <v>0.6694444444444444</v>
      </c>
      <c r="J4374" s="30">
        <f>IF(G4374&lt;$H$10,$H$16,IF(G4374&gt;$I$10,$H$16,$H$11))*E4374/600</f>
        <v>6.4313554799999992E-2</v>
      </c>
      <c r="L4374" s="32">
        <f>$J4374*($G4374-$G4373)*60*24</f>
        <v>6.4313554799989486E-2</v>
      </c>
    </row>
    <row r="4375" spans="1:12">
      <c r="A4375" s="22">
        <v>40313.670138888891</v>
      </c>
      <c r="E4375" s="26">
        <v>178.05110400000001</v>
      </c>
      <c r="G4375" s="27">
        <v>0.67013888888888884</v>
      </c>
      <c r="J4375" s="30">
        <f>IF(G4375&lt;$H$10,$H$16,IF(G4375&gt;$I$10,$H$16,$H$11))*E4375/600</f>
        <v>6.5285404800000002E-2</v>
      </c>
      <c r="L4375" s="32">
        <f>$J4375*($G4375-$G4374)*60*24</f>
        <v>6.528540479999978E-2</v>
      </c>
    </row>
    <row r="4376" spans="1:12">
      <c r="A4376" s="22">
        <v>40313.67083333333</v>
      </c>
      <c r="E4376" s="26">
        <v>163.07883200000001</v>
      </c>
      <c r="G4376" s="27">
        <v>0.67083333333333339</v>
      </c>
      <c r="J4376" s="30">
        <f>IF(G4376&lt;$H$10,$H$16,IF(G4376&gt;$I$10,$H$16,$H$11))*E4376/600</f>
        <v>5.979557173333333E-2</v>
      </c>
      <c r="L4376" s="32">
        <f>$J4376*($G4376-$G4375)*60*24</f>
        <v>5.9795571733342684E-2</v>
      </c>
    </row>
    <row r="4377" spans="1:12">
      <c r="A4377" s="22">
        <v>40313.671527777777</v>
      </c>
      <c r="E4377" s="26">
        <v>156.046536</v>
      </c>
      <c r="G4377" s="27">
        <v>0.67152777777777783</v>
      </c>
      <c r="J4377" s="30">
        <f>IF(G4377&lt;$H$10,$H$16,IF(G4377&gt;$I$10,$H$16,$H$11))*E4377/600</f>
        <v>5.7217063200000001E-2</v>
      </c>
      <c r="L4377" s="32">
        <f>$J4377*($G4377-$G4376)*60*24</f>
        <v>5.7217063199999793E-2</v>
      </c>
    </row>
    <row r="4378" spans="1:12">
      <c r="A4378" s="22">
        <v>40313.672222222223</v>
      </c>
      <c r="E4378" s="26">
        <v>156.55014399999999</v>
      </c>
      <c r="G4378" s="27">
        <v>0.67222222222222217</v>
      </c>
      <c r="J4378" s="30">
        <f>IF(G4378&lt;$H$10,$H$16,IF(G4378&gt;$I$10,$H$16,$H$11))*E4378/600</f>
        <v>5.7401719466666661E-2</v>
      </c>
      <c r="L4378" s="32">
        <f>$J4378*($G4378-$G4377)*60*24</f>
        <v>5.7401719466657286E-2</v>
      </c>
    </row>
    <row r="4379" spans="1:12">
      <c r="A4379" s="22">
        <v>40313.67291666667</v>
      </c>
      <c r="E4379" s="26">
        <v>159.83794800000001</v>
      </c>
      <c r="G4379" s="27">
        <v>0.67291666666666661</v>
      </c>
      <c r="J4379" s="30">
        <f>IF(G4379&lt;$H$10,$H$16,IF(G4379&gt;$I$10,$H$16,$H$11))*E4379/600</f>
        <v>5.8607247600000002E-2</v>
      </c>
      <c r="L4379" s="32">
        <f>$J4379*($G4379-$G4378)*60*24</f>
        <v>5.8607247599999794E-2</v>
      </c>
    </row>
    <row r="4380" spans="1:12">
      <c r="A4380" s="22">
        <v>40313.673611111109</v>
      </c>
      <c r="E4380" s="26">
        <v>157.588548</v>
      </c>
      <c r="G4380" s="27">
        <v>0.67361111111111116</v>
      </c>
      <c r="J4380" s="30">
        <f>IF(G4380&lt;$H$10,$H$16,IF(G4380&gt;$I$10,$H$16,$H$11))*E4380/600</f>
        <v>5.7782467600000005E-2</v>
      </c>
      <c r="L4380" s="32">
        <f>$J4380*($G4380-$G4379)*60*24</f>
        <v>5.7782467600009046E-2</v>
      </c>
    </row>
    <row r="4381" spans="1:12">
      <c r="A4381" s="22">
        <v>40313.674305555556</v>
      </c>
      <c r="E4381" s="26">
        <v>160.90984</v>
      </c>
      <c r="G4381" s="27">
        <v>0.6743055555555556</v>
      </c>
      <c r="J4381" s="30">
        <f>IF(G4381&lt;$H$10,$H$16,IF(G4381&gt;$I$10,$H$16,$H$11))*E4381/600</f>
        <v>5.9000274666666665E-2</v>
      </c>
      <c r="L4381" s="32">
        <f>$J4381*($G4381-$G4380)*60*24</f>
        <v>5.9000274666666463E-2</v>
      </c>
    </row>
    <row r="4382" spans="1:12">
      <c r="A4382" s="22">
        <v>40313.675000000003</v>
      </c>
      <c r="E4382" s="26">
        <v>158.29704000000001</v>
      </c>
      <c r="G4382" s="27">
        <v>0.67499999999999993</v>
      </c>
      <c r="J4382" s="30">
        <f>IF(G4382&lt;$H$10,$H$16,IF(G4382&gt;$I$10,$H$16,$H$11))*E4382/600</f>
        <v>5.8042247999999998E-2</v>
      </c>
      <c r="L4382" s="32">
        <f>$J4382*($G4382-$G4381)*60*24</f>
        <v>5.8042247999990505E-2</v>
      </c>
    </row>
    <row r="4383" spans="1:12">
      <c r="A4383" s="22">
        <v>40313.675694444442</v>
      </c>
      <c r="E4383" s="26">
        <v>159.322104</v>
      </c>
      <c r="G4383" s="27">
        <v>0.67569444444444438</v>
      </c>
      <c r="J4383" s="30">
        <f>IF(G4383&lt;$H$10,$H$16,IF(G4383&gt;$I$10,$H$16,$H$11))*E4383/600</f>
        <v>5.8418104799999995E-2</v>
      </c>
      <c r="L4383" s="32">
        <f>$J4383*($G4383-$G4382)*60*24</f>
        <v>5.8418104799999787E-2</v>
      </c>
    </row>
    <row r="4384" spans="1:12">
      <c r="A4384" s="22">
        <v>40313.676388888889</v>
      </c>
      <c r="E4384" s="26">
        <v>157.53196800000001</v>
      </c>
      <c r="G4384" s="27">
        <v>0.67638888888888893</v>
      </c>
      <c r="J4384" s="30">
        <f>IF(G4384&lt;$H$10,$H$16,IF(G4384&gt;$I$10,$H$16,$H$11))*E4384/600</f>
        <v>5.7761721600000003E-2</v>
      </c>
      <c r="L4384" s="32">
        <f>$J4384*($G4384-$G4383)*60*24</f>
        <v>5.7761721600009024E-2</v>
      </c>
    </row>
    <row r="4385" spans="1:12">
      <c r="A4385" s="22">
        <v>40313.677083333336</v>
      </c>
      <c r="E4385" s="26">
        <v>157.89665600000001</v>
      </c>
      <c r="G4385" s="27">
        <v>0.67708333333333337</v>
      </c>
      <c r="J4385" s="30">
        <f>IF(G4385&lt;$H$10,$H$16,IF(G4385&gt;$I$10,$H$16,$H$11))*E4385/600</f>
        <v>5.7895440533333335E-2</v>
      </c>
      <c r="L4385" s="32">
        <f>$J4385*($G4385-$G4384)*60*24</f>
        <v>5.7895440533333127E-2</v>
      </c>
    </row>
    <row r="4386" spans="1:12">
      <c r="A4386" s="22">
        <v>40313.677777777775</v>
      </c>
      <c r="E4386" s="26">
        <v>158.01552000000001</v>
      </c>
      <c r="G4386" s="27">
        <v>0.6777777777777777</v>
      </c>
      <c r="J4386" s="30">
        <f>IF(G4386&lt;$H$10,$H$16,IF(G4386&gt;$I$10,$H$16,$H$11))*E4386/600</f>
        <v>5.7939024000000006E-2</v>
      </c>
      <c r="L4386" s="32">
        <f>$J4386*($G4386-$G4385)*60*24</f>
        <v>5.7939023999990541E-2</v>
      </c>
    </row>
    <row r="4387" spans="1:12">
      <c r="A4387" s="22">
        <v>40313.678472222222</v>
      </c>
      <c r="E4387" s="26">
        <v>158.70846399999999</v>
      </c>
      <c r="G4387" s="27">
        <v>0.67847222222222225</v>
      </c>
      <c r="J4387" s="30">
        <f>IF(G4387&lt;$H$10,$H$16,IF(G4387&gt;$I$10,$H$16,$H$11))*E4387/600</f>
        <v>5.819310346666666E-2</v>
      </c>
      <c r="L4387" s="32">
        <f>$J4387*($G4387-$G4386)*60*24</f>
        <v>5.8193103466675764E-2</v>
      </c>
    </row>
    <row r="4388" spans="1:12">
      <c r="A4388" s="22">
        <v>40313.679166666669</v>
      </c>
      <c r="E4388" s="26">
        <v>158.335128</v>
      </c>
      <c r="G4388" s="27">
        <v>0.6791666666666667</v>
      </c>
      <c r="J4388" s="30">
        <f>IF(G4388&lt;$H$10,$H$16,IF(G4388&gt;$I$10,$H$16,$H$11))*E4388/600</f>
        <v>5.8056213599999996E-2</v>
      </c>
      <c r="L4388" s="32">
        <f>$J4388*($G4388-$G4387)*60*24</f>
        <v>5.8056213599999781E-2</v>
      </c>
    </row>
    <row r="4389" spans="1:12">
      <c r="A4389" s="22">
        <v>40313.679861111108</v>
      </c>
      <c r="E4389" s="26">
        <v>158.66734</v>
      </c>
      <c r="G4389" s="27">
        <v>0.67986111111111114</v>
      </c>
      <c r="J4389" s="30">
        <f>IF(G4389&lt;$H$10,$H$16,IF(G4389&gt;$I$10,$H$16,$H$11))*E4389/600</f>
        <v>5.8178024666666668E-2</v>
      </c>
      <c r="L4389" s="32">
        <f>$J4389*($G4389-$G4388)*60*24</f>
        <v>5.8178024666666453E-2</v>
      </c>
    </row>
    <row r="4390" spans="1:12">
      <c r="A4390" s="22">
        <v>40313.680555555555</v>
      </c>
      <c r="E4390" s="26">
        <v>158.983452</v>
      </c>
      <c r="G4390" s="27">
        <v>0.68055555555555547</v>
      </c>
      <c r="J4390" s="30">
        <f>IF(G4390&lt;$H$10,$H$16,IF(G4390&gt;$I$10,$H$16,$H$11))*E4390/600</f>
        <v>5.8293932400000005E-2</v>
      </c>
      <c r="L4390" s="32">
        <f>$J4390*($G4390-$G4389)*60*24</f>
        <v>5.8293932399990478E-2</v>
      </c>
    </row>
    <row r="4391" spans="1:12">
      <c r="A4391" s="22">
        <v>40313.681250000001</v>
      </c>
      <c r="E4391" s="26">
        <v>158.33706000000001</v>
      </c>
      <c r="G4391" s="27">
        <v>0.68125000000000002</v>
      </c>
      <c r="J4391" s="30">
        <f>IF(G4391&lt;$H$10,$H$16,IF(G4391&gt;$I$10,$H$16,$H$11))*E4391/600</f>
        <v>5.8056922000000004E-2</v>
      </c>
      <c r="L4391" s="32">
        <f>$J4391*($G4391-$G4390)*60*24</f>
        <v>5.8056922000009087E-2</v>
      </c>
    </row>
    <row r="4392" spans="1:12">
      <c r="A4392" s="22">
        <v>40313.681944444441</v>
      </c>
      <c r="E4392" s="26">
        <v>156.61300199999999</v>
      </c>
      <c r="G4392" s="27">
        <v>0.68194444444444446</v>
      </c>
      <c r="J4392" s="30">
        <f>IF(G4392&lt;$H$10,$H$16,IF(G4392&gt;$I$10,$H$16,$H$11))*E4392/600</f>
        <v>5.7424767399999993E-2</v>
      </c>
      <c r="L4392" s="32">
        <f>$J4392*($G4392-$G4391)*60*24</f>
        <v>5.7424767399999799E-2</v>
      </c>
    </row>
    <row r="4393" spans="1:12">
      <c r="A4393" s="22">
        <v>40313.682638888888</v>
      </c>
      <c r="E4393" s="26">
        <v>156.32616999999999</v>
      </c>
      <c r="G4393" s="27">
        <v>0.68263888888888891</v>
      </c>
      <c r="J4393" s="30">
        <f>IF(G4393&lt;$H$10,$H$16,IF(G4393&gt;$I$10,$H$16,$H$11))*E4393/600</f>
        <v>5.731959566666666E-2</v>
      </c>
      <c r="L4393" s="32">
        <f>$J4393*($G4393-$G4392)*60*24</f>
        <v>5.7319595666666459E-2</v>
      </c>
    </row>
    <row r="4394" spans="1:12">
      <c r="A4394" s="22">
        <v>40313.683333333334</v>
      </c>
      <c r="E4394" s="26">
        <v>157.55579599999999</v>
      </c>
      <c r="G4394" s="27">
        <v>0.68333333333333324</v>
      </c>
      <c r="J4394" s="30">
        <f>IF(G4394&lt;$H$10,$H$16,IF(G4394&gt;$I$10,$H$16,$H$11))*E4394/600</f>
        <v>5.7770458533333326E-2</v>
      </c>
      <c r="L4394" s="32">
        <f>$J4394*($G4394-$G4393)*60*24</f>
        <v>5.7770458533323889E-2</v>
      </c>
    </row>
    <row r="4395" spans="1:12">
      <c r="A4395" s="22">
        <v>40313.684027777781</v>
      </c>
      <c r="E4395" s="26">
        <v>157.23747599999999</v>
      </c>
      <c r="G4395" s="27">
        <v>0.68402777777777779</v>
      </c>
      <c r="J4395" s="30">
        <f>IF(G4395&lt;$H$10,$H$16,IF(G4395&gt;$I$10,$H$16,$H$11))*E4395/600</f>
        <v>5.7653741199999997E-2</v>
      </c>
      <c r="L4395" s="32">
        <f>$J4395*($G4395-$G4394)*60*24</f>
        <v>5.7653741200009004E-2</v>
      </c>
    </row>
    <row r="4396" spans="1:12">
      <c r="A4396" s="22">
        <v>40313.68472222222</v>
      </c>
      <c r="E4396" s="26">
        <v>157.5017</v>
      </c>
      <c r="G4396" s="27">
        <v>0.68472222222222223</v>
      </c>
      <c r="J4396" s="30">
        <f>IF(G4396&lt;$H$10,$H$16,IF(G4396&gt;$I$10,$H$16,$H$11))*E4396/600</f>
        <v>5.7750623333333334E-2</v>
      </c>
      <c r="L4396" s="32">
        <f>$J4396*($G4396-$G4395)*60*24</f>
        <v>5.7750623333333126E-2</v>
      </c>
    </row>
    <row r="4397" spans="1:12">
      <c r="A4397" s="22">
        <v>40313.685416666667</v>
      </c>
      <c r="E4397" s="26">
        <v>157.884604</v>
      </c>
      <c r="G4397" s="27">
        <v>0.68541666666666667</v>
      </c>
      <c r="J4397" s="30">
        <f>IF(G4397&lt;$H$10,$H$16,IF(G4397&gt;$I$10,$H$16,$H$11))*E4397/600</f>
        <v>5.7891021466666664E-2</v>
      </c>
      <c r="L4397" s="32">
        <f>$J4397*($G4397-$G4396)*60*24</f>
        <v>5.7891021466666456E-2</v>
      </c>
    </row>
    <row r="4398" spans="1:12">
      <c r="A4398" s="22">
        <v>40313.686111111114</v>
      </c>
      <c r="E4398" s="26">
        <v>157.45459600000001</v>
      </c>
      <c r="G4398" s="27">
        <v>0.68611111111111101</v>
      </c>
      <c r="J4398" s="30">
        <f>IF(G4398&lt;$H$10,$H$16,IF(G4398&gt;$I$10,$H$16,$H$11))*E4398/600</f>
        <v>5.7733351866666671E-2</v>
      </c>
      <c r="L4398" s="32">
        <f>$J4398*($G4398-$G4397)*60*24</f>
        <v>5.7733351866657234E-2</v>
      </c>
    </row>
    <row r="4399" spans="1:12">
      <c r="A4399" s="22">
        <v>40313.686805555553</v>
      </c>
      <c r="E4399" s="26">
        <v>156.59458000000001</v>
      </c>
      <c r="G4399" s="27">
        <v>0.68680555555555556</v>
      </c>
      <c r="J4399" s="30">
        <f>IF(G4399&lt;$H$10,$H$16,IF(G4399&gt;$I$10,$H$16,$H$11))*E4399/600</f>
        <v>5.7418012666666678E-2</v>
      </c>
      <c r="L4399" s="32">
        <f>$J4399*($G4399-$G4398)*60*24</f>
        <v>5.741801266667565E-2</v>
      </c>
    </row>
    <row r="4400" spans="1:12">
      <c r="A4400" s="22">
        <v>40313.6875</v>
      </c>
      <c r="E4400" s="26">
        <v>158.715732</v>
      </c>
      <c r="G4400" s="27">
        <v>0.6875</v>
      </c>
      <c r="J4400" s="30">
        <f>IF(G4400&lt;$H$10,$H$16,IF(G4400&gt;$I$10,$H$16,$H$11))*E4400/600</f>
        <v>5.81957684E-2</v>
      </c>
      <c r="L4400" s="32">
        <f>$J4400*($G4400-$G4399)*60*24</f>
        <v>5.8195768399999792E-2</v>
      </c>
    </row>
    <row r="4401" spans="1:12">
      <c r="A4401" s="22">
        <v>40313.688194444447</v>
      </c>
      <c r="E4401" s="26">
        <v>157.542732</v>
      </c>
      <c r="G4401" s="27">
        <v>0.68819444444444444</v>
      </c>
      <c r="J4401" s="30">
        <f>IF(G4401&lt;$H$10,$H$16,IF(G4401&gt;$I$10,$H$16,$H$11))*E4401/600</f>
        <v>5.7765668399999998E-2</v>
      </c>
      <c r="L4401" s="32">
        <f>$J4401*($G4401-$G4400)*60*24</f>
        <v>5.7765668399999789E-2</v>
      </c>
    </row>
    <row r="4402" spans="1:12">
      <c r="A4402" s="22">
        <v>40313.688888888886</v>
      </c>
      <c r="E4402" s="26">
        <v>157.45542399999999</v>
      </c>
      <c r="G4402" s="27">
        <v>0.68888888888888899</v>
      </c>
      <c r="J4402" s="30">
        <f>IF(G4402&lt;$H$10,$H$16,IF(G4402&gt;$I$10,$H$16,$H$11))*E4402/600</f>
        <v>5.7733655466666665E-2</v>
      </c>
      <c r="L4402" s="32">
        <f>$J4402*($G4402-$G4401)*60*24</f>
        <v>5.7733655466675693E-2</v>
      </c>
    </row>
    <row r="4403" spans="1:12">
      <c r="A4403" s="22">
        <v>40313.689583333333</v>
      </c>
      <c r="E4403" s="26">
        <v>157.31631999999999</v>
      </c>
      <c r="G4403" s="27">
        <v>0.68958333333333333</v>
      </c>
      <c r="J4403" s="30">
        <f>IF(G4403&lt;$H$10,$H$16,IF(G4403&gt;$I$10,$H$16,$H$11))*E4403/600</f>
        <v>5.7682650666666661E-2</v>
      </c>
      <c r="L4403" s="32">
        <f>$J4403*($G4403-$G4402)*60*24</f>
        <v>5.7682650666657238E-2</v>
      </c>
    </row>
    <row r="4404" spans="1:12">
      <c r="A4404" s="22">
        <v>40313.69027777778</v>
      </c>
      <c r="E4404" s="26">
        <v>157.34152800000001</v>
      </c>
      <c r="G4404" s="27">
        <v>0.69027777777777777</v>
      </c>
      <c r="J4404" s="30">
        <f>IF(G4404&lt;$H$10,$H$16,IF(G4404&gt;$I$10,$H$16,$H$11))*E4404/600</f>
        <v>5.7691893600000009E-2</v>
      </c>
      <c r="L4404" s="32">
        <f>$J4404*($G4404-$G4403)*60*24</f>
        <v>5.7691893599999808E-2</v>
      </c>
    </row>
    <row r="4405" spans="1:12">
      <c r="A4405" s="22">
        <v>40313.690972222219</v>
      </c>
      <c r="E4405" s="26">
        <v>157.59968000000001</v>
      </c>
      <c r="G4405" s="27">
        <v>0.69097222222222221</v>
      </c>
      <c r="J4405" s="30">
        <f>IF(G4405&lt;$H$10,$H$16,IF(G4405&gt;$I$10,$H$16,$H$11))*E4405/600</f>
        <v>5.7786549333333333E-2</v>
      </c>
      <c r="L4405" s="32">
        <f>$J4405*($G4405-$G4404)*60*24</f>
        <v>5.7786549333333131E-2</v>
      </c>
    </row>
    <row r="4406" spans="1:12">
      <c r="A4406" s="22">
        <v>40313.691666666666</v>
      </c>
      <c r="E4406" s="26">
        <v>157.542732</v>
      </c>
      <c r="G4406" s="27">
        <v>0.69166666666666676</v>
      </c>
      <c r="J4406" s="30">
        <f>IF(G4406&lt;$H$10,$H$16,IF(G4406&gt;$I$10,$H$16,$H$11))*E4406/600</f>
        <v>5.7765668399999998E-2</v>
      </c>
      <c r="L4406" s="32">
        <f>$J4406*($G4406-$G4405)*60*24</f>
        <v>5.7765668400009018E-2</v>
      </c>
    </row>
    <row r="4407" spans="1:12">
      <c r="A4407" s="22">
        <v>40313.692361111112</v>
      </c>
      <c r="E4407" s="26">
        <v>156.823016</v>
      </c>
      <c r="G4407" s="27">
        <v>0.69236111111111109</v>
      </c>
      <c r="J4407" s="30">
        <f>IF(G4407&lt;$H$10,$H$16,IF(G4407&gt;$I$10,$H$16,$H$11))*E4407/600</f>
        <v>5.7501772533333335E-2</v>
      </c>
      <c r="L4407" s="32">
        <f>$J4407*($G4407-$G4406)*60*24</f>
        <v>5.7501772533323933E-2</v>
      </c>
    </row>
    <row r="4408" spans="1:12">
      <c r="A4408" s="22">
        <v>40313.693055555559</v>
      </c>
      <c r="E4408" s="26">
        <v>156.75144</v>
      </c>
      <c r="G4408" s="27">
        <v>0.69305555555555554</v>
      </c>
      <c r="J4408" s="30">
        <f>IF(G4408&lt;$H$10,$H$16,IF(G4408&gt;$I$10,$H$16,$H$11))*E4408/600</f>
        <v>5.7475527999999998E-2</v>
      </c>
      <c r="L4408" s="32">
        <f>$J4408*($G4408-$G4407)*60*24</f>
        <v>5.747552799999979E-2</v>
      </c>
    </row>
    <row r="4409" spans="1:12">
      <c r="A4409" s="22">
        <v>40313.693749999999</v>
      </c>
      <c r="E4409" s="26">
        <v>158.418848</v>
      </c>
      <c r="G4409" s="27">
        <v>0.69374999999999998</v>
      </c>
      <c r="J4409" s="30">
        <f>IF(G4409&lt;$H$10,$H$16,IF(G4409&gt;$I$10,$H$16,$H$11))*E4409/600</f>
        <v>5.8086910933333333E-2</v>
      </c>
      <c r="L4409" s="32">
        <f>$J4409*($G4409-$G4408)*60*24</f>
        <v>5.8086910933333132E-2</v>
      </c>
    </row>
    <row r="4410" spans="1:12">
      <c r="A4410" s="22">
        <v>40313.694444444445</v>
      </c>
      <c r="E4410" s="26">
        <v>159.16368</v>
      </c>
      <c r="G4410" s="27">
        <v>0.69444444444444453</v>
      </c>
      <c r="J4410" s="30">
        <f>IF(G4410&lt;$H$10,$H$16,IF(G4410&gt;$I$10,$H$16,$H$11))*E4410/600</f>
        <v>5.8360015999999994E-2</v>
      </c>
      <c r="L4410" s="32">
        <f>$J4410*($G4410-$G4409)*60*24</f>
        <v>5.8360016000009118E-2</v>
      </c>
    </row>
    <row r="4411" spans="1:12">
      <c r="A4411" s="22">
        <v>40313.695138888892</v>
      </c>
      <c r="E4411" s="26">
        <v>159.6062</v>
      </c>
      <c r="G4411" s="27">
        <v>0.69513888888888886</v>
      </c>
      <c r="J4411" s="30">
        <f>IF(G4411&lt;$H$10,$H$16,IF(G4411&gt;$I$10,$H$16,$H$11))*E4411/600</f>
        <v>5.8522273333333326E-2</v>
      </c>
      <c r="L4411" s="32">
        <f>$J4411*($G4411-$G4410)*60*24</f>
        <v>5.8522273333323757E-2</v>
      </c>
    </row>
    <row r="4412" spans="1:12">
      <c r="A4412" s="22">
        <v>40313.695833333331</v>
      </c>
      <c r="E4412" s="26">
        <v>157.389184</v>
      </c>
      <c r="G4412" s="27">
        <v>0.6958333333333333</v>
      </c>
      <c r="J4412" s="30">
        <f>IF(G4412&lt;$H$10,$H$16,IF(G4412&gt;$I$10,$H$16,$H$11))*E4412/600</f>
        <v>5.7709367466666668E-2</v>
      </c>
      <c r="L4412" s="32">
        <f>$J4412*($G4412-$G4411)*60*24</f>
        <v>5.7709367466666467E-2</v>
      </c>
    </row>
    <row r="4413" spans="1:12">
      <c r="A4413" s="22">
        <v>40313.696527777778</v>
      </c>
      <c r="E4413" s="26">
        <v>157.56214399999999</v>
      </c>
      <c r="G4413" s="27">
        <v>0.69652777777777775</v>
      </c>
      <c r="J4413" s="30">
        <f>IF(G4413&lt;$H$10,$H$16,IF(G4413&gt;$I$10,$H$16,$H$11))*E4413/600</f>
        <v>5.7772786133333337E-2</v>
      </c>
      <c r="L4413" s="32">
        <f>$J4413*($G4413-$G4412)*60*24</f>
        <v>5.7772786133333129E-2</v>
      </c>
    </row>
    <row r="4414" spans="1:12">
      <c r="A4414" s="22">
        <v>40313.697222222225</v>
      </c>
      <c r="E4414" s="26">
        <v>156.924768</v>
      </c>
      <c r="G4414" s="27">
        <v>0.6972222222222223</v>
      </c>
      <c r="J4414" s="30">
        <f>IF(G4414&lt;$H$10,$H$16,IF(G4414&gt;$I$10,$H$16,$H$11))*E4414/600</f>
        <v>5.7539081600000007E-2</v>
      </c>
      <c r="L4414" s="32">
        <f>$J4414*($G4414-$G4413)*60*24</f>
        <v>5.7539081600009007E-2</v>
      </c>
    </row>
    <row r="4415" spans="1:12">
      <c r="A4415" s="22">
        <v>40313.697916666664</v>
      </c>
      <c r="E4415" s="26">
        <v>157.08264</v>
      </c>
      <c r="G4415" s="27">
        <v>0.69791666666666663</v>
      </c>
      <c r="J4415" s="30">
        <f>IF(G4415&lt;$H$10,$H$16,IF(G4415&gt;$I$10,$H$16,$H$11))*E4415/600</f>
        <v>5.7596968000000005E-2</v>
      </c>
      <c r="L4415" s="32">
        <f>$J4415*($G4415-$G4414)*60*24</f>
        <v>5.7596967999990589E-2</v>
      </c>
    </row>
    <row r="4416" spans="1:12">
      <c r="A4416" s="22">
        <v>40313.698611111111</v>
      </c>
      <c r="E4416" s="26">
        <v>157.09524400000001</v>
      </c>
      <c r="G4416" s="27">
        <v>0.69861111111111107</v>
      </c>
      <c r="J4416" s="30">
        <f>IF(G4416&lt;$H$10,$H$16,IF(G4416&gt;$I$10,$H$16,$H$11))*E4416/600</f>
        <v>5.7601589466666672E-2</v>
      </c>
      <c r="L4416" s="32">
        <f>$J4416*($G4416-$G4415)*60*24</f>
        <v>5.7601589466666464E-2</v>
      </c>
    </row>
    <row r="4417" spans="1:12">
      <c r="A4417" s="22">
        <v>40313.699305555558</v>
      </c>
      <c r="E4417" s="26">
        <v>157.36967999999999</v>
      </c>
      <c r="G4417" s="27">
        <v>0.69930555555555562</v>
      </c>
      <c r="J4417" s="30">
        <f>IF(G4417&lt;$H$10,$H$16,IF(G4417&gt;$I$10,$H$16,$H$11))*E4417/600</f>
        <v>5.7702215999999994E-2</v>
      </c>
      <c r="L4417" s="32">
        <f>$J4417*($G4417-$G4416)*60*24</f>
        <v>5.7702216000009021E-2</v>
      </c>
    </row>
    <row r="4418" spans="1:12">
      <c r="A4418" s="22">
        <v>40313.699999999997</v>
      </c>
      <c r="E4418" s="26">
        <v>156.809584</v>
      </c>
      <c r="G4418" s="27">
        <v>0.70000000000000007</v>
      </c>
      <c r="J4418" s="30">
        <f>IF(G4418&lt;$H$10,$H$16,IF(G4418&gt;$I$10,$H$16,$H$11))*E4418/600</f>
        <v>5.7496847466666667E-2</v>
      </c>
      <c r="L4418" s="32">
        <f>$J4418*($G4418-$G4417)*60*24</f>
        <v>5.7496847466666459E-2</v>
      </c>
    </row>
    <row r="4419" spans="1:12">
      <c r="A4419" s="22">
        <v>40313.700694444444</v>
      </c>
      <c r="E4419" s="26">
        <v>156.894408</v>
      </c>
      <c r="G4419" s="27">
        <v>0.7006944444444444</v>
      </c>
      <c r="J4419" s="30">
        <f>IF(G4419&lt;$H$10,$H$16,IF(G4419&gt;$I$10,$H$16,$H$11))*E4419/600</f>
        <v>5.7527949600000003E-2</v>
      </c>
      <c r="L4419" s="32">
        <f>$J4419*($G4419-$G4418)*60*24</f>
        <v>5.7527949599990601E-2</v>
      </c>
    </row>
    <row r="4420" spans="1:12">
      <c r="A4420" s="22">
        <v>40313.701388888891</v>
      </c>
      <c r="E4420" s="26">
        <v>157.58403999999999</v>
      </c>
      <c r="G4420" s="27">
        <v>0.70138888888888884</v>
      </c>
      <c r="J4420" s="30">
        <f>IF(G4420&lt;$H$10,$H$16,IF(G4420&gt;$I$10,$H$16,$H$11))*E4420/600</f>
        <v>5.7780814666666666E-2</v>
      </c>
      <c r="L4420" s="32">
        <f>$J4420*($G4420-$G4419)*60*24</f>
        <v>5.7780814666666458E-2</v>
      </c>
    </row>
    <row r="4421" spans="1:12">
      <c r="A4421" s="22">
        <v>40313.70208333333</v>
      </c>
      <c r="E4421" s="26">
        <v>156.95052799999999</v>
      </c>
      <c r="G4421" s="27">
        <v>0.70208333333333339</v>
      </c>
      <c r="J4421" s="30">
        <f>IF(G4421&lt;$H$10,$H$16,IF(G4421&gt;$I$10,$H$16,$H$11))*E4421/600</f>
        <v>5.7548526933333337E-2</v>
      </c>
      <c r="L4421" s="32">
        <f>$J4421*($G4421-$G4420)*60*24</f>
        <v>5.7548526933342337E-2</v>
      </c>
    </row>
    <row r="4422" spans="1:12">
      <c r="A4422" s="22">
        <v>40313.702777777777</v>
      </c>
      <c r="E4422" s="26">
        <v>156.78106399999999</v>
      </c>
      <c r="G4422" s="27">
        <v>0.70277777777777783</v>
      </c>
      <c r="J4422" s="30">
        <f>IF(G4422&lt;$H$10,$H$16,IF(G4422&gt;$I$10,$H$16,$H$11))*E4422/600</f>
        <v>5.7486390133333329E-2</v>
      </c>
      <c r="L4422" s="32">
        <f>$J4422*($G4422-$G4421)*60*24</f>
        <v>5.7486390133333121E-2</v>
      </c>
    </row>
    <row r="4423" spans="1:12">
      <c r="A4423" s="22">
        <v>40313.703472222223</v>
      </c>
      <c r="E4423" s="26">
        <v>156.99662000000001</v>
      </c>
      <c r="G4423" s="27">
        <v>0.70347222222222217</v>
      </c>
      <c r="J4423" s="30">
        <f>IF(G4423&lt;$H$10,$H$16,IF(G4423&gt;$I$10,$H$16,$H$11))*E4423/600</f>
        <v>5.7565427333333336E-2</v>
      </c>
      <c r="L4423" s="32">
        <f>$J4423*($G4423-$G4422)*60*24</f>
        <v>5.7565427333323926E-2</v>
      </c>
    </row>
    <row r="4424" spans="1:12">
      <c r="A4424" s="22">
        <v>40313.70416666667</v>
      </c>
      <c r="E4424" s="26">
        <v>156.89459199999999</v>
      </c>
      <c r="G4424" s="27">
        <v>0.70416666666666661</v>
      </c>
      <c r="J4424" s="30">
        <f>IF(G4424&lt;$H$10,$H$16,IF(G4424&gt;$I$10,$H$16,$H$11))*E4424/600</f>
        <v>5.7528017066666666E-2</v>
      </c>
      <c r="L4424" s="32">
        <f>$J4424*($G4424-$G4423)*60*24</f>
        <v>5.7528017066666465E-2</v>
      </c>
    </row>
    <row r="4425" spans="1:12">
      <c r="A4425" s="22">
        <v>40313.704861111109</v>
      </c>
      <c r="E4425" s="26">
        <v>157.34355199999999</v>
      </c>
      <c r="G4425" s="27">
        <v>0.70486111111111116</v>
      </c>
      <c r="J4425" s="30">
        <f>IF(G4425&lt;$H$10,$H$16,IF(G4425&gt;$I$10,$H$16,$H$11))*E4425/600</f>
        <v>5.7692635733333331E-2</v>
      </c>
      <c r="L4425" s="32">
        <f>$J4425*($G4425-$G4424)*60*24</f>
        <v>5.7692635733342351E-2</v>
      </c>
    </row>
    <row r="4426" spans="1:12">
      <c r="A4426" s="22">
        <v>40313.705555555556</v>
      </c>
      <c r="E4426" s="26">
        <v>154.696988</v>
      </c>
      <c r="G4426" s="27">
        <v>0.7055555555555556</v>
      </c>
      <c r="J4426" s="30">
        <f>IF(G4426&lt;$H$10,$H$16,IF(G4426&gt;$I$10,$H$16,$H$11))*E4426/600</f>
        <v>5.6722228933333341E-2</v>
      </c>
      <c r="L4426" s="32">
        <f>$J4426*($G4426-$G4425)*60*24</f>
        <v>5.6722228933333139E-2</v>
      </c>
    </row>
    <row r="4427" spans="1:12">
      <c r="A4427" s="22">
        <v>40313.706250000003</v>
      </c>
      <c r="E4427" s="26">
        <v>156.12675999999999</v>
      </c>
      <c r="G4427" s="27">
        <v>0.70624999999999993</v>
      </c>
      <c r="J4427" s="30">
        <f>IF(G4427&lt;$H$10,$H$16,IF(G4427&gt;$I$10,$H$16,$H$11))*E4427/600</f>
        <v>5.7246478666666656E-2</v>
      </c>
      <c r="L4427" s="32">
        <f>$J4427*($G4427-$G4426)*60*24</f>
        <v>5.7246478666657295E-2</v>
      </c>
    </row>
    <row r="4428" spans="1:12">
      <c r="A4428" s="22">
        <v>40313.706944444442</v>
      </c>
      <c r="E4428" s="26">
        <v>154.21113600000001</v>
      </c>
      <c r="G4428" s="27">
        <v>0.70694444444444438</v>
      </c>
      <c r="J4428" s="30">
        <f>IF(G4428&lt;$H$10,$H$16,IF(G4428&gt;$I$10,$H$16,$H$11))*E4428/600</f>
        <v>5.6544083200000005E-2</v>
      </c>
      <c r="L4428" s="32">
        <f>$J4428*($G4428-$G4427)*60*24</f>
        <v>5.6544083199999796E-2</v>
      </c>
    </row>
    <row r="4429" spans="1:12">
      <c r="A4429" s="22">
        <v>40313.707638888889</v>
      </c>
      <c r="E4429" s="26">
        <v>153.38424000000001</v>
      </c>
      <c r="G4429" s="27">
        <v>0.70763888888888893</v>
      </c>
      <c r="J4429" s="30">
        <f>IF(G4429&lt;$H$10,$H$16,IF(G4429&gt;$I$10,$H$16,$H$11))*E4429/600</f>
        <v>5.6240888000000003E-2</v>
      </c>
      <c r="L4429" s="32">
        <f>$J4429*($G4429-$G4428)*60*24</f>
        <v>5.6240888000008787E-2</v>
      </c>
    </row>
    <row r="4430" spans="1:12">
      <c r="A4430" s="22">
        <v>40313.708333333336</v>
      </c>
      <c r="E4430" s="26">
        <v>153.69814400000001</v>
      </c>
      <c r="G4430" s="27">
        <v>0.70833333333333337</v>
      </c>
      <c r="J4430" s="30">
        <f>IF(G4430&lt;$H$10,$H$16,IF(G4430&gt;$I$10,$H$16,$H$11))*E4430/600</f>
        <v>5.6355986133333334E-2</v>
      </c>
      <c r="L4430" s="32">
        <f>$J4430*($G4430-$G4429)*60*24</f>
        <v>5.6355986133333133E-2</v>
      </c>
    </row>
    <row r="4431" spans="1:12">
      <c r="A4431" s="22">
        <v>40313.709027777775</v>
      </c>
      <c r="E4431" s="26">
        <v>153.98812799999999</v>
      </c>
      <c r="G4431" s="27">
        <v>0.7090277777777777</v>
      </c>
      <c r="J4431" s="30">
        <f>IF(G4431&lt;$H$10,$H$16,IF(G4431&gt;$I$10,$H$16,$H$11))*E4431/600</f>
        <v>5.6462313599999994E-2</v>
      </c>
      <c r="L4431" s="32">
        <f>$J4431*($G4431-$G4430)*60*24</f>
        <v>5.6462313599990779E-2</v>
      </c>
    </row>
    <row r="4432" spans="1:12">
      <c r="A4432" s="22">
        <v>40313.709722222222</v>
      </c>
      <c r="E4432" s="26">
        <v>153.62840800000001</v>
      </c>
      <c r="G4432" s="27">
        <v>0.70972222222222225</v>
      </c>
      <c r="J4432" s="30">
        <f>IF(G4432&lt;$H$10,$H$16,IF(G4432&gt;$I$10,$H$16,$H$11))*E4432/600</f>
        <v>5.6330416266666676E-2</v>
      </c>
      <c r="L4432" s="32">
        <f>$J4432*($G4432-$G4431)*60*24</f>
        <v>5.6330416266675475E-2</v>
      </c>
    </row>
    <row r="4433" spans="1:12">
      <c r="A4433" s="22">
        <v>40313.710416666669</v>
      </c>
      <c r="E4433" s="26">
        <v>154.27443199999999</v>
      </c>
      <c r="G4433" s="27">
        <v>0.7104166666666667</v>
      </c>
      <c r="J4433" s="30">
        <f>IF(G4433&lt;$H$10,$H$16,IF(G4433&gt;$I$10,$H$16,$H$11))*E4433/600</f>
        <v>5.656729173333333E-2</v>
      </c>
      <c r="L4433" s="32">
        <f>$J4433*($G4433-$G4432)*60*24</f>
        <v>5.6567291733333122E-2</v>
      </c>
    </row>
    <row r="4434" spans="1:12">
      <c r="A4434" s="22">
        <v>40313.711111111108</v>
      </c>
      <c r="E4434" s="26">
        <v>154.27765199999999</v>
      </c>
      <c r="G4434" s="27">
        <v>0.71111111111111114</v>
      </c>
      <c r="J4434" s="30">
        <f>IF(G4434&lt;$H$10,$H$16,IF(G4434&gt;$I$10,$H$16,$H$11))*E4434/600</f>
        <v>5.65684724E-2</v>
      </c>
      <c r="L4434" s="32">
        <f>$J4434*($G4434-$G4433)*60*24</f>
        <v>5.6568472399999799E-2</v>
      </c>
    </row>
    <row r="4435" spans="1:12">
      <c r="A4435" s="22">
        <v>40313.711805555555</v>
      </c>
      <c r="E4435" s="26">
        <v>153.88637600000001</v>
      </c>
      <c r="G4435" s="27">
        <v>0.71180555555555547</v>
      </c>
      <c r="J4435" s="30">
        <f>IF(G4435&lt;$H$10,$H$16,IF(G4435&gt;$I$10,$H$16,$H$11))*E4435/600</f>
        <v>5.6425004533333337E-2</v>
      </c>
      <c r="L4435" s="32">
        <f>$J4435*($G4435-$G4434)*60*24</f>
        <v>5.6425004533324108E-2</v>
      </c>
    </row>
    <row r="4436" spans="1:12">
      <c r="A4436" s="22">
        <v>40313.712500000001</v>
      </c>
      <c r="E4436" s="26">
        <v>152.243808</v>
      </c>
      <c r="G4436" s="27">
        <v>0.71250000000000002</v>
      </c>
      <c r="J4436" s="30">
        <f>IF(G4436&lt;$H$10,$H$16,IF(G4436&gt;$I$10,$H$16,$H$11))*E4436/600</f>
        <v>5.5822729599999996E-2</v>
      </c>
      <c r="L4436" s="32">
        <f>$J4436*($G4436-$G4435)*60*24</f>
        <v>5.5822729600008725E-2</v>
      </c>
    </row>
    <row r="4437" spans="1:12">
      <c r="A4437" s="22">
        <v>40313.713194444441</v>
      </c>
      <c r="E4437" s="26">
        <v>152.886888</v>
      </c>
      <c r="G4437" s="27">
        <v>0.71319444444444446</v>
      </c>
      <c r="J4437" s="30">
        <f>IF(G4437&lt;$H$10,$H$16,IF(G4437&gt;$I$10,$H$16,$H$11))*E4437/600</f>
        <v>5.6058525599999999E-2</v>
      </c>
      <c r="L4437" s="32">
        <f>$J4437*($G4437-$G4436)*60*24</f>
        <v>5.6058525599999798E-2</v>
      </c>
    </row>
    <row r="4438" spans="1:12">
      <c r="A4438" s="22">
        <v>40313.713888888888</v>
      </c>
      <c r="E4438" s="26">
        <v>152.97622000000001</v>
      </c>
      <c r="G4438" s="27">
        <v>0.71388888888888891</v>
      </c>
      <c r="J4438" s="30">
        <f>IF(G4438&lt;$H$10,$H$16,IF(G4438&gt;$I$10,$H$16,$H$11))*E4438/600</f>
        <v>5.6091280666666667E-2</v>
      </c>
      <c r="L4438" s="32">
        <f>$J4438*($G4438-$G4437)*60*24</f>
        <v>5.6091280666666465E-2</v>
      </c>
    </row>
    <row r="4439" spans="1:12">
      <c r="A4439" s="22">
        <v>40313.714583333334</v>
      </c>
      <c r="E4439" s="26">
        <v>152.86858000000001</v>
      </c>
      <c r="G4439" s="27">
        <v>0.71458333333333324</v>
      </c>
      <c r="J4439" s="30">
        <f>IF(G4439&lt;$H$10,$H$16,IF(G4439&gt;$I$10,$H$16,$H$11))*E4439/600</f>
        <v>5.6051812666666666E-2</v>
      </c>
      <c r="L4439" s="32">
        <f>$J4439*($G4439-$G4438)*60*24</f>
        <v>5.60518126666575E-2</v>
      </c>
    </row>
    <row r="4440" spans="1:12">
      <c r="A4440" s="22">
        <v>40313.715277777781</v>
      </c>
      <c r="E4440" s="26">
        <v>153.56502</v>
      </c>
      <c r="G4440" s="27">
        <v>0.71527777777777779</v>
      </c>
      <c r="J4440" s="30">
        <f>IF(G4440&lt;$H$10,$H$16,IF(G4440&gt;$I$10,$H$16,$H$11))*E4440/600</f>
        <v>5.6307174000000008E-2</v>
      </c>
      <c r="L4440" s="32">
        <f>$J4440*($G4440-$G4439)*60*24</f>
        <v>5.6307174000008814E-2</v>
      </c>
    </row>
    <row r="4441" spans="1:12">
      <c r="A4441" s="22">
        <v>40313.71597222222</v>
      </c>
      <c r="E4441" s="26">
        <v>152.861312</v>
      </c>
      <c r="G4441" s="27">
        <v>0.71597222222222223</v>
      </c>
      <c r="J4441" s="30">
        <f>IF(G4441&lt;$H$10,$H$16,IF(G4441&gt;$I$10,$H$16,$H$11))*E4441/600</f>
        <v>5.6049147733333332E-2</v>
      </c>
      <c r="L4441" s="32">
        <f>$J4441*($G4441-$G4440)*60*24</f>
        <v>5.6049147733333138E-2</v>
      </c>
    </row>
    <row r="4442" spans="1:12">
      <c r="A4442" s="22">
        <v>40313.716666666667</v>
      </c>
      <c r="E4442" s="26">
        <v>152.74253999999999</v>
      </c>
      <c r="G4442" s="27">
        <v>0.71666666666666667</v>
      </c>
      <c r="J4442" s="30">
        <f>IF(G4442&lt;$H$10,$H$16,IF(G4442&gt;$I$10,$H$16,$H$11))*E4442/600</f>
        <v>5.600559799999999E-2</v>
      </c>
      <c r="L4442" s="32">
        <f>$J4442*($G4442-$G4441)*60*24</f>
        <v>5.6005597999999795E-2</v>
      </c>
    </row>
    <row r="4443" spans="1:12">
      <c r="A4443" s="22">
        <v>40313.717361111114</v>
      </c>
      <c r="E4443" s="26">
        <v>154.43119999999999</v>
      </c>
      <c r="G4443" s="27">
        <v>0.71736111111111101</v>
      </c>
      <c r="J4443" s="30">
        <f>IF(G4443&lt;$H$10,$H$16,IF(G4443&gt;$I$10,$H$16,$H$11))*E4443/600</f>
        <v>5.6624773333333329E-2</v>
      </c>
      <c r="L4443" s="32">
        <f>$J4443*($G4443-$G4442)*60*24</f>
        <v>5.6624773333324066E-2</v>
      </c>
    </row>
    <row r="4444" spans="1:12">
      <c r="A4444" s="22">
        <v>40313.718055555553</v>
      </c>
      <c r="E4444" s="26">
        <v>153.097476</v>
      </c>
      <c r="G4444" s="27">
        <v>0.71805555555555556</v>
      </c>
      <c r="J4444" s="30">
        <f>IF(G4444&lt;$H$10,$H$16,IF(G4444&gt;$I$10,$H$16,$H$11))*E4444/600</f>
        <v>5.6135741200000006E-2</v>
      </c>
      <c r="L4444" s="32">
        <f>$J4444*($G4444-$G4443)*60*24</f>
        <v>5.6135741200008776E-2</v>
      </c>
    </row>
    <row r="4445" spans="1:12">
      <c r="A4445" s="22">
        <v>40313.71875</v>
      </c>
      <c r="E4445" s="26">
        <v>152.62616</v>
      </c>
      <c r="G4445" s="27">
        <v>0.71875</v>
      </c>
      <c r="J4445" s="30">
        <f>IF(G4445&lt;$H$10,$H$16,IF(G4445&gt;$I$10,$H$16,$H$11))*E4445/600</f>
        <v>5.596292533333333E-2</v>
      </c>
      <c r="L4445" s="32">
        <f>$J4445*($G4445-$G4444)*60*24</f>
        <v>5.5962925333333136E-2</v>
      </c>
    </row>
    <row r="4446" spans="1:12">
      <c r="A4446" s="22">
        <v>40313.719444444447</v>
      </c>
      <c r="E4446" s="26">
        <v>152.798936</v>
      </c>
      <c r="G4446" s="27">
        <v>0.71944444444444444</v>
      </c>
      <c r="J4446" s="30">
        <f>IF(G4446&lt;$H$10,$H$16,IF(G4446&gt;$I$10,$H$16,$H$11))*E4446/600</f>
        <v>5.6026276533333336E-2</v>
      </c>
      <c r="L4446" s="32">
        <f>$J4446*($G4446-$G4445)*60*24</f>
        <v>5.6026276533333141E-2</v>
      </c>
    </row>
    <row r="4447" spans="1:12">
      <c r="A4447" s="22">
        <v>40313.720138888886</v>
      </c>
      <c r="E4447" s="26">
        <v>153.58848</v>
      </c>
      <c r="G4447" s="27">
        <v>0.72013888888888899</v>
      </c>
      <c r="J4447" s="30">
        <f>IF(G4447&lt;$H$10,$H$16,IF(G4447&gt;$I$10,$H$16,$H$11))*E4447/600</f>
        <v>5.6315775999999998E-2</v>
      </c>
      <c r="L4447" s="32">
        <f>$J4447*($G4447-$G4446)*60*24</f>
        <v>5.6315776000008796E-2</v>
      </c>
    </row>
    <row r="4448" spans="1:12">
      <c r="A4448" s="22">
        <v>40313.720833333333</v>
      </c>
      <c r="E4448" s="26">
        <v>155.72692799999999</v>
      </c>
      <c r="G4448" s="27">
        <v>0.72083333333333333</v>
      </c>
      <c r="J4448" s="30">
        <f>IF(G4448&lt;$H$10,$H$16,IF(G4448&gt;$I$10,$H$16,$H$11))*E4448/600</f>
        <v>5.7099873599999997E-2</v>
      </c>
      <c r="L4448" s="32">
        <f>$J4448*($G4448-$G4447)*60*24</f>
        <v>5.7099873599990664E-2</v>
      </c>
    </row>
    <row r="4449" spans="1:12">
      <c r="A4449" s="22">
        <v>40313.72152777778</v>
      </c>
      <c r="E4449" s="26">
        <v>154.21334400000001</v>
      </c>
      <c r="G4449" s="27">
        <v>0.72152777777777777</v>
      </c>
      <c r="J4449" s="30">
        <f>IF(G4449&lt;$H$10,$H$16,IF(G4449&gt;$I$10,$H$16,$H$11))*E4449/600</f>
        <v>5.6544892799999996E-2</v>
      </c>
      <c r="L4449" s="32">
        <f>$J4449*($G4449-$G4448)*60*24</f>
        <v>5.6544892799999795E-2</v>
      </c>
    </row>
    <row r="4450" spans="1:12">
      <c r="A4450" s="22">
        <v>40313.722222222219</v>
      </c>
      <c r="E4450" s="26">
        <v>155.18081599999999</v>
      </c>
      <c r="G4450" s="27">
        <v>0.72222222222222221</v>
      </c>
      <c r="J4450" s="30">
        <f>IF(G4450&lt;$H$10,$H$16,IF(G4450&gt;$I$10,$H$16,$H$11))*E4450/600</f>
        <v>5.6899632533333327E-2</v>
      </c>
      <c r="L4450" s="32">
        <f>$J4450*($G4450-$G4449)*60*24</f>
        <v>5.6899632533333119E-2</v>
      </c>
    </row>
    <row r="4451" spans="1:12">
      <c r="A4451" s="22">
        <v>40313.722916666666</v>
      </c>
      <c r="E4451" s="26">
        <v>153.10143199999999</v>
      </c>
      <c r="G4451" s="27">
        <v>0.72291666666666676</v>
      </c>
      <c r="J4451" s="30">
        <f>IF(G4451&lt;$H$10,$H$16,IF(G4451&gt;$I$10,$H$16,$H$11))*E4451/600</f>
        <v>5.6137191733333335E-2</v>
      </c>
      <c r="L4451" s="32">
        <f>$J4451*($G4451-$G4450)*60*24</f>
        <v>5.6137191733342112E-2</v>
      </c>
    </row>
    <row r="4452" spans="1:12">
      <c r="A4452" s="22">
        <v>40313.723611111112</v>
      </c>
      <c r="E4452" s="26">
        <v>153.457472</v>
      </c>
      <c r="G4452" s="27">
        <v>0.72361111111111109</v>
      </c>
      <c r="J4452" s="30">
        <f>IF(G4452&lt;$H$10,$H$16,IF(G4452&gt;$I$10,$H$16,$H$11))*E4452/600</f>
        <v>5.6267739733333336E-2</v>
      </c>
      <c r="L4452" s="32">
        <f>$J4452*($G4452-$G4451)*60*24</f>
        <v>5.6267739733324149E-2</v>
      </c>
    </row>
    <row r="4453" spans="1:12">
      <c r="A4453" s="22">
        <v>40313.724305555559</v>
      </c>
      <c r="E4453" s="26">
        <v>153.31294</v>
      </c>
      <c r="G4453" s="27">
        <v>0.72430555555555554</v>
      </c>
      <c r="J4453" s="30">
        <f>IF(G4453&lt;$H$10,$H$16,IF(G4453&gt;$I$10,$H$16,$H$11))*E4453/600</f>
        <v>5.6214744666666663E-2</v>
      </c>
      <c r="L4453" s="32">
        <f>$J4453*($G4453-$G4452)*60*24</f>
        <v>5.6214744666666469E-2</v>
      </c>
    </row>
    <row r="4454" spans="1:12">
      <c r="A4454" s="22">
        <v>40313.724999999999</v>
      </c>
      <c r="E4454" s="26">
        <v>153.33456000000001</v>
      </c>
      <c r="G4454" s="27">
        <v>0.72499999999999998</v>
      </c>
      <c r="J4454" s="30">
        <f>IF(G4454&lt;$H$10,$H$16,IF(G4454&gt;$I$10,$H$16,$H$11))*E4454/600</f>
        <v>5.6222672000000008E-2</v>
      </c>
      <c r="L4454" s="32">
        <f>$J4454*($G4454-$G4453)*60*24</f>
        <v>5.6222671999999807E-2</v>
      </c>
    </row>
    <row r="4455" spans="1:12">
      <c r="A4455" s="22">
        <v>40313.725694444445</v>
      </c>
      <c r="E4455" s="26">
        <v>153.86080000000001</v>
      </c>
      <c r="G4455" s="27">
        <v>0.72569444444444453</v>
      </c>
      <c r="J4455" s="30">
        <f>IF(G4455&lt;$H$10,$H$16,IF(G4455&gt;$I$10,$H$16,$H$11))*E4455/600</f>
        <v>5.6415626666666663E-2</v>
      </c>
      <c r="L4455" s="32">
        <f>$J4455*($G4455-$G4454)*60*24</f>
        <v>5.6415626666675489E-2</v>
      </c>
    </row>
    <row r="4456" spans="1:12">
      <c r="A4456" s="22">
        <v>40313.726388888892</v>
      </c>
      <c r="E4456" s="26">
        <v>155.80199999999999</v>
      </c>
      <c r="G4456" s="27">
        <v>0.72638888888888886</v>
      </c>
      <c r="J4456" s="30">
        <f>IF(G4456&lt;$H$10,$H$16,IF(G4456&gt;$I$10,$H$16,$H$11))*E4456/600</f>
        <v>5.7127400000000002E-2</v>
      </c>
      <c r="L4456" s="32">
        <f>$J4456*($G4456-$G4455)*60*24</f>
        <v>5.7127399999990669E-2</v>
      </c>
    </row>
    <row r="4457" spans="1:12">
      <c r="A4457" s="22">
        <v>40313.727083333331</v>
      </c>
      <c r="E4457" s="26">
        <v>154.829376</v>
      </c>
      <c r="G4457" s="27">
        <v>0.7270833333333333</v>
      </c>
      <c r="J4457" s="30">
        <f>IF(G4457&lt;$H$10,$H$16,IF(G4457&gt;$I$10,$H$16,$H$11))*E4457/600</f>
        <v>5.67707712E-2</v>
      </c>
      <c r="L4457" s="32">
        <f>$J4457*($G4457-$G4456)*60*24</f>
        <v>5.6770771199999799E-2</v>
      </c>
    </row>
    <row r="4458" spans="1:12">
      <c r="A4458" s="22">
        <v>40313.727777777778</v>
      </c>
      <c r="E4458" s="26">
        <v>156.42392000000001</v>
      </c>
      <c r="G4458" s="27">
        <v>0.72777777777777775</v>
      </c>
      <c r="J4458" s="30">
        <f>IF(G4458&lt;$H$10,$H$16,IF(G4458&gt;$I$10,$H$16,$H$11))*E4458/600</f>
        <v>5.7355437333333335E-2</v>
      </c>
      <c r="L4458" s="32">
        <f>$J4458*($G4458-$G4457)*60*24</f>
        <v>5.735543733333312E-2</v>
      </c>
    </row>
    <row r="4459" spans="1:12">
      <c r="A4459" s="22">
        <v>40313.728472222225</v>
      </c>
      <c r="E4459" s="26">
        <v>156.21701200000001</v>
      </c>
      <c r="G4459" s="27">
        <v>0.7284722222222223</v>
      </c>
      <c r="J4459" s="30">
        <f>IF(G4459&lt;$H$10,$H$16,IF(G4459&gt;$I$10,$H$16,$H$11))*E4459/600</f>
        <v>5.7279571066666674E-2</v>
      </c>
      <c r="L4459" s="32">
        <f>$J4459*($G4459-$G4458)*60*24</f>
        <v>5.7279571066675625E-2</v>
      </c>
    </row>
    <row r="4460" spans="1:12">
      <c r="A4460" s="22">
        <v>40313.729166666664</v>
      </c>
      <c r="E4460" s="26">
        <v>153.67081999999999</v>
      </c>
      <c r="G4460" s="27">
        <v>0.72916666666666663</v>
      </c>
      <c r="J4460" s="30">
        <f>IF(G4460&lt;$H$10,$H$16,IF(G4460&gt;$I$10,$H$16,$H$11))*E4460/600</f>
        <v>5.634596733333333E-2</v>
      </c>
      <c r="L4460" s="32">
        <f>$J4460*($G4460-$G4459)*60*24</f>
        <v>5.6345967333324115E-2</v>
      </c>
    </row>
    <row r="4461" spans="1:12">
      <c r="A4461" s="22">
        <v>40313.729861111111</v>
      </c>
      <c r="E4461" s="26">
        <v>154.54592400000001</v>
      </c>
      <c r="G4461" s="27">
        <v>0.72986111111111107</v>
      </c>
      <c r="J4461" s="30">
        <f>IF(G4461&lt;$H$10,$H$16,IF(G4461&gt;$I$10,$H$16,$H$11))*E4461/600</f>
        <v>5.6666838800000008E-2</v>
      </c>
      <c r="L4461" s="32">
        <f>$J4461*($G4461-$G4460)*60*24</f>
        <v>5.6666838799999807E-2</v>
      </c>
    </row>
    <row r="4462" spans="1:12">
      <c r="A4462" s="22">
        <v>40313.730555555558</v>
      </c>
      <c r="E4462" s="26">
        <v>152.94484800000001</v>
      </c>
      <c r="G4462" s="27">
        <v>0.73055555555555562</v>
      </c>
      <c r="J4462" s="30">
        <f>IF(G4462&lt;$H$10,$H$16,IF(G4462&gt;$I$10,$H$16,$H$11))*E4462/600</f>
        <v>5.6079777600000005E-2</v>
      </c>
      <c r="L4462" s="32">
        <f>$J4462*($G4462-$G4461)*60*24</f>
        <v>5.6079777600008776E-2</v>
      </c>
    </row>
    <row r="4463" spans="1:12">
      <c r="A4463" s="22">
        <v>40313.731249999997</v>
      </c>
      <c r="E4463" s="26">
        <v>154.93214</v>
      </c>
      <c r="G4463" s="27">
        <v>0.73125000000000007</v>
      </c>
      <c r="J4463" s="30">
        <f>IF(G4463&lt;$H$10,$H$16,IF(G4463&gt;$I$10,$H$16,$H$11))*E4463/600</f>
        <v>5.6808451333333343E-2</v>
      </c>
      <c r="L4463" s="32">
        <f>$J4463*($G4463-$G4462)*60*24</f>
        <v>5.6808451333333149E-2</v>
      </c>
    </row>
    <row r="4464" spans="1:12">
      <c r="A4464" s="22">
        <v>40313.731944444444</v>
      </c>
      <c r="E4464" s="26">
        <v>155.08062799999999</v>
      </c>
      <c r="G4464" s="27">
        <v>0.7319444444444444</v>
      </c>
      <c r="J4464" s="30">
        <f>IF(G4464&lt;$H$10,$H$16,IF(G4464&gt;$I$10,$H$16,$H$11))*E4464/600</f>
        <v>5.6862896933333323E-2</v>
      </c>
      <c r="L4464" s="32">
        <f>$J4464*($G4464-$G4463)*60*24</f>
        <v>5.6862896933324039E-2</v>
      </c>
    </row>
    <row r="4465" spans="1:12">
      <c r="A4465" s="22">
        <v>40313.732638888891</v>
      </c>
      <c r="E4465" s="26">
        <v>153.40181200000001</v>
      </c>
      <c r="G4465" s="27">
        <v>0.73263888888888884</v>
      </c>
      <c r="J4465" s="30">
        <f>IF(G4465&lt;$H$10,$H$16,IF(G4465&gt;$I$10,$H$16,$H$11))*E4465/600</f>
        <v>5.6247331066666677E-2</v>
      </c>
      <c r="L4465" s="32">
        <f>$J4465*($G4465-$G4464)*60*24</f>
        <v>5.6247331066666476E-2</v>
      </c>
    </row>
    <row r="4466" spans="1:12">
      <c r="A4466" s="22">
        <v>40313.73333333333</v>
      </c>
      <c r="E4466" s="26">
        <v>154.55190400000001</v>
      </c>
      <c r="G4466" s="27">
        <v>0.73333333333333339</v>
      </c>
      <c r="J4466" s="30">
        <f>IF(G4466&lt;$H$10,$H$16,IF(G4466&gt;$I$10,$H$16,$H$11))*E4466/600</f>
        <v>5.6669031466666672E-2</v>
      </c>
      <c r="L4466" s="32">
        <f>$J4466*($G4466-$G4465)*60*24</f>
        <v>5.6669031466675526E-2</v>
      </c>
    </row>
    <row r="4467" spans="1:12">
      <c r="A4467" s="22">
        <v>40313.734027777777</v>
      </c>
      <c r="E4467" s="26">
        <v>153.39196799999999</v>
      </c>
      <c r="G4467" s="27">
        <v>0.73402777777777783</v>
      </c>
      <c r="J4467" s="30">
        <f>IF(G4467&lt;$H$10,$H$16,IF(G4467&gt;$I$10,$H$16,$H$11))*E4467/600</f>
        <v>5.6243721599999998E-2</v>
      </c>
      <c r="L4467" s="32">
        <f>$J4467*($G4467-$G4466)*60*24</f>
        <v>5.6243721599999796E-2</v>
      </c>
    </row>
    <row r="4468" spans="1:12">
      <c r="A4468" s="22">
        <v>40313.734722222223</v>
      </c>
      <c r="E4468" s="26">
        <v>153.18662399999999</v>
      </c>
      <c r="G4468" s="27">
        <v>0.73472222222222217</v>
      </c>
      <c r="J4468" s="30">
        <f>IF(G4468&lt;$H$10,$H$16,IF(G4468&gt;$I$10,$H$16,$H$11))*E4468/600</f>
        <v>5.6168428800000003E-2</v>
      </c>
      <c r="L4468" s="32">
        <f>$J4468*($G4468-$G4467)*60*24</f>
        <v>5.6168428799990823E-2</v>
      </c>
    </row>
    <row r="4469" spans="1:12">
      <c r="A4469" s="22">
        <v>40313.73541666667</v>
      </c>
      <c r="E4469" s="26">
        <v>155.52600000000001</v>
      </c>
      <c r="G4469" s="27">
        <v>0.73541666666666661</v>
      </c>
      <c r="J4469" s="30">
        <f>IF(G4469&lt;$H$10,$H$16,IF(G4469&gt;$I$10,$H$16,$H$11))*E4469/600</f>
        <v>5.7026200000000006E-2</v>
      </c>
      <c r="L4469" s="32">
        <f>$J4469*($G4469-$G4468)*60*24</f>
        <v>5.7026199999999805E-2</v>
      </c>
    </row>
    <row r="4470" spans="1:12">
      <c r="A4470" s="22">
        <v>40313.736111111109</v>
      </c>
      <c r="E4470" s="26">
        <v>154.21334400000001</v>
      </c>
      <c r="G4470" s="27">
        <v>0.73611111111111116</v>
      </c>
      <c r="J4470" s="30">
        <f>IF(G4470&lt;$H$10,$H$16,IF(G4470&gt;$I$10,$H$16,$H$11))*E4470/600</f>
        <v>5.6544892799999996E-2</v>
      </c>
      <c r="L4470" s="32">
        <f>$J4470*($G4470-$G4469)*60*24</f>
        <v>5.6544892800008836E-2</v>
      </c>
    </row>
    <row r="4471" spans="1:12">
      <c r="A4471" s="22">
        <v>40313.736805555556</v>
      </c>
      <c r="E4471" s="26">
        <v>153.528864</v>
      </c>
      <c r="G4471" s="27">
        <v>0.7368055555555556</v>
      </c>
      <c r="J4471" s="30">
        <f>IF(G4471&lt;$H$10,$H$16,IF(G4471&gt;$I$10,$H$16,$H$11))*E4471/600</f>
        <v>5.6293916800000003E-2</v>
      </c>
      <c r="L4471" s="32">
        <f>$J4471*($G4471-$G4470)*60*24</f>
        <v>5.6293916799999802E-2</v>
      </c>
    </row>
    <row r="4472" spans="1:12">
      <c r="A4472" s="22">
        <v>40313.737500000003</v>
      </c>
      <c r="E4472" s="26">
        <v>155.92160000000001</v>
      </c>
      <c r="G4472" s="27">
        <v>0.73749999999999993</v>
      </c>
      <c r="J4472" s="30">
        <f>IF(G4472&lt;$H$10,$H$16,IF(G4472&gt;$I$10,$H$16,$H$11))*E4472/600</f>
        <v>5.7171253333333345E-2</v>
      </c>
      <c r="L4472" s="32">
        <f>$J4472*($G4472-$G4471)*60*24</f>
        <v>5.7171253333323999E-2</v>
      </c>
    </row>
    <row r="4473" spans="1:12">
      <c r="A4473" s="22">
        <v>40313.738194444442</v>
      </c>
      <c r="E4473" s="26">
        <v>155.49067199999999</v>
      </c>
      <c r="G4473" s="27">
        <v>0.73819444444444438</v>
      </c>
      <c r="J4473" s="30">
        <f>IF(G4473&lt;$H$10,$H$16,IF(G4473&gt;$I$10,$H$16,$H$11))*E4473/600</f>
        <v>5.7013246399999995E-2</v>
      </c>
      <c r="L4473" s="32">
        <f>$J4473*($G4473-$G4472)*60*24</f>
        <v>5.7013246399999794E-2</v>
      </c>
    </row>
    <row r="4474" spans="1:12">
      <c r="A4474" s="22">
        <v>40313.738888888889</v>
      </c>
      <c r="E4474" s="26">
        <v>153.72684799999999</v>
      </c>
      <c r="G4474" s="27">
        <v>0.73888888888888893</v>
      </c>
      <c r="J4474" s="30">
        <f>IF(G4474&lt;$H$10,$H$16,IF(G4474&gt;$I$10,$H$16,$H$11))*E4474/600</f>
        <v>5.6366510933333336E-2</v>
      </c>
      <c r="L4474" s="32">
        <f>$J4474*($G4474-$G4473)*60*24</f>
        <v>5.6366510933342141E-2</v>
      </c>
    </row>
    <row r="4475" spans="1:12">
      <c r="A4475" s="22">
        <v>40313.739583333336</v>
      </c>
      <c r="E4475" s="26">
        <v>157.49222399999999</v>
      </c>
      <c r="G4475" s="27">
        <v>0.73958333333333337</v>
      </c>
      <c r="J4475" s="30">
        <f>IF(G4475&lt;$H$10,$H$16,IF(G4475&gt;$I$10,$H$16,$H$11))*E4475/600</f>
        <v>5.7747148800000002E-2</v>
      </c>
      <c r="L4475" s="32">
        <f>$J4475*($G4475-$G4474)*60*24</f>
        <v>5.7747148799999801E-2</v>
      </c>
    </row>
    <row r="4476" spans="1:12">
      <c r="A4476" s="22">
        <v>40313.740277777775</v>
      </c>
      <c r="E4476" s="26">
        <v>152.16045600000001</v>
      </c>
      <c r="G4476" s="27">
        <v>0.7402777777777777</v>
      </c>
      <c r="J4476" s="30">
        <f>IF(G4476&lt;$H$10,$H$16,IF(G4476&gt;$I$10,$H$16,$H$11))*E4476/600</f>
        <v>5.5792167200000006E-2</v>
      </c>
      <c r="L4476" s="32">
        <f>$J4476*($G4476-$G4475)*60*24</f>
        <v>5.5792167199990896E-2</v>
      </c>
    </row>
    <row r="4477" spans="1:12">
      <c r="A4477" s="22">
        <v>40313.740972222222</v>
      </c>
      <c r="E4477" s="26">
        <v>151.813984</v>
      </c>
      <c r="G4477" s="27">
        <v>0.74097222222222225</v>
      </c>
      <c r="J4477" s="30">
        <f>IF(G4477&lt;$H$10,$H$16,IF(G4477&gt;$I$10,$H$16,$H$11))*E4477/600</f>
        <v>5.5665127466666665E-2</v>
      </c>
      <c r="L4477" s="32">
        <f>$J4477*($G4477-$G4476)*60*24</f>
        <v>5.5665127466675367E-2</v>
      </c>
    </row>
    <row r="4478" spans="1:12">
      <c r="A4478" s="22">
        <v>40313.741666666669</v>
      </c>
      <c r="E4478" s="26">
        <v>151.45978400000001</v>
      </c>
      <c r="G4478" s="27">
        <v>0.7416666666666667</v>
      </c>
      <c r="J4478" s="30">
        <f>IF(G4478&lt;$H$10,$H$16,IF(G4478&gt;$I$10,$H$16,$H$11))*E4478/600</f>
        <v>5.5535254133333337E-2</v>
      </c>
      <c r="L4478" s="32">
        <f>$J4478*($G4478-$G4477)*60*24</f>
        <v>5.5535254133333135E-2</v>
      </c>
    </row>
    <row r="4479" spans="1:12">
      <c r="A4479" s="22">
        <v>40313.742361111108</v>
      </c>
      <c r="E4479" s="26">
        <v>151.26152400000001</v>
      </c>
      <c r="G4479" s="27">
        <v>0.74236111111111114</v>
      </c>
      <c r="J4479" s="30">
        <f>IF(G4479&lt;$H$10,$H$16,IF(G4479&gt;$I$10,$H$16,$H$11))*E4479/600</f>
        <v>5.5462558800000006E-2</v>
      </c>
      <c r="L4479" s="32">
        <f>$J4479*($G4479-$G4478)*60*24</f>
        <v>5.5462558799999812E-2</v>
      </c>
    </row>
    <row r="4480" spans="1:12">
      <c r="A4480" s="22">
        <v>40313.743055555555</v>
      </c>
      <c r="E4480" s="26">
        <v>152.27876800000001</v>
      </c>
      <c r="G4480" s="27">
        <v>0.74305555555555547</v>
      </c>
      <c r="J4480" s="30">
        <f>IF(G4480&lt;$H$10,$H$16,IF(G4480&gt;$I$10,$H$16,$H$11))*E4480/600</f>
        <v>5.5835548266666674E-2</v>
      </c>
      <c r="L4480" s="32">
        <f>$J4480*($G4480-$G4479)*60*24</f>
        <v>5.5835548266657549E-2</v>
      </c>
    </row>
    <row r="4481" spans="1:12">
      <c r="A4481" s="22">
        <v>40313.743750000001</v>
      </c>
      <c r="E4481" s="26">
        <v>151.81913599999999</v>
      </c>
      <c r="G4481" s="27">
        <v>0.74375000000000002</v>
      </c>
      <c r="J4481" s="30">
        <f>IF(G4481&lt;$H$10,$H$16,IF(G4481&gt;$I$10,$H$16,$H$11))*E4481/600</f>
        <v>5.5667016533333322E-2</v>
      </c>
      <c r="L4481" s="32">
        <f>$J4481*($G4481-$G4480)*60*24</f>
        <v>5.5667016533342023E-2</v>
      </c>
    </row>
    <row r="4482" spans="1:12">
      <c r="A4482" s="22">
        <v>40313.744444444441</v>
      </c>
      <c r="E4482" s="26">
        <v>152.02392800000001</v>
      </c>
      <c r="G4482" s="27">
        <v>0.74444444444444446</v>
      </c>
      <c r="J4482" s="30">
        <f>IF(G4482&lt;$H$10,$H$16,IF(G4482&gt;$I$10,$H$16,$H$11))*E4482/600</f>
        <v>5.5742106933333334E-2</v>
      </c>
      <c r="L4482" s="32">
        <f>$J4482*($G4482-$G4481)*60*24</f>
        <v>5.5742106933333146E-2</v>
      </c>
    </row>
    <row r="4483" spans="1:12">
      <c r="A4483" s="22">
        <v>40313.745138888888</v>
      </c>
      <c r="E4483" s="26">
        <v>151.39087599999999</v>
      </c>
      <c r="G4483" s="27">
        <v>0.74513888888888891</v>
      </c>
      <c r="J4483" s="30">
        <f>IF(G4483&lt;$H$10,$H$16,IF(G4483&gt;$I$10,$H$16,$H$11))*E4483/600</f>
        <v>5.5509987866666666E-2</v>
      </c>
      <c r="L4483" s="32">
        <f>$J4483*($G4483-$G4482)*60*24</f>
        <v>5.5509987866666465E-2</v>
      </c>
    </row>
    <row r="4484" spans="1:12">
      <c r="A4484" s="22">
        <v>40313.745833333334</v>
      </c>
      <c r="E4484" s="26">
        <v>150.988192</v>
      </c>
      <c r="G4484" s="27">
        <v>0.74583333333333324</v>
      </c>
      <c r="J4484" s="30">
        <f>IF(G4484&lt;$H$10,$H$16,IF(G4484&gt;$I$10,$H$16,$H$11))*E4484/600</f>
        <v>5.5362337066666663E-2</v>
      </c>
      <c r="L4484" s="32">
        <f>$J4484*($G4484-$G4483)*60*24</f>
        <v>5.5362337066657621E-2</v>
      </c>
    </row>
    <row r="4485" spans="1:12">
      <c r="A4485" s="22">
        <v>40313.746527777781</v>
      </c>
      <c r="E4485" s="26">
        <v>151.22224</v>
      </c>
      <c r="G4485" s="27">
        <v>0.74652777777777779</v>
      </c>
      <c r="J4485" s="30">
        <f>IF(G4485&lt;$H$10,$H$16,IF(G4485&gt;$I$10,$H$16,$H$11))*E4485/600</f>
        <v>5.5448154666666673E-2</v>
      </c>
      <c r="L4485" s="32">
        <f>$J4485*($G4485-$G4484)*60*24</f>
        <v>5.5448154666675339E-2</v>
      </c>
    </row>
    <row r="4486" spans="1:12">
      <c r="A4486" s="22">
        <v>40313.74722222222</v>
      </c>
      <c r="E4486" s="26">
        <v>151.65693999999999</v>
      </c>
      <c r="G4486" s="27">
        <v>0.74722222222222223</v>
      </c>
      <c r="J4486" s="30">
        <f>IF(G4486&lt;$H$10,$H$16,IF(G4486&gt;$I$10,$H$16,$H$11))*E4486/600</f>
        <v>5.5607544666666668E-2</v>
      </c>
      <c r="L4486" s="32">
        <f>$J4486*($G4486-$G4485)*60*24</f>
        <v>5.5607544666666474E-2</v>
      </c>
    </row>
    <row r="4487" spans="1:12">
      <c r="A4487" s="22">
        <v>40313.747916666667</v>
      </c>
      <c r="E4487" s="26">
        <v>151.605144</v>
      </c>
      <c r="G4487" s="27">
        <v>0.74791666666666667</v>
      </c>
      <c r="J4487" s="30">
        <f>IF(G4487&lt;$H$10,$H$16,IF(G4487&gt;$I$10,$H$16,$H$11))*E4487/600</f>
        <v>5.5588552799999996E-2</v>
      </c>
      <c r="L4487" s="32">
        <f>$J4487*($G4487-$G4486)*60*24</f>
        <v>5.5588552799999802E-2</v>
      </c>
    </row>
    <row r="4488" spans="1:12">
      <c r="A4488" s="22">
        <v>40313.748611111114</v>
      </c>
      <c r="E4488" s="26">
        <v>151.56172000000001</v>
      </c>
      <c r="G4488" s="27">
        <v>0.74861111111111101</v>
      </c>
      <c r="J4488" s="30">
        <f>IF(G4488&lt;$H$10,$H$16,IF(G4488&gt;$I$10,$H$16,$H$11))*E4488/600</f>
        <v>5.5572630666666678E-2</v>
      </c>
      <c r="L4488" s="32">
        <f>$J4488*($G4488-$G4487)*60*24</f>
        <v>5.5572630666657588E-2</v>
      </c>
    </row>
    <row r="4489" spans="1:12">
      <c r="A4489" s="22">
        <v>40313.749305555553</v>
      </c>
      <c r="E4489" s="26">
        <v>151.47569999999999</v>
      </c>
      <c r="G4489" s="27">
        <v>0.74930555555555556</v>
      </c>
      <c r="J4489" s="30">
        <f>IF(G4489&lt;$H$10,$H$16,IF(G4489&gt;$I$10,$H$16,$H$11))*E4489/600</f>
        <v>5.5541089999999994E-2</v>
      </c>
      <c r="L4489" s="32">
        <f>$J4489*($G4489-$G4488)*60*24</f>
        <v>5.5541090000008668E-2</v>
      </c>
    </row>
    <row r="4490" spans="1:12">
      <c r="A4490" s="22">
        <v>40313.75</v>
      </c>
      <c r="E4490" s="26">
        <v>152.26864800000001</v>
      </c>
      <c r="G4490" s="27">
        <v>0.75</v>
      </c>
      <c r="J4490" s="30">
        <f>IF(G4490&lt;$H$10,$H$16,IF(G4490&gt;$I$10,$H$16,$H$11))*E4490/600</f>
        <v>5.583183760000001E-2</v>
      </c>
      <c r="L4490" s="32">
        <f>$J4490*($G4490-$G4489)*60*24</f>
        <v>5.5831837599999809E-2</v>
      </c>
    </row>
    <row r="4491" spans="1:12">
      <c r="A4491" s="22">
        <v>40313.750694444447</v>
      </c>
      <c r="E4491" s="26">
        <v>152.014544</v>
      </c>
      <c r="G4491" s="27">
        <v>0.75069444444444444</v>
      </c>
      <c r="J4491" s="30">
        <f>IF(G4491&lt;$H$10,$H$16,IF(G4491&gt;$I$10,$H$16,$H$11))*E4491/600</f>
        <v>5.0671514666666667E-2</v>
      </c>
      <c r="L4491" s="32">
        <f>$J4491*($G4491-$G4490)*60*24</f>
        <v>5.0671514666666487E-2</v>
      </c>
    </row>
    <row r="4492" spans="1:12">
      <c r="A4492" s="22">
        <v>40313.751388888886</v>
      </c>
      <c r="E4492" s="26">
        <v>152.352</v>
      </c>
      <c r="G4492" s="27">
        <v>0.75138888888888899</v>
      </c>
      <c r="J4492" s="30">
        <f>IF(G4492&lt;$H$10,$H$16,IF(G4492&gt;$I$10,$H$16,$H$11))*E4492/600</f>
        <v>5.0784000000000003E-2</v>
      </c>
      <c r="L4492" s="32">
        <f>$J4492*($G4492-$G4491)*60*24</f>
        <v>5.0784000000007934E-2</v>
      </c>
    </row>
    <row r="4493" spans="1:12">
      <c r="A4493" s="22">
        <v>40313.752083333333</v>
      </c>
      <c r="E4493" s="26">
        <v>151.680768</v>
      </c>
      <c r="G4493" s="27">
        <v>0.75208333333333333</v>
      </c>
      <c r="J4493" s="30">
        <f>IF(G4493&lt;$H$10,$H$16,IF(G4493&gt;$I$10,$H$16,$H$11))*E4493/600</f>
        <v>5.0560256000000005E-2</v>
      </c>
      <c r="L4493" s="32">
        <f>$J4493*($G4493-$G4492)*60*24</f>
        <v>5.0560255999991741E-2</v>
      </c>
    </row>
    <row r="4494" spans="1:12">
      <c r="A4494" s="22">
        <v>40313.75277777778</v>
      </c>
      <c r="E4494" s="26">
        <v>151.54607999999999</v>
      </c>
      <c r="G4494" s="27">
        <v>0.75277777777777777</v>
      </c>
      <c r="J4494" s="30">
        <f>IF(G4494&lt;$H$10,$H$16,IF(G4494&gt;$I$10,$H$16,$H$11))*E4494/600</f>
        <v>5.0515360000000002E-2</v>
      </c>
      <c r="L4494" s="32">
        <f>$J4494*($G4494-$G4493)*60*24</f>
        <v>5.0515359999999822E-2</v>
      </c>
    </row>
    <row r="4495" spans="1:12">
      <c r="A4495" s="22">
        <v>40313.753472222219</v>
      </c>
      <c r="E4495" s="26">
        <v>152.01988</v>
      </c>
      <c r="G4495" s="27">
        <v>0.75347222222222221</v>
      </c>
      <c r="J4495" s="30">
        <f>IF(G4495&lt;$H$10,$H$16,IF(G4495&gt;$I$10,$H$16,$H$11))*E4495/600</f>
        <v>5.0673293333333334E-2</v>
      </c>
      <c r="L4495" s="32">
        <f>$J4495*($G4495-$G4494)*60*24</f>
        <v>5.0673293333333154E-2</v>
      </c>
    </row>
    <row r="4496" spans="1:12">
      <c r="A4496" s="22">
        <v>40313.754166666666</v>
      </c>
      <c r="E4496" s="26">
        <v>152.90685199999999</v>
      </c>
      <c r="G4496" s="27">
        <v>0.75416666666666676</v>
      </c>
      <c r="J4496" s="30">
        <f>IF(G4496&lt;$H$10,$H$16,IF(G4496&gt;$I$10,$H$16,$H$11))*E4496/600</f>
        <v>5.0968950666666665E-2</v>
      </c>
      <c r="L4496" s="32">
        <f>$J4496*($G4496-$G4495)*60*24</f>
        <v>5.0968950666674631E-2</v>
      </c>
    </row>
    <row r="4497" spans="1:12">
      <c r="A4497" s="22">
        <v>40313.754861111112</v>
      </c>
      <c r="E4497" s="26">
        <v>152.38107199999999</v>
      </c>
      <c r="G4497" s="27">
        <v>0.75486111111111109</v>
      </c>
      <c r="J4497" s="30">
        <f>IF(G4497&lt;$H$10,$H$16,IF(G4497&gt;$I$10,$H$16,$H$11))*E4497/600</f>
        <v>5.0793690666666669E-2</v>
      </c>
      <c r="L4497" s="32">
        <f>$J4497*($G4497-$G4496)*60*24</f>
        <v>5.079369066665837E-2</v>
      </c>
    </row>
    <row r="4498" spans="1:12">
      <c r="A4498" s="22">
        <v>40313.755555555559</v>
      </c>
      <c r="E4498" s="26">
        <v>151.885008</v>
      </c>
      <c r="G4498" s="27">
        <v>0.75555555555555554</v>
      </c>
      <c r="J4498" s="30">
        <f>IF(G4498&lt;$H$10,$H$16,IF(G4498&gt;$I$10,$H$16,$H$11))*E4498/600</f>
        <v>5.0628336000000003E-2</v>
      </c>
      <c r="L4498" s="32">
        <f>$J4498*($G4498-$G4497)*60*24</f>
        <v>5.0628335999999816E-2</v>
      </c>
    </row>
    <row r="4499" spans="1:12">
      <c r="A4499" s="22">
        <v>40313.756249999999</v>
      </c>
      <c r="E4499" s="26">
        <v>151.876912</v>
      </c>
      <c r="G4499" s="27">
        <v>0.75624999999999998</v>
      </c>
      <c r="J4499" s="30">
        <f>IF(G4499&lt;$H$10,$H$16,IF(G4499&gt;$I$10,$H$16,$H$11))*E4499/600</f>
        <v>5.0625637333333341E-2</v>
      </c>
      <c r="L4499" s="32">
        <f>$J4499*($G4499-$G4498)*60*24</f>
        <v>5.0625637333333168E-2</v>
      </c>
    </row>
    <row r="4500" spans="1:12">
      <c r="A4500" s="22">
        <v>40313.756944444445</v>
      </c>
      <c r="E4500" s="26">
        <v>152.83794399999999</v>
      </c>
      <c r="G4500" s="27">
        <v>0.75694444444444453</v>
      </c>
      <c r="J4500" s="30">
        <f>IF(G4500&lt;$H$10,$H$16,IF(G4500&gt;$I$10,$H$16,$H$11))*E4500/600</f>
        <v>5.0945981333333334E-2</v>
      </c>
      <c r="L4500" s="32">
        <f>$J4500*($G4500-$G4499)*60*24</f>
        <v>5.0945981333341293E-2</v>
      </c>
    </row>
    <row r="4501" spans="1:12">
      <c r="A4501" s="22">
        <v>40313.757638888892</v>
      </c>
      <c r="E4501" s="26">
        <v>152.22283200000001</v>
      </c>
      <c r="G4501" s="27">
        <v>0.75763888888888886</v>
      </c>
      <c r="J4501" s="30">
        <f>IF(G4501&lt;$H$10,$H$16,IF(G4501&gt;$I$10,$H$16,$H$11))*E4501/600</f>
        <v>5.0740944000000003E-2</v>
      </c>
      <c r="L4501" s="32">
        <f>$J4501*($G4501-$G4500)*60*24</f>
        <v>5.0740943999991704E-2</v>
      </c>
    </row>
    <row r="4502" spans="1:12">
      <c r="A4502" s="22">
        <v>40313.758333333331</v>
      </c>
      <c r="E4502" s="26">
        <v>152.152176</v>
      </c>
      <c r="G4502" s="27">
        <v>0.7583333333333333</v>
      </c>
      <c r="J4502" s="30">
        <f>IF(G4502&lt;$H$10,$H$16,IF(G4502&gt;$I$10,$H$16,$H$11))*E4502/600</f>
        <v>5.0717392E-2</v>
      </c>
      <c r="L4502" s="32">
        <f>$J4502*($G4502-$G4501)*60*24</f>
        <v>5.071739199999982E-2</v>
      </c>
    </row>
    <row r="4503" spans="1:12">
      <c r="A4503" s="22">
        <v>40313.759027777778</v>
      </c>
      <c r="E4503" s="26">
        <v>151.582144</v>
      </c>
      <c r="G4503" s="27">
        <v>0.75902777777777775</v>
      </c>
      <c r="J4503" s="30">
        <f>IF(G4503&lt;$H$10,$H$16,IF(G4503&gt;$I$10,$H$16,$H$11))*E4503/600</f>
        <v>5.0527381333333336E-2</v>
      </c>
      <c r="L4503" s="32">
        <f>$J4503*($G4503-$G4502)*60*24</f>
        <v>5.0527381333333149E-2</v>
      </c>
    </row>
    <row r="4504" spans="1:12">
      <c r="A4504" s="22">
        <v>40313.759722222225</v>
      </c>
      <c r="E4504" s="26">
        <v>151.52676</v>
      </c>
      <c r="G4504" s="27">
        <v>0.7597222222222223</v>
      </c>
      <c r="J4504" s="30">
        <f>IF(G4504&lt;$H$10,$H$16,IF(G4504&gt;$I$10,$H$16,$H$11))*E4504/600</f>
        <v>5.0508919999999999E-2</v>
      </c>
      <c r="L4504" s="32">
        <f>$J4504*($G4504-$G4503)*60*24</f>
        <v>5.0508920000007895E-2</v>
      </c>
    </row>
    <row r="4505" spans="1:12">
      <c r="A4505" s="22">
        <v>40313.760416666664</v>
      </c>
      <c r="E4505" s="26">
        <v>151.4228</v>
      </c>
      <c r="G4505" s="27">
        <v>0.76041666666666663</v>
      </c>
      <c r="J4505" s="30">
        <f>IF(G4505&lt;$H$10,$H$16,IF(G4505&gt;$I$10,$H$16,$H$11))*E4505/600</f>
        <v>5.0474266666666663E-2</v>
      </c>
      <c r="L4505" s="32">
        <f>$J4505*($G4505-$G4504)*60*24</f>
        <v>5.0474266666658413E-2</v>
      </c>
    </row>
    <row r="4506" spans="1:12">
      <c r="A4506" s="22">
        <v>40313.761111111111</v>
      </c>
      <c r="E4506" s="26">
        <v>150.57879199999999</v>
      </c>
      <c r="G4506" s="27">
        <v>0.76111111111111107</v>
      </c>
      <c r="J4506" s="30">
        <f>IF(G4506&lt;$H$10,$H$16,IF(G4506&gt;$I$10,$H$16,$H$11))*E4506/600</f>
        <v>5.019293066666667E-2</v>
      </c>
      <c r="L4506" s="32">
        <f>$J4506*($G4506-$G4505)*60*24</f>
        <v>5.0192930666666483E-2</v>
      </c>
    </row>
    <row r="4507" spans="1:12">
      <c r="A4507" s="22">
        <v>40313.761805555558</v>
      </c>
      <c r="E4507" s="26">
        <v>151.63578000000001</v>
      </c>
      <c r="G4507" s="27">
        <v>0.76180555555555562</v>
      </c>
      <c r="J4507" s="30">
        <f>IF(G4507&lt;$H$10,$H$16,IF(G4507&gt;$I$10,$H$16,$H$11))*E4507/600</f>
        <v>5.0545260000000002E-2</v>
      </c>
      <c r="L4507" s="32">
        <f>$J4507*($G4507-$G4506)*60*24</f>
        <v>5.0545260000007898E-2</v>
      </c>
    </row>
    <row r="4508" spans="1:12">
      <c r="A4508" s="22">
        <v>40313.762499999997</v>
      </c>
      <c r="E4508" s="26">
        <v>151.14422400000001</v>
      </c>
      <c r="G4508" s="27">
        <v>0.76250000000000007</v>
      </c>
      <c r="J4508" s="30">
        <f>IF(G4508&lt;$H$10,$H$16,IF(G4508&gt;$I$10,$H$16,$H$11))*E4508/600</f>
        <v>5.0381408000000009E-2</v>
      </c>
      <c r="L4508" s="32">
        <f>$J4508*($G4508-$G4507)*60*24</f>
        <v>5.0381407999999836E-2</v>
      </c>
    </row>
    <row r="4509" spans="1:12">
      <c r="A4509" s="22">
        <v>40313.763194444444</v>
      </c>
      <c r="E4509" s="26">
        <v>151.29593199999999</v>
      </c>
      <c r="G4509" s="27">
        <v>0.7631944444444444</v>
      </c>
      <c r="J4509" s="30">
        <f>IF(G4509&lt;$H$10,$H$16,IF(G4509&gt;$I$10,$H$16,$H$11))*E4509/600</f>
        <v>5.0431977333333336E-2</v>
      </c>
      <c r="L4509" s="32">
        <f>$J4509*($G4509-$G4508)*60*24</f>
        <v>5.0431977333325093E-2</v>
      </c>
    </row>
    <row r="4510" spans="1:12">
      <c r="A4510" s="22">
        <v>40313.763888888891</v>
      </c>
      <c r="E4510" s="26">
        <v>151.95474400000001</v>
      </c>
      <c r="G4510" s="27">
        <v>0.76388888888888884</v>
      </c>
      <c r="J4510" s="30">
        <f>IF(G4510&lt;$H$10,$H$16,IF(G4510&gt;$I$10,$H$16,$H$11))*E4510/600</f>
        <v>5.0651581333333341E-2</v>
      </c>
      <c r="L4510" s="32">
        <f>$J4510*($G4510-$G4509)*60*24</f>
        <v>5.0651581333333154E-2</v>
      </c>
    </row>
    <row r="4511" spans="1:12">
      <c r="A4511" s="22">
        <v>40313.76458333333</v>
      </c>
      <c r="E4511" s="26">
        <v>151.47781599999999</v>
      </c>
      <c r="G4511" s="27">
        <v>0.76458333333333339</v>
      </c>
      <c r="J4511" s="30">
        <f>IF(G4511&lt;$H$10,$H$16,IF(G4511&gt;$I$10,$H$16,$H$11))*E4511/600</f>
        <v>5.0492605333333336E-2</v>
      </c>
      <c r="L4511" s="32">
        <f>$J4511*($G4511-$G4510)*60*24</f>
        <v>5.0492605333341239E-2</v>
      </c>
    </row>
    <row r="4512" spans="1:12">
      <c r="A4512" s="22">
        <v>40313.765277777777</v>
      </c>
      <c r="E4512" s="26">
        <v>151.922268</v>
      </c>
      <c r="G4512" s="27">
        <v>0.76527777777777783</v>
      </c>
      <c r="J4512" s="30">
        <f>IF(G4512&lt;$H$10,$H$16,IF(G4512&gt;$I$10,$H$16,$H$11))*E4512/600</f>
        <v>5.0640756000000002E-2</v>
      </c>
      <c r="L4512" s="32">
        <f>$J4512*($G4512-$G4511)*60*24</f>
        <v>5.0640755999999829E-2</v>
      </c>
    </row>
    <row r="4513" spans="1:12">
      <c r="A4513" s="22">
        <v>40313.765972222223</v>
      </c>
      <c r="E4513" s="26">
        <v>151.85888</v>
      </c>
      <c r="G4513" s="27">
        <v>0.76597222222222217</v>
      </c>
      <c r="J4513" s="30">
        <f>IF(G4513&lt;$H$10,$H$16,IF(G4513&gt;$I$10,$H$16,$H$11))*E4513/600</f>
        <v>5.0619626666666667E-2</v>
      </c>
      <c r="L4513" s="32">
        <f>$J4513*($G4513-$G4512)*60*24</f>
        <v>5.0619626666658396E-2</v>
      </c>
    </row>
    <row r="4514" spans="1:12">
      <c r="A4514" s="22">
        <v>40313.76666666667</v>
      </c>
      <c r="E4514" s="26">
        <v>157.81532799999999</v>
      </c>
      <c r="G4514" s="27">
        <v>0.76666666666666661</v>
      </c>
      <c r="J4514" s="30">
        <f>IF(G4514&lt;$H$10,$H$16,IF(G4514&gt;$I$10,$H$16,$H$11))*E4514/600</f>
        <v>5.2605109333333337E-2</v>
      </c>
      <c r="L4514" s="32">
        <f>$J4514*($G4514-$G4513)*60*24</f>
        <v>5.260510933333315E-2</v>
      </c>
    </row>
    <row r="4515" spans="1:12">
      <c r="A4515" s="22">
        <v>40313.767361111109</v>
      </c>
      <c r="E4515" s="26">
        <v>169.53081599999999</v>
      </c>
      <c r="G4515" s="27">
        <v>0.76736111111111116</v>
      </c>
      <c r="J4515" s="30">
        <f>IF(G4515&lt;$H$10,$H$16,IF(G4515&gt;$I$10,$H$16,$H$11))*E4515/600</f>
        <v>5.6510272E-2</v>
      </c>
      <c r="L4515" s="32">
        <f>$J4515*($G4515-$G4514)*60*24</f>
        <v>5.6510272000008833E-2</v>
      </c>
    </row>
    <row r="4516" spans="1:12">
      <c r="A4516" s="22">
        <v>40313.768055555556</v>
      </c>
      <c r="E4516" s="26">
        <v>176.43847</v>
      </c>
      <c r="G4516" s="27">
        <v>0.7680555555555556</v>
      </c>
      <c r="J4516" s="30">
        <f>IF(G4516&lt;$H$10,$H$16,IF(G4516&gt;$I$10,$H$16,$H$11))*E4516/600</f>
        <v>5.8812823333333333E-2</v>
      </c>
      <c r="L4516" s="32">
        <f>$J4516*($G4516-$G4515)*60*24</f>
        <v>5.8812823333333125E-2</v>
      </c>
    </row>
    <row r="4517" spans="1:12">
      <c r="A4517" s="22">
        <v>40313.768750000003</v>
      </c>
      <c r="E4517" s="26">
        <v>156.249672</v>
      </c>
      <c r="G4517" s="27">
        <v>0.76874999999999993</v>
      </c>
      <c r="J4517" s="30">
        <f>IF(G4517&lt;$H$10,$H$16,IF(G4517&gt;$I$10,$H$16,$H$11))*E4517/600</f>
        <v>5.2083224000000004E-2</v>
      </c>
      <c r="L4517" s="32">
        <f>$J4517*($G4517-$G4516)*60*24</f>
        <v>5.2083223999991497E-2</v>
      </c>
    </row>
    <row r="4518" spans="1:12">
      <c r="A4518" s="22">
        <v>40313.769444444442</v>
      </c>
      <c r="E4518" s="26">
        <v>152.61833999999999</v>
      </c>
      <c r="G4518" s="27">
        <v>0.76944444444444438</v>
      </c>
      <c r="J4518" s="30">
        <f>IF(G4518&lt;$H$10,$H$16,IF(G4518&gt;$I$10,$H$16,$H$11))*E4518/600</f>
        <v>5.0872779999999999E-2</v>
      </c>
      <c r="L4518" s="32">
        <f>$J4518*($G4518-$G4517)*60*24</f>
        <v>5.0872779999999812E-2</v>
      </c>
    </row>
    <row r="4519" spans="1:12">
      <c r="A4519" s="22">
        <v>40313.770138888889</v>
      </c>
      <c r="E4519" s="26">
        <v>152.469944</v>
      </c>
      <c r="G4519" s="27">
        <v>0.77013888888888893</v>
      </c>
      <c r="J4519" s="30">
        <f>IF(G4519&lt;$H$10,$H$16,IF(G4519&gt;$I$10,$H$16,$H$11))*E4519/600</f>
        <v>5.0823314666666668E-2</v>
      </c>
      <c r="L4519" s="32">
        <f>$J4519*($G4519-$G4518)*60*24</f>
        <v>5.0823314666674613E-2</v>
      </c>
    </row>
    <row r="4520" spans="1:12">
      <c r="A4520" s="22">
        <v>40313.770833333336</v>
      </c>
      <c r="E4520" s="26">
        <v>152.41824</v>
      </c>
      <c r="G4520" s="27">
        <v>0.77083333333333337</v>
      </c>
      <c r="J4520" s="30">
        <f>IF(G4520&lt;$H$10,$H$16,IF(G4520&gt;$I$10,$H$16,$H$11))*E4520/600</f>
        <v>5.0806080000000003E-2</v>
      </c>
      <c r="L4520" s="32">
        <f>$J4520*($G4520-$G4519)*60*24</f>
        <v>5.0806079999999823E-2</v>
      </c>
    </row>
    <row r="4521" spans="1:12">
      <c r="A4521" s="22">
        <v>40313.771527777775</v>
      </c>
      <c r="E4521" s="26">
        <v>153.20760000000001</v>
      </c>
      <c r="G4521" s="27">
        <v>0.7715277777777777</v>
      </c>
      <c r="J4521" s="30">
        <f>IF(G4521&lt;$H$10,$H$16,IF(G4521&gt;$I$10,$H$16,$H$11))*E4521/600</f>
        <v>5.1069200000000009E-2</v>
      </c>
      <c r="L4521" s="32">
        <f>$J4521*($G4521-$G4520)*60*24</f>
        <v>5.1069199999991662E-2</v>
      </c>
    </row>
    <row r="4522" spans="1:12">
      <c r="A4522" s="22">
        <v>40313.772222222222</v>
      </c>
      <c r="E4522" s="26">
        <v>152.78329600000001</v>
      </c>
      <c r="G4522" s="27">
        <v>0.77222222222222225</v>
      </c>
      <c r="J4522" s="30">
        <f>IF(G4522&lt;$H$10,$H$16,IF(G4522&gt;$I$10,$H$16,$H$11))*E4522/600</f>
        <v>5.092776533333334E-2</v>
      </c>
      <c r="L4522" s="32">
        <f>$J4522*($G4522-$G4521)*60*24</f>
        <v>5.0927765333341299E-2</v>
      </c>
    </row>
    <row r="4523" spans="1:12">
      <c r="A4523" s="22">
        <v>40313.772916666669</v>
      </c>
      <c r="E4523" s="26">
        <v>152.53268800000001</v>
      </c>
      <c r="G4523" s="27">
        <v>0.7729166666666667</v>
      </c>
      <c r="J4523" s="30">
        <f>IF(G4523&lt;$H$10,$H$16,IF(G4523&gt;$I$10,$H$16,$H$11))*E4523/600</f>
        <v>5.0844229333333338E-2</v>
      </c>
      <c r="L4523" s="32">
        <f>$J4523*($G4523-$G4522)*60*24</f>
        <v>5.0844229333333157E-2</v>
      </c>
    </row>
    <row r="4524" spans="1:12">
      <c r="A4524" s="22">
        <v>40313.773611111108</v>
      </c>
      <c r="E4524" s="26">
        <v>153.08109999999999</v>
      </c>
      <c r="G4524" s="27">
        <v>0.77361111111111114</v>
      </c>
      <c r="J4524" s="30">
        <f>IF(G4524&lt;$H$10,$H$16,IF(G4524&gt;$I$10,$H$16,$H$11))*E4524/600</f>
        <v>5.1027033333333333E-2</v>
      </c>
      <c r="L4524" s="32">
        <f>$J4524*($G4524-$G4523)*60*24</f>
        <v>5.1027033333333152E-2</v>
      </c>
    </row>
    <row r="4525" spans="1:12">
      <c r="A4525" s="22">
        <v>40313.774305555555</v>
      </c>
      <c r="E4525" s="26">
        <v>153.752792</v>
      </c>
      <c r="G4525" s="27">
        <v>0.77430555555555547</v>
      </c>
      <c r="J4525" s="30">
        <f>IF(G4525&lt;$H$10,$H$16,IF(G4525&gt;$I$10,$H$16,$H$11))*E4525/600</f>
        <v>5.1250930666666673E-2</v>
      </c>
      <c r="L4525" s="32">
        <f>$J4525*($G4525-$G4524)*60*24</f>
        <v>5.1250930666658298E-2</v>
      </c>
    </row>
    <row r="4526" spans="1:12">
      <c r="A4526" s="22">
        <v>40313.775000000001</v>
      </c>
      <c r="E4526" s="26">
        <v>153.08524</v>
      </c>
      <c r="G4526" s="27">
        <v>0.77500000000000002</v>
      </c>
      <c r="J4526" s="30">
        <f>IF(G4526&lt;$H$10,$H$16,IF(G4526&gt;$I$10,$H$16,$H$11))*E4526/600</f>
        <v>5.1028413333333335E-2</v>
      </c>
      <c r="L4526" s="32">
        <f>$J4526*($G4526-$G4525)*60*24</f>
        <v>5.1028413333341308E-2</v>
      </c>
    </row>
    <row r="4527" spans="1:12">
      <c r="A4527" s="22">
        <v>40313.775694444441</v>
      </c>
      <c r="E4527" s="26">
        <v>158.89356900000001</v>
      </c>
      <c r="G4527" s="27">
        <v>0.77569444444444446</v>
      </c>
      <c r="J4527" s="30">
        <f>IF(G4527&lt;$H$10,$H$16,IF(G4527&gt;$I$10,$H$16,$H$11))*E4527/600</f>
        <v>5.2964523000000006E-2</v>
      </c>
      <c r="L4527" s="32">
        <f>$J4527*($G4527-$G4526)*60*24</f>
        <v>5.2964522999999826E-2</v>
      </c>
    </row>
    <row r="4528" spans="1:12">
      <c r="A4528" s="22">
        <v>40313.776388888888</v>
      </c>
      <c r="E4528" s="26">
        <v>168.154416</v>
      </c>
      <c r="G4528" s="27">
        <v>0.77638888888888891</v>
      </c>
      <c r="J4528" s="30">
        <f>IF(G4528&lt;$H$10,$H$16,IF(G4528&gt;$I$10,$H$16,$H$11))*E4528/600</f>
        <v>5.6051471999999998E-2</v>
      </c>
      <c r="L4528" s="32">
        <f>$J4528*($G4528-$G4527)*60*24</f>
        <v>5.6051471999999797E-2</v>
      </c>
    </row>
    <row r="4529" spans="1:12">
      <c r="A4529" s="22">
        <v>40313.777083333334</v>
      </c>
      <c r="E4529" s="26">
        <v>174.680576</v>
      </c>
      <c r="G4529" s="27">
        <v>0.77708333333333324</v>
      </c>
      <c r="J4529" s="30">
        <f>IF(G4529&lt;$H$10,$H$16,IF(G4529&gt;$I$10,$H$16,$H$11))*E4529/600</f>
        <v>5.8226858666666673E-2</v>
      </c>
      <c r="L4529" s="32">
        <f>$J4529*($G4529-$G4528)*60*24</f>
        <v>5.8226858666657152E-2</v>
      </c>
    </row>
    <row r="4530" spans="1:12">
      <c r="A4530" s="22">
        <v>40313.777777777781</v>
      </c>
      <c r="E4530" s="26">
        <v>174.0222</v>
      </c>
      <c r="G4530" s="27">
        <v>0.77777777777777779</v>
      </c>
      <c r="J4530" s="30">
        <f>IF(G4530&lt;$H$10,$H$16,IF(G4530&gt;$I$10,$H$16,$H$11))*E4530/600</f>
        <v>5.8007400000000001E-2</v>
      </c>
      <c r="L4530" s="32">
        <f>$J4530*($G4530-$G4529)*60*24</f>
        <v>5.8007400000009063E-2</v>
      </c>
    </row>
    <row r="4531" spans="1:12">
      <c r="A4531" s="22">
        <v>40313.77847222222</v>
      </c>
      <c r="E4531" s="26">
        <v>165.333168</v>
      </c>
      <c r="G4531" s="27">
        <v>0.77847222222222223</v>
      </c>
      <c r="J4531" s="30">
        <f>IF(G4531&lt;$H$10,$H$16,IF(G4531&gt;$I$10,$H$16,$H$11))*E4531/600</f>
        <v>5.5111056000000005E-2</v>
      </c>
      <c r="L4531" s="32">
        <f>$J4531*($G4531-$G4530)*60*24</f>
        <v>5.5111055999999811E-2</v>
      </c>
    </row>
    <row r="4532" spans="1:12">
      <c r="A4532" s="22">
        <v>40313.779166666667</v>
      </c>
      <c r="E4532" s="26">
        <v>153.551772</v>
      </c>
      <c r="G4532" s="27">
        <v>0.77916666666666667</v>
      </c>
      <c r="J4532" s="30">
        <f>IF(G4532&lt;$H$10,$H$16,IF(G4532&gt;$I$10,$H$16,$H$11))*E4532/600</f>
        <v>5.1183923999999999E-2</v>
      </c>
      <c r="L4532" s="32">
        <f>$J4532*($G4532-$G4531)*60*24</f>
        <v>5.1183923999999811E-2</v>
      </c>
    </row>
    <row r="4533" spans="1:12">
      <c r="A4533" s="22">
        <v>40313.779861111114</v>
      </c>
      <c r="E4533" s="26">
        <v>151.20604800000001</v>
      </c>
      <c r="G4533" s="27">
        <v>0.77986111111111101</v>
      </c>
      <c r="J4533" s="30">
        <f>IF(G4533&lt;$H$10,$H$16,IF(G4533&gt;$I$10,$H$16,$H$11))*E4533/600</f>
        <v>5.0402016000000008E-2</v>
      </c>
      <c r="L4533" s="32">
        <f>$J4533*($G4533-$G4532)*60*24</f>
        <v>5.0402015999991778E-2</v>
      </c>
    </row>
    <row r="4534" spans="1:12">
      <c r="A4534" s="22">
        <v>40313.780555555553</v>
      </c>
      <c r="E4534" s="26">
        <v>151.048912</v>
      </c>
      <c r="G4534" s="27">
        <v>0.78055555555555556</v>
      </c>
      <c r="J4534" s="30">
        <f>IF(G4534&lt;$H$10,$H$16,IF(G4534&gt;$I$10,$H$16,$H$11))*E4534/600</f>
        <v>5.0349637333333336E-2</v>
      </c>
      <c r="L4534" s="32">
        <f>$J4534*($G4534-$G4533)*60*24</f>
        <v>5.0349637333341205E-2</v>
      </c>
    </row>
    <row r="4535" spans="1:12">
      <c r="A4535" s="22">
        <v>40313.78125</v>
      </c>
      <c r="E4535" s="26">
        <v>150.75865200000001</v>
      </c>
      <c r="G4535" s="27">
        <v>0.78125</v>
      </c>
      <c r="J4535" s="30">
        <f>IF(G4535&lt;$H$10,$H$16,IF(G4535&gt;$I$10,$H$16,$H$11))*E4535/600</f>
        <v>5.0252884000000012E-2</v>
      </c>
      <c r="L4535" s="32">
        <f>$J4535*($G4535-$G4534)*60*24</f>
        <v>5.0252883999999831E-2</v>
      </c>
    </row>
    <row r="4536" spans="1:12">
      <c r="A4536" s="22">
        <v>40313.781944444447</v>
      </c>
      <c r="E4536" s="26">
        <v>151.44966400000001</v>
      </c>
      <c r="G4536" s="27">
        <v>0.78194444444444444</v>
      </c>
      <c r="J4536" s="30">
        <f>IF(G4536&lt;$H$10,$H$16,IF(G4536&gt;$I$10,$H$16,$H$11))*E4536/600</f>
        <v>5.0483221333333335E-2</v>
      </c>
      <c r="L4536" s="32">
        <f>$J4536*($G4536-$G4535)*60*24</f>
        <v>5.0483221333333154E-2</v>
      </c>
    </row>
    <row r="4537" spans="1:12">
      <c r="A4537" s="22">
        <v>40313.782638888886</v>
      </c>
      <c r="E4537" s="26">
        <v>151.4228</v>
      </c>
      <c r="G4537" s="27">
        <v>0.78263888888888899</v>
      </c>
      <c r="J4537" s="30">
        <f>IF(G4537&lt;$H$10,$H$16,IF(G4537&gt;$I$10,$H$16,$H$11))*E4537/600</f>
        <v>5.0474266666666663E-2</v>
      </c>
      <c r="L4537" s="32">
        <f>$J4537*($G4537-$G4536)*60*24</f>
        <v>5.047426666667456E-2</v>
      </c>
    </row>
    <row r="4538" spans="1:12">
      <c r="A4538" s="22">
        <v>40313.783333333333</v>
      </c>
      <c r="E4538" s="26">
        <v>129.52288799999999</v>
      </c>
      <c r="G4538" s="27">
        <v>0.78333333333333333</v>
      </c>
      <c r="J4538" s="30">
        <f>IF(G4538&lt;$H$10,$H$16,IF(G4538&gt;$I$10,$H$16,$H$11))*E4538/600</f>
        <v>4.3174296000000001E-2</v>
      </c>
      <c r="L4538" s="32">
        <f>$J4538*($G4538-$G4537)*60*24</f>
        <v>4.3174295999992944E-2</v>
      </c>
    </row>
    <row r="4539" spans="1:12">
      <c r="A4539" s="22">
        <v>40313.78402777778</v>
      </c>
      <c r="E4539" s="26">
        <v>18.601344000000001</v>
      </c>
      <c r="G4539" s="27">
        <v>0.78402777777777777</v>
      </c>
      <c r="J4539" s="30">
        <f>IF(G4539&lt;$H$10,$H$16,IF(G4539&gt;$I$10,$H$16,$H$11))*E4539/600</f>
        <v>6.2004480000000008E-3</v>
      </c>
      <c r="L4539" s="32">
        <f>$J4539*($G4539-$G4538)*60*24</f>
        <v>6.2004479999999791E-3</v>
      </c>
    </row>
    <row r="4540" spans="1:12">
      <c r="A4540" s="22">
        <v>40313.784722222219</v>
      </c>
      <c r="E4540" s="26">
        <v>18.558129000000001</v>
      </c>
      <c r="G4540" s="27">
        <v>0.78472222222222221</v>
      </c>
      <c r="J4540" s="30">
        <f>IF(G4540&lt;$H$10,$H$16,IF(G4540&gt;$I$10,$H$16,$H$11))*E4540/600</f>
        <v>6.1860430000000004E-3</v>
      </c>
      <c r="L4540" s="32">
        <f>$J4540*($G4540-$G4539)*60*24</f>
        <v>6.1860429999999788E-3</v>
      </c>
    </row>
    <row r="4541" spans="1:12">
      <c r="A4541" s="22">
        <v>40313.785416666666</v>
      </c>
      <c r="E4541" s="26">
        <v>18.409164000000001</v>
      </c>
      <c r="G4541" s="27">
        <v>0.78541666666666676</v>
      </c>
      <c r="J4541" s="30">
        <f>IF(G4541&lt;$H$10,$H$16,IF(G4541&gt;$I$10,$H$16,$H$11))*E4541/600</f>
        <v>6.1363880000000004E-3</v>
      </c>
      <c r="L4541" s="32">
        <f>$J4541*($G4541-$G4540)*60*24</f>
        <v>6.1363880000009606E-3</v>
      </c>
    </row>
    <row r="4542" spans="1:12">
      <c r="A4542" s="22">
        <v>40313.786111111112</v>
      </c>
      <c r="E4542" s="26">
        <v>18.538920000000001</v>
      </c>
      <c r="G4542" s="27">
        <v>0.78611111111111109</v>
      </c>
      <c r="J4542" s="30">
        <f>IF(G4542&lt;$H$10,$H$16,IF(G4542&gt;$I$10,$H$16,$H$11))*E4542/600</f>
        <v>6.1796400000000001E-3</v>
      </c>
      <c r="L4542" s="32">
        <f>$J4542*($G4542-$G4541)*60*24</f>
        <v>6.1796399999989905E-3</v>
      </c>
    </row>
    <row r="4543" spans="1:12">
      <c r="A4543" s="22">
        <v>40313.786805555559</v>
      </c>
      <c r="E4543" s="26">
        <v>18.334160000000001</v>
      </c>
      <c r="G4543" s="27">
        <v>0.78680555555555554</v>
      </c>
      <c r="J4543" s="30">
        <f>IF(G4543&lt;$H$10,$H$16,IF(G4543&gt;$I$10,$H$16,$H$11))*E4543/600</f>
        <v>6.1113866666666671E-3</v>
      </c>
      <c r="L4543" s="32">
        <f>$J4543*($G4543-$G4542)*60*24</f>
        <v>6.1113866666666454E-3</v>
      </c>
    </row>
    <row r="4544" spans="1:12">
      <c r="A4544" s="22">
        <v>40313.787499999999</v>
      </c>
      <c r="E4544" s="26">
        <v>18.315528</v>
      </c>
      <c r="G4544" s="27">
        <v>0.78749999999999998</v>
      </c>
      <c r="J4544" s="30">
        <f>IF(G4544&lt;$H$10,$H$16,IF(G4544&gt;$I$10,$H$16,$H$11))*E4544/600</f>
        <v>6.1051760000000004E-3</v>
      </c>
      <c r="L4544" s="32">
        <f>$J4544*($G4544-$G4543)*60*24</f>
        <v>6.1051759999999787E-3</v>
      </c>
    </row>
    <row r="4545" spans="1:12">
      <c r="A4545" s="22">
        <v>40313.788194444445</v>
      </c>
      <c r="E4545" s="26">
        <v>18.34844</v>
      </c>
      <c r="G4545" s="27">
        <v>0.78819444444444453</v>
      </c>
      <c r="J4545" s="30">
        <f>IF(G4545&lt;$H$10,$H$16,IF(G4545&gt;$I$10,$H$16,$H$11))*E4545/600</f>
        <v>6.1161466666666674E-3</v>
      </c>
      <c r="L4545" s="32">
        <f>$J4545*($G4545-$G4544)*60*24</f>
        <v>6.1161466666676241E-3</v>
      </c>
    </row>
    <row r="4546" spans="1:12">
      <c r="A4546" s="22">
        <v>40313.788888888892</v>
      </c>
      <c r="E4546" s="26">
        <v>18.414263999999999</v>
      </c>
      <c r="G4546" s="27">
        <v>0.78888888888888886</v>
      </c>
      <c r="J4546" s="30">
        <f>IF(G4546&lt;$H$10,$H$16,IF(G4546&gt;$I$10,$H$16,$H$11))*E4546/600</f>
        <v>6.1380879999999999E-3</v>
      </c>
      <c r="L4546" s="32">
        <f>$J4546*($G4546-$G4545)*60*24</f>
        <v>6.1380879999989972E-3</v>
      </c>
    </row>
    <row r="4547" spans="1:12">
      <c r="A4547" s="22">
        <v>40313.789583333331</v>
      </c>
      <c r="E4547" s="26">
        <v>18.381352</v>
      </c>
      <c r="G4547" s="27">
        <v>0.7895833333333333</v>
      </c>
      <c r="J4547" s="30">
        <f>IF(G4547&lt;$H$10,$H$16,IF(G4547&gt;$I$10,$H$16,$H$11))*E4547/600</f>
        <v>6.1271173333333337E-3</v>
      </c>
      <c r="L4547" s="32">
        <f>$J4547*($G4547-$G4546)*60*24</f>
        <v>6.127117333333312E-3</v>
      </c>
    </row>
    <row r="4548" spans="1:12">
      <c r="A4548" s="22">
        <v>40313.790277777778</v>
      </c>
      <c r="E4548" s="26">
        <v>18.414263999999999</v>
      </c>
      <c r="G4548" s="27">
        <v>0.79027777777777775</v>
      </c>
      <c r="J4548" s="30">
        <f>IF(G4548&lt;$H$10,$H$16,IF(G4548&gt;$I$10,$H$16,$H$11))*E4548/600</f>
        <v>6.1380879999999999E-3</v>
      </c>
      <c r="L4548" s="32">
        <f>$J4548*($G4548-$G4547)*60*24</f>
        <v>6.1380879999999773E-3</v>
      </c>
    </row>
    <row r="4549" spans="1:12">
      <c r="A4549" s="22">
        <v>40313.790972222225</v>
      </c>
      <c r="E4549" s="26">
        <v>18.34844</v>
      </c>
      <c r="G4549" s="27">
        <v>0.7909722222222223</v>
      </c>
      <c r="J4549" s="30">
        <f>IF(G4549&lt;$H$10,$H$16,IF(G4549&gt;$I$10,$H$16,$H$11))*E4549/600</f>
        <v>6.1161466666666674E-3</v>
      </c>
      <c r="L4549" s="32">
        <f>$J4549*($G4549-$G4548)*60*24</f>
        <v>6.1161466666676241E-3</v>
      </c>
    </row>
    <row r="4550" spans="1:12">
      <c r="A4550" s="22">
        <v>40313.791666666664</v>
      </c>
      <c r="E4550" s="26">
        <v>18.356667999999999</v>
      </c>
      <c r="G4550" s="27">
        <v>0.79166666666666663</v>
      </c>
      <c r="J4550" s="30">
        <f>IF(G4550&lt;$H$10,$H$16,IF(G4550&gt;$I$10,$H$16,$H$11))*E4550/600</f>
        <v>6.1188893333333338E-3</v>
      </c>
      <c r="L4550" s="32">
        <f>$J4550*($G4550-$G4549)*60*24</f>
        <v>6.1188893333323346E-3</v>
      </c>
    </row>
    <row r="4551" spans="1:12">
      <c r="A4551" s="22">
        <v>40313.792361111111</v>
      </c>
      <c r="E4551" s="26">
        <v>18.491783999999999</v>
      </c>
      <c r="G4551" s="27">
        <v>0.79236111111111107</v>
      </c>
      <c r="J4551" s="30">
        <f>IF(G4551&lt;$H$10,$H$16,IF(G4551&gt;$I$10,$H$16,$H$11))*E4551/600</f>
        <v>6.1639279999999999E-3</v>
      </c>
      <c r="L4551" s="32">
        <f>$J4551*($G4551-$G4550)*60*24</f>
        <v>6.1639279999999774E-3</v>
      </c>
    </row>
    <row r="4552" spans="1:12">
      <c r="A4552" s="22">
        <v>40313.793055555558</v>
      </c>
      <c r="E4552" s="26">
        <v>18.417120000000001</v>
      </c>
      <c r="G4552" s="27">
        <v>0.79305555555555562</v>
      </c>
      <c r="J4552" s="30">
        <f>IF(G4552&lt;$H$10,$H$16,IF(G4552&gt;$I$10,$H$16,$H$11))*E4552/600</f>
        <v>6.139040000000001E-3</v>
      </c>
      <c r="L4552" s="32">
        <f>$J4552*($G4552-$G4551)*60*24</f>
        <v>6.1390400000009612E-3</v>
      </c>
    </row>
    <row r="4553" spans="1:12">
      <c r="A4553" s="22">
        <v>40313.793749999997</v>
      </c>
      <c r="E4553" s="26">
        <v>18.253814999999999</v>
      </c>
      <c r="G4553" s="27">
        <v>0.79375000000000007</v>
      </c>
      <c r="J4553" s="30">
        <f>IF(G4553&lt;$H$10,$H$16,IF(G4553&gt;$I$10,$H$16,$H$11))*E4553/600</f>
        <v>6.0846049999999999E-3</v>
      </c>
      <c r="L4553" s="32">
        <f>$J4553*($G4553-$G4552)*60*24</f>
        <v>6.0846049999999791E-3</v>
      </c>
    </row>
    <row r="4554" spans="1:12">
      <c r="A4554" s="22">
        <v>40313.794444444444</v>
      </c>
      <c r="E4554" s="26">
        <v>18.375640000000001</v>
      </c>
      <c r="G4554" s="27">
        <v>0.7944444444444444</v>
      </c>
      <c r="J4554" s="30">
        <f>IF(G4554&lt;$H$10,$H$16,IF(G4554&gt;$I$10,$H$16,$H$11))*E4554/600</f>
        <v>6.125213333333334E-3</v>
      </c>
      <c r="L4554" s="32">
        <f>$J4554*($G4554-$G4553)*60*24</f>
        <v>6.1252133333323331E-3</v>
      </c>
    </row>
    <row r="4555" spans="1:12">
      <c r="A4555" s="22">
        <v>40313.795138888891</v>
      </c>
      <c r="E4555" s="26">
        <v>18.315528</v>
      </c>
      <c r="G4555" s="27">
        <v>0.79513888888888884</v>
      </c>
      <c r="J4555" s="30">
        <f>IF(G4555&lt;$H$10,$H$16,IF(G4555&gt;$I$10,$H$16,$H$11))*E4555/600</f>
        <v>6.1051760000000004E-3</v>
      </c>
      <c r="L4555" s="32">
        <f>$J4555*($G4555-$G4554)*60*24</f>
        <v>6.1051759999999787E-3</v>
      </c>
    </row>
    <row r="4556" spans="1:12">
      <c r="A4556" s="22">
        <v>40313.79583333333</v>
      </c>
      <c r="E4556" s="26">
        <v>18.350752</v>
      </c>
      <c r="G4556" s="27">
        <v>0.79583333333333339</v>
      </c>
      <c r="J4556" s="30">
        <f>IF(G4556&lt;$H$10,$H$16,IF(G4556&gt;$I$10,$H$16,$H$11))*E4556/600</f>
        <v>6.1169173333333335E-3</v>
      </c>
      <c r="L4556" s="32">
        <f>$J4556*($G4556-$G4555)*60*24</f>
        <v>6.1169173333342894E-3</v>
      </c>
    </row>
    <row r="4557" spans="1:12">
      <c r="A4557" s="22">
        <v>40313.796527777777</v>
      </c>
      <c r="E4557" s="26">
        <v>18.466895999999998</v>
      </c>
      <c r="G4557" s="27">
        <v>0.79652777777777783</v>
      </c>
      <c r="J4557" s="30">
        <f>IF(G4557&lt;$H$10,$H$16,IF(G4557&gt;$I$10,$H$16,$H$11))*E4557/600</f>
        <v>6.1556319999999994E-3</v>
      </c>
      <c r="L4557" s="32">
        <f>$J4557*($G4557-$G4556)*60*24</f>
        <v>6.1556319999999777E-3</v>
      </c>
    </row>
    <row r="4558" spans="1:12">
      <c r="A4558" s="22">
        <v>40313.797222222223</v>
      </c>
      <c r="E4558" s="26">
        <v>18.229092000000001</v>
      </c>
      <c r="G4558" s="27">
        <v>0.79722222222222217</v>
      </c>
      <c r="J4558" s="30">
        <f>IF(G4558&lt;$H$10,$H$16,IF(G4558&gt;$I$10,$H$16,$H$11))*E4558/600</f>
        <v>6.0763640000000008E-3</v>
      </c>
      <c r="L4558" s="32">
        <f>$J4558*($G4558-$G4557)*60*24</f>
        <v>6.0763639999990068E-3</v>
      </c>
    </row>
    <row r="4559" spans="1:12">
      <c r="A4559" s="22">
        <v>40313.79791666667</v>
      </c>
      <c r="E4559" s="26">
        <v>18.40222</v>
      </c>
      <c r="G4559" s="27">
        <v>0.79791666666666661</v>
      </c>
      <c r="J4559" s="30">
        <f>IF(G4559&lt;$H$10,$H$16,IF(G4559&gt;$I$10,$H$16,$H$11))*E4559/600</f>
        <v>6.1340733333333335E-3</v>
      </c>
      <c r="L4559" s="32">
        <f>$J4559*($G4559-$G4558)*60*24</f>
        <v>6.1340733333333109E-3</v>
      </c>
    </row>
    <row r="4560" spans="1:12">
      <c r="A4560" s="22">
        <v>40313.798611111109</v>
      </c>
      <c r="E4560" s="26">
        <v>18.450303999999999</v>
      </c>
      <c r="G4560" s="27">
        <v>0.79861111111111116</v>
      </c>
      <c r="J4560" s="30">
        <f>IF(G4560&lt;$H$10,$H$16,IF(G4560&gt;$I$10,$H$16,$H$11))*E4560/600</f>
        <v>6.150101333333333E-3</v>
      </c>
      <c r="L4560" s="32">
        <f>$J4560*($G4560-$G4559)*60*24</f>
        <v>6.150101333334294E-3</v>
      </c>
    </row>
    <row r="4561" spans="1:12">
      <c r="A4561" s="22">
        <v>40313.799305555556</v>
      </c>
      <c r="E4561" s="26">
        <v>18.425415999999998</v>
      </c>
      <c r="G4561" s="27">
        <v>0.7993055555555556</v>
      </c>
      <c r="J4561" s="30">
        <f>IF(G4561&lt;$H$10,$H$16,IF(G4561&gt;$I$10,$H$16,$H$11))*E4561/600</f>
        <v>6.1418053333333333E-3</v>
      </c>
      <c r="L4561" s="32">
        <f>$J4561*($G4561-$G4560)*60*24</f>
        <v>6.1418053333333125E-3</v>
      </c>
    </row>
    <row r="4562" spans="1:12">
      <c r="A4562" s="22">
        <v>40313.800000000003</v>
      </c>
      <c r="E4562" s="26">
        <v>18.5472</v>
      </c>
      <c r="G4562" s="27">
        <v>0.79999999999999993</v>
      </c>
      <c r="J4562" s="30">
        <f>IF(G4562&lt;$H$10,$H$16,IF(G4562&gt;$I$10,$H$16,$H$11))*E4562/600</f>
        <v>6.1824000000000002E-3</v>
      </c>
      <c r="L4562" s="32">
        <f>$J4562*($G4562-$G4561)*60*24</f>
        <v>6.1823999999989897E-3</v>
      </c>
    </row>
    <row r="4563" spans="1:12">
      <c r="A4563" s="22">
        <v>40313.800694444442</v>
      </c>
      <c r="E4563" s="26">
        <v>18.414263999999999</v>
      </c>
      <c r="G4563" s="27">
        <v>0.80069444444444438</v>
      </c>
      <c r="J4563" s="30">
        <f>IF(G4563&lt;$H$10,$H$16,IF(G4563&gt;$I$10,$H$16,$H$11))*E4563/600</f>
        <v>6.1380879999999999E-3</v>
      </c>
      <c r="L4563" s="32">
        <f>$J4563*($G4563-$G4562)*60*24</f>
        <v>6.1380879999999773E-3</v>
      </c>
    </row>
    <row r="4564" spans="1:12">
      <c r="A4564" s="22">
        <v>40313.801388888889</v>
      </c>
      <c r="E4564" s="26">
        <v>18.323755999999999</v>
      </c>
      <c r="G4564" s="27">
        <v>0.80138888888888893</v>
      </c>
      <c r="J4564" s="30">
        <f>IF(G4564&lt;$H$10,$H$16,IF(G4564&gt;$I$10,$H$16,$H$11))*E4564/600</f>
        <v>6.1079186666666667E-3</v>
      </c>
      <c r="L4564" s="32">
        <f>$J4564*($G4564-$G4563)*60*24</f>
        <v>6.1079186666676225E-3</v>
      </c>
    </row>
    <row r="4565" spans="1:12">
      <c r="A4565" s="22">
        <v>40313.802083333336</v>
      </c>
      <c r="E4565" s="26">
        <v>18.4008</v>
      </c>
      <c r="G4565" s="27">
        <v>0.80208333333333337</v>
      </c>
      <c r="J4565" s="30">
        <f>IF(G4565&lt;$H$10,$H$16,IF(G4565&gt;$I$10,$H$16,$H$11))*E4565/600</f>
        <v>6.1336000000000003E-3</v>
      </c>
      <c r="L4565" s="32">
        <f>$J4565*($G4565-$G4564)*60*24</f>
        <v>6.1335999999999795E-3</v>
      </c>
    </row>
    <row r="4566" spans="1:12">
      <c r="A4566" s="22">
        <v>40313.802777777775</v>
      </c>
      <c r="E4566" s="26">
        <v>18.40896</v>
      </c>
      <c r="G4566" s="27">
        <v>0.8027777777777777</v>
      </c>
      <c r="J4566" s="30">
        <f>IF(G4566&lt;$H$10,$H$16,IF(G4566&gt;$I$10,$H$16,$H$11))*E4566/600</f>
        <v>6.1363200000000007E-3</v>
      </c>
      <c r="L4566" s="32">
        <f>$J4566*($G4566-$G4565)*60*24</f>
        <v>6.136319999998998E-3</v>
      </c>
    </row>
    <row r="4567" spans="1:12">
      <c r="A4567" s="22">
        <v>40313.803472222222</v>
      </c>
      <c r="E4567" s="26">
        <v>18.474240000000002</v>
      </c>
      <c r="G4567" s="27">
        <v>0.80347222222222225</v>
      </c>
      <c r="J4567" s="30">
        <f>IF(G4567&lt;$H$10,$H$16,IF(G4567&gt;$I$10,$H$16,$H$11))*E4567/600</f>
        <v>6.1580800000000007E-3</v>
      </c>
      <c r="L4567" s="32">
        <f>$J4567*($G4567-$G4566)*60*24</f>
        <v>6.1580800000009634E-3</v>
      </c>
    </row>
    <row r="4568" spans="1:12">
      <c r="A4568" s="22">
        <v>40313.804166666669</v>
      </c>
      <c r="E4568" s="26">
        <v>18.58032</v>
      </c>
      <c r="G4568" s="27">
        <v>0.8041666666666667</v>
      </c>
      <c r="J4568" s="30">
        <f>IF(G4568&lt;$H$10,$H$16,IF(G4568&gt;$I$10,$H$16,$H$11))*E4568/600</f>
        <v>6.1934400000000006E-3</v>
      </c>
      <c r="L4568" s="32">
        <f>$J4568*($G4568-$G4567)*60*24</f>
        <v>6.193439999999978E-3</v>
      </c>
    </row>
    <row r="4569" spans="1:12">
      <c r="A4569" s="22">
        <v>40313.804861111108</v>
      </c>
      <c r="E4569" s="26">
        <v>18.449760000000001</v>
      </c>
      <c r="G4569" s="27">
        <v>0.80486111111111114</v>
      </c>
      <c r="J4569" s="30">
        <f>IF(G4569&lt;$H$10,$H$16,IF(G4569&gt;$I$10,$H$16,$H$11))*E4569/600</f>
        <v>6.1499200000000006E-3</v>
      </c>
      <c r="L4569" s="32">
        <f>$J4569*($G4569-$G4568)*60*24</f>
        <v>6.1499199999999771E-3</v>
      </c>
    </row>
    <row r="4570" spans="1:12">
      <c r="A4570" s="22">
        <v>40313.805555555555</v>
      </c>
      <c r="E4570" s="26">
        <v>18.447175999999999</v>
      </c>
      <c r="G4570" s="27">
        <v>0.80555555555555547</v>
      </c>
      <c r="J4570" s="30">
        <f>IF(G4570&lt;$H$10,$H$16,IF(G4570&gt;$I$10,$H$16,$H$11))*E4570/600</f>
        <v>6.149058666666667E-3</v>
      </c>
      <c r="L4570" s="32">
        <f>$J4570*($G4570-$G4569)*60*24</f>
        <v>6.1490586666656626E-3</v>
      </c>
    </row>
    <row r="4571" spans="1:12">
      <c r="A4571" s="22">
        <v>40313.806250000001</v>
      </c>
      <c r="E4571" s="26">
        <v>18.37632</v>
      </c>
      <c r="G4571" s="27">
        <v>0.80625000000000002</v>
      </c>
      <c r="J4571" s="30">
        <f>IF(G4571&lt;$H$10,$H$16,IF(G4571&gt;$I$10,$H$16,$H$11))*E4571/600</f>
        <v>6.1254400000000002E-3</v>
      </c>
      <c r="L4571" s="32">
        <f>$J4571*($G4571-$G4570)*60*24</f>
        <v>6.1254400000009569E-3</v>
      </c>
    </row>
    <row r="4572" spans="1:12">
      <c r="A4572" s="22">
        <v>40313.806944444441</v>
      </c>
      <c r="E4572" s="26">
        <v>16.848649999999999</v>
      </c>
      <c r="G4572" s="27">
        <v>0.80694444444444446</v>
      </c>
      <c r="J4572" s="30">
        <f>IF(G4572&lt;$H$10,$H$16,IF(G4572&gt;$I$10,$H$16,$H$11))*E4572/600</f>
        <v>5.6162166666666666E-3</v>
      </c>
      <c r="L4572" s="32">
        <f>$J4572*($G4572-$G4571)*60*24</f>
        <v>5.6162166666666466E-3</v>
      </c>
    </row>
    <row r="4573" spans="1:12">
      <c r="A4573" s="22">
        <v>40313.807638888888</v>
      </c>
      <c r="E4573" s="26">
        <v>14.743944000000001</v>
      </c>
      <c r="G4573" s="27">
        <v>0.80763888888888891</v>
      </c>
      <c r="J4573" s="30">
        <f>IF(G4573&lt;$H$10,$H$16,IF(G4573&gt;$I$10,$H$16,$H$11))*E4573/600</f>
        <v>4.9146480000000006E-3</v>
      </c>
      <c r="L4573" s="32">
        <f>$J4573*($G4573-$G4572)*60*24</f>
        <v>4.9146479999999833E-3</v>
      </c>
    </row>
    <row r="4574" spans="1:12">
      <c r="A4574" s="22">
        <v>40313.808333333334</v>
      </c>
      <c r="E4574" s="26">
        <v>14.780727000000001</v>
      </c>
      <c r="G4574" s="27">
        <v>0.80833333333333324</v>
      </c>
      <c r="J4574" s="30">
        <f>IF(G4574&lt;$H$10,$H$16,IF(G4574&gt;$I$10,$H$16,$H$11))*E4574/600</f>
        <v>4.926909000000001E-3</v>
      </c>
      <c r="L4574" s="32">
        <f>$J4574*($G4574-$G4573)*60*24</f>
        <v>4.9269089999991952E-3</v>
      </c>
    </row>
    <row r="4575" spans="1:12">
      <c r="A4575" s="22">
        <v>40313.809027777781</v>
      </c>
      <c r="E4575" s="26">
        <v>14.794025</v>
      </c>
      <c r="G4575" s="27">
        <v>0.80902777777777779</v>
      </c>
      <c r="J4575" s="30">
        <f>IF(G4575&lt;$H$10,$H$16,IF(G4575&gt;$I$10,$H$16,$H$11))*E4575/600</f>
        <v>4.9313416666666669E-3</v>
      </c>
      <c r="L4575" s="32">
        <f>$J4575*($G4575-$G4574)*60*24</f>
        <v>4.9313416666674379E-3</v>
      </c>
    </row>
    <row r="4576" spans="1:12">
      <c r="A4576" s="22">
        <v>40313.80972222222</v>
      </c>
      <c r="E4576" s="26">
        <v>14.865119999999999</v>
      </c>
      <c r="G4576" s="27">
        <v>0.80972222222222223</v>
      </c>
      <c r="J4576" s="30">
        <f>IF(G4576&lt;$H$10,$H$16,IF(G4576&gt;$I$10,$H$16,$H$11))*E4576/600</f>
        <v>4.95504E-3</v>
      </c>
      <c r="L4576" s="32">
        <f>$J4576*($G4576-$G4575)*60*24</f>
        <v>4.9550399999999826E-3</v>
      </c>
    </row>
    <row r="4577" spans="1:12">
      <c r="A4577" s="22">
        <v>40313.810416666667</v>
      </c>
      <c r="E4577" s="26">
        <v>14.816412</v>
      </c>
      <c r="G4577" s="27">
        <v>0.81041666666666667</v>
      </c>
      <c r="J4577" s="30">
        <f>IF(G4577&lt;$H$10,$H$16,IF(G4577&gt;$I$10,$H$16,$H$11))*E4577/600</f>
        <v>4.9388040000000006E-3</v>
      </c>
      <c r="L4577" s="32">
        <f>$J4577*($G4577-$G4576)*60*24</f>
        <v>4.9388039999999833E-3</v>
      </c>
    </row>
    <row r="4578" spans="1:12">
      <c r="A4578" s="22">
        <v>40313.811111111114</v>
      </c>
      <c r="E4578" s="26">
        <v>14.933654000000001</v>
      </c>
      <c r="G4578" s="27">
        <v>0.81111111111111101</v>
      </c>
      <c r="J4578" s="30">
        <f>IF(G4578&lt;$H$10,$H$16,IF(G4578&gt;$I$10,$H$16,$H$11))*E4578/600</f>
        <v>4.9778846666666673E-3</v>
      </c>
      <c r="L4578" s="32">
        <f>$J4578*($G4578-$G4577)*60*24</f>
        <v>4.9778846666658546E-3</v>
      </c>
    </row>
    <row r="4579" spans="1:12">
      <c r="A4579" s="22">
        <v>40313.811805555553</v>
      </c>
      <c r="E4579" s="26">
        <v>14.867164000000001</v>
      </c>
      <c r="G4579" s="27">
        <v>0.81180555555555556</v>
      </c>
      <c r="J4579" s="30">
        <f>IF(G4579&lt;$H$10,$H$16,IF(G4579&gt;$I$10,$H$16,$H$11))*E4579/600</f>
        <v>4.9557213333333338E-3</v>
      </c>
      <c r="L4579" s="32">
        <f>$J4579*($G4579-$G4578)*60*24</f>
        <v>4.9557213333341083E-3</v>
      </c>
    </row>
    <row r="4580" spans="1:12">
      <c r="A4580" s="22">
        <v>40313.8125</v>
      </c>
      <c r="E4580" s="26">
        <v>14.907057999999999</v>
      </c>
      <c r="G4580" s="27">
        <v>0.8125</v>
      </c>
      <c r="J4580" s="30">
        <f>IF(G4580&lt;$H$10,$H$16,IF(G4580&gt;$I$10,$H$16,$H$11))*E4580/600</f>
        <v>4.969019333333333E-3</v>
      </c>
      <c r="L4580" s="32">
        <f>$J4580*($G4580-$G4579)*60*24</f>
        <v>4.9690193333333157E-3</v>
      </c>
    </row>
    <row r="4581" spans="1:12">
      <c r="A4581" s="22">
        <v>40313.813194444447</v>
      </c>
      <c r="E4581" s="26">
        <v>14.88888</v>
      </c>
      <c r="G4581" s="27">
        <v>0.81319444444444444</v>
      </c>
      <c r="J4581" s="30">
        <f>IF(G4581&lt;$H$10,$H$16,IF(G4581&gt;$I$10,$H$16,$H$11))*E4581/600</f>
        <v>4.9629600000000006E-3</v>
      </c>
      <c r="L4581" s="32">
        <f>$J4581*($G4581-$G4580)*60*24</f>
        <v>4.9629599999999833E-3</v>
      </c>
    </row>
    <row r="4582" spans="1:12">
      <c r="A4582" s="22">
        <v>40313.813888888886</v>
      </c>
      <c r="E4582" s="26">
        <v>14.933654000000001</v>
      </c>
      <c r="G4582" s="27">
        <v>0.81388888888888899</v>
      </c>
      <c r="J4582" s="30">
        <f>IF(G4582&lt;$H$10,$H$16,IF(G4582&gt;$I$10,$H$16,$H$11))*E4582/600</f>
        <v>4.9778846666666673E-3</v>
      </c>
      <c r="L4582" s="32">
        <f>$J4582*($G4582-$G4581)*60*24</f>
        <v>4.9778846666674453E-3</v>
      </c>
    </row>
    <row r="4583" spans="1:12">
      <c r="A4583" s="22">
        <v>40313.814583333333</v>
      </c>
      <c r="E4583" s="26">
        <v>15.086088</v>
      </c>
      <c r="G4583" s="27">
        <v>0.81458333333333333</v>
      </c>
      <c r="J4583" s="30">
        <f>IF(G4583&lt;$H$10,$H$16,IF(G4583&gt;$I$10,$H$16,$H$11))*E4583/600</f>
        <v>5.0286960000000009E-3</v>
      </c>
      <c r="L4583" s="32">
        <f>$J4583*($G4583-$G4582)*60*24</f>
        <v>5.0286959999991795E-3</v>
      </c>
    </row>
    <row r="4584" spans="1:12">
      <c r="A4584" s="22">
        <v>40313.81527777778</v>
      </c>
      <c r="E4584" s="26">
        <v>15.052607999999999</v>
      </c>
      <c r="G4584" s="27">
        <v>0.81527777777777777</v>
      </c>
      <c r="J4584" s="30">
        <f>IF(G4584&lt;$H$10,$H$16,IF(G4584&gt;$I$10,$H$16,$H$11))*E4584/600</f>
        <v>5.0175360000000004E-3</v>
      </c>
      <c r="L4584" s="32">
        <f>$J4584*($G4584-$G4583)*60*24</f>
        <v>5.0175359999999822E-3</v>
      </c>
    </row>
    <row r="4585" spans="1:12">
      <c r="A4585" s="22">
        <v>40313.815972222219</v>
      </c>
      <c r="E4585" s="26">
        <v>14.946952</v>
      </c>
      <c r="G4585" s="27">
        <v>0.81597222222222221</v>
      </c>
      <c r="J4585" s="30">
        <f>IF(G4585&lt;$H$10,$H$16,IF(G4585&gt;$I$10,$H$16,$H$11))*E4585/600</f>
        <v>4.9823173333333332E-3</v>
      </c>
      <c r="L4585" s="32">
        <f>$J4585*($G4585-$G4584)*60*24</f>
        <v>4.9823173333333149E-3</v>
      </c>
    </row>
    <row r="4586" spans="1:12">
      <c r="A4586" s="22">
        <v>40313.816666666666</v>
      </c>
      <c r="E4586" s="26">
        <v>15.033389</v>
      </c>
      <c r="G4586" s="27">
        <v>0.81666666666666676</v>
      </c>
      <c r="J4586" s="30">
        <f>IF(G4586&lt;$H$10,$H$16,IF(G4586&gt;$I$10,$H$16,$H$11))*E4586/600</f>
        <v>5.0111296666666668E-3</v>
      </c>
      <c r="L4586" s="32">
        <f>$J4586*($G4586-$G4585)*60*24</f>
        <v>5.01112966666745E-3</v>
      </c>
    </row>
    <row r="4587" spans="1:12">
      <c r="A4587" s="22">
        <v>40313.817361111112</v>
      </c>
      <c r="E4587" s="26">
        <v>14.7774</v>
      </c>
      <c r="G4587" s="27">
        <v>0.81736111111111109</v>
      </c>
      <c r="J4587" s="30">
        <f>IF(G4587&lt;$H$10,$H$16,IF(G4587&gt;$I$10,$H$16,$H$11))*E4587/600</f>
        <v>4.9258000000000001E-3</v>
      </c>
      <c r="L4587" s="32">
        <f>$J4587*($G4587-$G4586)*60*24</f>
        <v>4.9257999999991952E-3</v>
      </c>
    </row>
    <row r="4588" spans="1:12">
      <c r="A4588" s="22">
        <v>40313.818055555559</v>
      </c>
      <c r="E4588" s="26">
        <v>14.927004999999999</v>
      </c>
      <c r="G4588" s="27">
        <v>0.81805555555555554</v>
      </c>
      <c r="J4588" s="30">
        <f>IF(G4588&lt;$H$10,$H$16,IF(G4588&gt;$I$10,$H$16,$H$11))*E4588/600</f>
        <v>4.9756683333333331E-3</v>
      </c>
      <c r="L4588" s="32">
        <f>$J4588*($G4588-$G4587)*60*24</f>
        <v>4.9756683333333157E-3</v>
      </c>
    </row>
    <row r="4589" spans="1:12">
      <c r="A4589" s="22">
        <v>40313.818749999999</v>
      </c>
      <c r="E4589" s="26">
        <v>14.952168</v>
      </c>
      <c r="G4589" s="27">
        <v>0.81874999999999998</v>
      </c>
      <c r="J4589" s="30">
        <f>IF(G4589&lt;$H$10,$H$16,IF(G4589&gt;$I$10,$H$16,$H$11))*E4589/600</f>
        <v>4.9840560000000006E-3</v>
      </c>
      <c r="L4589" s="32">
        <f>$J4589*($G4589-$G4588)*60*24</f>
        <v>4.9840559999999824E-3</v>
      </c>
    </row>
    <row r="4590" spans="1:12">
      <c r="A4590" s="22">
        <v>40313.819444444445</v>
      </c>
      <c r="E4590" s="26">
        <v>14.865119999999999</v>
      </c>
      <c r="G4590" s="27">
        <v>0.81944444444444453</v>
      </c>
      <c r="J4590" s="30">
        <f>IF(G4590&lt;$H$10,$H$16,IF(G4590&gt;$I$10,$H$16,$H$11))*E4590/600</f>
        <v>4.95504E-3</v>
      </c>
      <c r="L4590" s="32">
        <f>$J4590*($G4590-$G4589)*60*24</f>
        <v>4.9550400000007745E-3</v>
      </c>
    </row>
    <row r="4591" spans="1:12">
      <c r="A4591" s="22">
        <v>40313.820138888892</v>
      </c>
      <c r="E4591" s="26">
        <v>14.434308</v>
      </c>
      <c r="G4591" s="27">
        <v>0.82013888888888886</v>
      </c>
      <c r="J4591" s="30">
        <f>IF(G4591&lt;$H$10,$H$16,IF(G4591&gt;$I$10,$H$16,$H$11))*E4591/600</f>
        <v>4.8114359999999997E-3</v>
      </c>
      <c r="L4591" s="32">
        <f>$J4591*($G4591-$G4590)*60*24</f>
        <v>4.8114359999992138E-3</v>
      </c>
    </row>
    <row r="4592" spans="1:12">
      <c r="A4592" s="22">
        <v>40313.820833333331</v>
      </c>
      <c r="E4592" s="26">
        <v>14.514767000000001</v>
      </c>
      <c r="G4592" s="27">
        <v>0.8208333333333333</v>
      </c>
      <c r="J4592" s="30">
        <f>IF(G4592&lt;$H$10,$H$16,IF(G4592&gt;$I$10,$H$16,$H$11))*E4592/600</f>
        <v>4.8382556666666668E-3</v>
      </c>
      <c r="L4592" s="32">
        <f>$J4592*($G4592-$G4591)*60*24</f>
        <v>4.8382556666666495E-3</v>
      </c>
    </row>
    <row r="4593" spans="1:12">
      <c r="A4593" s="22">
        <v>40313.821527777778</v>
      </c>
      <c r="E4593" s="26">
        <v>14.641220000000001</v>
      </c>
      <c r="G4593" s="27">
        <v>0.82152777777777775</v>
      </c>
      <c r="J4593" s="30">
        <f>IF(G4593&lt;$H$10,$H$16,IF(G4593&gt;$I$10,$H$16,$H$11))*E4593/600</f>
        <v>4.8804066666666675E-3</v>
      </c>
      <c r="L4593" s="32">
        <f>$J4593*($G4593-$G4592)*60*24</f>
        <v>4.8804066666666502E-3</v>
      </c>
    </row>
    <row r="4594" spans="1:12">
      <c r="A4594" s="22">
        <v>40313.822222222225</v>
      </c>
      <c r="E4594" s="26">
        <v>14.528065</v>
      </c>
      <c r="G4594" s="27">
        <v>0.8222222222222223</v>
      </c>
      <c r="J4594" s="30">
        <f>IF(G4594&lt;$H$10,$H$16,IF(G4594&gt;$I$10,$H$16,$H$11))*E4594/600</f>
        <v>4.8426883333333335E-3</v>
      </c>
      <c r="L4594" s="32">
        <f>$J4594*($G4594-$G4593)*60*24</f>
        <v>4.8426883333340907E-3</v>
      </c>
    </row>
    <row r="4595" spans="1:12">
      <c r="A4595" s="22">
        <v>40313.822916666664</v>
      </c>
      <c r="E4595" s="26">
        <v>14.647747000000001</v>
      </c>
      <c r="G4595" s="27">
        <v>0.82291666666666663</v>
      </c>
      <c r="J4595" s="30">
        <f>IF(G4595&lt;$H$10,$H$16,IF(G4595&gt;$I$10,$H$16,$H$11))*E4595/600</f>
        <v>4.8825823333333339E-3</v>
      </c>
      <c r="L4595" s="32">
        <f>$J4595*($G4595-$G4594)*60*24</f>
        <v>4.8825823333325359E-3</v>
      </c>
    </row>
    <row r="4596" spans="1:12">
      <c r="A4596" s="22">
        <v>40313.823611111111</v>
      </c>
      <c r="E4596" s="26">
        <v>14.594555</v>
      </c>
      <c r="G4596" s="27">
        <v>0.82361111111111107</v>
      </c>
      <c r="J4596" s="30">
        <f>IF(G4596&lt;$H$10,$H$16,IF(G4596&gt;$I$10,$H$16,$H$11))*E4596/600</f>
        <v>4.8648516666666671E-3</v>
      </c>
      <c r="L4596" s="32">
        <f>$J4596*($G4596-$G4595)*60*24</f>
        <v>4.8648516666666497E-3</v>
      </c>
    </row>
    <row r="4597" spans="1:12">
      <c r="A4597" s="22">
        <v>40313.824305555558</v>
      </c>
      <c r="E4597" s="26">
        <v>14.560700000000001</v>
      </c>
      <c r="G4597" s="27">
        <v>0.82430555555555562</v>
      </c>
      <c r="J4597" s="30">
        <f>IF(G4597&lt;$H$10,$H$16,IF(G4597&gt;$I$10,$H$16,$H$11))*E4597/600</f>
        <v>4.8535666666666673E-3</v>
      </c>
      <c r="L4597" s="32">
        <f>$J4597*($G4597-$G4596)*60*24</f>
        <v>4.8535666666674263E-3</v>
      </c>
    </row>
    <row r="4598" spans="1:12">
      <c r="A4598" s="22">
        <v>40313.824999999997</v>
      </c>
      <c r="E4598" s="26">
        <v>14.534713999999999</v>
      </c>
      <c r="G4598" s="27">
        <v>0.82500000000000007</v>
      </c>
      <c r="J4598" s="30">
        <f>IF(G4598&lt;$H$10,$H$16,IF(G4598&gt;$I$10,$H$16,$H$11))*E4598/600</f>
        <v>4.8449046666666669E-3</v>
      </c>
      <c r="L4598" s="32">
        <f>$J4598*($G4598-$G4597)*60*24</f>
        <v>4.8449046666666495E-3</v>
      </c>
    </row>
    <row r="4599" spans="1:12">
      <c r="A4599" s="22">
        <v>40313.825694444444</v>
      </c>
      <c r="E4599" s="26">
        <v>14.594250000000001</v>
      </c>
      <c r="G4599" s="27">
        <v>0.8256944444444444</v>
      </c>
      <c r="J4599" s="30">
        <f>IF(G4599&lt;$H$10,$H$16,IF(G4599&gt;$I$10,$H$16,$H$11))*E4599/600</f>
        <v>4.864750000000001E-3</v>
      </c>
      <c r="L4599" s="32">
        <f>$J4599*($G4599-$G4598)*60*24</f>
        <v>4.8647499999992065E-3</v>
      </c>
    </row>
    <row r="4600" spans="1:12">
      <c r="A4600" s="22">
        <v>40313.826388888891</v>
      </c>
      <c r="E4600" s="26">
        <v>14.438879999999999</v>
      </c>
      <c r="G4600" s="27">
        <v>0.82638888888888884</v>
      </c>
      <c r="J4600" s="30">
        <f>IF(G4600&lt;$H$10,$H$16,IF(G4600&gt;$I$10,$H$16,$H$11))*E4600/600</f>
        <v>4.8129599999999998E-3</v>
      </c>
      <c r="L4600" s="32">
        <f>$J4600*($G4600-$G4599)*60*24</f>
        <v>4.8129599999999825E-3</v>
      </c>
    </row>
    <row r="4601" spans="1:12">
      <c r="A4601" s="22">
        <v>40313.82708333333</v>
      </c>
      <c r="E4601" s="26">
        <v>14.39226</v>
      </c>
      <c r="G4601" s="27">
        <v>0.82708333333333339</v>
      </c>
      <c r="J4601" s="30">
        <f>IF(G4601&lt;$H$10,$H$16,IF(G4601&gt;$I$10,$H$16,$H$11))*E4601/600</f>
        <v>4.7974200000000002E-3</v>
      </c>
      <c r="L4601" s="32">
        <f>$J4601*($G4601-$G4600)*60*24</f>
        <v>4.7974200000007496E-3</v>
      </c>
    </row>
    <row r="4602" spans="1:12">
      <c r="A4602" s="22">
        <v>40313.827777777777</v>
      </c>
      <c r="E4602" s="26">
        <v>14.332319999999999</v>
      </c>
      <c r="G4602" s="27">
        <v>0.82777777777777783</v>
      </c>
      <c r="J4602" s="30">
        <f>IF(G4602&lt;$H$10,$H$16,IF(G4602&gt;$I$10,$H$16,$H$11))*E4602/600</f>
        <v>4.77744E-3</v>
      </c>
      <c r="L4602" s="32">
        <f>$J4602*($G4602-$G4601)*60*24</f>
        <v>4.7774399999999826E-3</v>
      </c>
    </row>
    <row r="4603" spans="1:12">
      <c r="A4603" s="22">
        <v>40313.828472222223</v>
      </c>
      <c r="E4603" s="26">
        <v>14.46552</v>
      </c>
      <c r="G4603" s="27">
        <v>0.82847222222222217</v>
      </c>
      <c r="J4603" s="30">
        <f>IF(G4603&lt;$H$10,$H$16,IF(G4603&gt;$I$10,$H$16,$H$11))*E4603/600</f>
        <v>4.82184E-3</v>
      </c>
      <c r="L4603" s="32">
        <f>$J4603*($G4603-$G4602)*60*24</f>
        <v>4.8218399999992115E-3</v>
      </c>
    </row>
    <row r="4604" spans="1:12">
      <c r="A4604" s="22">
        <v>40313.82916666667</v>
      </c>
      <c r="E4604" s="26">
        <v>14.694900000000001</v>
      </c>
      <c r="G4604" s="27">
        <v>0.82916666666666661</v>
      </c>
      <c r="J4604" s="30">
        <f>IF(G4604&lt;$H$10,$H$16,IF(G4604&gt;$I$10,$H$16,$H$11))*E4604/600</f>
        <v>4.8983000000000004E-3</v>
      </c>
      <c r="L4604" s="32">
        <f>$J4604*($G4604-$G4603)*60*24</f>
        <v>4.898299999999983E-3</v>
      </c>
    </row>
    <row r="4605" spans="1:12">
      <c r="A4605" s="22">
        <v>40313.829861111109</v>
      </c>
      <c r="E4605" s="26">
        <v>14.587906</v>
      </c>
      <c r="G4605" s="27">
        <v>0.82986111111111116</v>
      </c>
      <c r="J4605" s="30">
        <f>IF(G4605&lt;$H$10,$H$16,IF(G4605&gt;$I$10,$H$16,$H$11))*E4605/600</f>
        <v>4.8626353333333337E-3</v>
      </c>
      <c r="L4605" s="32">
        <f>$J4605*($G4605-$G4604)*60*24</f>
        <v>4.8626353333340935E-3</v>
      </c>
    </row>
    <row r="4606" spans="1:12">
      <c r="A4606" s="22">
        <v>40313.830555555556</v>
      </c>
      <c r="E4606" s="26">
        <v>14.701610000000001</v>
      </c>
      <c r="G4606" s="27">
        <v>0.8305555555555556</v>
      </c>
      <c r="J4606" s="30">
        <f>IF(G4606&lt;$H$10,$H$16,IF(G4606&gt;$I$10,$H$16,$H$11))*E4606/600</f>
        <v>4.9005366666666668E-3</v>
      </c>
      <c r="L4606" s="32">
        <f>$J4606*($G4606-$G4605)*60*24</f>
        <v>4.9005366666666494E-3</v>
      </c>
    </row>
    <row r="4607" spans="1:12">
      <c r="A4607" s="22">
        <v>40313.831250000003</v>
      </c>
      <c r="E4607" s="26">
        <v>14.694900000000001</v>
      </c>
      <c r="G4607" s="27">
        <v>0.83124999999999993</v>
      </c>
      <c r="J4607" s="30">
        <f>IF(G4607&lt;$H$10,$H$16,IF(G4607&gt;$I$10,$H$16,$H$11))*E4607/600</f>
        <v>4.8983000000000004E-3</v>
      </c>
      <c r="L4607" s="32">
        <f>$J4607*($G4607-$G4606)*60*24</f>
        <v>4.8982999999991998E-3</v>
      </c>
    </row>
    <row r="4608" spans="1:12">
      <c r="A4608" s="22">
        <v>40313.831944444442</v>
      </c>
      <c r="E4608" s="26">
        <v>14.72174</v>
      </c>
      <c r="G4608" s="27">
        <v>0.83194444444444438</v>
      </c>
      <c r="J4608" s="30">
        <f>IF(G4608&lt;$H$10,$H$16,IF(G4608&gt;$I$10,$H$16,$H$11))*E4608/600</f>
        <v>4.9072466666666668E-3</v>
      </c>
      <c r="L4608" s="32">
        <f>$J4608*($G4608-$G4607)*60*24</f>
        <v>4.9072466666666495E-3</v>
      </c>
    </row>
    <row r="4609" spans="1:12">
      <c r="A4609" s="22">
        <v>40313.832638888889</v>
      </c>
      <c r="E4609" s="26">
        <v>14.654640000000001</v>
      </c>
      <c r="G4609" s="27">
        <v>0.83263888888888893</v>
      </c>
      <c r="J4609" s="30">
        <f>IF(G4609&lt;$H$10,$H$16,IF(G4609&gt;$I$10,$H$16,$H$11))*E4609/600</f>
        <v>4.8848800000000003E-3</v>
      </c>
      <c r="L4609" s="32">
        <f>$J4609*($G4609-$G4608)*60*24</f>
        <v>4.8848800000007644E-3</v>
      </c>
    </row>
    <row r="4610" spans="1:12">
      <c r="A4610" s="22">
        <v>40313.833333333336</v>
      </c>
      <c r="E4610" s="26">
        <v>14.621150999999999</v>
      </c>
      <c r="G4610" s="27">
        <v>0.83333333333333337</v>
      </c>
      <c r="J4610" s="30">
        <f>IF(G4610&lt;$H$10,$H$16,IF(G4610&gt;$I$10,$H$16,$H$11))*E4610/600</f>
        <v>4.8737170000000005E-3</v>
      </c>
      <c r="L4610" s="32">
        <f>$J4610*($G4610-$G4609)*60*24</f>
        <v>4.873716999999984E-3</v>
      </c>
    </row>
    <row r="4611" spans="1:12">
      <c r="A4611" s="22">
        <v>40313.834027777775</v>
      </c>
      <c r="E4611" s="26">
        <v>14.700939</v>
      </c>
      <c r="G4611" s="27">
        <v>0.8340277777777777</v>
      </c>
      <c r="J4611" s="30">
        <f>IF(G4611&lt;$H$10,$H$16,IF(G4611&gt;$I$10,$H$16,$H$11))*E4611/600</f>
        <v>4.9003130000000008E-3</v>
      </c>
      <c r="L4611" s="32">
        <f>$J4611*($G4611-$G4610)*60*24</f>
        <v>4.9003129999992002E-3</v>
      </c>
    </row>
    <row r="4612" spans="1:12">
      <c r="A4612" s="22">
        <v>40313.834722222222</v>
      </c>
      <c r="E4612" s="26">
        <v>14.865119999999999</v>
      </c>
      <c r="G4612" s="27">
        <v>0.83472222222222225</v>
      </c>
      <c r="J4612" s="30">
        <f>IF(G4612&lt;$H$10,$H$16,IF(G4612&gt;$I$10,$H$16,$H$11))*E4612/600</f>
        <v>4.95504E-3</v>
      </c>
      <c r="L4612" s="32">
        <f>$J4612*($G4612-$G4611)*60*24</f>
        <v>4.9550400000007745E-3</v>
      </c>
    </row>
    <row r="4613" spans="1:12">
      <c r="A4613" s="22">
        <v>40313.835416666669</v>
      </c>
      <c r="E4613" s="26">
        <v>14.838336</v>
      </c>
      <c r="G4613" s="27">
        <v>0.8354166666666667</v>
      </c>
      <c r="J4613" s="30">
        <f>IF(G4613&lt;$H$10,$H$16,IF(G4613&gt;$I$10,$H$16,$H$11))*E4613/600</f>
        <v>4.9461119999999999E-3</v>
      </c>
      <c r="L4613" s="32">
        <f>$J4613*($G4613-$G4612)*60*24</f>
        <v>4.9461119999999826E-3</v>
      </c>
    </row>
    <row r="4614" spans="1:12">
      <c r="A4614" s="22">
        <v>40313.836111111108</v>
      </c>
      <c r="E4614" s="26">
        <v>14.800454</v>
      </c>
      <c r="G4614" s="27">
        <v>0.83611111111111114</v>
      </c>
      <c r="J4614" s="30">
        <f>IF(G4614&lt;$H$10,$H$16,IF(G4614&gt;$I$10,$H$16,$H$11))*E4614/600</f>
        <v>4.9334846666666673E-3</v>
      </c>
      <c r="L4614" s="32">
        <f>$J4614*($G4614-$G4613)*60*24</f>
        <v>4.93348466666665E-3</v>
      </c>
    </row>
    <row r="4615" spans="1:12">
      <c r="A4615" s="22">
        <v>40313.836805555555</v>
      </c>
      <c r="E4615" s="26">
        <v>14.787186</v>
      </c>
      <c r="G4615" s="27">
        <v>0.83680555555555547</v>
      </c>
      <c r="J4615" s="30">
        <f>IF(G4615&lt;$H$10,$H$16,IF(G4615&gt;$I$10,$H$16,$H$11))*E4615/600</f>
        <v>4.9290620000000005E-3</v>
      </c>
      <c r="L4615" s="32">
        <f>$J4615*($G4615-$G4614)*60*24</f>
        <v>4.9290619999991948E-3</v>
      </c>
    </row>
    <row r="4616" spans="1:12">
      <c r="A4616" s="22">
        <v>40313.837500000001</v>
      </c>
      <c r="E4616" s="26">
        <v>14.845032</v>
      </c>
      <c r="G4616" s="27">
        <v>0.83750000000000002</v>
      </c>
      <c r="J4616" s="30">
        <f>IF(G4616&lt;$H$10,$H$16,IF(G4616&gt;$I$10,$H$16,$H$11))*E4616/600</f>
        <v>4.9483440000000004E-3</v>
      </c>
      <c r="L4616" s="32">
        <f>$J4616*($G4616-$G4615)*60*24</f>
        <v>4.948344000000774E-3</v>
      </c>
    </row>
    <row r="4617" spans="1:12">
      <c r="A4617" s="22">
        <v>40313.838194444441</v>
      </c>
      <c r="E4617" s="26">
        <v>14.506776</v>
      </c>
      <c r="G4617" s="27">
        <v>0.83819444444444446</v>
      </c>
      <c r="J4617" s="30">
        <f>IF(G4617&lt;$H$10,$H$16,IF(G4617&gt;$I$10,$H$16,$H$11))*E4617/600</f>
        <v>4.8355920000000005E-3</v>
      </c>
      <c r="L4617" s="32">
        <f>$J4617*($G4617-$G4616)*60*24</f>
        <v>4.8355919999999841E-3</v>
      </c>
    </row>
    <row r="4618" spans="1:12">
      <c r="A4618" s="22">
        <v>40313.838888888888</v>
      </c>
      <c r="E4618" s="26">
        <v>14.784768</v>
      </c>
      <c r="G4618" s="27">
        <v>0.83888888888888891</v>
      </c>
      <c r="J4618" s="30">
        <f>IF(G4618&lt;$H$10,$H$16,IF(G4618&gt;$I$10,$H$16,$H$11))*E4618/600</f>
        <v>4.9282560000000007E-3</v>
      </c>
      <c r="L4618" s="32">
        <f>$J4618*($G4618-$G4617)*60*24</f>
        <v>4.9282559999999833E-3</v>
      </c>
    </row>
    <row r="4619" spans="1:12">
      <c r="A4619" s="22">
        <v>40313.839583333334</v>
      </c>
      <c r="E4619" s="26">
        <v>14.778072</v>
      </c>
      <c r="G4619" s="27">
        <v>0.83958333333333324</v>
      </c>
      <c r="J4619" s="30">
        <f>IF(G4619&lt;$H$10,$H$16,IF(G4619&gt;$I$10,$H$16,$H$11))*E4619/600</f>
        <v>4.9260240000000002E-3</v>
      </c>
      <c r="L4619" s="32">
        <f>$J4619*($G4619-$G4618)*60*24</f>
        <v>4.9260239999991953E-3</v>
      </c>
    </row>
    <row r="4620" spans="1:12">
      <c r="A4620" s="22">
        <v>40313.840277777781</v>
      </c>
      <c r="E4620" s="26">
        <v>14.574897999999999</v>
      </c>
      <c r="G4620" s="27">
        <v>0.84027777777777779</v>
      </c>
      <c r="J4620" s="30">
        <f>IF(G4620&lt;$H$10,$H$16,IF(G4620&gt;$I$10,$H$16,$H$11))*E4620/600</f>
        <v>4.8582993333333331E-3</v>
      </c>
      <c r="L4620" s="32">
        <f>$J4620*($G4620-$G4619)*60*24</f>
        <v>4.8582993333340929E-3</v>
      </c>
    </row>
    <row r="4621" spans="1:12">
      <c r="A4621" s="22">
        <v>40313.84097222222</v>
      </c>
      <c r="E4621" s="26">
        <v>14.236668</v>
      </c>
      <c r="G4621" s="27">
        <v>0.84097222222222223</v>
      </c>
      <c r="J4621" s="30">
        <f>IF(G4621&lt;$H$10,$H$16,IF(G4621&gt;$I$10,$H$16,$H$11))*E4621/600</f>
        <v>4.7455560000000006E-3</v>
      </c>
      <c r="L4621" s="32">
        <f>$J4621*($G4621-$G4620)*60*24</f>
        <v>4.7455559999999833E-3</v>
      </c>
    </row>
    <row r="4622" spans="1:12">
      <c r="A4622" s="22">
        <v>40313.841666666667</v>
      </c>
      <c r="E4622" s="26">
        <v>14.195615</v>
      </c>
      <c r="G4622" s="27">
        <v>0.84166666666666667</v>
      </c>
      <c r="J4622" s="30">
        <f>IF(G4622&lt;$H$10,$H$16,IF(G4622&gt;$I$10,$H$16,$H$11))*E4622/600</f>
        <v>4.7318716666666675E-3</v>
      </c>
      <c r="L4622" s="32">
        <f>$J4622*($G4622-$G4621)*60*24</f>
        <v>4.731871666666651E-3</v>
      </c>
    </row>
    <row r="4623" spans="1:12">
      <c r="A4623" s="22">
        <v>40313.842361111114</v>
      </c>
      <c r="E4623" s="26">
        <v>13.933619999999999</v>
      </c>
      <c r="G4623" s="27">
        <v>0.84236111111111101</v>
      </c>
      <c r="J4623" s="30">
        <f>IF(G4623&lt;$H$10,$H$16,IF(G4623&gt;$I$10,$H$16,$H$11))*E4623/600</f>
        <v>4.64454E-3</v>
      </c>
      <c r="L4623" s="32">
        <f>$J4623*($G4623-$G4622)*60*24</f>
        <v>4.644539999999241E-3</v>
      </c>
    </row>
    <row r="4624" spans="1:12">
      <c r="A4624" s="22">
        <v>40313.843055555553</v>
      </c>
      <c r="E4624" s="26">
        <v>14.122476000000001</v>
      </c>
      <c r="G4624" s="27">
        <v>0.84305555555555556</v>
      </c>
      <c r="J4624" s="30">
        <f>IF(G4624&lt;$H$10,$H$16,IF(G4624&gt;$I$10,$H$16,$H$11))*E4624/600</f>
        <v>4.7074920000000006E-3</v>
      </c>
      <c r="L4624" s="32">
        <f>$J4624*($G4624-$G4623)*60*24</f>
        <v>4.7074920000007361E-3</v>
      </c>
    </row>
    <row r="4625" spans="1:12">
      <c r="A4625" s="22">
        <v>40313.84375</v>
      </c>
      <c r="E4625" s="26">
        <v>14.182316999999999</v>
      </c>
      <c r="G4625" s="27">
        <v>0.84375</v>
      </c>
      <c r="J4625" s="30">
        <f>IF(G4625&lt;$H$10,$H$16,IF(G4625&gt;$I$10,$H$16,$H$11))*E4625/600</f>
        <v>4.7274389999999999E-3</v>
      </c>
      <c r="L4625" s="32">
        <f>$J4625*($G4625-$G4624)*60*24</f>
        <v>4.7274389999999826E-3</v>
      </c>
    </row>
    <row r="4626" spans="1:12">
      <c r="A4626" s="22">
        <v>40313.844444444447</v>
      </c>
      <c r="E4626" s="26">
        <v>14.315296999999999</v>
      </c>
      <c r="G4626" s="27">
        <v>0.84444444444444444</v>
      </c>
      <c r="J4626" s="30">
        <f>IF(G4626&lt;$H$10,$H$16,IF(G4626&gt;$I$10,$H$16,$H$11))*E4626/600</f>
        <v>4.771765666666667E-3</v>
      </c>
      <c r="L4626" s="32">
        <f>$J4626*($G4626-$G4625)*60*24</f>
        <v>4.7717656666666497E-3</v>
      </c>
    </row>
    <row r="4627" spans="1:12">
      <c r="A4627" s="22">
        <v>40313.845138888886</v>
      </c>
      <c r="E4627" s="26">
        <v>14.248806999999999</v>
      </c>
      <c r="G4627" s="27">
        <v>0.84513888888888899</v>
      </c>
      <c r="J4627" s="30">
        <f>IF(G4627&lt;$H$10,$H$16,IF(G4627&gt;$I$10,$H$16,$H$11))*E4627/600</f>
        <v>4.7496023333333335E-3</v>
      </c>
      <c r="L4627" s="32">
        <f>$J4627*($G4627-$G4626)*60*24</f>
        <v>4.749602333334076E-3</v>
      </c>
    </row>
    <row r="4628" spans="1:12">
      <c r="A4628" s="22">
        <v>40313.845833333333</v>
      </c>
      <c r="E4628" s="26">
        <v>14.195615</v>
      </c>
      <c r="G4628" s="27">
        <v>0.84583333333333333</v>
      </c>
      <c r="J4628" s="30">
        <f>IF(G4628&lt;$H$10,$H$16,IF(G4628&gt;$I$10,$H$16,$H$11))*E4628/600</f>
        <v>4.7318716666666675E-3</v>
      </c>
      <c r="L4628" s="32">
        <f>$J4628*($G4628-$G4627)*60*24</f>
        <v>4.7318716666658938E-3</v>
      </c>
    </row>
    <row r="4629" spans="1:12">
      <c r="A4629" s="22">
        <v>40313.84652777778</v>
      </c>
      <c r="E4629" s="26">
        <v>13.959972</v>
      </c>
      <c r="G4629" s="27">
        <v>0.84652777777777777</v>
      </c>
      <c r="J4629" s="30">
        <f>IF(G4629&lt;$H$10,$H$16,IF(G4629&gt;$I$10,$H$16,$H$11))*E4629/600</f>
        <v>4.6533240000000003E-3</v>
      </c>
      <c r="L4629" s="32">
        <f>$J4629*($G4629-$G4628)*60*24</f>
        <v>4.6533239999999839E-3</v>
      </c>
    </row>
    <row r="4630" spans="1:12">
      <c r="A4630" s="22">
        <v>40313.847222222219</v>
      </c>
      <c r="E4630" s="26">
        <v>14.025852</v>
      </c>
      <c r="G4630" s="27">
        <v>0.84722222222222221</v>
      </c>
      <c r="J4630" s="30">
        <f>IF(G4630&lt;$H$10,$H$16,IF(G4630&gt;$I$10,$H$16,$H$11))*E4630/600</f>
        <v>4.675284E-3</v>
      </c>
      <c r="L4630" s="32">
        <f>$J4630*($G4630-$G4629)*60*24</f>
        <v>4.6752839999999836E-3</v>
      </c>
    </row>
    <row r="4631" spans="1:12">
      <c r="A4631" s="22">
        <v>40313.847916666666</v>
      </c>
      <c r="E4631" s="26">
        <v>14.309538</v>
      </c>
      <c r="G4631" s="27">
        <v>0.84791666666666676</v>
      </c>
      <c r="J4631" s="30">
        <f>IF(G4631&lt;$H$10,$H$16,IF(G4631&gt;$I$10,$H$16,$H$11))*E4631/600</f>
        <v>4.7698460000000003E-3</v>
      </c>
      <c r="L4631" s="32">
        <f>$J4631*($G4631-$G4630)*60*24</f>
        <v>4.7698460000007463E-3</v>
      </c>
    </row>
    <row r="4632" spans="1:12">
      <c r="A4632" s="22">
        <v>40313.848611111112</v>
      </c>
      <c r="E4632" s="26">
        <v>14.356223999999999</v>
      </c>
      <c r="G4632" s="27">
        <v>0.84861111111111109</v>
      </c>
      <c r="J4632" s="30">
        <f>IF(G4632&lt;$H$10,$H$16,IF(G4632&gt;$I$10,$H$16,$H$11))*E4632/600</f>
        <v>4.7854079999999997E-3</v>
      </c>
      <c r="L4632" s="32">
        <f>$J4632*($G4632-$G4631)*60*24</f>
        <v>4.7854079999992182E-3</v>
      </c>
    </row>
    <row r="4633" spans="1:12">
      <c r="A4633" s="22">
        <v>40313.849305555559</v>
      </c>
      <c r="E4633" s="26">
        <v>14.222211</v>
      </c>
      <c r="G4633" s="27">
        <v>0.84930555555555554</v>
      </c>
      <c r="J4633" s="30">
        <f>IF(G4633&lt;$H$10,$H$16,IF(G4633&gt;$I$10,$H$16,$H$11))*E4633/600</f>
        <v>4.7407370000000001E-3</v>
      </c>
      <c r="L4633" s="32">
        <f>$J4633*($G4633-$G4632)*60*24</f>
        <v>4.7407369999999827E-3</v>
      </c>
    </row>
    <row r="4634" spans="1:12">
      <c r="A4634" s="22">
        <v>40313.85</v>
      </c>
      <c r="E4634" s="26">
        <v>14.075932999999999</v>
      </c>
      <c r="G4634" s="27">
        <v>0.85</v>
      </c>
      <c r="J4634" s="30">
        <f>IF(G4634&lt;$H$10,$H$16,IF(G4634&gt;$I$10,$H$16,$H$11))*E4634/600</f>
        <v>4.6919776666666671E-3</v>
      </c>
      <c r="L4634" s="32">
        <f>$J4634*($G4634-$G4633)*60*24</f>
        <v>4.6919776666666507E-3</v>
      </c>
    </row>
    <row r="4635" spans="1:12">
      <c r="A4635" s="22">
        <v>40313.850694444445</v>
      </c>
      <c r="E4635" s="26">
        <v>14.118084</v>
      </c>
      <c r="G4635" s="27">
        <v>0.85069444444444453</v>
      </c>
      <c r="J4635" s="30">
        <f>IF(G4635&lt;$H$10,$H$16,IF(G4635&gt;$I$10,$H$16,$H$11))*E4635/600</f>
        <v>4.7060280000000001E-3</v>
      </c>
      <c r="L4635" s="32">
        <f>$J4635*($G4635-$G4634)*60*24</f>
        <v>4.7060280000007356E-3</v>
      </c>
    </row>
    <row r="4636" spans="1:12">
      <c r="A4636" s="22">
        <v>40313.851388888892</v>
      </c>
      <c r="E4636" s="26">
        <v>14.376312</v>
      </c>
      <c r="G4636" s="27">
        <v>0.85138888888888886</v>
      </c>
      <c r="J4636" s="30">
        <f>IF(G4636&lt;$H$10,$H$16,IF(G4636&gt;$I$10,$H$16,$H$11))*E4636/600</f>
        <v>4.792104000000001E-3</v>
      </c>
      <c r="L4636" s="32">
        <f>$J4636*($G4636-$G4635)*60*24</f>
        <v>4.7921039999992178E-3</v>
      </c>
    </row>
    <row r="4637" spans="1:12">
      <c r="A4637" s="22">
        <v>40313.852083333331</v>
      </c>
      <c r="E4637" s="26">
        <v>14.462120000000001</v>
      </c>
      <c r="G4637" s="27">
        <v>0.8520833333333333</v>
      </c>
      <c r="J4637" s="30">
        <f>IF(G4637&lt;$H$10,$H$16,IF(G4637&gt;$I$10,$H$16,$H$11))*E4637/600</f>
        <v>4.8207066666666664E-3</v>
      </c>
      <c r="L4637" s="32">
        <f>$J4637*($G4637-$G4636)*60*24</f>
        <v>4.8207066666666491E-3</v>
      </c>
    </row>
    <row r="4638" spans="1:12">
      <c r="A4638" s="22">
        <v>40313.852777777778</v>
      </c>
      <c r="E4638" s="26">
        <v>14.578074000000001</v>
      </c>
      <c r="G4638" s="27">
        <v>0.85277777777777775</v>
      </c>
      <c r="J4638" s="30">
        <f>IF(G4638&lt;$H$10,$H$16,IF(G4638&gt;$I$10,$H$16,$H$11))*E4638/600</f>
        <v>4.8593580000000003E-3</v>
      </c>
      <c r="L4638" s="32">
        <f>$J4638*($G4638-$G4637)*60*24</f>
        <v>4.8593579999999829E-3</v>
      </c>
    </row>
    <row r="4639" spans="1:12">
      <c r="A4639" s="22">
        <v>40313.853472222225</v>
      </c>
      <c r="E4639" s="26">
        <v>14.475388000000001</v>
      </c>
      <c r="G4639" s="27">
        <v>0.8534722222222223</v>
      </c>
      <c r="J4639" s="30">
        <f>IF(G4639&lt;$H$10,$H$16,IF(G4639&gt;$I$10,$H$16,$H$11))*E4639/600</f>
        <v>4.8251293333333341E-3</v>
      </c>
      <c r="L4639" s="32">
        <f>$J4639*($G4639-$G4638)*60*24</f>
        <v>4.8251293333340887E-3</v>
      </c>
    </row>
    <row r="4640" spans="1:12">
      <c r="A4640" s="22">
        <v>40313.854166666664</v>
      </c>
      <c r="E4640" s="26">
        <v>14.389146</v>
      </c>
      <c r="G4640" s="27">
        <v>0.85416666666666663</v>
      </c>
      <c r="J4640" s="30">
        <f>IF(G4640&lt;$H$10,$H$16,IF(G4640&gt;$I$10,$H$16,$H$11))*E4640/600</f>
        <v>4.7963820000000009E-3</v>
      </c>
      <c r="L4640" s="32">
        <f>$J4640*($G4640-$G4639)*60*24</f>
        <v>4.7963819999992168E-3</v>
      </c>
    </row>
    <row r="4641" spans="1:12">
      <c r="A4641" s="22">
        <v>40313.854861111111</v>
      </c>
      <c r="E4641" s="26">
        <v>14.36261</v>
      </c>
      <c r="G4641" s="27">
        <v>0.85486111111111107</v>
      </c>
      <c r="J4641" s="30">
        <f>IF(G4641&lt;$H$10,$H$16,IF(G4641&gt;$I$10,$H$16,$H$11))*E4641/600</f>
        <v>4.7875366666666665E-3</v>
      </c>
      <c r="L4641" s="32">
        <f>$J4641*($G4641-$G4640)*60*24</f>
        <v>4.7875366666666501E-3</v>
      </c>
    </row>
    <row r="4642" spans="1:12">
      <c r="A4642" s="22">
        <v>40313.855555555558</v>
      </c>
      <c r="E4642" s="26">
        <v>14.287528</v>
      </c>
      <c r="G4642" s="27">
        <v>0.85555555555555562</v>
      </c>
      <c r="J4642" s="30">
        <f>IF(G4642&lt;$H$10,$H$16,IF(G4642&gt;$I$10,$H$16,$H$11))*E4642/600</f>
        <v>4.7625093333333339E-3</v>
      </c>
      <c r="L4642" s="32">
        <f>$J4642*($G4642-$G4641)*60*24</f>
        <v>4.7625093333340781E-3</v>
      </c>
    </row>
    <row r="4643" spans="1:12">
      <c r="A4643" s="22">
        <v>40313.856249999997</v>
      </c>
      <c r="E4643" s="26">
        <v>14.535094000000001</v>
      </c>
      <c r="G4643" s="27">
        <v>0.85625000000000007</v>
      </c>
      <c r="J4643" s="30">
        <f>IF(G4643&lt;$H$10,$H$16,IF(G4643&gt;$I$10,$H$16,$H$11))*E4643/600</f>
        <v>4.8450313333333337E-3</v>
      </c>
      <c r="L4643" s="32">
        <f>$J4643*($G4643-$G4642)*60*24</f>
        <v>4.8450313333333172E-3</v>
      </c>
    </row>
    <row r="4644" spans="1:12">
      <c r="A4644" s="22">
        <v>40313.856944444444</v>
      </c>
      <c r="E4644" s="26">
        <v>14.651532</v>
      </c>
      <c r="G4644" s="27">
        <v>0.8569444444444444</v>
      </c>
      <c r="J4644" s="30">
        <f>IF(G4644&lt;$H$10,$H$16,IF(G4644&gt;$I$10,$H$16,$H$11))*E4644/600</f>
        <v>4.883844E-3</v>
      </c>
      <c r="L4644" s="32">
        <f>$J4644*($G4644-$G4643)*60*24</f>
        <v>4.8838439999992021E-3</v>
      </c>
    </row>
    <row r="4645" spans="1:12">
      <c r="A4645" s="22">
        <v>40313.857638888891</v>
      </c>
      <c r="E4645" s="26">
        <v>14.409048</v>
      </c>
      <c r="G4645" s="27">
        <v>0.85763888888888884</v>
      </c>
      <c r="J4645" s="30">
        <f>IF(G4645&lt;$H$10,$H$16,IF(G4645&gt;$I$10,$H$16,$H$11))*E4645/600</f>
        <v>4.8030160000000011E-3</v>
      </c>
      <c r="L4645" s="32">
        <f>$J4645*($G4645-$G4644)*60*24</f>
        <v>4.8030159999999837E-3</v>
      </c>
    </row>
    <row r="4646" spans="1:12">
      <c r="A4646" s="22">
        <v>40313.85833333333</v>
      </c>
      <c r="E4646" s="26">
        <v>14.369244</v>
      </c>
      <c r="G4646" s="27">
        <v>0.85833333333333339</v>
      </c>
      <c r="J4646" s="30">
        <f>IF(G4646&lt;$H$10,$H$16,IF(G4646&gt;$I$10,$H$16,$H$11))*E4646/600</f>
        <v>4.7897479999999999E-3</v>
      </c>
      <c r="L4646" s="32">
        <f>$J4646*($G4646-$G4645)*60*24</f>
        <v>4.7897480000007485E-3</v>
      </c>
    </row>
    <row r="4647" spans="1:12">
      <c r="A4647" s="22">
        <v>40313.859027777777</v>
      </c>
      <c r="E4647" s="26">
        <v>14.29627</v>
      </c>
      <c r="G4647" s="27">
        <v>0.85902777777777783</v>
      </c>
      <c r="J4647" s="30">
        <f>IF(G4647&lt;$H$10,$H$16,IF(G4647&gt;$I$10,$H$16,$H$11))*E4647/600</f>
        <v>4.7654233333333336E-3</v>
      </c>
      <c r="L4647" s="32">
        <f>$J4647*($G4647-$G4646)*60*24</f>
        <v>4.7654233333333162E-3</v>
      </c>
    </row>
    <row r="4648" spans="1:12">
      <c r="A4648" s="22">
        <v>40313.859722222223</v>
      </c>
      <c r="E4648" s="26">
        <v>14.39578</v>
      </c>
      <c r="G4648" s="27">
        <v>0.85972222222222217</v>
      </c>
      <c r="J4648" s="30">
        <f>IF(G4648&lt;$H$10,$H$16,IF(G4648&gt;$I$10,$H$16,$H$11))*E4648/600</f>
        <v>4.7985933333333335E-3</v>
      </c>
      <c r="L4648" s="32">
        <f>$J4648*($G4648-$G4647)*60*24</f>
        <v>4.7985933333325494E-3</v>
      </c>
    </row>
    <row r="4649" spans="1:12">
      <c r="A4649" s="22">
        <v>40313.86041666667</v>
      </c>
      <c r="E4649" s="26">
        <v>14.422316</v>
      </c>
      <c r="G4649" s="27">
        <v>0.86041666666666661</v>
      </c>
      <c r="J4649" s="30">
        <f>IF(G4649&lt;$H$10,$H$16,IF(G4649&gt;$I$10,$H$16,$H$11))*E4649/600</f>
        <v>4.807438666666667E-3</v>
      </c>
      <c r="L4649" s="32">
        <f>$J4649*($G4649-$G4648)*60*24</f>
        <v>4.8074386666666505E-3</v>
      </c>
    </row>
    <row r="4650" spans="1:12">
      <c r="A4650" s="22">
        <v>40313.861111111109</v>
      </c>
      <c r="E4650" s="26">
        <v>14.282783999999999</v>
      </c>
      <c r="G4650" s="27">
        <v>0.86111111111111116</v>
      </c>
      <c r="J4650" s="30">
        <f>IF(G4650&lt;$H$10,$H$16,IF(G4650&gt;$I$10,$H$16,$H$11))*E4650/600</f>
        <v>4.7609280000000002E-3</v>
      </c>
      <c r="L4650" s="32">
        <f>$J4650*($G4650-$G4649)*60*24</f>
        <v>4.7609280000007444E-3</v>
      </c>
    </row>
    <row r="4651" spans="1:12">
      <c r="A4651" s="22">
        <v>40313.861805555556</v>
      </c>
      <c r="E4651" s="26">
        <v>14.508118</v>
      </c>
      <c r="G4651" s="27">
        <v>0.8618055555555556</v>
      </c>
      <c r="J4651" s="30">
        <f>IF(G4651&lt;$H$10,$H$16,IF(G4651&gt;$I$10,$H$16,$H$11))*E4651/600</f>
        <v>4.8360393333333335E-3</v>
      </c>
      <c r="L4651" s="32">
        <f>$J4651*($G4651-$G4650)*60*24</f>
        <v>4.8360393333333161E-3</v>
      </c>
    </row>
    <row r="4652" spans="1:12">
      <c r="A4652" s="22">
        <v>40313.862500000003</v>
      </c>
      <c r="E4652" s="26">
        <v>14.534713999999999</v>
      </c>
      <c r="G4652" s="27">
        <v>0.86249999999999993</v>
      </c>
      <c r="J4652" s="30">
        <f>IF(G4652&lt;$H$10,$H$16,IF(G4652&gt;$I$10,$H$16,$H$11))*E4652/600</f>
        <v>4.8449046666666669E-3</v>
      </c>
      <c r="L4652" s="32">
        <f>$J4652*($G4652-$G4651)*60*24</f>
        <v>4.844904666665875E-3</v>
      </c>
    </row>
    <row r="4653" spans="1:12">
      <c r="A4653" s="22">
        <v>40313.863194444442</v>
      </c>
      <c r="E4653" s="26">
        <v>14.262600000000001</v>
      </c>
      <c r="G4653" s="27">
        <v>0.86319444444444438</v>
      </c>
      <c r="J4653" s="30">
        <f>IF(G4653&lt;$H$10,$H$16,IF(G4653&gt;$I$10,$H$16,$H$11))*E4653/600</f>
        <v>4.7542000000000001E-3</v>
      </c>
      <c r="L4653" s="32">
        <f>$J4653*($G4653-$G4652)*60*24</f>
        <v>4.7541999999999827E-3</v>
      </c>
    </row>
    <row r="4654" spans="1:12">
      <c r="A4654" s="22">
        <v>40313.863888888889</v>
      </c>
      <c r="E4654" s="26">
        <v>14.2494</v>
      </c>
      <c r="G4654" s="27">
        <v>0.86388888888888893</v>
      </c>
      <c r="J4654" s="30">
        <f>IF(G4654&lt;$H$10,$H$16,IF(G4654&gt;$I$10,$H$16,$H$11))*E4654/600</f>
        <v>4.7498000000000002E-3</v>
      </c>
      <c r="L4654" s="32">
        <f>$J4654*($G4654-$G4653)*60*24</f>
        <v>4.7498000000007427E-3</v>
      </c>
    </row>
    <row r="4655" spans="1:12">
      <c r="A4655" s="22">
        <v>40313.864583333336</v>
      </c>
      <c r="E4655" s="26">
        <v>14.2494</v>
      </c>
      <c r="G4655" s="27">
        <v>0.86458333333333337</v>
      </c>
      <c r="J4655" s="30">
        <f>IF(G4655&lt;$H$10,$H$16,IF(G4655&gt;$I$10,$H$16,$H$11))*E4655/600</f>
        <v>4.7498000000000002E-3</v>
      </c>
      <c r="L4655" s="32">
        <f>$J4655*($G4655-$G4654)*60*24</f>
        <v>4.7497999999999837E-3</v>
      </c>
    </row>
    <row r="4656" spans="1:12">
      <c r="A4656" s="22">
        <v>40313.865277777775</v>
      </c>
      <c r="E4656" s="26">
        <v>14.35896</v>
      </c>
      <c r="G4656" s="27">
        <v>0.8652777777777777</v>
      </c>
      <c r="J4656" s="30">
        <f>IF(G4656&lt;$H$10,$H$16,IF(G4656&gt;$I$10,$H$16,$H$11))*E4656/600</f>
        <v>4.7863200000000002E-3</v>
      </c>
      <c r="L4656" s="32">
        <f>$J4656*($G4656-$G4655)*60*24</f>
        <v>4.7863199999992178E-3</v>
      </c>
    </row>
    <row r="4657" spans="1:12">
      <c r="A4657" s="22">
        <v>40313.865972222222</v>
      </c>
      <c r="E4657" s="26">
        <v>14.434559999999999</v>
      </c>
      <c r="G4657" s="27">
        <v>0.86597222222222225</v>
      </c>
      <c r="J4657" s="30">
        <f>IF(G4657&lt;$H$10,$H$16,IF(G4657&gt;$I$10,$H$16,$H$11))*E4657/600</f>
        <v>4.8115200000000006E-3</v>
      </c>
      <c r="L4657" s="32">
        <f>$J4657*($G4657-$G4656)*60*24</f>
        <v>4.8115200000007526E-3</v>
      </c>
    </row>
    <row r="4658" spans="1:12">
      <c r="A4658" s="22">
        <v>40313.866666666669</v>
      </c>
      <c r="E4658" s="26">
        <v>14.35896</v>
      </c>
      <c r="G4658" s="27">
        <v>0.8666666666666667</v>
      </c>
      <c r="J4658" s="30">
        <f>IF(G4658&lt;$H$10,$H$16,IF(G4658&gt;$I$10,$H$16,$H$11))*E4658/600</f>
        <v>4.7863200000000002E-3</v>
      </c>
      <c r="L4658" s="32">
        <f>$J4658*($G4658-$G4657)*60*24</f>
        <v>4.7863199999999828E-3</v>
      </c>
    </row>
    <row r="4659" spans="1:12">
      <c r="A4659" s="22">
        <v>40313.867361111108</v>
      </c>
      <c r="E4659" s="26">
        <v>14.47218</v>
      </c>
      <c r="G4659" s="27">
        <v>0.86736111111111114</v>
      </c>
      <c r="J4659" s="30">
        <f>IF(G4659&lt;$H$10,$H$16,IF(G4659&gt;$I$10,$H$16,$H$11))*E4659/600</f>
        <v>4.8240600000000007E-3</v>
      </c>
      <c r="L4659" s="32">
        <f>$J4659*($G4659-$G4658)*60*24</f>
        <v>4.8240599999999833E-3</v>
      </c>
    </row>
    <row r="4660" spans="1:12">
      <c r="A4660" s="22">
        <v>40313.868055555555</v>
      </c>
      <c r="E4660" s="26">
        <v>14.480399999999999</v>
      </c>
      <c r="G4660" s="27">
        <v>0.86805555555555547</v>
      </c>
      <c r="J4660" s="30">
        <f>IF(G4660&lt;$H$10,$H$16,IF(G4660&gt;$I$10,$H$16,$H$11))*E4660/600</f>
        <v>4.8268E-3</v>
      </c>
      <c r="L4660" s="32">
        <f>$J4660*($G4660-$G4659)*60*24</f>
        <v>4.8267999999992116E-3</v>
      </c>
    </row>
    <row r="4661" spans="1:12">
      <c r="A4661" s="22">
        <v>40313.868750000001</v>
      </c>
      <c r="E4661" s="26">
        <v>14.541363</v>
      </c>
      <c r="G4661" s="27">
        <v>0.86875000000000002</v>
      </c>
      <c r="J4661" s="30">
        <f>IF(G4661&lt;$H$10,$H$16,IF(G4661&gt;$I$10,$H$16,$H$11))*E4661/600</f>
        <v>4.8471210000000002E-3</v>
      </c>
      <c r="L4661" s="32">
        <f>$J4661*($G4661-$G4660)*60*24</f>
        <v>4.8471210000007574E-3</v>
      </c>
    </row>
    <row r="4662" spans="1:12">
      <c r="A4662" s="22">
        <v>40313.869444444441</v>
      </c>
      <c r="E4662" s="26">
        <v>14.302199999999999</v>
      </c>
      <c r="G4662" s="27">
        <v>0.86944444444444446</v>
      </c>
      <c r="J4662" s="30">
        <f>IF(G4662&lt;$H$10,$H$16,IF(G4662&gt;$I$10,$H$16,$H$11))*E4662/600</f>
        <v>4.7673999999999998E-3</v>
      </c>
      <c r="L4662" s="32">
        <f>$J4662*($G4662-$G4661)*60*24</f>
        <v>4.7673999999999824E-3</v>
      </c>
    </row>
    <row r="4663" spans="1:12">
      <c r="A4663" s="22">
        <v>40313.870138888888</v>
      </c>
      <c r="E4663" s="26">
        <v>14.2956</v>
      </c>
      <c r="G4663" s="27">
        <v>0.87013888888888891</v>
      </c>
      <c r="J4663" s="30">
        <f>IF(G4663&lt;$H$10,$H$16,IF(G4663&gt;$I$10,$H$16,$H$11))*E4663/600</f>
        <v>4.7652000000000007E-3</v>
      </c>
      <c r="L4663" s="32">
        <f>$J4663*($G4663-$G4662)*60*24</f>
        <v>4.7651999999999833E-3</v>
      </c>
    </row>
    <row r="4664" spans="1:12">
      <c r="A4664" s="22">
        <v>40313.870833333334</v>
      </c>
      <c r="E4664" s="26">
        <v>14.401733999999999</v>
      </c>
      <c r="G4664" s="27">
        <v>0.87083333333333324</v>
      </c>
      <c r="J4664" s="30">
        <f>IF(G4664&lt;$H$10,$H$16,IF(G4664&gt;$I$10,$H$16,$H$11))*E4664/600</f>
        <v>4.8005779999999998E-3</v>
      </c>
      <c r="L4664" s="32">
        <f>$J4664*($G4664-$G4663)*60*24</f>
        <v>4.8005779999992157E-3</v>
      </c>
    </row>
    <row r="4665" spans="1:12">
      <c r="A4665" s="22">
        <v>40313.871527777781</v>
      </c>
      <c r="E4665" s="26">
        <v>14.335488</v>
      </c>
      <c r="G4665" s="27">
        <v>0.87152777777777779</v>
      </c>
      <c r="J4665" s="30">
        <f>IF(G4665&lt;$H$10,$H$16,IF(G4665&gt;$I$10,$H$16,$H$11))*E4665/600</f>
        <v>4.7784960000000001E-3</v>
      </c>
      <c r="L4665" s="32">
        <f>$J4665*($G4665-$G4664)*60*24</f>
        <v>4.7784960000007469E-3</v>
      </c>
    </row>
    <row r="4666" spans="1:12">
      <c r="A4666" s="22">
        <v>40313.87222222222</v>
      </c>
      <c r="E4666" s="26">
        <v>14.448276999999999</v>
      </c>
      <c r="G4666" s="27">
        <v>0.87222222222222223</v>
      </c>
      <c r="J4666" s="30">
        <f>IF(G4666&lt;$H$10,$H$16,IF(G4666&gt;$I$10,$H$16,$H$11))*E4666/600</f>
        <v>4.8160923333333333E-3</v>
      </c>
      <c r="L4666" s="32">
        <f>$J4666*($G4666-$G4665)*60*24</f>
        <v>4.8160923333333168E-3</v>
      </c>
    </row>
    <row r="4667" spans="1:12">
      <c r="A4667" s="22">
        <v>40313.872916666667</v>
      </c>
      <c r="E4667" s="26">
        <v>14.361840000000001</v>
      </c>
      <c r="G4667" s="27">
        <v>0.87291666666666667</v>
      </c>
      <c r="J4667" s="30">
        <f>IF(G4667&lt;$H$10,$H$16,IF(G4667&gt;$I$10,$H$16,$H$11))*E4667/600</f>
        <v>4.7872800000000005E-3</v>
      </c>
      <c r="L4667" s="32">
        <f>$J4667*($G4667-$G4666)*60*24</f>
        <v>4.7872799999999832E-3</v>
      </c>
    </row>
    <row r="4668" spans="1:12">
      <c r="A4668" s="22">
        <v>40313.873611111114</v>
      </c>
      <c r="E4668" s="26">
        <v>14.473470000000001</v>
      </c>
      <c r="G4668" s="27">
        <v>0.87361111111111101</v>
      </c>
      <c r="J4668" s="30">
        <f>IF(G4668&lt;$H$10,$H$16,IF(G4668&gt;$I$10,$H$16,$H$11))*E4668/600</f>
        <v>4.8244900000000007E-3</v>
      </c>
      <c r="L4668" s="32">
        <f>$J4668*($G4668-$G4667)*60*24</f>
        <v>4.8244899999992132E-3</v>
      </c>
    </row>
    <row r="4669" spans="1:12">
      <c r="A4669" s="22">
        <v>40313.874305555553</v>
      </c>
      <c r="E4669" s="26">
        <v>14.262600000000001</v>
      </c>
      <c r="G4669" s="27">
        <v>0.87430555555555556</v>
      </c>
      <c r="J4669" s="30">
        <f>IF(G4669&lt;$H$10,$H$16,IF(G4669&gt;$I$10,$H$16,$H$11))*E4669/600</f>
        <v>4.7542000000000001E-3</v>
      </c>
      <c r="L4669" s="32">
        <f>$J4669*($G4669-$G4668)*60*24</f>
        <v>4.7542000000007434E-3</v>
      </c>
    </row>
    <row r="4670" spans="1:12">
      <c r="A4670" s="22">
        <v>40313.875</v>
      </c>
      <c r="E4670" s="26">
        <v>14.355191</v>
      </c>
      <c r="G4670" s="27">
        <v>0.875</v>
      </c>
      <c r="J4670" s="30">
        <f>IF(G4670&lt;$H$10,$H$16,IF(G4670&gt;$I$10,$H$16,$H$11))*E4670/600</f>
        <v>4.7850636666666672E-3</v>
      </c>
      <c r="L4670" s="32">
        <f>$J4670*($G4670-$G4669)*60*24</f>
        <v>4.7850636666666498E-3</v>
      </c>
    </row>
    <row r="4671" spans="1:12">
      <c r="A4671" s="22">
        <v>40313.875694444447</v>
      </c>
      <c r="E4671" s="26">
        <v>14.677631999999999</v>
      </c>
      <c r="G4671" s="27">
        <v>0.87569444444444444</v>
      </c>
      <c r="J4671" s="30">
        <f>IF(G4671&lt;$H$10,$H$16,IF(G4671&gt;$I$10,$H$16,$H$11))*E4671/600</f>
        <v>4.8925440000000004E-3</v>
      </c>
      <c r="L4671" s="32">
        <f>$J4671*($G4671-$G4670)*60*24</f>
        <v>4.8925439999999831E-3</v>
      </c>
    </row>
    <row r="4672" spans="1:12">
      <c r="A4672" s="22">
        <v>40313.876388888886</v>
      </c>
      <c r="E4672" s="26">
        <v>14.401368</v>
      </c>
      <c r="G4672" s="27">
        <v>0.87638888888888899</v>
      </c>
      <c r="J4672" s="30">
        <f>IF(G4672&lt;$H$10,$H$16,IF(G4672&gt;$I$10,$H$16,$H$11))*E4672/600</f>
        <v>4.8004560000000007E-3</v>
      </c>
      <c r="L4672" s="32">
        <f>$J4672*($G4672-$G4671)*60*24</f>
        <v>4.800456000000751E-3</v>
      </c>
    </row>
    <row r="4673" spans="1:12">
      <c r="A4673" s="22">
        <v>40313.877083333333</v>
      </c>
      <c r="E4673" s="26">
        <v>14.407956</v>
      </c>
      <c r="G4673" s="27">
        <v>0.87708333333333333</v>
      </c>
      <c r="J4673" s="30">
        <f>IF(G4673&lt;$H$10,$H$16,IF(G4673&gt;$I$10,$H$16,$H$11))*E4673/600</f>
        <v>4.802652000000001E-3</v>
      </c>
      <c r="L4673" s="32">
        <f>$J4673*($G4673-$G4672)*60*24</f>
        <v>4.802651999999216E-3</v>
      </c>
    </row>
    <row r="4674" spans="1:12">
      <c r="A4674" s="22">
        <v>40313.87777777778</v>
      </c>
      <c r="E4674" s="26">
        <v>14.440896</v>
      </c>
      <c r="G4674" s="27">
        <v>0.87777777777777777</v>
      </c>
      <c r="J4674" s="30">
        <f>IF(G4674&lt;$H$10,$H$16,IF(G4674&gt;$I$10,$H$16,$H$11))*E4674/600</f>
        <v>4.813632E-3</v>
      </c>
      <c r="L4674" s="32">
        <f>$J4674*($G4674-$G4673)*60*24</f>
        <v>4.8136319999999826E-3</v>
      </c>
    </row>
    <row r="4675" spans="1:12">
      <c r="A4675" s="22">
        <v>40313.878472222219</v>
      </c>
      <c r="E4675" s="26">
        <v>14.514767000000001</v>
      </c>
      <c r="G4675" s="27">
        <v>0.87847222222222221</v>
      </c>
      <c r="J4675" s="30">
        <f>IF(G4675&lt;$H$10,$H$16,IF(G4675&gt;$I$10,$H$16,$H$11))*E4675/600</f>
        <v>4.8382556666666668E-3</v>
      </c>
      <c r="L4675" s="32">
        <f>$J4675*($G4675-$G4674)*60*24</f>
        <v>4.8382556666666495E-3</v>
      </c>
    </row>
    <row r="4676" spans="1:12">
      <c r="A4676" s="22">
        <v>40313.879166666666</v>
      </c>
      <c r="E4676" s="26">
        <v>14.481522</v>
      </c>
      <c r="G4676" s="27">
        <v>0.87916666666666676</v>
      </c>
      <c r="J4676" s="30">
        <f>IF(G4676&lt;$H$10,$H$16,IF(G4676&gt;$I$10,$H$16,$H$11))*E4676/600</f>
        <v>4.827174E-3</v>
      </c>
      <c r="L4676" s="32">
        <f>$J4676*($G4676-$G4675)*60*24</f>
        <v>4.8271740000007547E-3</v>
      </c>
    </row>
    <row r="4677" spans="1:12">
      <c r="A4677" s="22">
        <v>40313.879861111112</v>
      </c>
      <c r="E4677" s="26">
        <v>14.441628</v>
      </c>
      <c r="G4677" s="27">
        <v>0.87986111111111109</v>
      </c>
      <c r="J4677" s="30">
        <f>IF(G4677&lt;$H$10,$H$16,IF(G4677&gt;$I$10,$H$16,$H$11))*E4677/600</f>
        <v>4.8138759999999999E-3</v>
      </c>
      <c r="L4677" s="32">
        <f>$J4677*($G4677-$G4676)*60*24</f>
        <v>4.8138759999992124E-3</v>
      </c>
    </row>
    <row r="4678" spans="1:12">
      <c r="A4678" s="22">
        <v>40313.880555555559</v>
      </c>
      <c r="E4678" s="26">
        <v>14.428330000000001</v>
      </c>
      <c r="G4678" s="27">
        <v>0.88055555555555554</v>
      </c>
      <c r="J4678" s="30">
        <f>IF(G4678&lt;$H$10,$H$16,IF(G4678&gt;$I$10,$H$16,$H$11))*E4678/600</f>
        <v>4.8094433333333341E-3</v>
      </c>
      <c r="L4678" s="32">
        <f>$J4678*($G4678-$G4677)*60*24</f>
        <v>4.8094433333333176E-3</v>
      </c>
    </row>
    <row r="4679" spans="1:12">
      <c r="A4679" s="22">
        <v>40313.881249999999</v>
      </c>
      <c r="E4679" s="26">
        <v>14.282052</v>
      </c>
      <c r="G4679" s="27">
        <v>0.88124999999999998</v>
      </c>
      <c r="J4679" s="30">
        <f>IF(G4679&lt;$H$10,$H$16,IF(G4679&gt;$I$10,$H$16,$H$11))*E4679/600</f>
        <v>4.7606840000000003E-3</v>
      </c>
      <c r="L4679" s="32">
        <f>$J4679*($G4679-$G4678)*60*24</f>
        <v>4.7606839999999838E-3</v>
      </c>
    </row>
    <row r="4680" spans="1:12">
      <c r="A4680" s="22">
        <v>40313.881944444445</v>
      </c>
      <c r="E4680" s="26">
        <v>14.348663999999999</v>
      </c>
      <c r="G4680" s="27">
        <v>0.88194444444444453</v>
      </c>
      <c r="J4680" s="30">
        <f>IF(G4680&lt;$H$10,$H$16,IF(G4680&gt;$I$10,$H$16,$H$11))*E4680/600</f>
        <v>4.7828879999999999E-3</v>
      </c>
      <c r="L4680" s="32">
        <f>$J4680*($G4680-$G4679)*60*24</f>
        <v>4.7828880000007476E-3</v>
      </c>
    </row>
    <row r="4681" spans="1:12">
      <c r="A4681" s="22">
        <v>40313.882638888892</v>
      </c>
      <c r="E4681" s="26">
        <v>14.534713999999999</v>
      </c>
      <c r="G4681" s="27">
        <v>0.88263888888888886</v>
      </c>
      <c r="J4681" s="30">
        <f>IF(G4681&lt;$H$10,$H$16,IF(G4681&gt;$I$10,$H$16,$H$11))*E4681/600</f>
        <v>4.8449046666666669E-3</v>
      </c>
      <c r="L4681" s="32">
        <f>$J4681*($G4681-$G4680)*60*24</f>
        <v>4.844904666665875E-3</v>
      </c>
    </row>
    <row r="4682" spans="1:12">
      <c r="A4682" s="22">
        <v>40313.883333333331</v>
      </c>
      <c r="E4682" s="26">
        <v>14.454072</v>
      </c>
      <c r="G4682" s="27">
        <v>0.8833333333333333</v>
      </c>
      <c r="J4682" s="30">
        <f>IF(G4682&lt;$H$10,$H$16,IF(G4682&gt;$I$10,$H$16,$H$11))*E4682/600</f>
        <v>4.8180239999999997E-3</v>
      </c>
      <c r="L4682" s="32">
        <f>$J4682*($G4682-$G4681)*60*24</f>
        <v>4.8180239999999833E-3</v>
      </c>
    </row>
    <row r="4683" spans="1:12">
      <c r="A4683" s="22">
        <v>40313.884027777778</v>
      </c>
      <c r="E4683" s="26">
        <v>14.528065</v>
      </c>
      <c r="G4683" s="27">
        <v>0.88402777777777775</v>
      </c>
      <c r="J4683" s="30">
        <f>IF(G4683&lt;$H$10,$H$16,IF(G4683&gt;$I$10,$H$16,$H$11))*E4683/600</f>
        <v>4.8426883333333335E-3</v>
      </c>
      <c r="L4683" s="32">
        <f>$J4683*($G4683-$G4682)*60*24</f>
        <v>4.8426883333333162E-3</v>
      </c>
    </row>
    <row r="4684" spans="1:12">
      <c r="A4684" s="22">
        <v>40313.884722222225</v>
      </c>
      <c r="E4684" s="26">
        <v>14.634604</v>
      </c>
      <c r="G4684" s="27">
        <v>0.8847222222222223</v>
      </c>
      <c r="J4684" s="30">
        <f>IF(G4684&lt;$H$10,$H$16,IF(G4684&gt;$I$10,$H$16,$H$11))*E4684/600</f>
        <v>4.8782013333333336E-3</v>
      </c>
      <c r="L4684" s="32">
        <f>$J4684*($G4684-$G4683)*60*24</f>
        <v>4.878201333334096E-3</v>
      </c>
    </row>
    <row r="4685" spans="1:12">
      <c r="A4685" s="22">
        <v>40313.885416666664</v>
      </c>
      <c r="E4685" s="26">
        <v>14.731199999999999</v>
      </c>
      <c r="G4685" s="27">
        <v>0.88541666666666663</v>
      </c>
      <c r="J4685" s="30">
        <f>IF(G4685&lt;$H$10,$H$16,IF(G4685&gt;$I$10,$H$16,$H$11))*E4685/600</f>
        <v>4.9103999999999997E-3</v>
      </c>
      <c r="L4685" s="32">
        <f>$J4685*($G4685-$G4684)*60*24</f>
        <v>4.9103999999991974E-3</v>
      </c>
    </row>
    <row r="4686" spans="1:12">
      <c r="A4686" s="22">
        <v>40313.886111111111</v>
      </c>
      <c r="E4686" s="26">
        <v>14.627969999999999</v>
      </c>
      <c r="G4686" s="27">
        <v>0.88611111111111107</v>
      </c>
      <c r="J4686" s="30">
        <f>IF(G4686&lt;$H$10,$H$16,IF(G4686&gt;$I$10,$H$16,$H$11))*E4686/600</f>
        <v>4.8759900000000002E-3</v>
      </c>
      <c r="L4686" s="32">
        <f>$J4686*($G4686-$G4685)*60*24</f>
        <v>4.8759899999999828E-3</v>
      </c>
    </row>
    <row r="4687" spans="1:12">
      <c r="A4687" s="22">
        <v>40313.886805555558</v>
      </c>
      <c r="E4687" s="26">
        <v>14.845193999999999</v>
      </c>
      <c r="G4687" s="27">
        <v>0.88680555555555562</v>
      </c>
      <c r="J4687" s="30">
        <f>IF(G4687&lt;$H$10,$H$16,IF(G4687&gt;$I$10,$H$16,$H$11))*E4687/600</f>
        <v>4.9483979999999997E-3</v>
      </c>
      <c r="L4687" s="32">
        <f>$J4687*($G4687-$G4686)*60*24</f>
        <v>4.9483980000007734E-3</v>
      </c>
    </row>
    <row r="4688" spans="1:12">
      <c r="A4688" s="22">
        <v>40313.887499999997</v>
      </c>
      <c r="E4688" s="26">
        <v>14.731605</v>
      </c>
      <c r="G4688" s="27">
        <v>0.88750000000000007</v>
      </c>
      <c r="J4688" s="30">
        <f>IF(G4688&lt;$H$10,$H$16,IF(G4688&gt;$I$10,$H$16,$H$11))*E4688/600</f>
        <v>4.9105350000000006E-3</v>
      </c>
      <c r="L4688" s="32">
        <f>$J4688*($G4688-$G4687)*60*24</f>
        <v>4.9105349999999832E-3</v>
      </c>
    </row>
    <row r="4689" spans="1:12">
      <c r="A4689" s="22">
        <v>40313.888194444444</v>
      </c>
      <c r="E4689" s="26">
        <v>14.72499</v>
      </c>
      <c r="G4689" s="27">
        <v>0.8881944444444444</v>
      </c>
      <c r="J4689" s="30">
        <f>IF(G4689&lt;$H$10,$H$16,IF(G4689&gt;$I$10,$H$16,$H$11))*E4689/600</f>
        <v>4.9083299999999998E-3</v>
      </c>
      <c r="L4689" s="32">
        <f>$J4689*($G4689-$G4688)*60*24</f>
        <v>4.9083299999991975E-3</v>
      </c>
    </row>
    <row r="4690" spans="1:12">
      <c r="A4690" s="22">
        <v>40313.888888888891</v>
      </c>
      <c r="E4690" s="26">
        <v>14.619149999999999</v>
      </c>
      <c r="G4690" s="27">
        <v>0.88888888888888884</v>
      </c>
      <c r="J4690" s="30">
        <f>IF(G4690&lt;$H$10,$H$16,IF(G4690&gt;$I$10,$H$16,$H$11))*E4690/600</f>
        <v>4.8730500000000003E-3</v>
      </c>
      <c r="L4690" s="32">
        <f>$J4690*($G4690-$G4689)*60*24</f>
        <v>4.873049999999983E-3</v>
      </c>
    </row>
    <row r="4691" spans="1:12">
      <c r="A4691" s="22">
        <v>40313.88958333333</v>
      </c>
      <c r="E4691" s="26">
        <v>14.67207</v>
      </c>
      <c r="G4691" s="27">
        <v>0.88958333333333339</v>
      </c>
      <c r="J4691" s="30">
        <f>IF(G4691&lt;$H$10,$H$16,IF(G4691&gt;$I$10,$H$16,$H$11))*E4691/600</f>
        <v>4.8906900000000005E-3</v>
      </c>
      <c r="L4691" s="32">
        <f>$J4691*($G4691-$G4690)*60*24</f>
        <v>4.8906900000007646E-3</v>
      </c>
    </row>
    <row r="4692" spans="1:12">
      <c r="A4692" s="22">
        <v>40313.890277777777</v>
      </c>
      <c r="E4692" s="26">
        <v>14.718375</v>
      </c>
      <c r="G4692" s="27">
        <v>0.89027777777777783</v>
      </c>
      <c r="J4692" s="30">
        <f>IF(G4692&lt;$H$10,$H$16,IF(G4692&gt;$I$10,$H$16,$H$11))*E4692/600</f>
        <v>4.9061250000000008E-3</v>
      </c>
      <c r="L4692" s="32">
        <f>$J4692*($G4692-$G4691)*60*24</f>
        <v>4.9061249999999834E-3</v>
      </c>
    </row>
    <row r="4693" spans="1:12">
      <c r="A4693" s="22">
        <v>40313.890972222223</v>
      </c>
      <c r="E4693" s="26">
        <v>14.604407999999999</v>
      </c>
      <c r="G4693" s="27">
        <v>0.89097222222222217</v>
      </c>
      <c r="J4693" s="30">
        <f>IF(G4693&lt;$H$10,$H$16,IF(G4693&gt;$I$10,$H$16,$H$11))*E4693/600</f>
        <v>4.8681360000000003E-3</v>
      </c>
      <c r="L4693" s="32">
        <f>$J4693*($G4693-$G4692)*60*24</f>
        <v>4.868135999999205E-3</v>
      </c>
    </row>
    <row r="4694" spans="1:12">
      <c r="A4694" s="22">
        <v>40313.89166666667</v>
      </c>
      <c r="E4694" s="26">
        <v>14.599304999999999</v>
      </c>
      <c r="G4694" s="27">
        <v>0.89166666666666661</v>
      </c>
      <c r="J4694" s="30">
        <f>IF(G4694&lt;$H$10,$H$16,IF(G4694&gt;$I$10,$H$16,$H$11))*E4694/600</f>
        <v>4.8664349999999997E-3</v>
      </c>
      <c r="L4694" s="32">
        <f>$J4694*($G4694-$G4693)*60*24</f>
        <v>4.8664349999999823E-3</v>
      </c>
    </row>
    <row r="4695" spans="1:12">
      <c r="A4695" s="22">
        <v>40313.892361111109</v>
      </c>
      <c r="E4695" s="26">
        <v>14.684922</v>
      </c>
      <c r="G4695" s="27">
        <v>0.89236111111111116</v>
      </c>
      <c r="J4695" s="30">
        <f>IF(G4695&lt;$H$10,$H$16,IF(G4695&gt;$I$10,$H$16,$H$11))*E4695/600</f>
        <v>4.8949739999999999E-3</v>
      </c>
      <c r="L4695" s="32">
        <f>$J4695*($G4695-$G4694)*60*24</f>
        <v>4.8949740000007649E-3</v>
      </c>
    </row>
    <row r="4696" spans="1:12">
      <c r="A4696" s="22">
        <v>40313.893055555556</v>
      </c>
      <c r="E4696" s="26">
        <v>14.618142000000001</v>
      </c>
      <c r="G4696" s="27">
        <v>0.8930555555555556</v>
      </c>
      <c r="J4696" s="30">
        <f>IF(G4696&lt;$H$10,$H$16,IF(G4696&gt;$I$10,$H$16,$H$11))*E4696/600</f>
        <v>4.8727140000000002E-3</v>
      </c>
      <c r="L4696" s="32">
        <f>$J4696*($G4696-$G4695)*60*24</f>
        <v>4.8727139999999829E-3</v>
      </c>
    </row>
    <row r="4697" spans="1:12">
      <c r="A4697" s="22">
        <v>40313.893750000003</v>
      </c>
      <c r="E4697" s="26">
        <v>14.482022000000001</v>
      </c>
      <c r="G4697" s="27">
        <v>0.89374999999999993</v>
      </c>
      <c r="J4697" s="30">
        <f>IF(G4697&lt;$H$10,$H$16,IF(G4697&gt;$I$10,$H$16,$H$11))*E4697/600</f>
        <v>4.8273406666666666E-3</v>
      </c>
      <c r="L4697" s="32">
        <f>$J4697*($G4697-$G4696)*60*24</f>
        <v>4.8273406666658782E-3</v>
      </c>
    </row>
    <row r="4698" spans="1:12">
      <c r="A4698" s="22">
        <v>40313.894444444442</v>
      </c>
      <c r="E4698" s="26">
        <v>14.442218</v>
      </c>
      <c r="G4698" s="27">
        <v>0.89444444444444438</v>
      </c>
      <c r="J4698" s="30">
        <f>IF(G4698&lt;$H$10,$H$16,IF(G4698&gt;$I$10,$H$16,$H$11))*E4698/600</f>
        <v>4.8140726666666672E-3</v>
      </c>
      <c r="L4698" s="32">
        <f>$J4698*($G4698-$G4697)*60*24</f>
        <v>4.8140726666666498E-3</v>
      </c>
    </row>
    <row r="4699" spans="1:12">
      <c r="A4699" s="22">
        <v>40313.895138888889</v>
      </c>
      <c r="E4699" s="26">
        <v>14.42895</v>
      </c>
      <c r="G4699" s="27">
        <v>0.89513888888888893</v>
      </c>
      <c r="J4699" s="30">
        <f>IF(G4699&lt;$H$10,$H$16,IF(G4699&gt;$I$10,$H$16,$H$11))*E4699/600</f>
        <v>4.8096500000000004E-3</v>
      </c>
      <c r="L4699" s="32">
        <f>$J4699*($G4699-$G4698)*60*24</f>
        <v>4.8096500000007524E-3</v>
      </c>
    </row>
    <row r="4700" spans="1:12">
      <c r="A4700" s="22">
        <v>40313.895833333336</v>
      </c>
      <c r="E4700" s="26">
        <v>14.53032</v>
      </c>
      <c r="G4700" s="27">
        <v>0.89583333333333337</v>
      </c>
      <c r="J4700" s="30">
        <f>IF(G4700&lt;$H$10,$H$16,IF(G4700&gt;$I$10,$H$16,$H$11))*E4700/600</f>
        <v>4.8434400000000001E-3</v>
      </c>
      <c r="L4700" s="32">
        <f>$J4700*($G4700-$G4699)*60*24</f>
        <v>4.8434399999999827E-3</v>
      </c>
    </row>
    <row r="4701" spans="1:12">
      <c r="A4701" s="22">
        <v>40313.896527777775</v>
      </c>
      <c r="E4701" s="26">
        <v>14.476751999999999</v>
      </c>
      <c r="G4701" s="27">
        <v>0.8965277777777777</v>
      </c>
      <c r="J4701" s="30">
        <f>IF(G4701&lt;$H$10,$H$16,IF(G4701&gt;$I$10,$H$16,$H$11))*E4701/600</f>
        <v>4.8255839999999999E-3</v>
      </c>
      <c r="L4701" s="32">
        <f>$J4701*($G4701-$G4700)*60*24</f>
        <v>4.8255839999992115E-3</v>
      </c>
    </row>
    <row r="4702" spans="1:12">
      <c r="A4702" s="22">
        <v>40313.897222222222</v>
      </c>
      <c r="E4702" s="26">
        <v>14.475388000000001</v>
      </c>
      <c r="G4702" s="27">
        <v>0.89722222222222225</v>
      </c>
      <c r="J4702" s="30">
        <f>IF(G4702&lt;$H$10,$H$16,IF(G4702&gt;$I$10,$H$16,$H$11))*E4702/600</f>
        <v>4.8251293333333341E-3</v>
      </c>
      <c r="L4702" s="32">
        <f>$J4702*($G4702-$G4701)*60*24</f>
        <v>4.8251293333340887E-3</v>
      </c>
    </row>
    <row r="4703" spans="1:12">
      <c r="A4703" s="22">
        <v>40313.897916666669</v>
      </c>
      <c r="E4703" s="26">
        <v>14.644152</v>
      </c>
      <c r="G4703" s="27">
        <v>0.8979166666666667</v>
      </c>
      <c r="J4703" s="30">
        <f>IF(G4703&lt;$H$10,$H$16,IF(G4703&gt;$I$10,$H$16,$H$11))*E4703/600</f>
        <v>4.8813840000000008E-3</v>
      </c>
      <c r="L4703" s="32">
        <f>$J4703*($G4703-$G4702)*60*24</f>
        <v>4.8813839999999834E-3</v>
      </c>
    </row>
    <row r="4704" spans="1:12">
      <c r="A4704" s="22">
        <v>40313.898611111108</v>
      </c>
      <c r="E4704" s="26">
        <v>14.657544</v>
      </c>
      <c r="G4704" s="27">
        <v>0.89861111111111114</v>
      </c>
      <c r="J4704" s="30">
        <f>IF(G4704&lt;$H$10,$H$16,IF(G4704&gt;$I$10,$H$16,$H$11))*E4704/600</f>
        <v>4.8858479999999999E-3</v>
      </c>
      <c r="L4704" s="32">
        <f>$J4704*($G4704-$G4703)*60*24</f>
        <v>4.8858479999999826E-3</v>
      </c>
    </row>
    <row r="4705" spans="1:12">
      <c r="A4705" s="22">
        <v>40313.899305555555</v>
      </c>
      <c r="E4705" s="26">
        <v>14.467248</v>
      </c>
      <c r="G4705" s="27">
        <v>0.89930555555555547</v>
      </c>
      <c r="J4705" s="30">
        <f>IF(G4705&lt;$H$10,$H$16,IF(G4705&gt;$I$10,$H$16,$H$11))*E4705/600</f>
        <v>4.8224160000000004E-3</v>
      </c>
      <c r="L4705" s="32">
        <f>$J4705*($G4705-$G4704)*60*24</f>
        <v>4.8224159999992119E-3</v>
      </c>
    </row>
    <row r="4706" spans="1:12">
      <c r="A4706" s="22">
        <v>40313.9</v>
      </c>
      <c r="E4706" s="26">
        <v>14.447483999999999</v>
      </c>
      <c r="G4706" s="27">
        <v>0.9</v>
      </c>
      <c r="J4706" s="30">
        <f>IF(G4706&lt;$H$10,$H$16,IF(G4706&gt;$I$10,$H$16,$H$11))*E4706/600</f>
        <v>4.8158279999999994E-3</v>
      </c>
      <c r="L4706" s="32">
        <f>$J4706*($G4706-$G4705)*60*24</f>
        <v>4.8158280000007523E-3</v>
      </c>
    </row>
    <row r="4707" spans="1:12">
      <c r="A4707" s="22">
        <v>40313.900694444441</v>
      </c>
      <c r="E4707" s="26">
        <v>14.388192</v>
      </c>
      <c r="G4707" s="27">
        <v>0.90069444444444446</v>
      </c>
      <c r="J4707" s="30">
        <f>IF(G4707&lt;$H$10,$H$16,IF(G4707&gt;$I$10,$H$16,$H$11))*E4707/600</f>
        <v>4.7960640000000009E-3</v>
      </c>
      <c r="L4707" s="32">
        <f>$J4707*($G4707-$G4706)*60*24</f>
        <v>4.7960639999999836E-3</v>
      </c>
    </row>
    <row r="4708" spans="1:12">
      <c r="A4708" s="22">
        <v>40313.901388888888</v>
      </c>
      <c r="E4708" s="26">
        <v>14.461575</v>
      </c>
      <c r="G4708" s="27">
        <v>0.90138888888888891</v>
      </c>
      <c r="J4708" s="30">
        <f>IF(G4708&lt;$H$10,$H$16,IF(G4708&gt;$I$10,$H$16,$H$11))*E4708/600</f>
        <v>4.820525E-3</v>
      </c>
      <c r="L4708" s="32">
        <f>$J4708*($G4708-$G4707)*60*24</f>
        <v>4.8205249999999835E-3</v>
      </c>
    </row>
    <row r="4709" spans="1:12">
      <c r="A4709" s="22">
        <v>40313.902083333334</v>
      </c>
      <c r="E4709" s="26">
        <v>14.655559999999999</v>
      </c>
      <c r="G4709" s="27">
        <v>0.90208333333333324</v>
      </c>
      <c r="J4709" s="30">
        <f>IF(G4709&lt;$H$10,$H$16,IF(G4709&gt;$I$10,$H$16,$H$11))*E4709/600</f>
        <v>4.8851866666666669E-3</v>
      </c>
      <c r="L4709" s="32">
        <f>$J4709*($G4709-$G4708)*60*24</f>
        <v>4.8851866666658689E-3</v>
      </c>
    </row>
    <row r="4710" spans="1:12">
      <c r="A4710" s="22">
        <v>40313.902777777781</v>
      </c>
      <c r="E4710" s="26">
        <v>14.830830000000001</v>
      </c>
      <c r="G4710" s="27">
        <v>0.90277777777777779</v>
      </c>
      <c r="J4710" s="30">
        <f>IF(G4710&lt;$H$10,$H$16,IF(G4710&gt;$I$10,$H$16,$H$11))*E4710/600</f>
        <v>4.9436100000000002E-3</v>
      </c>
      <c r="L4710" s="32">
        <f>$J4710*($G4710-$G4709)*60*24</f>
        <v>4.943610000000773E-3</v>
      </c>
    </row>
    <row r="4711" spans="1:12">
      <c r="A4711" s="22">
        <v>40313.90347222222</v>
      </c>
      <c r="E4711" s="26">
        <v>15.005466</v>
      </c>
      <c r="G4711" s="27">
        <v>0.90347222222222223</v>
      </c>
      <c r="J4711" s="30">
        <f>IF(G4711&lt;$H$10,$H$16,IF(G4711&gt;$I$10,$H$16,$H$11))*E4711/600</f>
        <v>5.0018220000000004E-3</v>
      </c>
      <c r="L4711" s="32">
        <f>$J4711*($G4711-$G4710)*60*24</f>
        <v>5.0018219999999822E-3</v>
      </c>
    </row>
    <row r="4712" spans="1:12">
      <c r="A4712" s="22">
        <v>40313.904166666667</v>
      </c>
      <c r="E4712" s="26">
        <v>14.943284999999999</v>
      </c>
      <c r="G4712" s="27">
        <v>0.90416666666666667</v>
      </c>
      <c r="J4712" s="30">
        <f>IF(G4712&lt;$H$10,$H$16,IF(G4712&gt;$I$10,$H$16,$H$11))*E4712/600</f>
        <v>4.9810949999999996E-3</v>
      </c>
      <c r="L4712" s="32">
        <f>$J4712*($G4712-$G4711)*60*24</f>
        <v>4.9810949999999823E-3</v>
      </c>
    </row>
    <row r="4713" spans="1:12">
      <c r="A4713" s="22">
        <v>40313.904861111114</v>
      </c>
      <c r="E4713" s="26">
        <v>14.903594999999999</v>
      </c>
      <c r="G4713" s="27">
        <v>0.90486111111111101</v>
      </c>
      <c r="J4713" s="30">
        <f>IF(G4713&lt;$H$10,$H$16,IF(G4713&gt;$I$10,$H$16,$H$11))*E4713/600</f>
        <v>4.9678650000000001E-3</v>
      </c>
      <c r="L4713" s="32">
        <f>$J4713*($G4713-$G4712)*60*24</f>
        <v>4.9678649999991883E-3</v>
      </c>
    </row>
    <row r="4714" spans="1:12">
      <c r="A4714" s="22">
        <v>40313.905555555553</v>
      </c>
      <c r="E4714" s="26">
        <v>14.629272</v>
      </c>
      <c r="G4714" s="27">
        <v>0.90555555555555556</v>
      </c>
      <c r="J4714" s="30">
        <f>IF(G4714&lt;$H$10,$H$16,IF(G4714&gt;$I$10,$H$16,$H$11))*E4714/600</f>
        <v>4.8764240000000007E-3</v>
      </c>
      <c r="L4714" s="32">
        <f>$J4714*($G4714-$G4713)*60*24</f>
        <v>4.8764240000007623E-3</v>
      </c>
    </row>
    <row r="4715" spans="1:12">
      <c r="A4715" s="22">
        <v>40313.90625</v>
      </c>
      <c r="E4715" s="26">
        <v>14.596412000000001</v>
      </c>
      <c r="G4715" s="27">
        <v>0.90625</v>
      </c>
      <c r="J4715" s="30">
        <f>IF(G4715&lt;$H$10,$H$16,IF(G4715&gt;$I$10,$H$16,$H$11))*E4715/600</f>
        <v>4.8654706666666665E-3</v>
      </c>
      <c r="L4715" s="32">
        <f>$J4715*($G4715-$G4714)*60*24</f>
        <v>4.8654706666666492E-3</v>
      </c>
    </row>
    <row r="4716" spans="1:12">
      <c r="A4716" s="22">
        <v>40313.906944444447</v>
      </c>
      <c r="E4716" s="26">
        <v>14.589840000000001</v>
      </c>
      <c r="G4716" s="27">
        <v>0.90694444444444444</v>
      </c>
      <c r="J4716" s="30">
        <f>IF(G4716&lt;$H$10,$H$16,IF(G4716&gt;$I$10,$H$16,$H$11))*E4716/600</f>
        <v>4.8632800000000002E-3</v>
      </c>
      <c r="L4716" s="32">
        <f>$J4716*($G4716-$G4715)*60*24</f>
        <v>4.8632799999999829E-3</v>
      </c>
    </row>
    <row r="4717" spans="1:12">
      <c r="A4717" s="22">
        <v>40313.907638888886</v>
      </c>
      <c r="E4717" s="26">
        <v>14.629272</v>
      </c>
      <c r="G4717" s="27">
        <v>0.90763888888888899</v>
      </c>
      <c r="J4717" s="30">
        <f>IF(G4717&lt;$H$10,$H$16,IF(G4717&gt;$I$10,$H$16,$H$11))*E4717/600</f>
        <v>4.8764240000000007E-3</v>
      </c>
      <c r="L4717" s="32">
        <f>$J4717*($G4717-$G4716)*60*24</f>
        <v>4.8764240000007623E-3</v>
      </c>
    </row>
    <row r="4718" spans="1:12">
      <c r="A4718" s="22">
        <v>40313.908333333333</v>
      </c>
      <c r="E4718" s="26">
        <v>14.744835</v>
      </c>
      <c r="G4718" s="27">
        <v>0.90833333333333333</v>
      </c>
      <c r="J4718" s="30">
        <f>IF(G4718&lt;$H$10,$H$16,IF(G4718&gt;$I$10,$H$16,$H$11))*E4718/600</f>
        <v>4.9149450000000004E-3</v>
      </c>
      <c r="L4718" s="32">
        <f>$J4718*($G4718-$G4717)*60*24</f>
        <v>4.9149449999991972E-3</v>
      </c>
    </row>
    <row r="4719" spans="1:12">
      <c r="A4719" s="22">
        <v>40313.90902777778</v>
      </c>
      <c r="E4719" s="26">
        <v>14.718375</v>
      </c>
      <c r="G4719" s="27">
        <v>0.90902777777777777</v>
      </c>
      <c r="J4719" s="30">
        <f>IF(G4719&lt;$H$10,$H$16,IF(G4719&gt;$I$10,$H$16,$H$11))*E4719/600</f>
        <v>4.9061250000000008E-3</v>
      </c>
      <c r="L4719" s="32">
        <f>$J4719*($G4719-$G4718)*60*24</f>
        <v>4.9061249999999834E-3</v>
      </c>
    </row>
    <row r="4720" spans="1:12">
      <c r="A4720" s="22">
        <v>40313.909722222219</v>
      </c>
      <c r="E4720" s="26">
        <v>14.810985000000001</v>
      </c>
      <c r="G4720" s="27">
        <v>0.90972222222222221</v>
      </c>
      <c r="J4720" s="30">
        <f>IF(G4720&lt;$H$10,$H$16,IF(G4720&gt;$I$10,$H$16,$H$11))*E4720/600</f>
        <v>4.9369950000000004E-3</v>
      </c>
      <c r="L4720" s="32">
        <f>$J4720*($G4720-$G4719)*60*24</f>
        <v>4.9369949999999831E-3</v>
      </c>
    </row>
    <row r="4721" spans="1:12">
      <c r="A4721" s="22">
        <v>40313.910416666666</v>
      </c>
      <c r="E4721" s="26">
        <v>14.75145</v>
      </c>
      <c r="G4721" s="27">
        <v>0.91041666666666676</v>
      </c>
      <c r="J4721" s="30">
        <f>IF(G4721&lt;$H$10,$H$16,IF(G4721&gt;$I$10,$H$16,$H$11))*E4721/600</f>
        <v>4.9171500000000003E-3</v>
      </c>
      <c r="L4721" s="32">
        <f>$J4721*($G4721-$G4720)*60*24</f>
        <v>4.9171500000007688E-3</v>
      </c>
    </row>
    <row r="4722" spans="1:12">
      <c r="A4722" s="22">
        <v>40313.911111111112</v>
      </c>
      <c r="E4722" s="26">
        <v>14.751702</v>
      </c>
      <c r="G4722" s="27">
        <v>0.91111111111111109</v>
      </c>
      <c r="J4722" s="30">
        <f>IF(G4722&lt;$H$10,$H$16,IF(G4722&gt;$I$10,$H$16,$H$11))*E4722/600</f>
        <v>4.9172340000000004E-3</v>
      </c>
      <c r="L4722" s="32">
        <f>$J4722*($G4722-$G4721)*60*24</f>
        <v>4.9172339999991963E-3</v>
      </c>
    </row>
    <row r="4723" spans="1:12">
      <c r="A4723" s="22">
        <v>40313.911805555559</v>
      </c>
      <c r="E4723" s="26">
        <v>14.612534999999999</v>
      </c>
      <c r="G4723" s="27">
        <v>0.91180555555555554</v>
      </c>
      <c r="J4723" s="30">
        <f>IF(G4723&lt;$H$10,$H$16,IF(G4723&gt;$I$10,$H$16,$H$11))*E4723/600</f>
        <v>4.8708449999999995E-3</v>
      </c>
      <c r="L4723" s="32">
        <f>$J4723*($G4723-$G4722)*60*24</f>
        <v>4.8708449999999822E-3</v>
      </c>
    </row>
    <row r="4724" spans="1:12">
      <c r="A4724" s="22">
        <v>40313.912499999999</v>
      </c>
      <c r="E4724" s="26">
        <v>14.632379999999999</v>
      </c>
      <c r="G4724" s="27">
        <v>0.91249999999999998</v>
      </c>
      <c r="J4724" s="30">
        <f>IF(G4724&lt;$H$10,$H$16,IF(G4724&gt;$I$10,$H$16,$H$11))*E4724/600</f>
        <v>4.8774600000000001E-3</v>
      </c>
      <c r="L4724" s="32">
        <f>$J4724*($G4724-$G4723)*60*24</f>
        <v>4.8774599999999828E-3</v>
      </c>
    </row>
    <row r="4725" spans="1:12">
      <c r="A4725" s="22">
        <v>40313.913194444445</v>
      </c>
      <c r="E4725" s="26">
        <v>14.711634</v>
      </c>
      <c r="G4725" s="27">
        <v>0.91319444444444453</v>
      </c>
      <c r="J4725" s="30">
        <f>IF(G4725&lt;$H$10,$H$16,IF(G4725&gt;$I$10,$H$16,$H$11))*E4725/600</f>
        <v>4.9038780000000004E-3</v>
      </c>
      <c r="L4725" s="32">
        <f>$J4725*($G4725-$G4724)*60*24</f>
        <v>4.9038780000007672E-3</v>
      </c>
    </row>
    <row r="4726" spans="1:12">
      <c r="A4726" s="22">
        <v>40313.913888888892</v>
      </c>
      <c r="E4726" s="26">
        <v>14.484688</v>
      </c>
      <c r="G4726" s="27">
        <v>0.91388888888888886</v>
      </c>
      <c r="J4726" s="30">
        <f>IF(G4726&lt;$H$10,$H$16,IF(G4726&gt;$I$10,$H$16,$H$11))*E4726/600</f>
        <v>4.8282293333333339E-3</v>
      </c>
      <c r="L4726" s="32">
        <f>$J4726*($G4726-$G4725)*60*24</f>
        <v>4.8282293333325446E-3</v>
      </c>
    </row>
    <row r="4727" spans="1:12">
      <c r="A4727" s="22">
        <v>40313.914583333331</v>
      </c>
      <c r="E4727" s="26">
        <v>14.576696</v>
      </c>
      <c r="G4727" s="27">
        <v>0.9145833333333333</v>
      </c>
      <c r="J4727" s="30">
        <f>IF(G4727&lt;$H$10,$H$16,IF(G4727&gt;$I$10,$H$16,$H$11))*E4727/600</f>
        <v>4.8588986666666667E-3</v>
      </c>
      <c r="L4727" s="32">
        <f>$J4727*($G4727-$G4726)*60*24</f>
        <v>4.8588986666666494E-3</v>
      </c>
    </row>
    <row r="4728" spans="1:12">
      <c r="A4728" s="22">
        <v>40313.915277777778</v>
      </c>
      <c r="E4728" s="26">
        <v>14.76468</v>
      </c>
      <c r="G4728" s="27">
        <v>0.91527777777777775</v>
      </c>
      <c r="J4728" s="30">
        <f>IF(G4728&lt;$H$10,$H$16,IF(G4728&gt;$I$10,$H$16,$H$11))*E4728/600</f>
        <v>4.9215600000000002E-3</v>
      </c>
      <c r="L4728" s="32">
        <f>$J4728*($G4728-$G4727)*60*24</f>
        <v>4.9215599999999828E-3</v>
      </c>
    </row>
    <row r="4729" spans="1:12">
      <c r="A4729" s="22">
        <v>40313.915972222225</v>
      </c>
      <c r="E4729" s="26">
        <v>14.76468</v>
      </c>
      <c r="G4729" s="27">
        <v>0.9159722222222223</v>
      </c>
      <c r="J4729" s="30">
        <f>IF(G4729&lt;$H$10,$H$16,IF(G4729&gt;$I$10,$H$16,$H$11))*E4729/600</f>
        <v>4.9215600000000002E-3</v>
      </c>
      <c r="L4729" s="32">
        <f>$J4729*($G4729-$G4728)*60*24</f>
        <v>4.9215600000007704E-3</v>
      </c>
    </row>
    <row r="4730" spans="1:12">
      <c r="A4730" s="22">
        <v>40313.916666666664</v>
      </c>
      <c r="E4730" s="26">
        <v>14.784525</v>
      </c>
      <c r="G4730" s="27">
        <v>0.91666666666666663</v>
      </c>
      <c r="J4730" s="30">
        <f>IF(G4730&lt;$H$10,$H$16,IF(G4730&gt;$I$10,$H$16,$H$11))*E4730/600</f>
        <v>4.9281750000000008E-3</v>
      </c>
      <c r="L4730" s="32">
        <f>$J4730*($G4730-$G4729)*60*24</f>
        <v>4.928174999999195E-3</v>
      </c>
    </row>
    <row r="4731" spans="1:12">
      <c r="A4731" s="22">
        <v>40313.917361111111</v>
      </c>
      <c r="E4731" s="26">
        <v>14.911974000000001</v>
      </c>
      <c r="G4731" s="27">
        <v>0.91736111111111107</v>
      </c>
      <c r="J4731" s="30">
        <f>IF(G4731&lt;$H$10,$H$16,IF(G4731&gt;$I$10,$H$16,$H$11))*E4731/600</f>
        <v>4.9706580000000002E-3</v>
      </c>
      <c r="L4731" s="32">
        <f>$J4731*($G4731-$G4730)*60*24</f>
        <v>4.970657999999982E-3</v>
      </c>
    </row>
    <row r="4732" spans="1:12">
      <c r="A4732" s="22">
        <v>40313.918055555558</v>
      </c>
      <c r="E4732" s="26">
        <v>14.596412000000001</v>
      </c>
      <c r="G4732" s="27">
        <v>0.91805555555555562</v>
      </c>
      <c r="J4732" s="30">
        <f>IF(G4732&lt;$H$10,$H$16,IF(G4732&gt;$I$10,$H$16,$H$11))*E4732/600</f>
        <v>4.8654706666666665E-3</v>
      </c>
      <c r="L4732" s="32">
        <f>$J4732*($G4732-$G4731)*60*24</f>
        <v>4.8654706666674263E-3</v>
      </c>
    </row>
    <row r="4733" spans="1:12">
      <c r="A4733" s="22">
        <v>40313.918749999997</v>
      </c>
      <c r="E4733" s="26">
        <v>14.634604</v>
      </c>
      <c r="G4733" s="27">
        <v>0.91875000000000007</v>
      </c>
      <c r="J4733" s="30">
        <f>IF(G4733&lt;$H$10,$H$16,IF(G4733&gt;$I$10,$H$16,$H$11))*E4733/600</f>
        <v>4.8782013333333336E-3</v>
      </c>
      <c r="L4733" s="32">
        <f>$J4733*($G4733-$G4732)*60*24</f>
        <v>4.8782013333333162E-3</v>
      </c>
    </row>
    <row r="4734" spans="1:12">
      <c r="A4734" s="22">
        <v>40313.919444444444</v>
      </c>
      <c r="E4734" s="26">
        <v>14.574897999999999</v>
      </c>
      <c r="G4734" s="27">
        <v>0.9194444444444444</v>
      </c>
      <c r="J4734" s="30">
        <f>IF(G4734&lt;$H$10,$H$16,IF(G4734&gt;$I$10,$H$16,$H$11))*E4734/600</f>
        <v>4.8582993333333331E-3</v>
      </c>
      <c r="L4734" s="32">
        <f>$J4734*($G4734-$G4733)*60*24</f>
        <v>4.8582993333325395E-3</v>
      </c>
    </row>
    <row r="4735" spans="1:12">
      <c r="A4735" s="22">
        <v>40313.920138888891</v>
      </c>
      <c r="E4735" s="26">
        <v>14.554995999999999</v>
      </c>
      <c r="G4735" s="27">
        <v>0.92013888888888884</v>
      </c>
      <c r="J4735" s="30">
        <f>IF(G4735&lt;$H$10,$H$16,IF(G4735&gt;$I$10,$H$16,$H$11))*E4735/600</f>
        <v>4.851665333333333E-3</v>
      </c>
      <c r="L4735" s="32">
        <f>$J4735*($G4735-$G4734)*60*24</f>
        <v>4.8516653333333156E-3</v>
      </c>
    </row>
    <row r="4736" spans="1:12">
      <c r="A4736" s="22">
        <v>40313.92083333333</v>
      </c>
      <c r="E4736" s="26">
        <v>14.554995999999999</v>
      </c>
      <c r="G4736" s="27">
        <v>0.92083333333333339</v>
      </c>
      <c r="J4736" s="30">
        <f>IF(G4736&lt;$H$10,$H$16,IF(G4736&gt;$I$10,$H$16,$H$11))*E4736/600</f>
        <v>4.851665333333333E-3</v>
      </c>
      <c r="L4736" s="32">
        <f>$J4736*($G4736-$G4735)*60*24</f>
        <v>4.8516653333340919E-3</v>
      </c>
    </row>
    <row r="4737" spans="1:12">
      <c r="A4737" s="22">
        <v>40313.921527777777</v>
      </c>
      <c r="E4737" s="26">
        <v>14.276196000000001</v>
      </c>
      <c r="G4737" s="27">
        <v>0.92152777777777783</v>
      </c>
      <c r="J4737" s="30">
        <f>IF(G4737&lt;$H$10,$H$16,IF(G4737&gt;$I$10,$H$16,$H$11))*E4737/600</f>
        <v>4.7587320000000008E-3</v>
      </c>
      <c r="L4737" s="32">
        <f>$J4737*($G4737-$G4736)*60*24</f>
        <v>4.7587319999999843E-3</v>
      </c>
    </row>
    <row r="4738" spans="1:12">
      <c r="A4738" s="22">
        <v>40313.922222222223</v>
      </c>
      <c r="E4738" s="26">
        <v>14.422316</v>
      </c>
      <c r="G4738" s="27">
        <v>0.92222222222222217</v>
      </c>
      <c r="J4738" s="30">
        <f>IF(G4738&lt;$H$10,$H$16,IF(G4738&gt;$I$10,$H$16,$H$11))*E4738/600</f>
        <v>4.807438666666667E-3</v>
      </c>
      <c r="L4738" s="32">
        <f>$J4738*($G4738-$G4737)*60*24</f>
        <v>4.8074386666658812E-3</v>
      </c>
    </row>
    <row r="4739" spans="1:12">
      <c r="A4739" s="22">
        <v>40313.92291666667</v>
      </c>
      <c r="E4739" s="26">
        <v>14.462120000000001</v>
      </c>
      <c r="G4739" s="27">
        <v>0.92291666666666661</v>
      </c>
      <c r="J4739" s="30">
        <f>IF(G4739&lt;$H$10,$H$16,IF(G4739&gt;$I$10,$H$16,$H$11))*E4739/600</f>
        <v>4.8207066666666664E-3</v>
      </c>
      <c r="L4739" s="32">
        <f>$J4739*($G4739-$G4738)*60*24</f>
        <v>4.8207066666666491E-3</v>
      </c>
    </row>
    <row r="4740" spans="1:12">
      <c r="A4740" s="22">
        <v>40313.923611111109</v>
      </c>
      <c r="E4740" s="26">
        <v>14.263019999999999</v>
      </c>
      <c r="G4740" s="27">
        <v>0.92361111111111116</v>
      </c>
      <c r="J4740" s="30">
        <f>IF(G4740&lt;$H$10,$H$16,IF(G4740&gt;$I$10,$H$16,$H$11))*E4740/600</f>
        <v>4.7543400000000001E-3</v>
      </c>
      <c r="L4740" s="32">
        <f>$J4740*($G4740-$G4739)*60*24</f>
        <v>4.7543400000007435E-3</v>
      </c>
    </row>
    <row r="4741" spans="1:12">
      <c r="A4741" s="22">
        <v>40313.924305555556</v>
      </c>
      <c r="E4741" s="26">
        <v>14.282783999999999</v>
      </c>
      <c r="G4741" s="27">
        <v>0.9243055555555556</v>
      </c>
      <c r="J4741" s="30">
        <f>IF(G4741&lt;$H$10,$H$16,IF(G4741&gt;$I$10,$H$16,$H$11))*E4741/600</f>
        <v>4.7609280000000002E-3</v>
      </c>
      <c r="L4741" s="32">
        <f>$J4741*($G4741-$G4740)*60*24</f>
        <v>4.7609279999999837E-3</v>
      </c>
    </row>
    <row r="4742" spans="1:12">
      <c r="A4742" s="22">
        <v>40313.925000000003</v>
      </c>
      <c r="E4742" s="26">
        <v>14.508558000000001</v>
      </c>
      <c r="G4742" s="27">
        <v>0.92499999999999993</v>
      </c>
      <c r="J4742" s="30">
        <f>IF(G4742&lt;$H$10,$H$16,IF(G4742&gt;$I$10,$H$16,$H$11))*E4742/600</f>
        <v>4.836186000000001E-3</v>
      </c>
      <c r="L4742" s="32">
        <f>$J4742*($G4742-$G4741)*60*24</f>
        <v>4.8361859999992108E-3</v>
      </c>
    </row>
    <row r="4743" spans="1:12">
      <c r="A4743" s="22">
        <v>40313.925694444442</v>
      </c>
      <c r="E4743" s="26">
        <v>14.353248000000001</v>
      </c>
      <c r="G4743" s="27">
        <v>0.92569444444444438</v>
      </c>
      <c r="J4743" s="30">
        <f>IF(G4743&lt;$H$10,$H$16,IF(G4743&gt;$I$10,$H$16,$H$11))*E4743/600</f>
        <v>4.7844160000000005E-3</v>
      </c>
      <c r="L4743" s="32">
        <f>$J4743*($G4743-$G4742)*60*24</f>
        <v>4.7844159999999841E-3</v>
      </c>
    </row>
    <row r="4744" spans="1:12">
      <c r="A4744" s="22">
        <v>40313.926388888889</v>
      </c>
      <c r="E4744" s="26">
        <v>14.320387999999999</v>
      </c>
      <c r="G4744" s="27">
        <v>0.92638888888888893</v>
      </c>
      <c r="J4744" s="30">
        <f>IF(G4744&lt;$H$10,$H$16,IF(G4744&gt;$I$10,$H$16,$H$11))*E4744/600</f>
        <v>4.7734626666666663E-3</v>
      </c>
      <c r="L4744" s="32">
        <f>$J4744*($G4744-$G4743)*60*24</f>
        <v>4.7734626666674131E-3</v>
      </c>
    </row>
    <row r="4745" spans="1:12">
      <c r="A4745" s="22">
        <v>40313.927083333336</v>
      </c>
      <c r="E4745" s="26">
        <v>14.382512</v>
      </c>
      <c r="G4745" s="27">
        <v>0.92708333333333337</v>
      </c>
      <c r="J4745" s="30">
        <f>IF(G4745&lt;$H$10,$H$16,IF(G4745&gt;$I$10,$H$16,$H$11))*E4745/600</f>
        <v>4.7941706666666667E-3</v>
      </c>
      <c r="L4745" s="32">
        <f>$J4745*($G4745-$G4744)*60*24</f>
        <v>4.7941706666666493E-3</v>
      </c>
    </row>
    <row r="4746" spans="1:12">
      <c r="A4746" s="22">
        <v>40313.927777777775</v>
      </c>
      <c r="E4746" s="26">
        <v>14.39578</v>
      </c>
      <c r="G4746" s="27">
        <v>0.9277777777777777</v>
      </c>
      <c r="J4746" s="30">
        <f>IF(G4746&lt;$H$10,$H$16,IF(G4746&gt;$I$10,$H$16,$H$11))*E4746/600</f>
        <v>4.7985933333333335E-3</v>
      </c>
      <c r="L4746" s="32">
        <f>$J4746*($G4746-$G4745)*60*24</f>
        <v>4.7985933333325494E-3</v>
      </c>
    </row>
    <row r="4747" spans="1:12">
      <c r="A4747" s="22">
        <v>40313.928472222222</v>
      </c>
      <c r="E4747" s="26">
        <v>14.442218</v>
      </c>
      <c r="G4747" s="27">
        <v>0.92847222222222225</v>
      </c>
      <c r="J4747" s="30">
        <f>IF(G4747&lt;$H$10,$H$16,IF(G4747&gt;$I$10,$H$16,$H$11))*E4747/600</f>
        <v>4.8140726666666672E-3</v>
      </c>
      <c r="L4747" s="32">
        <f>$J4747*($G4747-$G4746)*60*24</f>
        <v>4.8140726666674192E-3</v>
      </c>
    </row>
    <row r="4748" spans="1:12">
      <c r="A4748" s="22">
        <v>40313.929166666669</v>
      </c>
      <c r="E4748" s="26">
        <v>14.375878</v>
      </c>
      <c r="G4748" s="27">
        <v>0.9291666666666667</v>
      </c>
      <c r="J4748" s="30">
        <f>IF(G4748&lt;$H$10,$H$16,IF(G4748&gt;$I$10,$H$16,$H$11))*E4748/600</f>
        <v>4.7919593333333342E-3</v>
      </c>
      <c r="L4748" s="32">
        <f>$J4748*($G4748-$G4747)*60*24</f>
        <v>4.7919593333333168E-3</v>
      </c>
    </row>
    <row r="4749" spans="1:12">
      <c r="A4749" s="22">
        <v>40313.929861111108</v>
      </c>
      <c r="E4749" s="26">
        <v>14.402414</v>
      </c>
      <c r="G4749" s="27">
        <v>0.92986111111111114</v>
      </c>
      <c r="J4749" s="30">
        <f>IF(G4749&lt;$H$10,$H$16,IF(G4749&gt;$I$10,$H$16,$H$11))*E4749/600</f>
        <v>4.8008046666666668E-3</v>
      </c>
      <c r="L4749" s="32">
        <f>$J4749*($G4749-$G4748)*60*24</f>
        <v>4.8008046666666495E-3</v>
      </c>
    </row>
    <row r="4750" spans="1:12">
      <c r="A4750" s="22">
        <v>40313.930555555555</v>
      </c>
      <c r="E4750" s="26">
        <v>14.409048</v>
      </c>
      <c r="G4750" s="27">
        <v>0.93055555555555547</v>
      </c>
      <c r="J4750" s="30">
        <f>IF(G4750&lt;$H$10,$H$16,IF(G4750&gt;$I$10,$H$16,$H$11))*E4750/600</f>
        <v>4.8030160000000011E-3</v>
      </c>
      <c r="L4750" s="32">
        <f>$J4750*($G4750-$G4749)*60*24</f>
        <v>4.8030159999992161E-3</v>
      </c>
    </row>
    <row r="4751" spans="1:12">
      <c r="A4751" s="22">
        <v>40313.931250000001</v>
      </c>
      <c r="E4751" s="26">
        <v>14.382512</v>
      </c>
      <c r="G4751" s="27">
        <v>0.93125000000000002</v>
      </c>
      <c r="J4751" s="30">
        <f>IF(G4751&lt;$H$10,$H$16,IF(G4751&gt;$I$10,$H$16,$H$11))*E4751/600</f>
        <v>4.7941706666666667E-3</v>
      </c>
      <c r="L4751" s="32">
        <f>$J4751*($G4751-$G4750)*60*24</f>
        <v>4.7941706666674161E-3</v>
      </c>
    </row>
    <row r="4752" spans="1:12">
      <c r="A4752" s="22">
        <v>40313.931944444441</v>
      </c>
      <c r="E4752" s="26">
        <v>14.508558000000001</v>
      </c>
      <c r="G4752" s="27">
        <v>0.93194444444444446</v>
      </c>
      <c r="J4752" s="30">
        <f>IF(G4752&lt;$H$10,$H$16,IF(G4752&gt;$I$10,$H$16,$H$11))*E4752/600</f>
        <v>4.836186000000001E-3</v>
      </c>
      <c r="L4752" s="32">
        <f>$J4752*($G4752-$G4751)*60*24</f>
        <v>4.8361859999999837E-3</v>
      </c>
    </row>
    <row r="4753" spans="1:12">
      <c r="A4753" s="22">
        <v>40313.932638888888</v>
      </c>
      <c r="E4753" s="26">
        <v>14.588165999999999</v>
      </c>
      <c r="G4753" s="27">
        <v>0.93263888888888891</v>
      </c>
      <c r="J4753" s="30">
        <f>IF(G4753&lt;$H$10,$H$16,IF(G4753&gt;$I$10,$H$16,$H$11))*E4753/600</f>
        <v>4.8627219999999999E-3</v>
      </c>
      <c r="L4753" s="32">
        <f>$J4753*($G4753-$G4752)*60*24</f>
        <v>4.8627219999999825E-3</v>
      </c>
    </row>
    <row r="4754" spans="1:12">
      <c r="A4754" s="22">
        <v>40313.933333333334</v>
      </c>
      <c r="E4754" s="26">
        <v>14.574897999999999</v>
      </c>
      <c r="G4754" s="27">
        <v>0.93333333333333324</v>
      </c>
      <c r="J4754" s="30">
        <f>IF(G4754&lt;$H$10,$H$16,IF(G4754&gt;$I$10,$H$16,$H$11))*E4754/600</f>
        <v>4.8582993333333331E-3</v>
      </c>
      <c r="L4754" s="32">
        <f>$J4754*($G4754-$G4753)*60*24</f>
        <v>4.8582993333325395E-3</v>
      </c>
    </row>
    <row r="4755" spans="1:12">
      <c r="A4755" s="22">
        <v>40313.934027777781</v>
      </c>
      <c r="E4755" s="26">
        <v>14.501924000000001</v>
      </c>
      <c r="G4755" s="27">
        <v>0.93402777777777779</v>
      </c>
      <c r="J4755" s="30">
        <f>IF(G4755&lt;$H$10,$H$16,IF(G4755&gt;$I$10,$H$16,$H$11))*E4755/600</f>
        <v>4.8339746666666676E-3</v>
      </c>
      <c r="L4755" s="32">
        <f>$J4755*($G4755-$G4754)*60*24</f>
        <v>4.833974666667424E-3</v>
      </c>
    </row>
    <row r="4756" spans="1:12">
      <c r="A4756" s="22">
        <v>40313.93472222222</v>
      </c>
      <c r="E4756" s="26">
        <v>14.482022000000001</v>
      </c>
      <c r="G4756" s="27">
        <v>0.93472222222222223</v>
      </c>
      <c r="J4756" s="30">
        <f>IF(G4756&lt;$H$10,$H$16,IF(G4756&gt;$I$10,$H$16,$H$11))*E4756/600</f>
        <v>4.8273406666666666E-3</v>
      </c>
      <c r="L4756" s="32">
        <f>$J4756*($G4756-$G4755)*60*24</f>
        <v>4.8273406666666492E-3</v>
      </c>
    </row>
    <row r="4757" spans="1:12">
      <c r="A4757" s="22">
        <v>40313.935416666667</v>
      </c>
      <c r="E4757" s="26">
        <v>14.418968</v>
      </c>
      <c r="G4757" s="27">
        <v>0.93541666666666667</v>
      </c>
      <c r="J4757" s="30">
        <f>IF(G4757&lt;$H$10,$H$16,IF(G4757&gt;$I$10,$H$16,$H$11))*E4757/600</f>
        <v>4.8063226666666672E-3</v>
      </c>
      <c r="L4757" s="32">
        <f>$J4757*($G4757-$G4756)*60*24</f>
        <v>4.8063226666666507E-3</v>
      </c>
    </row>
    <row r="4758" spans="1:12">
      <c r="A4758" s="22">
        <v>40313.936111111114</v>
      </c>
      <c r="E4758" s="26">
        <v>14.484688</v>
      </c>
      <c r="G4758" s="27">
        <v>0.93611111111111101</v>
      </c>
      <c r="J4758" s="30">
        <f>IF(G4758&lt;$H$10,$H$16,IF(G4758&gt;$I$10,$H$16,$H$11))*E4758/600</f>
        <v>4.8282293333333339E-3</v>
      </c>
      <c r="L4758" s="32">
        <f>$J4758*($G4758-$G4757)*60*24</f>
        <v>4.8282293333325446E-3</v>
      </c>
    </row>
    <row r="4759" spans="1:12">
      <c r="A4759" s="22">
        <v>40313.936805555553</v>
      </c>
      <c r="E4759" s="26">
        <v>14.818481999999999</v>
      </c>
      <c r="G4759" s="27">
        <v>0.93680555555555556</v>
      </c>
      <c r="J4759" s="30">
        <f>IF(G4759&lt;$H$10,$H$16,IF(G4759&gt;$I$10,$H$16,$H$11))*E4759/600</f>
        <v>4.939494E-3</v>
      </c>
      <c r="L4759" s="32">
        <f>$J4759*($G4759-$G4758)*60*24</f>
        <v>4.9394940000007728E-3</v>
      </c>
    </row>
    <row r="4760" spans="1:12">
      <c r="A4760" s="22">
        <v>40313.9375</v>
      </c>
      <c r="E4760" s="26">
        <v>14.744835</v>
      </c>
      <c r="G4760" s="27">
        <v>0.9375</v>
      </c>
      <c r="J4760" s="30">
        <f>IF(G4760&lt;$H$10,$H$16,IF(G4760&gt;$I$10,$H$16,$H$11))*E4760/600</f>
        <v>4.9149450000000004E-3</v>
      </c>
      <c r="L4760" s="32">
        <f>$J4760*($G4760-$G4759)*60*24</f>
        <v>4.9149449999999831E-3</v>
      </c>
    </row>
    <row r="4761" spans="1:12">
      <c r="A4761" s="22">
        <v>40313.938194444447</v>
      </c>
      <c r="E4761" s="26">
        <v>14.689584</v>
      </c>
      <c r="G4761" s="27">
        <v>0.93819444444444444</v>
      </c>
      <c r="J4761" s="30">
        <f>IF(G4761&lt;$H$10,$H$16,IF(G4761&gt;$I$10,$H$16,$H$11))*E4761/600</f>
        <v>4.8965279999999998E-3</v>
      </c>
      <c r="L4761" s="32">
        <f>$J4761*($G4761-$G4760)*60*24</f>
        <v>4.8965279999999825E-3</v>
      </c>
    </row>
    <row r="4762" spans="1:12">
      <c r="A4762" s="22">
        <v>40313.938888888886</v>
      </c>
      <c r="E4762" s="26">
        <v>14.64372</v>
      </c>
      <c r="G4762" s="27">
        <v>0.93888888888888899</v>
      </c>
      <c r="J4762" s="30">
        <f>IF(G4762&lt;$H$10,$H$16,IF(G4762&gt;$I$10,$H$16,$H$11))*E4762/600</f>
        <v>4.8812400000000002E-3</v>
      </c>
      <c r="L4762" s="32">
        <f>$J4762*($G4762-$G4761)*60*24</f>
        <v>4.8812400000007626E-3</v>
      </c>
    </row>
    <row r="4763" spans="1:12">
      <c r="A4763" s="22">
        <v>40313.939583333333</v>
      </c>
      <c r="E4763" s="26">
        <v>14.652225</v>
      </c>
      <c r="G4763" s="27">
        <v>0.93958333333333333</v>
      </c>
      <c r="J4763" s="30">
        <f>IF(G4763&lt;$H$10,$H$16,IF(G4763&gt;$I$10,$H$16,$H$11))*E4763/600</f>
        <v>4.8840750000000007E-3</v>
      </c>
      <c r="L4763" s="32">
        <f>$J4763*($G4763-$G4762)*60*24</f>
        <v>4.8840749999992019E-3</v>
      </c>
    </row>
    <row r="4764" spans="1:12">
      <c r="A4764" s="22">
        <v>40313.94027777778</v>
      </c>
      <c r="E4764" s="26">
        <v>14.678685</v>
      </c>
      <c r="G4764" s="27">
        <v>0.94027777777777777</v>
      </c>
      <c r="J4764" s="30">
        <f>IF(G4764&lt;$H$10,$H$16,IF(G4764&gt;$I$10,$H$16,$H$11))*E4764/600</f>
        <v>4.8928950000000004E-3</v>
      </c>
      <c r="L4764" s="32">
        <f>$J4764*($G4764-$G4763)*60*24</f>
        <v>4.8928949999999822E-3</v>
      </c>
    </row>
    <row r="4765" spans="1:12">
      <c r="A4765" s="22">
        <v>40313.940972222219</v>
      </c>
      <c r="E4765" s="26">
        <v>14.545439999999999</v>
      </c>
      <c r="G4765" s="27">
        <v>0.94097222222222221</v>
      </c>
      <c r="J4765" s="30">
        <f>IF(G4765&lt;$H$10,$H$16,IF(G4765&gt;$I$10,$H$16,$H$11))*E4765/600</f>
        <v>4.8484800000000005E-3</v>
      </c>
      <c r="L4765" s="32">
        <f>$J4765*($G4765-$G4764)*60*24</f>
        <v>4.8484799999999832E-3</v>
      </c>
    </row>
    <row r="4766" spans="1:12">
      <c r="A4766" s="22">
        <v>40313.941666666666</v>
      </c>
      <c r="E4766" s="26">
        <v>14.525784</v>
      </c>
      <c r="G4766" s="27">
        <v>0.94166666666666676</v>
      </c>
      <c r="J4766" s="30">
        <f>IF(G4766&lt;$H$10,$H$16,IF(G4766&gt;$I$10,$H$16,$H$11))*E4766/600</f>
        <v>4.8419280000000006E-3</v>
      </c>
      <c r="L4766" s="32">
        <f>$J4766*($G4766-$G4765)*60*24</f>
        <v>4.8419280000007569E-3</v>
      </c>
    </row>
    <row r="4767" spans="1:12">
      <c r="A4767" s="22">
        <v>40313.942361111112</v>
      </c>
      <c r="E4767" s="26">
        <v>14.460264</v>
      </c>
      <c r="G4767" s="27">
        <v>0.94236111111111109</v>
      </c>
      <c r="J4767" s="30">
        <f>IF(G4767&lt;$H$10,$H$16,IF(G4767&gt;$I$10,$H$16,$H$11))*E4767/600</f>
        <v>4.8200880000000002E-3</v>
      </c>
      <c r="L4767" s="32">
        <f>$J4767*($G4767-$G4766)*60*24</f>
        <v>4.8200879999992117E-3</v>
      </c>
    </row>
    <row r="4768" spans="1:12">
      <c r="A4768" s="22">
        <v>40313.943055555559</v>
      </c>
      <c r="E4768" s="26">
        <v>14.579459999999999</v>
      </c>
      <c r="G4768" s="27">
        <v>0.94305555555555554</v>
      </c>
      <c r="J4768" s="30">
        <f>IF(G4768&lt;$H$10,$H$16,IF(G4768&gt;$I$10,$H$16,$H$11))*E4768/600</f>
        <v>4.8598199999999999E-3</v>
      </c>
      <c r="L4768" s="32">
        <f>$J4768*($G4768-$G4767)*60*24</f>
        <v>4.8598199999999835E-3</v>
      </c>
    </row>
    <row r="4769" spans="1:12">
      <c r="A4769" s="22">
        <v>40313.943749999999</v>
      </c>
      <c r="E4769" s="26">
        <v>14.559615000000001</v>
      </c>
      <c r="G4769" s="27">
        <v>0.94374999999999998</v>
      </c>
      <c r="J4769" s="30">
        <f>IF(G4769&lt;$H$10,$H$16,IF(G4769&gt;$I$10,$H$16,$H$11))*E4769/600</f>
        <v>4.8532050000000002E-3</v>
      </c>
      <c r="L4769" s="32">
        <f>$J4769*($G4769-$G4768)*60*24</f>
        <v>4.8532049999999828E-3</v>
      </c>
    </row>
    <row r="4770" spans="1:12">
      <c r="A4770" s="22">
        <v>40313.944444444445</v>
      </c>
      <c r="E4770" s="26">
        <v>14.453711999999999</v>
      </c>
      <c r="G4770" s="27">
        <v>0.94444444444444453</v>
      </c>
      <c r="J4770" s="30">
        <f>IF(G4770&lt;$H$10,$H$16,IF(G4770&gt;$I$10,$H$16,$H$11))*E4770/600</f>
        <v>4.8179040000000005E-3</v>
      </c>
      <c r="L4770" s="32">
        <f>$J4770*($G4770-$G4769)*60*24</f>
        <v>4.8179040000007533E-3</v>
      </c>
    </row>
    <row r="4771" spans="1:12">
      <c r="A4771" s="22">
        <v>40313.945138888892</v>
      </c>
      <c r="E4771" s="26">
        <v>14.519925000000001</v>
      </c>
      <c r="G4771" s="27">
        <v>0.94513888888888886</v>
      </c>
      <c r="J4771" s="30">
        <f>IF(G4771&lt;$H$10,$H$16,IF(G4771&gt;$I$10,$H$16,$H$11))*E4771/600</f>
        <v>4.8399750000000007E-3</v>
      </c>
      <c r="L4771" s="32">
        <f>$J4771*($G4771-$G4770)*60*24</f>
        <v>4.8399749999992088E-3</v>
      </c>
    </row>
    <row r="4772" spans="1:12">
      <c r="A4772" s="22">
        <v>40313.945833333331</v>
      </c>
      <c r="E4772" s="26">
        <v>14.566229999999999</v>
      </c>
      <c r="G4772" s="27">
        <v>0.9458333333333333</v>
      </c>
      <c r="J4772" s="30">
        <f>IF(G4772&lt;$H$10,$H$16,IF(G4772&gt;$I$10,$H$16,$H$11))*E4772/600</f>
        <v>4.8554100000000001E-3</v>
      </c>
      <c r="L4772" s="32">
        <f>$J4772*($G4772-$G4771)*60*24</f>
        <v>4.8554099999999828E-3</v>
      </c>
    </row>
    <row r="4773" spans="1:12">
      <c r="A4773" s="22">
        <v>40313.946527777778</v>
      </c>
      <c r="E4773" s="26">
        <v>14.684922</v>
      </c>
      <c r="G4773" s="27">
        <v>0.94652777777777775</v>
      </c>
      <c r="J4773" s="30">
        <f>IF(G4773&lt;$H$10,$H$16,IF(G4773&gt;$I$10,$H$16,$H$11))*E4773/600</f>
        <v>4.8949739999999999E-3</v>
      </c>
      <c r="L4773" s="32">
        <f>$J4773*($G4773-$G4772)*60*24</f>
        <v>4.8949739999999825E-3</v>
      </c>
    </row>
    <row r="4774" spans="1:12">
      <c r="A4774" s="22">
        <v>40313.947222222225</v>
      </c>
      <c r="E4774" s="26">
        <v>14.612534999999999</v>
      </c>
      <c r="G4774" s="27">
        <v>0.9472222222222223</v>
      </c>
      <c r="J4774" s="30">
        <f>IF(G4774&lt;$H$10,$H$16,IF(G4774&gt;$I$10,$H$16,$H$11))*E4774/600</f>
        <v>4.8708449999999995E-3</v>
      </c>
      <c r="L4774" s="32">
        <f>$J4774*($G4774-$G4773)*60*24</f>
        <v>4.8708450000007611E-3</v>
      </c>
    </row>
    <row r="4775" spans="1:12">
      <c r="A4775" s="22">
        <v>40313.947916666664</v>
      </c>
      <c r="E4775" s="26">
        <v>14.526540000000001</v>
      </c>
      <c r="G4775" s="27">
        <v>0.94791666666666663</v>
      </c>
      <c r="J4775" s="30">
        <f>IF(G4775&lt;$H$10,$H$16,IF(G4775&gt;$I$10,$H$16,$H$11))*E4775/600</f>
        <v>4.8421800000000006E-3</v>
      </c>
      <c r="L4775" s="32">
        <f>$J4775*($G4775-$G4774)*60*24</f>
        <v>4.8421799999992087E-3</v>
      </c>
    </row>
    <row r="4776" spans="1:12">
      <c r="A4776" s="22">
        <v>40313.948611111111</v>
      </c>
      <c r="E4776" s="26">
        <v>14.579459999999999</v>
      </c>
      <c r="G4776" s="27">
        <v>0.94861111111111107</v>
      </c>
      <c r="J4776" s="30">
        <f>IF(G4776&lt;$H$10,$H$16,IF(G4776&gt;$I$10,$H$16,$H$11))*E4776/600</f>
        <v>4.8598199999999999E-3</v>
      </c>
      <c r="L4776" s="32">
        <f>$J4776*($G4776-$G4775)*60*24</f>
        <v>4.8598199999999835E-3</v>
      </c>
    </row>
    <row r="4777" spans="1:12">
      <c r="A4777" s="22">
        <v>40313.949305555558</v>
      </c>
      <c r="E4777" s="26">
        <v>14.822912000000001</v>
      </c>
      <c r="G4777" s="27">
        <v>0.94930555555555562</v>
      </c>
      <c r="J4777" s="30">
        <f>IF(G4777&lt;$H$10,$H$16,IF(G4777&gt;$I$10,$H$16,$H$11))*E4777/600</f>
        <v>4.9409706666666674E-3</v>
      </c>
      <c r="L4777" s="32">
        <f>$J4777*($G4777-$G4776)*60*24</f>
        <v>4.9409706666674394E-3</v>
      </c>
    </row>
    <row r="4778" spans="1:12">
      <c r="A4778" s="22">
        <v>40313.949999999997</v>
      </c>
      <c r="E4778" s="26">
        <v>14.836224</v>
      </c>
      <c r="G4778" s="27">
        <v>0.95000000000000007</v>
      </c>
      <c r="J4778" s="30">
        <f>IF(G4778&lt;$H$10,$H$16,IF(G4778&gt;$I$10,$H$16,$H$11))*E4778/600</f>
        <v>4.9454080000000001E-3</v>
      </c>
      <c r="L4778" s="32">
        <f>$J4778*($G4778-$G4777)*60*24</f>
        <v>4.9454079999999827E-3</v>
      </c>
    </row>
    <row r="4779" spans="1:12">
      <c r="A4779" s="22">
        <v>40313.950694444444</v>
      </c>
      <c r="E4779" s="26">
        <v>14.812224000000001</v>
      </c>
      <c r="G4779" s="27">
        <v>0.9506944444444444</v>
      </c>
      <c r="J4779" s="30">
        <f>IF(G4779&lt;$H$10,$H$16,IF(G4779&gt;$I$10,$H$16,$H$11))*E4779/600</f>
        <v>4.9374079999999999E-3</v>
      </c>
      <c r="L4779" s="32">
        <f>$J4779*($G4779-$G4778)*60*24</f>
        <v>4.9374079999991933E-3</v>
      </c>
    </row>
    <row r="4780" spans="1:12">
      <c r="A4780" s="22">
        <v>40313.951388888891</v>
      </c>
      <c r="E4780" s="26">
        <v>14.779264</v>
      </c>
      <c r="G4780" s="27">
        <v>0.95138888888888884</v>
      </c>
      <c r="J4780" s="30">
        <f>IF(G4780&lt;$H$10,$H$16,IF(G4780&gt;$I$10,$H$16,$H$11))*E4780/600</f>
        <v>4.9264213333333334E-3</v>
      </c>
      <c r="L4780" s="32">
        <f>$J4780*($G4780-$G4779)*60*24</f>
        <v>4.9264213333333161E-3</v>
      </c>
    </row>
    <row r="4781" spans="1:12">
      <c r="A4781" s="22">
        <v>40313.95208333333</v>
      </c>
      <c r="E4781" s="26">
        <v>14.822912000000001</v>
      </c>
      <c r="G4781" s="27">
        <v>0.95208333333333339</v>
      </c>
      <c r="J4781" s="30">
        <f>IF(G4781&lt;$H$10,$H$16,IF(G4781&gt;$I$10,$H$16,$H$11))*E4781/600</f>
        <v>4.9409706666666674E-3</v>
      </c>
      <c r="L4781" s="32">
        <f>$J4781*($G4781-$G4780)*60*24</f>
        <v>4.9409706666674394E-3</v>
      </c>
    </row>
    <row r="4782" spans="1:12">
      <c r="A4782" s="22">
        <v>40313.952777777777</v>
      </c>
      <c r="E4782" s="26">
        <v>14.680384</v>
      </c>
      <c r="G4782" s="27">
        <v>0.95277777777777783</v>
      </c>
      <c r="J4782" s="30">
        <f>IF(G4782&lt;$H$10,$H$16,IF(G4782&gt;$I$10,$H$16,$H$11))*E4782/600</f>
        <v>4.893461333333334E-3</v>
      </c>
      <c r="L4782" s="32">
        <f>$J4782*($G4782-$G4781)*60*24</f>
        <v>4.8934613333333167E-3</v>
      </c>
    </row>
    <row r="4783" spans="1:12">
      <c r="A4783" s="22">
        <v>40313.953472222223</v>
      </c>
      <c r="E4783" s="26">
        <v>14.63424</v>
      </c>
      <c r="G4783" s="27">
        <v>0.95347222222222217</v>
      </c>
      <c r="J4783" s="30">
        <f>IF(G4783&lt;$H$10,$H$16,IF(G4783&gt;$I$10,$H$16,$H$11))*E4783/600</f>
        <v>4.8780799999999999E-3</v>
      </c>
      <c r="L4783" s="32">
        <f>$J4783*($G4783-$G4782)*60*24</f>
        <v>4.8780799999992028E-3</v>
      </c>
    </row>
    <row r="4784" spans="1:12">
      <c r="A4784" s="22">
        <v>40313.95416666667</v>
      </c>
      <c r="E4784" s="26">
        <v>14.723072</v>
      </c>
      <c r="G4784" s="27">
        <v>0.95416666666666661</v>
      </c>
      <c r="J4784" s="30">
        <f>IF(G4784&lt;$H$10,$H$16,IF(G4784&gt;$I$10,$H$16,$H$11))*E4784/600</f>
        <v>4.9076906666666673E-3</v>
      </c>
      <c r="L4784" s="32">
        <f>$J4784*($G4784-$G4783)*60*24</f>
        <v>4.90769066666665E-3</v>
      </c>
    </row>
    <row r="4785" spans="1:12">
      <c r="A4785" s="22">
        <v>40313.954861111109</v>
      </c>
      <c r="E4785" s="26">
        <v>14.38101</v>
      </c>
      <c r="G4785" s="27">
        <v>0.95486111111111116</v>
      </c>
      <c r="J4785" s="30">
        <f>IF(G4785&lt;$H$10,$H$16,IF(G4785&gt;$I$10,$H$16,$H$11))*E4785/600</f>
        <v>4.7936699999999999E-3</v>
      </c>
      <c r="L4785" s="32">
        <f>$J4785*($G4785-$G4784)*60*24</f>
        <v>4.7936700000007493E-3</v>
      </c>
    </row>
    <row r="4786" spans="1:12">
      <c r="A4786" s="22">
        <v>40313.955555555556</v>
      </c>
      <c r="E4786" s="26">
        <v>14.464548000000001</v>
      </c>
      <c r="G4786" s="27">
        <v>0.9555555555555556</v>
      </c>
      <c r="J4786" s="30">
        <f>IF(G4786&lt;$H$10,$H$16,IF(G4786&gt;$I$10,$H$16,$H$11))*E4786/600</f>
        <v>4.8215160000000005E-3</v>
      </c>
      <c r="L4786" s="32">
        <f>$J4786*($G4786-$G4785)*60*24</f>
        <v>4.8215159999999832E-3</v>
      </c>
    </row>
    <row r="4787" spans="1:12">
      <c r="A4787" s="22">
        <v>40313.956250000003</v>
      </c>
      <c r="E4787" s="26">
        <v>14.477904000000001</v>
      </c>
      <c r="G4787" s="27">
        <v>0.95624999999999993</v>
      </c>
      <c r="J4787" s="30">
        <f>IF(G4787&lt;$H$10,$H$16,IF(G4787&gt;$I$10,$H$16,$H$11))*E4787/600</f>
        <v>4.8259680000000008E-3</v>
      </c>
      <c r="L4787" s="32">
        <f>$J4787*($G4787-$G4786)*60*24</f>
        <v>4.8259679999992124E-3</v>
      </c>
    </row>
    <row r="4788" spans="1:12">
      <c r="A4788" s="22">
        <v>40313.956944444442</v>
      </c>
      <c r="E4788" s="26">
        <v>14.387625</v>
      </c>
      <c r="G4788" s="27">
        <v>0.95694444444444438</v>
      </c>
      <c r="J4788" s="30">
        <f>IF(G4788&lt;$H$10,$H$16,IF(G4788&gt;$I$10,$H$16,$H$11))*E4788/600</f>
        <v>4.7958750000000007E-3</v>
      </c>
      <c r="L4788" s="32">
        <f>$J4788*($G4788-$G4787)*60*24</f>
        <v>4.7958749999999842E-3</v>
      </c>
    </row>
    <row r="4789" spans="1:12">
      <c r="A4789" s="22">
        <v>40313.957638888889</v>
      </c>
      <c r="E4789" s="26">
        <v>14.623232</v>
      </c>
      <c r="G4789" s="27">
        <v>0.95763888888888893</v>
      </c>
      <c r="J4789" s="30">
        <f>IF(G4789&lt;$H$10,$H$16,IF(G4789&gt;$I$10,$H$16,$H$11))*E4789/600</f>
        <v>4.8744106666666672E-3</v>
      </c>
      <c r="L4789" s="32">
        <f>$J4789*($G4789-$G4788)*60*24</f>
        <v>4.8744106666674296E-3</v>
      </c>
    </row>
    <row r="4790" spans="1:12">
      <c r="A4790" s="22">
        <v>40313.958333333336</v>
      </c>
      <c r="E4790" s="26">
        <v>14.716416000000001</v>
      </c>
      <c r="G4790" s="27">
        <v>0.95833333333333337</v>
      </c>
      <c r="J4790" s="30">
        <f>IF(G4790&lt;$H$10,$H$16,IF(G4790&gt;$I$10,$H$16,$H$11))*E4790/600</f>
        <v>4.9054720000000001E-3</v>
      </c>
      <c r="L4790" s="32">
        <f>$J4790*($G4790-$G4789)*60*24</f>
        <v>4.9054719999999828E-3</v>
      </c>
    </row>
    <row r="4791" spans="1:12">
      <c r="A4791" s="22">
        <v>40313.959027777775</v>
      </c>
      <c r="E4791" s="26">
        <v>14.723072</v>
      </c>
      <c r="G4791" s="27">
        <v>0.9590277777777777</v>
      </c>
      <c r="J4791" s="30">
        <f>IF(G4791&lt;$H$10,$H$16,IF(G4791&gt;$I$10,$H$16,$H$11))*E4791/600</f>
        <v>4.9076906666666673E-3</v>
      </c>
      <c r="L4791" s="32">
        <f>$J4791*($G4791-$G4790)*60*24</f>
        <v>4.907690666665865E-3</v>
      </c>
    </row>
    <row r="4792" spans="1:12">
      <c r="A4792" s="22">
        <v>40313.959722222222</v>
      </c>
      <c r="E4792" s="26">
        <v>14.673792000000001</v>
      </c>
      <c r="G4792" s="27">
        <v>0.95972222222222225</v>
      </c>
      <c r="J4792" s="30">
        <f>IF(G4792&lt;$H$10,$H$16,IF(G4792&gt;$I$10,$H$16,$H$11))*E4792/600</f>
        <v>4.8912640000000002E-3</v>
      </c>
      <c r="L4792" s="32">
        <f>$J4792*($G4792-$G4791)*60*24</f>
        <v>4.8912640000007643E-3</v>
      </c>
    </row>
    <row r="4793" spans="1:12">
      <c r="A4793" s="22">
        <v>40313.960416666669</v>
      </c>
      <c r="E4793" s="26">
        <v>14.816255999999999</v>
      </c>
      <c r="G4793" s="27">
        <v>0.9604166666666667</v>
      </c>
      <c r="J4793" s="30">
        <f>IF(G4793&lt;$H$10,$H$16,IF(G4793&gt;$I$10,$H$16,$H$11))*E4793/600</f>
        <v>4.9387520000000002E-3</v>
      </c>
      <c r="L4793" s="32">
        <f>$J4793*($G4793-$G4792)*60*24</f>
        <v>4.938751999999982E-3</v>
      </c>
    </row>
    <row r="4794" spans="1:12">
      <c r="A4794" s="22">
        <v>40313.961111111108</v>
      </c>
      <c r="E4794" s="26">
        <v>14.706752</v>
      </c>
      <c r="G4794" s="27">
        <v>0.96111111111111114</v>
      </c>
      <c r="J4794" s="30">
        <f>IF(G4794&lt;$H$10,$H$16,IF(G4794&gt;$I$10,$H$16,$H$11))*E4794/600</f>
        <v>4.9022506666666667E-3</v>
      </c>
      <c r="L4794" s="32">
        <f>$J4794*($G4794-$G4793)*60*24</f>
        <v>4.9022506666666493E-3</v>
      </c>
    </row>
    <row r="4795" spans="1:12">
      <c r="A4795" s="22">
        <v>40313.961805555555</v>
      </c>
      <c r="E4795" s="26">
        <v>14.739712000000001</v>
      </c>
      <c r="G4795" s="27">
        <v>0.96180555555555547</v>
      </c>
      <c r="J4795" s="30">
        <f>IF(G4795&lt;$H$10,$H$16,IF(G4795&gt;$I$10,$H$16,$H$11))*E4795/600</f>
        <v>4.913237333333334E-3</v>
      </c>
      <c r="L4795" s="32">
        <f>$J4795*($G4795-$G4794)*60*24</f>
        <v>4.9132373333325308E-3</v>
      </c>
    </row>
    <row r="4796" spans="1:12">
      <c r="A4796" s="22">
        <v>40313.962500000001</v>
      </c>
      <c r="E4796" s="26">
        <v>14.766080000000001</v>
      </c>
      <c r="G4796" s="27">
        <v>0.96250000000000002</v>
      </c>
      <c r="J4796" s="30">
        <f>IF(G4796&lt;$H$10,$H$16,IF(G4796&gt;$I$10,$H$16,$H$11))*E4796/600</f>
        <v>4.9220266666666675E-3</v>
      </c>
      <c r="L4796" s="32">
        <f>$J4796*($G4796-$G4795)*60*24</f>
        <v>4.9220266666674369E-3</v>
      </c>
    </row>
    <row r="4797" spans="1:12">
      <c r="A4797" s="22">
        <v>40313.963194444441</v>
      </c>
      <c r="E4797" s="26">
        <v>14.746304</v>
      </c>
      <c r="G4797" s="27">
        <v>0.96319444444444446</v>
      </c>
      <c r="J4797" s="30">
        <f>IF(G4797&lt;$H$10,$H$16,IF(G4797&gt;$I$10,$H$16,$H$11))*E4797/600</f>
        <v>4.915434666666667E-3</v>
      </c>
      <c r="L4797" s="32">
        <f>$J4797*($G4797-$G4796)*60*24</f>
        <v>4.9154346666666487E-3</v>
      </c>
    </row>
    <row r="4798" spans="1:12">
      <c r="A4798" s="22">
        <v>40313.963888888888</v>
      </c>
      <c r="E4798" s="26">
        <v>15.023580000000001</v>
      </c>
      <c r="G4798" s="27">
        <v>0.96388888888888891</v>
      </c>
      <c r="J4798" s="30">
        <f>IF(G4798&lt;$H$10,$H$16,IF(G4798&gt;$I$10,$H$16,$H$11))*E4798/600</f>
        <v>5.0078600000000003E-3</v>
      </c>
      <c r="L4798" s="32">
        <f>$J4798*($G4798-$G4797)*60*24</f>
        <v>5.0078599999999829E-3</v>
      </c>
    </row>
    <row r="4799" spans="1:12">
      <c r="A4799" s="22">
        <v>40313.964583333334</v>
      </c>
      <c r="E4799" s="26">
        <v>14.910869999999999</v>
      </c>
      <c r="G4799" s="27">
        <v>0.96458333333333324</v>
      </c>
      <c r="J4799" s="30">
        <f>IF(G4799&lt;$H$10,$H$16,IF(G4799&gt;$I$10,$H$16,$H$11))*E4799/600</f>
        <v>4.9702900000000005E-3</v>
      </c>
      <c r="L4799" s="32">
        <f>$J4799*($G4799-$G4798)*60*24</f>
        <v>4.9702899999991878E-3</v>
      </c>
    </row>
    <row r="4800" spans="1:12">
      <c r="A4800" s="22">
        <v>40313.965277777781</v>
      </c>
      <c r="E4800" s="26">
        <v>14.89761</v>
      </c>
      <c r="G4800" s="27">
        <v>0.96527777777777779</v>
      </c>
      <c r="J4800" s="30">
        <f>IF(G4800&lt;$H$10,$H$16,IF(G4800&gt;$I$10,$H$16,$H$11))*E4800/600</f>
        <v>4.9658700000000007E-3</v>
      </c>
      <c r="L4800" s="32">
        <f>$J4800*($G4800-$G4799)*60*24</f>
        <v>4.9658700000007779E-3</v>
      </c>
    </row>
    <row r="4801" spans="1:12">
      <c r="A4801" s="22">
        <v>40313.96597222222</v>
      </c>
      <c r="E4801" s="26">
        <v>14.88435</v>
      </c>
      <c r="G4801" s="27">
        <v>0.96597222222222223</v>
      </c>
      <c r="J4801" s="30">
        <f>IF(G4801&lt;$H$10,$H$16,IF(G4801&gt;$I$10,$H$16,$H$11))*E4801/600</f>
        <v>4.9614500000000001E-3</v>
      </c>
      <c r="L4801" s="32">
        <f>$J4801*($G4801-$G4800)*60*24</f>
        <v>4.9614499999999818E-3</v>
      </c>
    </row>
    <row r="4802" spans="1:12">
      <c r="A4802" s="22">
        <v>40313.966666666667</v>
      </c>
      <c r="E4802" s="26">
        <v>14.864459999999999</v>
      </c>
      <c r="G4802" s="27">
        <v>0.96666666666666667</v>
      </c>
      <c r="J4802" s="30">
        <f>IF(G4802&lt;$H$10,$H$16,IF(G4802&gt;$I$10,$H$16,$H$11))*E4802/600</f>
        <v>4.9548199999999995E-3</v>
      </c>
      <c r="L4802" s="32">
        <f>$J4802*($G4802-$G4801)*60*24</f>
        <v>4.9548199999999813E-3</v>
      </c>
    </row>
    <row r="4803" spans="1:12">
      <c r="A4803" s="22">
        <v>40313.967361111114</v>
      </c>
      <c r="E4803" s="26">
        <v>14.890980000000001</v>
      </c>
      <c r="G4803" s="27">
        <v>0.96736111111111101</v>
      </c>
      <c r="J4803" s="30">
        <f>IF(G4803&lt;$H$10,$H$16,IF(G4803&gt;$I$10,$H$16,$H$11))*E4803/600</f>
        <v>4.9636600000000008E-3</v>
      </c>
      <c r="L4803" s="32">
        <f>$J4803*($G4803-$G4802)*60*24</f>
        <v>4.9636599999991898E-3</v>
      </c>
    </row>
    <row r="4804" spans="1:12">
      <c r="A4804" s="22">
        <v>40313.968055555553</v>
      </c>
      <c r="E4804" s="26">
        <v>14.9968</v>
      </c>
      <c r="G4804" s="27">
        <v>0.96805555555555556</v>
      </c>
      <c r="J4804" s="30">
        <f>IF(G4804&lt;$H$10,$H$16,IF(G4804&gt;$I$10,$H$16,$H$11))*E4804/600</f>
        <v>4.9989333333333337E-3</v>
      </c>
      <c r="L4804" s="32">
        <f>$J4804*($G4804-$G4803)*60*24</f>
        <v>4.9989333333341143E-3</v>
      </c>
    </row>
    <row r="4805" spans="1:12">
      <c r="A4805" s="22">
        <v>40313.96875</v>
      </c>
      <c r="E4805" s="26">
        <v>14.94402</v>
      </c>
      <c r="G4805" s="27">
        <v>0.96875</v>
      </c>
      <c r="J4805" s="30">
        <f>IF(G4805&lt;$H$10,$H$16,IF(G4805&gt;$I$10,$H$16,$H$11))*E4805/600</f>
        <v>4.9813399999999999E-3</v>
      </c>
      <c r="L4805" s="32">
        <f>$J4805*($G4805-$G4804)*60*24</f>
        <v>4.9813399999999826E-3</v>
      </c>
    </row>
    <row r="4806" spans="1:12">
      <c r="A4806" s="22">
        <v>40313.969444444447</v>
      </c>
      <c r="E4806" s="26">
        <v>14.766080000000001</v>
      </c>
      <c r="G4806" s="27">
        <v>0.96944444444444444</v>
      </c>
      <c r="J4806" s="30">
        <f>IF(G4806&lt;$H$10,$H$16,IF(G4806&gt;$I$10,$H$16,$H$11))*E4806/600</f>
        <v>4.9220266666666675E-3</v>
      </c>
      <c r="L4806" s="32">
        <f>$J4806*($G4806-$G4805)*60*24</f>
        <v>4.9220266666666502E-3</v>
      </c>
    </row>
    <row r="4807" spans="1:12">
      <c r="A4807" s="22">
        <v>40313.970138888886</v>
      </c>
      <c r="E4807" s="26">
        <v>14.746304</v>
      </c>
      <c r="G4807" s="27">
        <v>0.97013888888888899</v>
      </c>
      <c r="J4807" s="30">
        <f>IF(G4807&lt;$H$10,$H$16,IF(G4807&gt;$I$10,$H$16,$H$11))*E4807/600</f>
        <v>4.915434666666667E-3</v>
      </c>
      <c r="L4807" s="32">
        <f>$J4807*($G4807-$G4806)*60*24</f>
        <v>4.9154346666674354E-3</v>
      </c>
    </row>
    <row r="4808" spans="1:12">
      <c r="A4808" s="22">
        <v>40313.970833333333</v>
      </c>
      <c r="E4808" s="26">
        <v>14.719936000000001</v>
      </c>
      <c r="G4808" s="27">
        <v>0.97083333333333333</v>
      </c>
      <c r="J4808" s="30">
        <f>IF(G4808&lt;$H$10,$H$16,IF(G4808&gt;$I$10,$H$16,$H$11))*E4808/600</f>
        <v>4.9066453333333343E-3</v>
      </c>
      <c r="L4808" s="32">
        <f>$J4808*($G4808-$G4807)*60*24</f>
        <v>4.906645333332532E-3</v>
      </c>
    </row>
    <row r="4809" spans="1:12">
      <c r="A4809" s="22">
        <v>40313.97152777778</v>
      </c>
      <c r="E4809" s="26">
        <v>15.063750000000001</v>
      </c>
      <c r="G4809" s="27">
        <v>0.97152777777777777</v>
      </c>
      <c r="J4809" s="30">
        <f>IF(G4809&lt;$H$10,$H$16,IF(G4809&gt;$I$10,$H$16,$H$11))*E4809/600</f>
        <v>5.0212500000000005E-3</v>
      </c>
      <c r="L4809" s="32">
        <f>$J4809*($G4809-$G4808)*60*24</f>
        <v>5.0212499999999823E-3</v>
      </c>
    </row>
    <row r="4810" spans="1:12">
      <c r="A4810" s="22">
        <v>40313.972222222219</v>
      </c>
      <c r="E4810" s="26">
        <v>14.838592</v>
      </c>
      <c r="G4810" s="27">
        <v>0.97222222222222221</v>
      </c>
      <c r="J4810" s="30">
        <f>IF(G4810&lt;$H$10,$H$16,IF(G4810&gt;$I$10,$H$16,$H$11))*E4810/600</f>
        <v>4.9461973333333334E-3</v>
      </c>
      <c r="L4810" s="32">
        <f>$J4810*($G4810-$G4809)*60*24</f>
        <v>4.9461973333333161E-3</v>
      </c>
    </row>
    <row r="4811" spans="1:12">
      <c r="A4811" s="22">
        <v>40313.972916666666</v>
      </c>
      <c r="E4811" s="26">
        <v>14.977169999999999</v>
      </c>
      <c r="G4811" s="27">
        <v>0.97291666666666676</v>
      </c>
      <c r="J4811" s="30">
        <f>IF(G4811&lt;$H$10,$H$16,IF(G4811&gt;$I$10,$H$16,$H$11))*E4811/600</f>
        <v>4.9923900000000002E-3</v>
      </c>
      <c r="L4811" s="32">
        <f>$J4811*($G4811-$G4810)*60*24</f>
        <v>4.9923900000007808E-3</v>
      </c>
    </row>
    <row r="4812" spans="1:12">
      <c r="A4812" s="22">
        <v>40313.973611111112</v>
      </c>
      <c r="E4812" s="26">
        <v>14.9838</v>
      </c>
      <c r="G4812" s="27">
        <v>0.97361111111111109</v>
      </c>
      <c r="J4812" s="30">
        <f>IF(G4812&lt;$H$10,$H$16,IF(G4812&gt;$I$10,$H$16,$H$11))*E4812/600</f>
        <v>4.9946000000000001E-3</v>
      </c>
      <c r="L4812" s="32">
        <f>$J4812*($G4812-$G4811)*60*24</f>
        <v>4.9945999999991839E-3</v>
      </c>
    </row>
    <row r="4813" spans="1:12">
      <c r="A4813" s="22">
        <v>40313.974305555559</v>
      </c>
      <c r="E4813" s="26">
        <v>14.937390000000001</v>
      </c>
      <c r="G4813" s="27">
        <v>0.97430555555555554</v>
      </c>
      <c r="J4813" s="30">
        <f>IF(G4813&lt;$H$10,$H$16,IF(G4813&gt;$I$10,$H$16,$H$11))*E4813/600</f>
        <v>4.9791300000000009E-3</v>
      </c>
      <c r="L4813" s="32">
        <f>$J4813*($G4813-$G4812)*60*24</f>
        <v>4.9791299999999827E-3</v>
      </c>
    </row>
    <row r="4814" spans="1:12">
      <c r="A4814" s="22">
        <v>40313.974999999999</v>
      </c>
      <c r="E4814" s="26">
        <v>14.85003</v>
      </c>
      <c r="G4814" s="27">
        <v>0.97499999999999998</v>
      </c>
      <c r="J4814" s="30">
        <f>IF(G4814&lt;$H$10,$H$16,IF(G4814&gt;$I$10,$H$16,$H$11))*E4814/600</f>
        <v>4.9500100000000003E-3</v>
      </c>
      <c r="L4814" s="32">
        <f>$J4814*($G4814-$G4813)*60*24</f>
        <v>4.950009999999983E-3</v>
      </c>
    </row>
    <row r="4815" spans="1:12">
      <c r="A4815" s="22">
        <v>40313.975694444445</v>
      </c>
      <c r="E4815" s="26">
        <v>14.895985</v>
      </c>
      <c r="G4815" s="27">
        <v>0.97569444444444453</v>
      </c>
      <c r="J4815" s="30">
        <f>IF(G4815&lt;$H$10,$H$16,IF(G4815&gt;$I$10,$H$16,$H$11))*E4815/600</f>
        <v>4.9653283333333338E-3</v>
      </c>
      <c r="L4815" s="32">
        <f>$J4815*($G4815-$G4814)*60*24</f>
        <v>4.9653283333341101E-3</v>
      </c>
    </row>
    <row r="4816" spans="1:12">
      <c r="A4816" s="22">
        <v>40313.976388888892</v>
      </c>
      <c r="E4816" s="26">
        <v>14.96391</v>
      </c>
      <c r="G4816" s="27">
        <v>0.97638888888888886</v>
      </c>
      <c r="J4816" s="30">
        <f>IF(G4816&lt;$H$10,$H$16,IF(G4816&gt;$I$10,$H$16,$H$11))*E4816/600</f>
        <v>4.9879700000000004E-3</v>
      </c>
      <c r="L4816" s="32">
        <f>$J4816*($G4816-$G4815)*60*24</f>
        <v>4.9879699999991851E-3</v>
      </c>
    </row>
    <row r="4817" spans="1:12">
      <c r="A4817" s="22">
        <v>40313.977083333331</v>
      </c>
      <c r="E4817" s="26">
        <v>14.594688</v>
      </c>
      <c r="G4817" s="27">
        <v>0.9770833333333333</v>
      </c>
      <c r="J4817" s="30">
        <f>IF(G4817&lt;$H$10,$H$16,IF(G4817&gt;$I$10,$H$16,$H$11))*E4817/600</f>
        <v>4.8648959999999996E-3</v>
      </c>
      <c r="L4817" s="32">
        <f>$J4817*($G4817-$G4816)*60*24</f>
        <v>4.8648959999999823E-3</v>
      </c>
    </row>
    <row r="4818" spans="1:12">
      <c r="A4818" s="22">
        <v>40313.977777777778</v>
      </c>
      <c r="E4818" s="26">
        <v>14.588096</v>
      </c>
      <c r="G4818" s="27">
        <v>0.97777777777777775</v>
      </c>
      <c r="J4818" s="30">
        <f>IF(G4818&lt;$H$10,$H$16,IF(G4818&gt;$I$10,$H$16,$H$11))*E4818/600</f>
        <v>4.8626986666666676E-3</v>
      </c>
      <c r="L4818" s="32">
        <f>$J4818*($G4818-$G4817)*60*24</f>
        <v>4.8626986666666511E-3</v>
      </c>
    </row>
    <row r="4819" spans="1:12">
      <c r="A4819" s="22">
        <v>40313.978472222225</v>
      </c>
      <c r="E4819" s="26">
        <v>14.729728</v>
      </c>
      <c r="G4819" s="27">
        <v>0.9784722222222223</v>
      </c>
      <c r="J4819" s="30">
        <f>IF(G4819&lt;$H$10,$H$16,IF(G4819&gt;$I$10,$H$16,$H$11))*E4819/600</f>
        <v>4.9099093333333337E-3</v>
      </c>
      <c r="L4819" s="32">
        <f>$J4819*($G4819-$G4818)*60*24</f>
        <v>4.9099093333341013E-3</v>
      </c>
    </row>
    <row r="4820" spans="1:12">
      <c r="A4820" s="22">
        <v>40313.979166666664</v>
      </c>
      <c r="E4820" s="26">
        <v>14.44716</v>
      </c>
      <c r="G4820" s="27">
        <v>0.97916666666666663</v>
      </c>
      <c r="J4820" s="30">
        <f>IF(G4820&lt;$H$10,$H$16,IF(G4820&gt;$I$10,$H$16,$H$11))*E4820/600</f>
        <v>4.8157200000000008E-3</v>
      </c>
      <c r="L4820" s="32">
        <f>$J4820*($G4820-$G4819)*60*24</f>
        <v>4.8157199999992132E-3</v>
      </c>
    </row>
    <row r="4821" spans="1:12">
      <c r="A4821" s="22">
        <v>40313.979861111111</v>
      </c>
      <c r="E4821" s="26">
        <v>14.460264</v>
      </c>
      <c r="G4821" s="27">
        <v>0.97986111111111107</v>
      </c>
      <c r="J4821" s="30">
        <f>IF(G4821&lt;$H$10,$H$16,IF(G4821&gt;$I$10,$H$16,$H$11))*E4821/600</f>
        <v>4.8200880000000002E-3</v>
      </c>
      <c r="L4821" s="32">
        <f>$J4821*($G4821-$G4820)*60*24</f>
        <v>4.8200879999999828E-3</v>
      </c>
    </row>
    <row r="4822" spans="1:12">
      <c r="A4822" s="22">
        <v>40313.980555555558</v>
      </c>
      <c r="E4822" s="26">
        <v>14.763007999999999</v>
      </c>
      <c r="G4822" s="27">
        <v>0.98055555555555562</v>
      </c>
      <c r="J4822" s="30">
        <f>IF(G4822&lt;$H$10,$H$16,IF(G4822&gt;$I$10,$H$16,$H$11))*E4822/600</f>
        <v>4.9210026666666662E-3</v>
      </c>
      <c r="L4822" s="32">
        <f>$J4822*($G4822-$G4821)*60*24</f>
        <v>4.9210026666674355E-3</v>
      </c>
    </row>
    <row r="4823" spans="1:12">
      <c r="A4823" s="22">
        <v>40313.981249999997</v>
      </c>
      <c r="E4823" s="26">
        <v>14.796288000000001</v>
      </c>
      <c r="G4823" s="27">
        <v>0.98125000000000007</v>
      </c>
      <c r="J4823" s="30">
        <f>IF(G4823&lt;$H$10,$H$16,IF(G4823&gt;$I$10,$H$16,$H$11))*E4823/600</f>
        <v>4.9320960000000004E-3</v>
      </c>
      <c r="L4823" s="32">
        <f>$J4823*($G4823-$G4822)*60*24</f>
        <v>4.932095999999983E-3</v>
      </c>
    </row>
    <row r="4824" spans="1:12">
      <c r="A4824" s="22">
        <v>40313.981944444444</v>
      </c>
      <c r="E4824" s="26">
        <v>14.749696</v>
      </c>
      <c r="G4824" s="27">
        <v>0.9819444444444444</v>
      </c>
      <c r="J4824" s="30">
        <f>IF(G4824&lt;$H$10,$H$16,IF(G4824&gt;$I$10,$H$16,$H$11))*E4824/600</f>
        <v>4.9165653333333335E-3</v>
      </c>
      <c r="L4824" s="32">
        <f>$J4824*($G4824-$G4823)*60*24</f>
        <v>4.9165653333325295E-3</v>
      </c>
    </row>
    <row r="4825" spans="1:12">
      <c r="A4825" s="22">
        <v>40313.982638888891</v>
      </c>
      <c r="E4825" s="26">
        <v>14.709759999999999</v>
      </c>
      <c r="G4825" s="27">
        <v>0.98263888888888884</v>
      </c>
      <c r="J4825" s="30">
        <f>IF(G4825&lt;$H$10,$H$16,IF(G4825&gt;$I$10,$H$16,$H$11))*E4825/600</f>
        <v>4.9032533333333338E-3</v>
      </c>
      <c r="L4825" s="32">
        <f>$J4825*($G4825-$G4824)*60*24</f>
        <v>4.9032533333333165E-3</v>
      </c>
    </row>
    <row r="4826" spans="1:12">
      <c r="A4826" s="22">
        <v>40313.98333333333</v>
      </c>
      <c r="E4826" s="26">
        <v>14.782976</v>
      </c>
      <c r="G4826" s="27">
        <v>0.98333333333333339</v>
      </c>
      <c r="J4826" s="30">
        <f>IF(G4826&lt;$H$10,$H$16,IF(G4826&gt;$I$10,$H$16,$H$11))*E4826/600</f>
        <v>4.9276586666666669E-3</v>
      </c>
      <c r="L4826" s="32">
        <f>$J4826*($G4826-$G4825)*60*24</f>
        <v>4.9276586666674371E-3</v>
      </c>
    </row>
    <row r="4827" spans="1:12">
      <c r="A4827" s="22">
        <v>40313.984027777777</v>
      </c>
      <c r="E4827" s="26">
        <v>14.51268</v>
      </c>
      <c r="G4827" s="27">
        <v>0.98402777777777783</v>
      </c>
      <c r="J4827" s="30">
        <f>IF(G4827&lt;$H$10,$H$16,IF(G4827&gt;$I$10,$H$16,$H$11))*E4827/600</f>
        <v>4.8375600000000003E-3</v>
      </c>
      <c r="L4827" s="32">
        <f>$J4827*($G4827-$G4826)*60*24</f>
        <v>4.837559999999983E-3</v>
      </c>
    </row>
    <row r="4828" spans="1:12">
      <c r="A4828" s="22">
        <v>40313.984722222223</v>
      </c>
      <c r="E4828" s="26">
        <v>14.586074999999999</v>
      </c>
      <c r="G4828" s="27">
        <v>0.98472222222222217</v>
      </c>
      <c r="J4828" s="30">
        <f>IF(G4828&lt;$H$10,$H$16,IF(G4828&gt;$I$10,$H$16,$H$11))*E4828/600</f>
        <v>4.8620249999999999E-3</v>
      </c>
      <c r="L4828" s="32">
        <f>$J4828*($G4828-$G4827)*60*24</f>
        <v>4.8620249999992054E-3</v>
      </c>
    </row>
    <row r="4829" spans="1:12">
      <c r="A4829" s="22">
        <v>40313.98541666667</v>
      </c>
      <c r="E4829" s="26">
        <v>14.546385000000001</v>
      </c>
      <c r="G4829" s="27">
        <v>0.98541666666666661</v>
      </c>
      <c r="J4829" s="30">
        <f>IF(G4829&lt;$H$10,$H$16,IF(G4829&gt;$I$10,$H$16,$H$11))*E4829/600</f>
        <v>4.8487950000000004E-3</v>
      </c>
      <c r="L4829" s="32">
        <f>$J4829*($G4829-$G4828)*60*24</f>
        <v>4.848794999999983E-3</v>
      </c>
    </row>
    <row r="4830" spans="1:12">
      <c r="A4830" s="22">
        <v>40313.986111111109</v>
      </c>
      <c r="E4830" s="26">
        <v>14.579459999999999</v>
      </c>
      <c r="G4830" s="27">
        <v>0.98611111111111116</v>
      </c>
      <c r="J4830" s="30">
        <f>IF(G4830&lt;$H$10,$H$16,IF(G4830&gt;$I$10,$H$16,$H$11))*E4830/600</f>
        <v>4.8598199999999999E-3</v>
      </c>
      <c r="L4830" s="32">
        <f>$J4830*($G4830-$G4829)*60*24</f>
        <v>4.8598200000007597E-3</v>
      </c>
    </row>
    <row r="4831" spans="1:12">
      <c r="A4831" s="22">
        <v>40313.986805555556</v>
      </c>
      <c r="E4831" s="26">
        <v>14.8096</v>
      </c>
      <c r="G4831" s="27">
        <v>0.9868055555555556</v>
      </c>
      <c r="J4831" s="30">
        <f>IF(G4831&lt;$H$10,$H$16,IF(G4831&gt;$I$10,$H$16,$H$11))*E4831/600</f>
        <v>4.9365333333333339E-3</v>
      </c>
      <c r="L4831" s="32">
        <f>$J4831*($G4831-$G4830)*60*24</f>
        <v>4.9365333333333166E-3</v>
      </c>
    </row>
    <row r="4832" spans="1:12">
      <c r="A4832" s="22">
        <v>40313.987500000003</v>
      </c>
      <c r="E4832" s="26">
        <v>14.818816</v>
      </c>
      <c r="G4832" s="27">
        <v>0.98749999999999993</v>
      </c>
      <c r="J4832" s="30">
        <f>IF(G4832&lt;$H$10,$H$16,IF(G4832&gt;$I$10,$H$16,$H$11))*E4832/600</f>
        <v>4.9396053333333337E-3</v>
      </c>
      <c r="L4832" s="32">
        <f>$J4832*($G4832-$G4831)*60*24</f>
        <v>4.9396053333325271E-3</v>
      </c>
    </row>
    <row r="4833" spans="1:12">
      <c r="A4833" s="22">
        <v>40313.988194444442</v>
      </c>
      <c r="E4833" s="26">
        <v>14.779264</v>
      </c>
      <c r="G4833" s="27">
        <v>0.98819444444444438</v>
      </c>
      <c r="J4833" s="30">
        <f>IF(G4833&lt;$H$10,$H$16,IF(G4833&gt;$I$10,$H$16,$H$11))*E4833/600</f>
        <v>4.9264213333333334E-3</v>
      </c>
      <c r="L4833" s="32">
        <f>$J4833*($G4833-$G4832)*60*24</f>
        <v>4.9264213333333161E-3</v>
      </c>
    </row>
    <row r="4834" spans="1:12">
      <c r="A4834" s="22">
        <v>40313.988888888889</v>
      </c>
      <c r="E4834" s="26">
        <v>14.785856000000001</v>
      </c>
      <c r="G4834" s="27">
        <v>0.98888888888888893</v>
      </c>
      <c r="J4834" s="30">
        <f>IF(G4834&lt;$H$10,$H$16,IF(G4834&gt;$I$10,$H$16,$H$11))*E4834/600</f>
        <v>4.9286186666666672E-3</v>
      </c>
      <c r="L4834" s="32">
        <f>$J4834*($G4834-$G4833)*60*24</f>
        <v>4.9286186666674375E-3</v>
      </c>
    </row>
    <row r="4835" spans="1:12">
      <c r="A4835" s="22">
        <v>40313.989583333336</v>
      </c>
      <c r="E4835" s="26">
        <v>14.825407999999999</v>
      </c>
      <c r="G4835" s="27">
        <v>0.98958333333333337</v>
      </c>
      <c r="J4835" s="30">
        <f>IF(G4835&lt;$H$10,$H$16,IF(G4835&gt;$I$10,$H$16,$H$11))*E4835/600</f>
        <v>4.9418026666666667E-3</v>
      </c>
      <c r="L4835" s="32">
        <f>$J4835*($G4835-$G4834)*60*24</f>
        <v>4.9418026666666493E-3</v>
      </c>
    </row>
    <row r="4836" spans="1:12">
      <c r="A4836" s="22">
        <v>40313.990277777775</v>
      </c>
      <c r="E4836" s="26">
        <v>14.818816</v>
      </c>
      <c r="G4836" s="27">
        <v>0.9902777777777777</v>
      </c>
      <c r="J4836" s="30">
        <f>IF(G4836&lt;$H$10,$H$16,IF(G4836&gt;$I$10,$H$16,$H$11))*E4836/600</f>
        <v>4.9396053333333337E-3</v>
      </c>
      <c r="L4836" s="32">
        <f>$J4836*($G4836-$G4835)*60*24</f>
        <v>4.9396053333325271E-3</v>
      </c>
    </row>
    <row r="4837" spans="1:12">
      <c r="A4837" s="22">
        <v>40313.990972222222</v>
      </c>
      <c r="E4837" s="26">
        <v>14.779264</v>
      </c>
      <c r="G4837" s="27">
        <v>0.99097222222222225</v>
      </c>
      <c r="J4837" s="30">
        <f>IF(G4837&lt;$H$10,$H$16,IF(G4837&gt;$I$10,$H$16,$H$11))*E4837/600</f>
        <v>4.9264213333333334E-3</v>
      </c>
      <c r="L4837" s="32">
        <f>$J4837*($G4837-$G4836)*60*24</f>
        <v>4.9264213333341036E-3</v>
      </c>
    </row>
    <row r="4838" spans="1:12">
      <c r="A4838" s="22">
        <v>40313.991666666669</v>
      </c>
      <c r="E4838" s="26">
        <v>14.842879999999999</v>
      </c>
      <c r="G4838" s="27">
        <v>0.9916666666666667</v>
      </c>
      <c r="J4838" s="30">
        <f>IF(G4838&lt;$H$10,$H$16,IF(G4838&gt;$I$10,$H$16,$H$11))*E4838/600</f>
        <v>4.9476266666666664E-3</v>
      </c>
      <c r="L4838" s="32">
        <f>$J4838*($G4838-$G4837)*60*24</f>
        <v>4.9476266666666491E-3</v>
      </c>
    </row>
    <row r="4839" spans="1:12">
      <c r="A4839" s="22">
        <v>40313.992361111108</v>
      </c>
      <c r="E4839" s="26">
        <v>14.493024</v>
      </c>
      <c r="G4839" s="27">
        <v>0.99236111111111114</v>
      </c>
      <c r="J4839" s="30">
        <f>IF(G4839&lt;$H$10,$H$16,IF(G4839&gt;$I$10,$H$16,$H$11))*E4839/600</f>
        <v>4.8310080000000004E-3</v>
      </c>
      <c r="L4839" s="32">
        <f>$J4839*($G4839-$G4838)*60*24</f>
        <v>4.831007999999983E-3</v>
      </c>
    </row>
    <row r="4840" spans="1:12">
      <c r="A4840" s="22">
        <v>40313.993055555555</v>
      </c>
      <c r="E4840" s="26">
        <v>14.796288000000001</v>
      </c>
      <c r="G4840" s="27">
        <v>0.99305555555555547</v>
      </c>
      <c r="J4840" s="30">
        <f>IF(G4840&lt;$H$10,$H$16,IF(G4840&gt;$I$10,$H$16,$H$11))*E4840/600</f>
        <v>4.9320960000000004E-3</v>
      </c>
      <c r="L4840" s="32">
        <f>$J4840*($G4840-$G4839)*60*24</f>
        <v>4.9320959999991946E-3</v>
      </c>
    </row>
    <row r="4841" spans="1:12">
      <c r="A4841" s="22">
        <v>40313.993750000001</v>
      </c>
      <c r="E4841" s="26">
        <v>14.756352</v>
      </c>
      <c r="G4841" s="27">
        <v>0.99375000000000002</v>
      </c>
      <c r="J4841" s="30">
        <f>IF(G4841&lt;$H$10,$H$16,IF(G4841&gt;$I$10,$H$16,$H$11))*E4841/600</f>
        <v>4.9187840000000007E-3</v>
      </c>
      <c r="L4841" s="32">
        <f>$J4841*($G4841-$G4840)*60*24</f>
        <v>4.91878400000077E-3</v>
      </c>
    </row>
    <row r="4842" spans="1:12">
      <c r="A4842" s="22">
        <v>40313.994444444441</v>
      </c>
      <c r="E4842" s="26">
        <v>14.683135999999999</v>
      </c>
      <c r="G4842" s="27">
        <v>0.99444444444444446</v>
      </c>
      <c r="J4842" s="30">
        <f>IF(G4842&lt;$H$10,$H$16,IF(G4842&gt;$I$10,$H$16,$H$11))*E4842/600</f>
        <v>4.8943786666666668E-3</v>
      </c>
      <c r="L4842" s="32">
        <f>$J4842*($G4842-$G4841)*60*24</f>
        <v>4.8943786666666494E-3</v>
      </c>
    </row>
    <row r="4843" spans="1:12">
      <c r="A4843" s="22">
        <v>40313.995138888888</v>
      </c>
      <c r="E4843" s="26">
        <v>14.763007999999999</v>
      </c>
      <c r="G4843" s="27">
        <v>0.99513888888888891</v>
      </c>
      <c r="J4843" s="30">
        <f>IF(G4843&lt;$H$10,$H$16,IF(G4843&gt;$I$10,$H$16,$H$11))*E4843/600</f>
        <v>4.9210026666666662E-3</v>
      </c>
      <c r="L4843" s="32">
        <f>$J4843*($G4843-$G4842)*60*24</f>
        <v>4.9210026666666479E-3</v>
      </c>
    </row>
    <row r="4844" spans="1:12">
      <c r="A4844" s="22">
        <v>40313.995833333334</v>
      </c>
      <c r="E4844" s="26">
        <v>14.680384</v>
      </c>
      <c r="G4844" s="27">
        <v>0.99583333333333324</v>
      </c>
      <c r="J4844" s="30">
        <f>IF(G4844&lt;$H$10,$H$16,IF(G4844&gt;$I$10,$H$16,$H$11))*E4844/600</f>
        <v>4.893461333333334E-3</v>
      </c>
      <c r="L4844" s="32">
        <f>$J4844*($G4844-$G4843)*60*24</f>
        <v>4.8934613333325343E-3</v>
      </c>
    </row>
    <row r="4845" spans="1:12">
      <c r="A4845" s="22">
        <v>40313.996527777781</v>
      </c>
      <c r="E4845" s="26">
        <v>14.706752</v>
      </c>
      <c r="G4845" s="27">
        <v>0.99652777777777779</v>
      </c>
      <c r="J4845" s="30">
        <f>IF(G4845&lt;$H$10,$H$16,IF(G4845&gt;$I$10,$H$16,$H$11))*E4845/600</f>
        <v>4.9022506666666667E-3</v>
      </c>
      <c r="L4845" s="32">
        <f>$J4845*($G4845-$G4844)*60*24</f>
        <v>4.9022506666674334E-3</v>
      </c>
    </row>
    <row r="4846" spans="1:12">
      <c r="A4846" s="22">
        <v>40313.99722222222</v>
      </c>
      <c r="E4846" s="26">
        <v>14.726528</v>
      </c>
      <c r="G4846" s="27">
        <v>0.99722222222222223</v>
      </c>
      <c r="J4846" s="30">
        <f>IF(G4846&lt;$H$10,$H$16,IF(G4846&gt;$I$10,$H$16,$H$11))*E4846/600</f>
        <v>4.9088426666666672E-3</v>
      </c>
      <c r="L4846" s="32">
        <f>$J4846*($G4846-$G4845)*60*24</f>
        <v>4.9088426666666499E-3</v>
      </c>
    </row>
    <row r="4847" spans="1:12">
      <c r="A4847" s="22">
        <v>40313.997916666667</v>
      </c>
      <c r="E4847" s="26">
        <v>14.73312</v>
      </c>
      <c r="G4847" s="27">
        <v>0.99791666666666667</v>
      </c>
      <c r="J4847" s="30">
        <f>IF(G4847&lt;$H$10,$H$16,IF(G4847&gt;$I$10,$H$16,$H$11))*E4847/600</f>
        <v>4.9110400000000002E-3</v>
      </c>
      <c r="L4847" s="32">
        <f>$J4847*($G4847-$G4846)*60*24</f>
        <v>4.9110399999999828E-3</v>
      </c>
    </row>
    <row r="4848" spans="1:12">
      <c r="A4848" s="22">
        <v>40313.998611111114</v>
      </c>
      <c r="E4848" s="26">
        <v>14.739712000000001</v>
      </c>
      <c r="G4848" s="27">
        <v>0.99861111111111101</v>
      </c>
      <c r="J4848" s="30">
        <f>IF(G4848&lt;$H$10,$H$16,IF(G4848&gt;$I$10,$H$16,$H$11))*E4848/600</f>
        <v>4.913237333333334E-3</v>
      </c>
      <c r="L4848" s="32">
        <f>$J4848*($G4848-$G4847)*60*24</f>
        <v>4.9132373333325308E-3</v>
      </c>
    </row>
    <row r="4849" spans="1:12">
      <c r="A4849" s="22">
        <v>40313.999305555553</v>
      </c>
      <c r="E4849" s="26">
        <v>14.739712000000001</v>
      </c>
      <c r="G4849" s="27">
        <v>0.99930555555555556</v>
      </c>
      <c r="J4849" s="30">
        <f>IF(G4849&lt;$H$10,$H$16,IF(G4849&gt;$I$10,$H$16,$H$11))*E4849/600</f>
        <v>4.913237333333334E-3</v>
      </c>
      <c r="L4849" s="32">
        <f>$J4849*($G4849-$G4848)*60*24</f>
        <v>4.9132373333341025E-3</v>
      </c>
    </row>
    <row r="4850" spans="1:12">
      <c r="A4850" s="22">
        <v>40314</v>
      </c>
      <c r="E4850" s="26">
        <v>14.73312</v>
      </c>
      <c r="G4850" s="27">
        <v>0</v>
      </c>
      <c r="J4850" s="30">
        <f>IF(G4850&lt;$H$10,$H$16,IF(G4850&gt;$I$10,$H$16,$H$11))*E4850/600</f>
        <v>4.9110400000000002E-3</v>
      </c>
      <c r="L4850" s="32">
        <f>$J4850*($G4850-$G4849)*60*24</f>
        <v>-7.0669865600000001</v>
      </c>
    </row>
    <row r="4851" spans="1:12">
      <c r="A4851" s="22">
        <v>40314.000694444447</v>
      </c>
      <c r="E4851" s="26">
        <v>14.752896</v>
      </c>
      <c r="G4851" s="27">
        <v>6.9444444444444447E-4</v>
      </c>
      <c r="J4851" s="30">
        <f>IF(G4851&lt;$H$10,$H$16,IF(G4851&gt;$I$10,$H$16,$H$11))*E4851/600</f>
        <v>4.9176319999999999E-3</v>
      </c>
      <c r="L4851" s="32">
        <f>$J4851*($G4851-$G4850)*60*24</f>
        <v>4.9176319999999999E-3</v>
      </c>
    </row>
    <row r="4852" spans="1:12">
      <c r="A4852" s="22">
        <v>40314.001388888886</v>
      </c>
      <c r="E4852" s="26">
        <v>14.746304</v>
      </c>
      <c r="G4852" s="27">
        <v>1.3888888888888889E-3</v>
      </c>
      <c r="J4852" s="30">
        <f>IF(G4852&lt;$H$10,$H$16,IF(G4852&gt;$I$10,$H$16,$H$11))*E4852/600</f>
        <v>4.915434666666667E-3</v>
      </c>
      <c r="L4852" s="32">
        <f>$J4852*($G4852-$G4851)*60*24</f>
        <v>4.915434666666667E-3</v>
      </c>
    </row>
    <row r="4853" spans="1:12">
      <c r="A4853" s="22">
        <v>40314.002083333333</v>
      </c>
      <c r="E4853" s="26">
        <v>14.719936000000001</v>
      </c>
      <c r="G4853" s="27">
        <v>2.0833333333333333E-3</v>
      </c>
      <c r="J4853" s="30">
        <f>IF(G4853&lt;$H$10,$H$16,IF(G4853&gt;$I$10,$H$16,$H$11))*E4853/600</f>
        <v>4.9066453333333343E-3</v>
      </c>
      <c r="L4853" s="32">
        <f>$J4853*($G4853-$G4852)*60*24</f>
        <v>4.9066453333333334E-3</v>
      </c>
    </row>
    <row r="4854" spans="1:12">
      <c r="A4854" s="22">
        <v>40314.00277777778</v>
      </c>
      <c r="E4854" s="26">
        <v>14.686976</v>
      </c>
      <c r="G4854" s="27">
        <v>2.7777777777777779E-3</v>
      </c>
      <c r="J4854" s="30">
        <f>IF(G4854&lt;$H$10,$H$16,IF(G4854&gt;$I$10,$H$16,$H$11))*E4854/600</f>
        <v>4.895658666666667E-3</v>
      </c>
      <c r="L4854" s="32">
        <f>$J4854*($G4854-$G4853)*60*24</f>
        <v>4.8956586666666687E-3</v>
      </c>
    </row>
    <row r="4855" spans="1:12">
      <c r="A4855" s="22">
        <v>40314.003472222219</v>
      </c>
      <c r="E4855" s="26">
        <v>14.627648000000001</v>
      </c>
      <c r="G4855" s="27">
        <v>3.472222222222222E-3</v>
      </c>
      <c r="J4855" s="30">
        <f>IF(G4855&lt;$H$10,$H$16,IF(G4855&gt;$I$10,$H$16,$H$11))*E4855/600</f>
        <v>4.875882666666667E-3</v>
      </c>
      <c r="L4855" s="32">
        <f>$J4855*($G4855-$G4854)*60*24</f>
        <v>4.8758826666666652E-3</v>
      </c>
    </row>
    <row r="4856" spans="1:12">
      <c r="A4856" s="22">
        <v>40314.004166666666</v>
      </c>
      <c r="E4856" s="26">
        <v>14.601279999999999</v>
      </c>
      <c r="G4856" s="27">
        <v>4.1666666666666666E-3</v>
      </c>
      <c r="J4856" s="30">
        <f>IF(G4856&lt;$H$10,$H$16,IF(G4856&gt;$I$10,$H$16,$H$11))*E4856/600</f>
        <v>4.8670933333333334E-3</v>
      </c>
      <c r="L4856" s="32">
        <f>$J4856*($G4856-$G4855)*60*24</f>
        <v>4.8670933333333343E-3</v>
      </c>
    </row>
    <row r="4857" spans="1:12">
      <c r="A4857" s="22">
        <v>40314.004861111112</v>
      </c>
      <c r="E4857" s="26">
        <v>14.594688</v>
      </c>
      <c r="G4857" s="27">
        <v>4.8611111111111112E-3</v>
      </c>
      <c r="J4857" s="30">
        <f>IF(G4857&lt;$H$10,$H$16,IF(G4857&gt;$I$10,$H$16,$H$11))*E4857/600</f>
        <v>4.8648959999999996E-3</v>
      </c>
      <c r="L4857" s="32">
        <f>$J4857*($G4857-$G4856)*60*24</f>
        <v>4.8648960000000005E-3</v>
      </c>
    </row>
    <row r="4858" spans="1:12">
      <c r="A4858" s="22">
        <v>40314.005555555559</v>
      </c>
      <c r="E4858" s="26">
        <v>14.654016</v>
      </c>
      <c r="G4858" s="27">
        <v>5.5555555555555558E-3</v>
      </c>
      <c r="J4858" s="30">
        <f>IF(G4858&lt;$H$10,$H$16,IF(G4858&gt;$I$10,$H$16,$H$11))*E4858/600</f>
        <v>4.8846720000000005E-3</v>
      </c>
      <c r="L4858" s="32">
        <f>$J4858*($G4858-$G4857)*60*24</f>
        <v>4.8846720000000014E-3</v>
      </c>
    </row>
    <row r="4859" spans="1:12">
      <c r="A4859" s="22">
        <v>40314.006249999999</v>
      </c>
      <c r="E4859" s="26">
        <v>14.581504000000001</v>
      </c>
      <c r="G4859" s="27">
        <v>6.2499999999999995E-3</v>
      </c>
      <c r="J4859" s="30">
        <f>IF(G4859&lt;$H$10,$H$16,IF(G4859&gt;$I$10,$H$16,$H$11))*E4859/600</f>
        <v>4.8605013333333337E-3</v>
      </c>
      <c r="L4859" s="32">
        <f>$J4859*($G4859-$G4858)*60*24</f>
        <v>4.8605013333333294E-3</v>
      </c>
    </row>
    <row r="4860" spans="1:12">
      <c r="A4860" s="22">
        <v>40314.006944444445</v>
      </c>
      <c r="E4860" s="26">
        <v>14.548544</v>
      </c>
      <c r="G4860" s="27">
        <v>6.9444444444444441E-3</v>
      </c>
      <c r="J4860" s="30">
        <f>IF(G4860&lt;$H$10,$H$16,IF(G4860&gt;$I$10,$H$16,$H$11))*E4860/600</f>
        <v>4.8495146666666673E-3</v>
      </c>
      <c r="L4860" s="32">
        <f>$J4860*($G4860-$G4859)*60*24</f>
        <v>4.849514666666669E-3</v>
      </c>
    </row>
    <row r="4861" spans="1:12">
      <c r="A4861" s="22">
        <v>40314.007638888892</v>
      </c>
      <c r="E4861" s="26">
        <v>14.548544</v>
      </c>
      <c r="G4861" s="27">
        <v>7.6388888888888886E-3</v>
      </c>
      <c r="J4861" s="30">
        <f>IF(G4861&lt;$H$10,$H$16,IF(G4861&gt;$I$10,$H$16,$H$11))*E4861/600</f>
        <v>4.8495146666666673E-3</v>
      </c>
      <c r="L4861" s="32">
        <f>$J4861*($G4861-$G4860)*60*24</f>
        <v>4.849514666666669E-3</v>
      </c>
    </row>
    <row r="4862" spans="1:12">
      <c r="A4862" s="22">
        <v>40314.008333333331</v>
      </c>
      <c r="E4862" s="26">
        <v>14.614464</v>
      </c>
      <c r="G4862" s="27">
        <v>8.3333333333333332E-3</v>
      </c>
      <c r="J4862" s="30">
        <f>IF(G4862&lt;$H$10,$H$16,IF(G4862&gt;$I$10,$H$16,$H$11))*E4862/600</f>
        <v>4.8714880000000002E-3</v>
      </c>
      <c r="L4862" s="32">
        <f>$J4862*($G4862-$G4861)*60*24</f>
        <v>4.8714880000000011E-3</v>
      </c>
    </row>
    <row r="4863" spans="1:12">
      <c r="A4863" s="22">
        <v>40314.009027777778</v>
      </c>
      <c r="E4863" s="26">
        <v>14.63424</v>
      </c>
      <c r="G4863" s="27">
        <v>9.0277777777777787E-3</v>
      </c>
      <c r="J4863" s="30">
        <f>IF(G4863&lt;$H$10,$H$16,IF(G4863&gt;$I$10,$H$16,$H$11))*E4863/600</f>
        <v>4.8780799999999999E-3</v>
      </c>
      <c r="L4863" s="32">
        <f>$J4863*($G4863-$G4862)*60*24</f>
        <v>4.8780800000000069E-3</v>
      </c>
    </row>
    <row r="4864" spans="1:12">
      <c r="A4864" s="22">
        <v>40314.009722222225</v>
      </c>
      <c r="E4864" s="26">
        <v>14.614464</v>
      </c>
      <c r="G4864" s="27">
        <v>9.7222222222222224E-3</v>
      </c>
      <c r="J4864" s="30">
        <f>IF(G4864&lt;$H$10,$H$16,IF(G4864&gt;$I$10,$H$16,$H$11))*E4864/600</f>
        <v>4.8714880000000002E-3</v>
      </c>
      <c r="L4864" s="32">
        <f>$J4864*($G4864-$G4863)*60*24</f>
        <v>4.871487999999995E-3</v>
      </c>
    </row>
    <row r="4865" spans="1:12">
      <c r="A4865" s="22">
        <v>40314.010416666664</v>
      </c>
      <c r="E4865" s="26">
        <v>14.713343999999999</v>
      </c>
      <c r="G4865" s="27">
        <v>1.0416666666666666E-2</v>
      </c>
      <c r="J4865" s="30">
        <f>IF(G4865&lt;$H$10,$H$16,IF(G4865&gt;$I$10,$H$16,$H$11))*E4865/600</f>
        <v>4.9044479999999996E-3</v>
      </c>
      <c r="L4865" s="32">
        <f>$J4865*($G4865-$G4864)*60*24</f>
        <v>4.9044479999999944E-3</v>
      </c>
    </row>
    <row r="4866" spans="1:12">
      <c r="A4866" s="22">
        <v>40314.011111111111</v>
      </c>
      <c r="E4866" s="26">
        <v>14.976715</v>
      </c>
      <c r="G4866" s="27">
        <v>1.1111111111111112E-2</v>
      </c>
      <c r="J4866" s="30">
        <f>IF(G4866&lt;$H$10,$H$16,IF(G4866&gt;$I$10,$H$16,$H$11))*E4866/600</f>
        <v>4.9922383333333336E-3</v>
      </c>
      <c r="L4866" s="32">
        <f>$J4866*($G4866-$G4865)*60*24</f>
        <v>4.9922383333333405E-3</v>
      </c>
    </row>
    <row r="4867" spans="1:12">
      <c r="A4867" s="22">
        <v>40314.011805555558</v>
      </c>
      <c r="E4867" s="26">
        <v>14.88435</v>
      </c>
      <c r="G4867" s="27">
        <v>1.1805555555555555E-2</v>
      </c>
      <c r="J4867" s="30">
        <f>IF(G4867&lt;$H$10,$H$16,IF(G4867&gt;$I$10,$H$16,$H$11))*E4867/600</f>
        <v>4.9614500000000001E-3</v>
      </c>
      <c r="L4867" s="32">
        <f>$J4867*($G4867-$G4866)*60*24</f>
        <v>4.9614499999999949E-3</v>
      </c>
    </row>
    <row r="4868" spans="1:12">
      <c r="A4868" s="22">
        <v>40314.012499999997</v>
      </c>
      <c r="E4868" s="26">
        <v>14.937390000000001</v>
      </c>
      <c r="G4868" s="27">
        <v>1.2499999999999999E-2</v>
      </c>
      <c r="J4868" s="30">
        <f>IF(G4868&lt;$H$10,$H$16,IF(G4868&gt;$I$10,$H$16,$H$11))*E4868/600</f>
        <v>4.9791300000000009E-3</v>
      </c>
      <c r="L4868" s="32">
        <f>$J4868*($G4868-$G4867)*60*24</f>
        <v>4.9791299999999957E-3</v>
      </c>
    </row>
    <row r="4869" spans="1:12">
      <c r="A4869" s="22">
        <v>40314.013194444444</v>
      </c>
      <c r="E4869" s="26">
        <v>14.766336000000001</v>
      </c>
      <c r="G4869" s="27">
        <v>1.3194444444444444E-2</v>
      </c>
      <c r="J4869" s="30">
        <f>IF(G4869&lt;$H$10,$H$16,IF(G4869&gt;$I$10,$H$16,$H$11))*E4869/600</f>
        <v>4.9221120000000011E-3</v>
      </c>
      <c r="L4869" s="32">
        <f>$J4869*($G4869-$G4868)*60*24</f>
        <v>4.922112000000008E-3</v>
      </c>
    </row>
    <row r="4870" spans="1:12">
      <c r="A4870" s="22">
        <v>40314.013888888891</v>
      </c>
      <c r="E4870" s="26">
        <v>14.686208000000001</v>
      </c>
      <c r="G4870" s="27">
        <v>1.3888888888888888E-2</v>
      </c>
      <c r="J4870" s="30">
        <f>IF(G4870&lt;$H$10,$H$16,IF(G4870&gt;$I$10,$H$16,$H$11))*E4870/600</f>
        <v>4.8954026666666673E-3</v>
      </c>
      <c r="L4870" s="32">
        <f>$J4870*($G4870-$G4869)*60*24</f>
        <v>4.8954026666666629E-3</v>
      </c>
    </row>
    <row r="4871" spans="1:12">
      <c r="A4871" s="22">
        <v>40314.01458333333</v>
      </c>
      <c r="E4871" s="26">
        <v>14.844671999999999</v>
      </c>
      <c r="G4871" s="27">
        <v>1.4583333333333332E-2</v>
      </c>
      <c r="J4871" s="30">
        <f>IF(G4871&lt;$H$10,$H$16,IF(G4871&gt;$I$10,$H$16,$H$11))*E4871/600</f>
        <v>4.9482240000000002E-3</v>
      </c>
      <c r="L4871" s="32">
        <f>$J4871*($G4871-$G4870)*60*24</f>
        <v>4.948223999999995E-3</v>
      </c>
    </row>
    <row r="4872" spans="1:12">
      <c r="A4872" s="22">
        <v>40314.015277777777</v>
      </c>
      <c r="E4872" s="26">
        <v>15.023580000000001</v>
      </c>
      <c r="G4872" s="27">
        <v>1.5277777777777777E-2</v>
      </c>
      <c r="J4872" s="30">
        <f>IF(G4872&lt;$H$10,$H$16,IF(G4872&gt;$I$10,$H$16,$H$11))*E4872/600</f>
        <v>5.0078600000000003E-3</v>
      </c>
      <c r="L4872" s="32">
        <f>$J4872*($G4872-$G4871)*60*24</f>
        <v>5.0078600000000081E-3</v>
      </c>
    </row>
    <row r="4873" spans="1:12">
      <c r="A4873" s="22">
        <v>40314.015972222223</v>
      </c>
      <c r="E4873" s="26">
        <v>15.023580000000001</v>
      </c>
      <c r="G4873" s="27">
        <v>1.5972222222222224E-2</v>
      </c>
      <c r="J4873" s="30">
        <f>IF(G4873&lt;$H$10,$H$16,IF(G4873&gt;$I$10,$H$16,$H$11))*E4873/600</f>
        <v>5.0078600000000003E-3</v>
      </c>
      <c r="L4873" s="32">
        <f>$J4873*($G4873-$G4872)*60*24</f>
        <v>5.0078600000000202E-3</v>
      </c>
    </row>
    <row r="4874" spans="1:12">
      <c r="A4874" s="22">
        <v>40314.01666666667</v>
      </c>
      <c r="E4874" s="26">
        <v>14.99043</v>
      </c>
      <c r="G4874" s="27">
        <v>1.6666666666666666E-2</v>
      </c>
      <c r="J4874" s="30">
        <f>IF(G4874&lt;$H$10,$H$16,IF(G4874&gt;$I$10,$H$16,$H$11))*E4874/600</f>
        <v>4.9968100000000008E-3</v>
      </c>
      <c r="L4874" s="32">
        <f>$J4874*($G4874-$G4873)*60*24</f>
        <v>4.9968099999999826E-3</v>
      </c>
    </row>
    <row r="4875" spans="1:12">
      <c r="A4875" s="22">
        <v>40314.017361111109</v>
      </c>
      <c r="E4875" s="26">
        <v>15.043469999999999</v>
      </c>
      <c r="G4875" s="27">
        <v>1.7361111111111112E-2</v>
      </c>
      <c r="J4875" s="30">
        <f>IF(G4875&lt;$H$10,$H$16,IF(G4875&gt;$I$10,$H$16,$H$11))*E4875/600</f>
        <v>5.0144899999999999E-3</v>
      </c>
      <c r="L4875" s="32">
        <f>$J4875*($G4875-$G4874)*60*24</f>
        <v>5.0144900000000069E-3</v>
      </c>
    </row>
    <row r="4876" spans="1:12">
      <c r="A4876" s="22">
        <v>40314.018055555556</v>
      </c>
      <c r="E4876" s="26">
        <v>15.03021</v>
      </c>
      <c r="G4876" s="27">
        <v>1.8055555555555557E-2</v>
      </c>
      <c r="J4876" s="30">
        <f>IF(G4876&lt;$H$10,$H$16,IF(G4876&gt;$I$10,$H$16,$H$11))*E4876/600</f>
        <v>5.0100700000000001E-3</v>
      </c>
      <c r="L4876" s="32">
        <f>$J4876*($G4876-$G4875)*60*24</f>
        <v>5.0100700000000071E-3</v>
      </c>
    </row>
    <row r="4877" spans="1:12">
      <c r="A4877" s="22">
        <v>40314.018750000003</v>
      </c>
      <c r="E4877" s="26">
        <v>14.844569999999999</v>
      </c>
      <c r="G4877" s="27">
        <v>1.8749999999999999E-2</v>
      </c>
      <c r="J4877" s="30">
        <f>IF(G4877&lt;$H$10,$H$16,IF(G4877&gt;$I$10,$H$16,$H$11))*E4877/600</f>
        <v>4.9481899999999999E-3</v>
      </c>
      <c r="L4877" s="32">
        <f>$J4877*($G4877-$G4876)*60*24</f>
        <v>4.9481899999999825E-3</v>
      </c>
    </row>
    <row r="4878" spans="1:12">
      <c r="A4878" s="22">
        <v>40314.019444444442</v>
      </c>
      <c r="E4878" s="26">
        <v>14.522176</v>
      </c>
      <c r="G4878" s="27">
        <v>1.9444444444444445E-2</v>
      </c>
      <c r="J4878" s="30">
        <f>IF(G4878&lt;$H$10,$H$16,IF(G4878&gt;$I$10,$H$16,$H$11))*E4878/600</f>
        <v>4.8407253333333337E-3</v>
      </c>
      <c r="L4878" s="32">
        <f>$J4878*($G4878-$G4877)*60*24</f>
        <v>4.8407253333333407E-3</v>
      </c>
    </row>
    <row r="4879" spans="1:12">
      <c r="A4879" s="22">
        <v>40314.020138888889</v>
      </c>
      <c r="E4879" s="26">
        <v>14.636544000000001</v>
      </c>
      <c r="G4879" s="27">
        <v>2.013888888888889E-2</v>
      </c>
      <c r="J4879" s="30">
        <f>IF(G4879&lt;$H$10,$H$16,IF(G4879&gt;$I$10,$H$16,$H$11))*E4879/600</f>
        <v>4.8788480000000007E-3</v>
      </c>
      <c r="L4879" s="32">
        <f>$J4879*($G4879-$G4878)*60*24</f>
        <v>4.8788480000000077E-3</v>
      </c>
    </row>
    <row r="4880" spans="1:12">
      <c r="A4880" s="22">
        <v>40314.020833333336</v>
      </c>
      <c r="E4880" s="26">
        <v>14.616576</v>
      </c>
      <c r="G4880" s="27">
        <v>2.0833333333333332E-2</v>
      </c>
      <c r="J4880" s="30">
        <f>IF(G4880&lt;$H$10,$H$16,IF(G4880&gt;$I$10,$H$16,$H$11))*E4880/600</f>
        <v>4.872192E-3</v>
      </c>
      <c r="L4880" s="32">
        <f>$J4880*($G4880-$G4879)*60*24</f>
        <v>4.8721919999999827E-3</v>
      </c>
    </row>
    <row r="4881" spans="1:12">
      <c r="A4881" s="22">
        <v>40314.021527777775</v>
      </c>
      <c r="E4881" s="26">
        <v>14.530048000000001</v>
      </c>
      <c r="G4881" s="27">
        <v>2.1527777777777781E-2</v>
      </c>
      <c r="J4881" s="30">
        <f>IF(G4881&lt;$H$10,$H$16,IF(G4881&gt;$I$10,$H$16,$H$11))*E4881/600</f>
        <v>4.8433493333333343E-3</v>
      </c>
      <c r="L4881" s="32">
        <f>$J4881*($G4881-$G4880)*60*24</f>
        <v>4.8433493333333646E-3</v>
      </c>
    </row>
    <row r="4882" spans="1:12">
      <c r="A4882" s="22">
        <v>40314.022222222222</v>
      </c>
      <c r="E4882" s="26">
        <v>14.530048000000001</v>
      </c>
      <c r="G4882" s="27">
        <v>2.2222222222222223E-2</v>
      </c>
      <c r="J4882" s="30">
        <f>IF(G4882&lt;$H$10,$H$16,IF(G4882&gt;$I$10,$H$16,$H$11))*E4882/600</f>
        <v>4.8433493333333343E-3</v>
      </c>
      <c r="L4882" s="32">
        <f>$J4882*($G4882-$G4881)*60*24</f>
        <v>4.8433493333333169E-3</v>
      </c>
    </row>
    <row r="4883" spans="1:12">
      <c r="A4883" s="22">
        <v>40314.022916666669</v>
      </c>
      <c r="E4883" s="26">
        <v>14.503424000000001</v>
      </c>
      <c r="G4883" s="27">
        <v>2.2916666666666669E-2</v>
      </c>
      <c r="J4883" s="30">
        <f>IF(G4883&lt;$H$10,$H$16,IF(G4883&gt;$I$10,$H$16,$H$11))*E4883/600</f>
        <v>4.8344746666666672E-3</v>
      </c>
      <c r="L4883" s="32">
        <f>$J4883*($G4883-$G4882)*60*24</f>
        <v>4.8344746666666742E-3</v>
      </c>
    </row>
    <row r="4884" spans="1:12">
      <c r="A4884" s="22">
        <v>40314.023611111108</v>
      </c>
      <c r="E4884" s="26">
        <v>14.556672000000001</v>
      </c>
      <c r="G4884" s="27">
        <v>2.361111111111111E-2</v>
      </c>
      <c r="J4884" s="30">
        <f>IF(G4884&lt;$H$10,$H$16,IF(G4884&gt;$I$10,$H$16,$H$11))*E4884/600</f>
        <v>4.8522240000000005E-3</v>
      </c>
      <c r="L4884" s="32">
        <f>$J4884*($G4884-$G4883)*60*24</f>
        <v>4.8522239999999831E-3</v>
      </c>
    </row>
    <row r="4885" spans="1:12">
      <c r="A4885" s="22">
        <v>40314.024305555555</v>
      </c>
      <c r="E4885" s="26">
        <v>14.443072000000001</v>
      </c>
      <c r="G4885" s="27">
        <v>2.4305555555555556E-2</v>
      </c>
      <c r="J4885" s="30">
        <f>IF(G4885&lt;$H$10,$H$16,IF(G4885&gt;$I$10,$H$16,$H$11))*E4885/600</f>
        <v>4.814357333333334E-3</v>
      </c>
      <c r="L4885" s="32">
        <f>$J4885*($G4885-$G4884)*60*24</f>
        <v>4.8143573333333401E-3</v>
      </c>
    </row>
    <row r="4886" spans="1:12">
      <c r="A4886" s="22">
        <v>40314.025000000001</v>
      </c>
      <c r="E4886" s="26">
        <v>14.456256</v>
      </c>
      <c r="G4886" s="27">
        <v>2.4999999999999998E-2</v>
      </c>
      <c r="J4886" s="30">
        <f>IF(G4886&lt;$H$10,$H$16,IF(G4886&gt;$I$10,$H$16,$H$11))*E4886/600</f>
        <v>4.8187519999999999E-3</v>
      </c>
      <c r="L4886" s="32">
        <f>$J4886*($G4886-$G4885)*60*24</f>
        <v>4.8187519999999826E-3</v>
      </c>
    </row>
    <row r="4887" spans="1:12">
      <c r="A4887" s="22">
        <v>40314.025694444441</v>
      </c>
      <c r="E4887" s="26">
        <v>14.5024</v>
      </c>
      <c r="G4887" s="27">
        <v>2.5694444444444447E-2</v>
      </c>
      <c r="J4887" s="30">
        <f>IF(G4887&lt;$H$10,$H$16,IF(G4887&gt;$I$10,$H$16,$H$11))*E4887/600</f>
        <v>4.8341333333333332E-3</v>
      </c>
      <c r="L4887" s="32">
        <f>$J4887*($G4887-$G4886)*60*24</f>
        <v>4.8341333333333644E-3</v>
      </c>
    </row>
    <row r="4888" spans="1:12">
      <c r="A4888" s="22">
        <v>40314.026388888888</v>
      </c>
      <c r="E4888" s="26">
        <v>14.581504000000001</v>
      </c>
      <c r="G4888" s="27">
        <v>2.6388888888888889E-2</v>
      </c>
      <c r="J4888" s="30">
        <f>IF(G4888&lt;$H$10,$H$16,IF(G4888&gt;$I$10,$H$16,$H$11))*E4888/600</f>
        <v>4.8605013333333337E-3</v>
      </c>
      <c r="L4888" s="32">
        <f>$J4888*($G4888-$G4887)*60*24</f>
        <v>4.8605013333333173E-3</v>
      </c>
    </row>
    <row r="4889" spans="1:12">
      <c r="A4889" s="22">
        <v>40314.027083333334</v>
      </c>
      <c r="E4889" s="26">
        <v>14.82273</v>
      </c>
      <c r="G4889" s="27">
        <v>2.7083333333333334E-2</v>
      </c>
      <c r="J4889" s="30">
        <f>IF(G4889&lt;$H$10,$H$16,IF(G4889&gt;$I$10,$H$16,$H$11))*E4889/600</f>
        <v>4.9409100000000006E-3</v>
      </c>
      <c r="L4889" s="32">
        <f>$J4889*($G4889-$G4888)*60*24</f>
        <v>4.9409100000000076E-3</v>
      </c>
    </row>
    <row r="4890" spans="1:12">
      <c r="A4890" s="22">
        <v>40314.027777777781</v>
      </c>
      <c r="E4890" s="26">
        <v>14.82273</v>
      </c>
      <c r="G4890" s="27">
        <v>2.7777777777777776E-2</v>
      </c>
      <c r="J4890" s="30">
        <f>IF(G4890&lt;$H$10,$H$16,IF(G4890&gt;$I$10,$H$16,$H$11))*E4890/600</f>
        <v>4.9409100000000006E-3</v>
      </c>
      <c r="L4890" s="32">
        <f>$J4890*($G4890-$G4889)*60*24</f>
        <v>4.9409099999999833E-3</v>
      </c>
    </row>
    <row r="4891" spans="1:12">
      <c r="A4891" s="22">
        <v>40314.02847222222</v>
      </c>
      <c r="E4891" s="26">
        <v>14.829425000000001</v>
      </c>
      <c r="G4891" s="27">
        <v>2.8472222222222222E-2</v>
      </c>
      <c r="J4891" s="30">
        <f>IF(G4891&lt;$H$10,$H$16,IF(G4891&gt;$I$10,$H$16,$H$11))*E4891/600</f>
        <v>4.943141666666667E-3</v>
      </c>
      <c r="L4891" s="32">
        <f>$J4891*($G4891-$G4890)*60*24</f>
        <v>4.943141666666674E-3</v>
      </c>
    </row>
    <row r="4892" spans="1:12">
      <c r="A4892" s="22">
        <v>40314.029166666667</v>
      </c>
      <c r="E4892" s="26">
        <v>14.555135999999999</v>
      </c>
      <c r="G4892" s="27">
        <v>2.9166666666666664E-2</v>
      </c>
      <c r="J4892" s="30">
        <f>IF(G4892&lt;$H$10,$H$16,IF(G4892&gt;$I$10,$H$16,$H$11))*E4892/600</f>
        <v>4.8517120000000002E-3</v>
      </c>
      <c r="L4892" s="32">
        <f>$J4892*($G4892-$G4891)*60*24</f>
        <v>4.8517119999999837E-3</v>
      </c>
    </row>
    <row r="4893" spans="1:12">
      <c r="A4893" s="22">
        <v>40314.029861111114</v>
      </c>
      <c r="E4893" s="26">
        <v>14.522176</v>
      </c>
      <c r="G4893" s="27">
        <v>2.9861111111111113E-2</v>
      </c>
      <c r="J4893" s="30">
        <f>IF(G4893&lt;$H$10,$H$16,IF(G4893&gt;$I$10,$H$16,$H$11))*E4893/600</f>
        <v>4.8407253333333337E-3</v>
      </c>
      <c r="L4893" s="32">
        <f>$J4893*($G4893-$G4892)*60*24</f>
        <v>4.840725333333365E-3</v>
      </c>
    </row>
    <row r="4894" spans="1:12">
      <c r="A4894" s="22">
        <v>40314.030555555553</v>
      </c>
      <c r="E4894" s="26">
        <v>14.535360000000001</v>
      </c>
      <c r="G4894" s="27">
        <v>3.0555555555555555E-2</v>
      </c>
      <c r="J4894" s="30">
        <f>IF(G4894&lt;$H$10,$H$16,IF(G4894&gt;$I$10,$H$16,$H$11))*E4894/600</f>
        <v>4.8451200000000005E-3</v>
      </c>
      <c r="L4894" s="32">
        <f>$J4894*($G4894-$G4893)*60*24</f>
        <v>4.8451199999999823E-3</v>
      </c>
    </row>
    <row r="4895" spans="1:12">
      <c r="A4895" s="22">
        <v>40314.03125</v>
      </c>
      <c r="E4895" s="26">
        <v>14.56832</v>
      </c>
      <c r="G4895" s="27">
        <v>3.125E-2</v>
      </c>
      <c r="J4895" s="30">
        <f>IF(G4895&lt;$H$10,$H$16,IF(G4895&gt;$I$10,$H$16,$H$11))*E4895/600</f>
        <v>4.856106666666667E-3</v>
      </c>
      <c r="L4895" s="32">
        <f>$J4895*($G4895-$G4894)*60*24</f>
        <v>4.8561066666666739E-3</v>
      </c>
    </row>
    <row r="4896" spans="1:12">
      <c r="A4896" s="22">
        <v>40314.031944444447</v>
      </c>
      <c r="E4896" s="26">
        <v>14.495808</v>
      </c>
      <c r="G4896" s="27">
        <v>3.1944444444444449E-2</v>
      </c>
      <c r="J4896" s="30">
        <f>IF(G4896&lt;$H$10,$H$16,IF(G4896&gt;$I$10,$H$16,$H$11))*E4896/600</f>
        <v>4.8319360000000002E-3</v>
      </c>
      <c r="L4896" s="32">
        <f>$J4896*($G4896-$G4895)*60*24</f>
        <v>4.8319360000000314E-3</v>
      </c>
    </row>
    <row r="4897" spans="1:12">
      <c r="A4897" s="22">
        <v>40314.032638888886</v>
      </c>
      <c r="E4897" s="26">
        <v>14.836119999999999</v>
      </c>
      <c r="G4897" s="27">
        <v>3.2638888888888891E-2</v>
      </c>
      <c r="J4897" s="30">
        <f>IF(G4897&lt;$H$10,$H$16,IF(G4897&gt;$I$10,$H$16,$H$11))*E4897/600</f>
        <v>4.9453733333333335E-3</v>
      </c>
      <c r="L4897" s="32">
        <f>$J4897*($G4897-$G4896)*60*24</f>
        <v>4.9453733333333161E-3</v>
      </c>
    </row>
    <row r="4898" spans="1:12">
      <c r="A4898" s="22">
        <v>40314.033333333333</v>
      </c>
      <c r="E4898" s="26">
        <v>14.751749999999999</v>
      </c>
      <c r="G4898" s="27">
        <v>3.3333333333333333E-2</v>
      </c>
      <c r="J4898" s="30">
        <f>IF(G4898&lt;$H$10,$H$16,IF(G4898&gt;$I$10,$H$16,$H$11))*E4898/600</f>
        <v>4.9172500000000006E-3</v>
      </c>
      <c r="L4898" s="32">
        <f>$J4898*($G4898-$G4897)*60*24</f>
        <v>4.9172499999999833E-3</v>
      </c>
    </row>
    <row r="4899" spans="1:12">
      <c r="A4899" s="22">
        <v>40314.03402777778</v>
      </c>
      <c r="E4899" s="26">
        <v>14.7056</v>
      </c>
      <c r="G4899" s="27">
        <v>3.4027777777777775E-2</v>
      </c>
      <c r="J4899" s="30">
        <f>IF(G4899&lt;$H$10,$H$16,IF(G4899&gt;$I$10,$H$16,$H$11))*E4899/600</f>
        <v>4.9018666666666667E-3</v>
      </c>
      <c r="L4899" s="32">
        <f>$J4899*($G4899-$G4898)*60*24</f>
        <v>4.9018666666666494E-3</v>
      </c>
    </row>
    <row r="4900" spans="1:12">
      <c r="A4900" s="22">
        <v>40314.034722222219</v>
      </c>
      <c r="E4900" s="26">
        <v>14.738424999999999</v>
      </c>
      <c r="G4900" s="27">
        <v>3.4722222222222224E-2</v>
      </c>
      <c r="J4900" s="30">
        <f>IF(G4900&lt;$H$10,$H$16,IF(G4900&gt;$I$10,$H$16,$H$11))*E4900/600</f>
        <v>4.9128083333333334E-3</v>
      </c>
      <c r="L4900" s="32">
        <f>$J4900*($G4900-$G4899)*60*24</f>
        <v>4.9128083333333647E-3</v>
      </c>
    </row>
    <row r="4901" spans="1:12">
      <c r="A4901" s="22">
        <v>40314.035416666666</v>
      </c>
      <c r="E4901" s="26">
        <v>14.653079999999999</v>
      </c>
      <c r="G4901" s="27">
        <v>3.5416666666666666E-2</v>
      </c>
      <c r="J4901" s="30">
        <f>IF(G4901&lt;$H$10,$H$16,IF(G4901&gt;$I$10,$H$16,$H$11))*E4901/600</f>
        <v>4.8843599999999999E-3</v>
      </c>
      <c r="L4901" s="32">
        <f>$J4901*($G4901-$G4900)*60*24</f>
        <v>4.8843599999999826E-3</v>
      </c>
    </row>
    <row r="4902" spans="1:12">
      <c r="A4902" s="22">
        <v>40314.036111111112</v>
      </c>
      <c r="E4902" s="26">
        <v>14.699035</v>
      </c>
      <c r="G4902" s="27">
        <v>3.6111111111111115E-2</v>
      </c>
      <c r="J4902" s="30">
        <f>IF(G4902&lt;$H$10,$H$16,IF(G4902&gt;$I$10,$H$16,$H$11))*E4902/600</f>
        <v>4.8996783333333334E-3</v>
      </c>
      <c r="L4902" s="32">
        <f>$J4902*($G4902-$G4901)*60*24</f>
        <v>4.8996783333333646E-3</v>
      </c>
    </row>
    <row r="4903" spans="1:12">
      <c r="A4903" s="22">
        <v>40314.036805555559</v>
      </c>
      <c r="E4903" s="26">
        <v>14.75812</v>
      </c>
      <c r="G4903" s="27">
        <v>3.6805555555555557E-2</v>
      </c>
      <c r="J4903" s="30">
        <f>IF(G4903&lt;$H$10,$H$16,IF(G4903&gt;$I$10,$H$16,$H$11))*E4903/600</f>
        <v>4.9193733333333335E-3</v>
      </c>
      <c r="L4903" s="32">
        <f>$J4903*($G4903-$G4902)*60*24</f>
        <v>4.9193733333333161E-3</v>
      </c>
    </row>
    <row r="4904" spans="1:12">
      <c r="A4904" s="22">
        <v>40314.037499999999</v>
      </c>
      <c r="E4904" s="26">
        <v>14.751555</v>
      </c>
      <c r="G4904" s="27">
        <v>3.7499999999999999E-2</v>
      </c>
      <c r="J4904" s="30">
        <f>IF(G4904&lt;$H$10,$H$16,IF(G4904&gt;$I$10,$H$16,$H$11))*E4904/600</f>
        <v>4.9171850000000001E-3</v>
      </c>
      <c r="L4904" s="32">
        <f>$J4904*($G4904-$G4903)*60*24</f>
        <v>4.9171849999999828E-3</v>
      </c>
    </row>
    <row r="4905" spans="1:12">
      <c r="A4905" s="22">
        <v>40314.038194444445</v>
      </c>
      <c r="E4905" s="26">
        <v>14.777815</v>
      </c>
      <c r="G4905" s="27">
        <v>3.8194444444444441E-2</v>
      </c>
      <c r="J4905" s="30">
        <f>IF(G4905&lt;$H$10,$H$16,IF(G4905&gt;$I$10,$H$16,$H$11))*E4905/600</f>
        <v>4.9259383333333335E-3</v>
      </c>
      <c r="L4905" s="32">
        <f>$J4905*($G4905-$G4904)*60*24</f>
        <v>4.9259383333333162E-3</v>
      </c>
    </row>
    <row r="4906" spans="1:12">
      <c r="A4906" s="22">
        <v>40314.038888888892</v>
      </c>
      <c r="E4906" s="26">
        <v>14.797510000000001</v>
      </c>
      <c r="G4906" s="27">
        <v>3.888888888888889E-2</v>
      </c>
      <c r="J4906" s="30">
        <f>IF(G4906&lt;$H$10,$H$16,IF(G4906&gt;$I$10,$H$16,$H$11))*E4906/600</f>
        <v>4.9325033333333344E-3</v>
      </c>
      <c r="L4906" s="32">
        <f>$J4906*($G4906-$G4905)*60*24</f>
        <v>4.9325033333333665E-3</v>
      </c>
    </row>
    <row r="4907" spans="1:12">
      <c r="A4907" s="22">
        <v>40314.039583333331</v>
      </c>
      <c r="E4907" s="26">
        <v>14.843465</v>
      </c>
      <c r="G4907" s="27">
        <v>3.9583333333333331E-2</v>
      </c>
      <c r="J4907" s="30">
        <f>IF(G4907&lt;$H$10,$H$16,IF(G4907&gt;$I$10,$H$16,$H$11))*E4907/600</f>
        <v>4.947821666666667E-3</v>
      </c>
      <c r="L4907" s="32">
        <f>$J4907*($G4907-$G4906)*60*24</f>
        <v>4.9478216666666488E-3</v>
      </c>
    </row>
    <row r="4908" spans="1:12">
      <c r="A4908" s="22">
        <v>40314.040277777778</v>
      </c>
      <c r="E4908" s="26">
        <v>14.876289999999999</v>
      </c>
      <c r="G4908" s="27">
        <v>4.027777777777778E-2</v>
      </c>
      <c r="J4908" s="30">
        <f>IF(G4908&lt;$H$10,$H$16,IF(G4908&gt;$I$10,$H$16,$H$11))*E4908/600</f>
        <v>4.9587633333333337E-3</v>
      </c>
      <c r="L4908" s="32">
        <f>$J4908*($G4908-$G4907)*60*24</f>
        <v>4.9587633333333658E-3</v>
      </c>
    </row>
    <row r="4909" spans="1:12">
      <c r="A4909" s="22">
        <v>40314.040972222225</v>
      </c>
      <c r="E4909" s="26">
        <v>14.856595</v>
      </c>
      <c r="G4909" s="27">
        <v>4.0972222222222222E-2</v>
      </c>
      <c r="J4909" s="30">
        <f>IF(G4909&lt;$H$10,$H$16,IF(G4909&gt;$I$10,$H$16,$H$11))*E4909/600</f>
        <v>4.9521983333333337E-3</v>
      </c>
      <c r="L4909" s="32">
        <f>$J4909*($G4909-$G4908)*60*24</f>
        <v>4.9521983333333163E-3</v>
      </c>
    </row>
    <row r="4910" spans="1:12">
      <c r="A4910" s="22">
        <v>40314.041666666664</v>
      </c>
      <c r="E4910" s="26">
        <v>14.90255</v>
      </c>
      <c r="G4910" s="27">
        <v>4.1666666666666664E-2</v>
      </c>
      <c r="J4910" s="30">
        <f>IF(G4910&lt;$H$10,$H$16,IF(G4910&gt;$I$10,$H$16,$H$11))*E4910/600</f>
        <v>4.9675166666666671E-3</v>
      </c>
      <c r="L4910" s="32">
        <f>$J4910*($G4910-$G4909)*60*24</f>
        <v>4.9675166666666498E-3</v>
      </c>
    </row>
    <row r="4911" spans="1:12">
      <c r="A4911" s="22">
        <v>40314.042361111111</v>
      </c>
      <c r="E4911" s="26">
        <v>14.882854999999999</v>
      </c>
      <c r="G4911" s="27">
        <v>4.2361111111111106E-2</v>
      </c>
      <c r="J4911" s="30">
        <f>IF(G4911&lt;$H$10,$H$16,IF(G4911&gt;$I$10,$H$16,$H$11))*E4911/600</f>
        <v>4.9609516666666662E-3</v>
      </c>
      <c r="L4911" s="32">
        <f>$J4911*($G4911-$G4910)*60*24</f>
        <v>4.9609516666666489E-3</v>
      </c>
    </row>
    <row r="4912" spans="1:12">
      <c r="A4912" s="22">
        <v>40314.043055555558</v>
      </c>
      <c r="E4912" s="26">
        <v>14.781000000000001</v>
      </c>
      <c r="G4912" s="27">
        <v>4.3055555555555562E-2</v>
      </c>
      <c r="J4912" s="30">
        <f>IF(G4912&lt;$H$10,$H$16,IF(G4912&gt;$I$10,$H$16,$H$11))*E4912/600</f>
        <v>4.9270000000000008E-3</v>
      </c>
      <c r="L4912" s="32">
        <f>$J4912*($G4912-$G4911)*60*24</f>
        <v>4.9270000000000824E-3</v>
      </c>
    </row>
    <row r="4913" spans="1:12">
      <c r="A4913" s="22">
        <v>40314.043749999997</v>
      </c>
      <c r="E4913" s="26">
        <v>14.8005</v>
      </c>
      <c r="G4913" s="27">
        <v>4.3750000000000004E-2</v>
      </c>
      <c r="J4913" s="30">
        <f>IF(G4913&lt;$H$10,$H$16,IF(G4913&gt;$I$10,$H$16,$H$11))*E4913/600</f>
        <v>4.9335000000000004E-3</v>
      </c>
      <c r="L4913" s="32">
        <f>$J4913*($G4913-$G4912)*60*24</f>
        <v>4.933499999999983E-3</v>
      </c>
    </row>
    <row r="4914" spans="1:12">
      <c r="A4914" s="22">
        <v>40314.044444444444</v>
      </c>
      <c r="E4914" s="26">
        <v>14.9688</v>
      </c>
      <c r="G4914" s="27">
        <v>4.4444444444444446E-2</v>
      </c>
      <c r="J4914" s="30">
        <f>IF(G4914&lt;$H$10,$H$16,IF(G4914&gt;$I$10,$H$16,$H$11))*E4914/600</f>
        <v>4.9896000000000003E-3</v>
      </c>
      <c r="L4914" s="32">
        <f>$J4914*($G4914-$G4913)*60*24</f>
        <v>4.9895999999999829E-3</v>
      </c>
    </row>
    <row r="4915" spans="1:12">
      <c r="A4915" s="22">
        <v>40314.045138888891</v>
      </c>
      <c r="E4915" s="26">
        <v>14.922599999999999</v>
      </c>
      <c r="G4915" s="27">
        <v>4.5138888888888888E-2</v>
      </c>
      <c r="J4915" s="30">
        <f>IF(G4915&lt;$H$10,$H$16,IF(G4915&gt;$I$10,$H$16,$H$11))*E4915/600</f>
        <v>4.9741999999999998E-3</v>
      </c>
      <c r="L4915" s="32">
        <f>$J4915*($G4915-$G4914)*60*24</f>
        <v>4.9741999999999816E-3</v>
      </c>
    </row>
    <row r="4916" spans="1:12">
      <c r="A4916" s="22">
        <v>40314.04583333333</v>
      </c>
      <c r="E4916" s="26">
        <v>15.031829999999999</v>
      </c>
      <c r="G4916" s="27">
        <v>4.5833333333333337E-2</v>
      </c>
      <c r="J4916" s="30">
        <f>IF(G4916&lt;$H$10,$H$16,IF(G4916&gt;$I$10,$H$16,$H$11))*E4916/600</f>
        <v>5.0106099999999995E-3</v>
      </c>
      <c r="L4916" s="32">
        <f>$J4916*($G4916-$G4915)*60*24</f>
        <v>5.0106100000000316E-3</v>
      </c>
    </row>
    <row r="4917" spans="1:12">
      <c r="A4917" s="22">
        <v>40314.046527777777</v>
      </c>
      <c r="E4917" s="26">
        <v>14.843465</v>
      </c>
      <c r="G4917" s="27">
        <v>4.6527777777777779E-2</v>
      </c>
      <c r="J4917" s="30">
        <f>IF(G4917&lt;$H$10,$H$16,IF(G4917&gt;$I$10,$H$16,$H$11))*E4917/600</f>
        <v>4.947821666666667E-3</v>
      </c>
      <c r="L4917" s="32">
        <f>$J4917*($G4917-$G4916)*60*24</f>
        <v>4.9478216666666488E-3</v>
      </c>
    </row>
    <row r="4918" spans="1:12">
      <c r="A4918" s="22">
        <v>40314.047222222223</v>
      </c>
      <c r="E4918" s="26">
        <v>14.7355</v>
      </c>
      <c r="G4918" s="27">
        <v>4.7222222222222221E-2</v>
      </c>
      <c r="J4918" s="30">
        <f>IF(G4918&lt;$H$10,$H$16,IF(G4918&gt;$I$10,$H$16,$H$11))*E4918/600</f>
        <v>4.911833333333334E-3</v>
      </c>
      <c r="L4918" s="32">
        <f>$J4918*($G4918-$G4917)*60*24</f>
        <v>4.9118333333333167E-3</v>
      </c>
    </row>
    <row r="4919" spans="1:12">
      <c r="A4919" s="22">
        <v>40314.04791666667</v>
      </c>
      <c r="E4919" s="26">
        <v>14.7355</v>
      </c>
      <c r="G4919" s="27">
        <v>4.7916666666666663E-2</v>
      </c>
      <c r="J4919" s="30">
        <f>IF(G4919&lt;$H$10,$H$16,IF(G4919&gt;$I$10,$H$16,$H$11))*E4919/600</f>
        <v>4.911833333333334E-3</v>
      </c>
      <c r="L4919" s="32">
        <f>$J4919*($G4919-$G4918)*60*24</f>
        <v>4.9118333333333167E-3</v>
      </c>
    </row>
    <row r="4920" spans="1:12">
      <c r="A4920" s="22">
        <v>40314.048611111109</v>
      </c>
      <c r="E4920" s="26">
        <v>15.085158</v>
      </c>
      <c r="G4920" s="27">
        <v>4.8611111111111112E-2</v>
      </c>
      <c r="J4920" s="30">
        <f>IF(G4920&lt;$H$10,$H$16,IF(G4920&gt;$I$10,$H$16,$H$11))*E4920/600</f>
        <v>5.0283860000000001E-3</v>
      </c>
      <c r="L4920" s="32">
        <f>$J4920*($G4920-$G4919)*60*24</f>
        <v>5.0283860000000331E-3</v>
      </c>
    </row>
    <row r="4921" spans="1:12">
      <c r="A4921" s="22">
        <v>40314.049305555556</v>
      </c>
      <c r="E4921" s="26">
        <v>15.058494</v>
      </c>
      <c r="G4921" s="27">
        <v>4.9305555555555554E-2</v>
      </c>
      <c r="J4921" s="30">
        <f>IF(G4921&lt;$H$10,$H$16,IF(G4921&gt;$I$10,$H$16,$H$11))*E4921/600</f>
        <v>5.0194979999999998E-3</v>
      </c>
      <c r="L4921" s="32">
        <f>$J4921*($G4921-$G4920)*60*24</f>
        <v>5.0194979999999816E-3</v>
      </c>
    </row>
    <row r="4922" spans="1:12">
      <c r="A4922" s="22">
        <v>40314.050000000003</v>
      </c>
      <c r="E4922" s="26">
        <v>14.895985</v>
      </c>
      <c r="G4922" s="27">
        <v>4.9999999999999996E-2</v>
      </c>
      <c r="J4922" s="30">
        <f>IF(G4922&lt;$H$10,$H$16,IF(G4922&gt;$I$10,$H$16,$H$11))*E4922/600</f>
        <v>4.9653283333333338E-3</v>
      </c>
      <c r="L4922" s="32">
        <f>$J4922*($G4922-$G4921)*60*24</f>
        <v>4.9653283333333164E-3</v>
      </c>
    </row>
    <row r="4923" spans="1:12">
      <c r="A4923" s="22">
        <v>40314.050694444442</v>
      </c>
      <c r="E4923" s="26">
        <v>14.7615</v>
      </c>
      <c r="G4923" s="27">
        <v>5.0694444444444452E-2</v>
      </c>
      <c r="J4923" s="30">
        <f>IF(G4923&lt;$H$10,$H$16,IF(G4923&gt;$I$10,$H$16,$H$11))*E4923/600</f>
        <v>4.9205000000000004E-3</v>
      </c>
      <c r="L4923" s="32">
        <f>$J4923*($G4923-$G4922)*60*24</f>
        <v>4.9205000000000811E-3</v>
      </c>
    </row>
    <row r="4924" spans="1:12">
      <c r="A4924" s="22">
        <v>40314.051388888889</v>
      </c>
      <c r="E4924" s="26">
        <v>15.105155999999999</v>
      </c>
      <c r="G4924" s="27">
        <v>5.1388888888888894E-2</v>
      </c>
      <c r="J4924" s="30">
        <f>IF(G4924&lt;$H$10,$H$16,IF(G4924&gt;$I$10,$H$16,$H$11))*E4924/600</f>
        <v>5.0350519999999999E-3</v>
      </c>
      <c r="L4924" s="32">
        <f>$J4924*($G4924-$G4923)*60*24</f>
        <v>5.0350519999999817E-3</v>
      </c>
    </row>
    <row r="4925" spans="1:12">
      <c r="A4925" s="22">
        <v>40314.052083333336</v>
      </c>
      <c r="E4925" s="26">
        <v>15.065160000000001</v>
      </c>
      <c r="G4925" s="27">
        <v>5.2083333333333336E-2</v>
      </c>
      <c r="J4925" s="30">
        <f>IF(G4925&lt;$H$10,$H$16,IF(G4925&gt;$I$10,$H$16,$H$11))*E4925/600</f>
        <v>5.0217200000000004E-3</v>
      </c>
      <c r="L4925" s="32">
        <f>$J4925*($G4925-$G4924)*60*24</f>
        <v>5.021719999999983E-3</v>
      </c>
    </row>
    <row r="4926" spans="1:12">
      <c r="A4926" s="22">
        <v>40314.052777777775</v>
      </c>
      <c r="E4926" s="26">
        <v>14.77125</v>
      </c>
      <c r="G4926" s="27">
        <v>5.2777777777777778E-2</v>
      </c>
      <c r="J4926" s="30">
        <f>IF(G4926&lt;$H$10,$H$16,IF(G4926&gt;$I$10,$H$16,$H$11))*E4926/600</f>
        <v>4.9237500000000002E-3</v>
      </c>
      <c r="L4926" s="32">
        <f>$J4926*($G4926-$G4925)*60*24</f>
        <v>4.9237499999999828E-3</v>
      </c>
    </row>
    <row r="4927" spans="1:12">
      <c r="A4927" s="22">
        <v>40314.053472222222</v>
      </c>
      <c r="E4927" s="26">
        <v>15.005165999999999</v>
      </c>
      <c r="G4927" s="27">
        <v>5.347222222222222E-2</v>
      </c>
      <c r="J4927" s="30">
        <f>IF(G4927&lt;$H$10,$H$16,IF(G4927&gt;$I$10,$H$16,$H$11))*E4927/600</f>
        <v>5.0017220000000001E-3</v>
      </c>
      <c r="L4927" s="32">
        <f>$J4927*($G4927-$G4926)*60*24</f>
        <v>5.0017219999999819E-3</v>
      </c>
    </row>
    <row r="4928" spans="1:12">
      <c r="A4928" s="22">
        <v>40314.054166666669</v>
      </c>
      <c r="E4928" s="26">
        <v>14.817205</v>
      </c>
      <c r="G4928" s="27">
        <v>5.4166666666666669E-2</v>
      </c>
      <c r="J4928" s="30">
        <f>IF(G4928&lt;$H$10,$H$16,IF(G4928&gt;$I$10,$H$16,$H$11))*E4928/600</f>
        <v>4.9390683333333336E-3</v>
      </c>
      <c r="L4928" s="32">
        <f>$J4928*($G4928-$G4927)*60*24</f>
        <v>4.9390683333333648E-3</v>
      </c>
    </row>
    <row r="4929" spans="1:12">
      <c r="A4929" s="22">
        <v>40314.054861111108</v>
      </c>
      <c r="E4929" s="26">
        <v>14.82377</v>
      </c>
      <c r="G4929" s="27">
        <v>5.486111111111111E-2</v>
      </c>
      <c r="J4929" s="30">
        <f>IF(G4929&lt;$H$10,$H$16,IF(G4929&gt;$I$10,$H$16,$H$11))*E4929/600</f>
        <v>4.941256666666667E-3</v>
      </c>
      <c r="L4929" s="32">
        <f>$J4929*($G4929-$G4928)*60*24</f>
        <v>4.9412566666666496E-3</v>
      </c>
    </row>
    <row r="4930" spans="1:12">
      <c r="A4930" s="22">
        <v>40314.055555555555</v>
      </c>
      <c r="E4930" s="26">
        <v>14.817205</v>
      </c>
      <c r="G4930" s="27">
        <v>5.5555555555555552E-2</v>
      </c>
      <c r="J4930" s="30">
        <f>IF(G4930&lt;$H$10,$H$16,IF(G4930&gt;$I$10,$H$16,$H$11))*E4930/600</f>
        <v>4.9390683333333336E-3</v>
      </c>
      <c r="L4930" s="32">
        <f>$J4930*($G4930-$G4929)*60*24</f>
        <v>4.9390683333333154E-3</v>
      </c>
    </row>
    <row r="4931" spans="1:12">
      <c r="A4931" s="22">
        <v>40314.056250000001</v>
      </c>
      <c r="E4931" s="26">
        <v>14.869725000000001</v>
      </c>
      <c r="G4931" s="27">
        <v>5.6250000000000001E-2</v>
      </c>
      <c r="J4931" s="30">
        <f>IF(G4931&lt;$H$10,$H$16,IF(G4931&gt;$I$10,$H$16,$H$11))*E4931/600</f>
        <v>4.9565750000000013E-3</v>
      </c>
      <c r="L4931" s="32">
        <f>$J4931*($G4931-$G4930)*60*24</f>
        <v>4.9565750000000334E-3</v>
      </c>
    </row>
    <row r="4932" spans="1:12">
      <c r="A4932" s="22">
        <v>40314.056944444441</v>
      </c>
      <c r="E4932" s="26">
        <v>14.895985</v>
      </c>
      <c r="G4932" s="27">
        <v>5.6944444444444443E-2</v>
      </c>
      <c r="J4932" s="30">
        <f>IF(G4932&lt;$H$10,$H$16,IF(G4932&gt;$I$10,$H$16,$H$11))*E4932/600</f>
        <v>4.9653283333333338E-3</v>
      </c>
      <c r="L4932" s="32">
        <f>$J4932*($G4932-$G4931)*60*24</f>
        <v>4.9653283333333164E-3</v>
      </c>
    </row>
    <row r="4933" spans="1:12">
      <c r="A4933" s="22">
        <v>40314.057638888888</v>
      </c>
      <c r="E4933" s="26">
        <v>14.935375000000001</v>
      </c>
      <c r="G4933" s="27">
        <v>5.7638888888888885E-2</v>
      </c>
      <c r="J4933" s="30">
        <f>IF(G4933&lt;$H$10,$H$16,IF(G4933&gt;$I$10,$H$16,$H$11))*E4933/600</f>
        <v>4.9784583333333339E-3</v>
      </c>
      <c r="L4933" s="32">
        <f>$J4933*($G4933-$G4932)*60*24</f>
        <v>4.9784583333333157E-3</v>
      </c>
    </row>
    <row r="4934" spans="1:12">
      <c r="A4934" s="22">
        <v>40314.058333333334</v>
      </c>
      <c r="E4934" s="26">
        <v>14.90255</v>
      </c>
      <c r="G4934" s="27">
        <v>5.8333333333333327E-2</v>
      </c>
      <c r="J4934" s="30">
        <f>IF(G4934&lt;$H$10,$H$16,IF(G4934&gt;$I$10,$H$16,$H$11))*E4934/600</f>
        <v>4.9675166666666671E-3</v>
      </c>
      <c r="L4934" s="32">
        <f>$J4934*($G4934-$G4933)*60*24</f>
        <v>4.9675166666666498E-3</v>
      </c>
    </row>
    <row r="4935" spans="1:12">
      <c r="A4935" s="22">
        <v>40314.059027777781</v>
      </c>
      <c r="E4935" s="26">
        <v>14.909115</v>
      </c>
      <c r="G4935" s="27">
        <v>5.9027777777777783E-2</v>
      </c>
      <c r="J4935" s="30">
        <f>IF(G4935&lt;$H$10,$H$16,IF(G4935&gt;$I$10,$H$16,$H$11))*E4935/600</f>
        <v>4.9697050000000005E-3</v>
      </c>
      <c r="L4935" s="32">
        <f>$J4935*($G4935-$G4934)*60*24</f>
        <v>4.969705000000082E-3</v>
      </c>
    </row>
    <row r="4936" spans="1:12">
      <c r="A4936" s="22">
        <v>40314.05972222222</v>
      </c>
      <c r="E4936" s="26">
        <v>14.882854999999999</v>
      </c>
      <c r="G4936" s="27">
        <v>5.9722222222222225E-2</v>
      </c>
      <c r="J4936" s="30">
        <f>IF(G4936&lt;$H$10,$H$16,IF(G4936&gt;$I$10,$H$16,$H$11))*E4936/600</f>
        <v>4.9609516666666662E-3</v>
      </c>
      <c r="L4936" s="32">
        <f>$J4936*($G4936-$G4935)*60*24</f>
        <v>4.9609516666666489E-3</v>
      </c>
    </row>
    <row r="4937" spans="1:12">
      <c r="A4937" s="22">
        <v>40314.060416666667</v>
      </c>
      <c r="E4937" s="26">
        <v>14.856595</v>
      </c>
      <c r="G4937" s="27">
        <v>6.0416666666666667E-2</v>
      </c>
      <c r="J4937" s="30">
        <f>IF(G4937&lt;$H$10,$H$16,IF(G4937&gt;$I$10,$H$16,$H$11))*E4937/600</f>
        <v>4.9521983333333337E-3</v>
      </c>
      <c r="L4937" s="32">
        <f>$J4937*($G4937-$G4936)*60*24</f>
        <v>4.9521983333333163E-3</v>
      </c>
    </row>
    <row r="4938" spans="1:12">
      <c r="A4938" s="22">
        <v>40314.061111111114</v>
      </c>
      <c r="E4938" s="26">
        <v>14.830335</v>
      </c>
      <c r="G4938" s="27">
        <v>6.1111111111111116E-2</v>
      </c>
      <c r="J4938" s="30">
        <f>IF(G4938&lt;$H$10,$H$16,IF(G4938&gt;$I$10,$H$16,$H$11))*E4938/600</f>
        <v>4.9434450000000003E-3</v>
      </c>
      <c r="L4938" s="32">
        <f>$J4938*($G4938-$G4937)*60*24</f>
        <v>4.9434450000000324E-3</v>
      </c>
    </row>
    <row r="4939" spans="1:12">
      <c r="A4939" s="22">
        <v>40314.061805555553</v>
      </c>
      <c r="E4939" s="26">
        <v>14.977169999999999</v>
      </c>
      <c r="G4939" s="27">
        <v>6.1805555555555558E-2</v>
      </c>
      <c r="J4939" s="30">
        <f>IF(G4939&lt;$H$10,$H$16,IF(G4939&gt;$I$10,$H$16,$H$11))*E4939/600</f>
        <v>4.9923900000000002E-3</v>
      </c>
      <c r="L4939" s="32">
        <f>$J4939*($G4939-$G4938)*60*24</f>
        <v>4.992389999999982E-3</v>
      </c>
    </row>
    <row r="4940" spans="1:12">
      <c r="A4940" s="22">
        <v>40314.0625</v>
      </c>
      <c r="E4940" s="26">
        <v>14.843465</v>
      </c>
      <c r="G4940" s="27">
        <v>6.25E-2</v>
      </c>
      <c r="J4940" s="30">
        <f>IF(G4940&lt;$H$10,$H$16,IF(G4940&gt;$I$10,$H$16,$H$11))*E4940/600</f>
        <v>4.947821666666667E-3</v>
      </c>
      <c r="L4940" s="32">
        <f>$J4940*($G4940-$G4939)*60*24</f>
        <v>4.9478216666666488E-3</v>
      </c>
    </row>
    <row r="4941" spans="1:12">
      <c r="A4941" s="22">
        <v>40314.063194444447</v>
      </c>
      <c r="E4941" s="26">
        <v>14.88435</v>
      </c>
      <c r="G4941" s="27">
        <v>6.3194444444444442E-2</v>
      </c>
      <c r="J4941" s="30">
        <f>IF(G4941&lt;$H$10,$H$16,IF(G4941&gt;$I$10,$H$16,$H$11))*E4941/600</f>
        <v>4.9614500000000001E-3</v>
      </c>
      <c r="L4941" s="32">
        <f>$J4941*($G4941-$G4940)*60*24</f>
        <v>4.9614499999999818E-3</v>
      </c>
    </row>
    <row r="4942" spans="1:12">
      <c r="A4942" s="22">
        <v>40314.063888888886</v>
      </c>
      <c r="E4942" s="26">
        <v>14.83794</v>
      </c>
      <c r="G4942" s="27">
        <v>6.3888888888888884E-2</v>
      </c>
      <c r="J4942" s="30">
        <f>IF(G4942&lt;$H$10,$H$16,IF(G4942&gt;$I$10,$H$16,$H$11))*E4942/600</f>
        <v>4.94598E-3</v>
      </c>
      <c r="L4942" s="32">
        <f>$J4942*($G4942-$G4941)*60*24</f>
        <v>4.9459799999999818E-3</v>
      </c>
    </row>
    <row r="4943" spans="1:12">
      <c r="A4943" s="22">
        <v>40314.064583333333</v>
      </c>
      <c r="E4943" s="26">
        <v>14.88435</v>
      </c>
      <c r="G4943" s="27">
        <v>6.458333333333334E-2</v>
      </c>
      <c r="J4943" s="30">
        <f>IF(G4943&lt;$H$10,$H$16,IF(G4943&gt;$I$10,$H$16,$H$11))*E4943/600</f>
        <v>4.9614500000000001E-3</v>
      </c>
      <c r="L4943" s="32">
        <f>$J4943*($G4943-$G4942)*60*24</f>
        <v>4.9614500000000816E-3</v>
      </c>
    </row>
    <row r="4944" spans="1:12">
      <c r="A4944" s="22">
        <v>40314.06527777778</v>
      </c>
      <c r="E4944" s="26">
        <v>14.790945000000001</v>
      </c>
      <c r="G4944" s="27">
        <v>6.5277777777777782E-2</v>
      </c>
      <c r="J4944" s="30">
        <f>IF(G4944&lt;$H$10,$H$16,IF(G4944&gt;$I$10,$H$16,$H$11))*E4944/600</f>
        <v>4.9303150000000011E-3</v>
      </c>
      <c r="L4944" s="32">
        <f>$J4944*($G4944-$G4943)*60*24</f>
        <v>4.9303149999999837E-3</v>
      </c>
    </row>
    <row r="4945" spans="1:12">
      <c r="A4945" s="22">
        <v>40314.065972222219</v>
      </c>
      <c r="E4945" s="26">
        <v>14.804074999999999</v>
      </c>
      <c r="G4945" s="27">
        <v>6.5972222222222224E-2</v>
      </c>
      <c r="J4945" s="30">
        <f>IF(G4945&lt;$H$10,$H$16,IF(G4945&gt;$I$10,$H$16,$H$11))*E4945/600</f>
        <v>4.9346916666666669E-3</v>
      </c>
      <c r="L4945" s="32">
        <f>$J4945*($G4945-$G4944)*60*24</f>
        <v>4.9346916666666496E-3</v>
      </c>
    </row>
    <row r="4946" spans="1:12">
      <c r="A4946" s="22">
        <v>40314.066666666666</v>
      </c>
      <c r="E4946" s="26">
        <v>14.797510000000001</v>
      </c>
      <c r="G4946" s="27">
        <v>6.6666666666666666E-2</v>
      </c>
      <c r="J4946" s="30">
        <f>IF(G4946&lt;$H$10,$H$16,IF(G4946&gt;$I$10,$H$16,$H$11))*E4946/600</f>
        <v>4.9325033333333344E-3</v>
      </c>
      <c r="L4946" s="32">
        <f>$J4946*($G4946-$G4945)*60*24</f>
        <v>4.9325033333333171E-3</v>
      </c>
    </row>
    <row r="4947" spans="1:12">
      <c r="A4947" s="22">
        <v>40314.067361111112</v>
      </c>
      <c r="E4947" s="26">
        <v>14.864459999999999</v>
      </c>
      <c r="G4947" s="27">
        <v>6.7361111111111108E-2</v>
      </c>
      <c r="J4947" s="30">
        <f>IF(G4947&lt;$H$10,$H$16,IF(G4947&gt;$I$10,$H$16,$H$11))*E4947/600</f>
        <v>4.9548199999999995E-3</v>
      </c>
      <c r="L4947" s="32">
        <f>$J4947*($G4947-$G4946)*60*24</f>
        <v>4.9548199999999813E-3</v>
      </c>
    </row>
    <row r="4948" spans="1:12">
      <c r="A4948" s="22">
        <v>40314.068055555559</v>
      </c>
      <c r="E4948" s="26">
        <v>14.890980000000001</v>
      </c>
      <c r="G4948" s="27">
        <v>6.805555555555555E-2</v>
      </c>
      <c r="J4948" s="30">
        <f>IF(G4948&lt;$H$10,$H$16,IF(G4948&gt;$I$10,$H$16,$H$11))*E4948/600</f>
        <v>4.9636600000000008E-3</v>
      </c>
      <c r="L4948" s="32">
        <f>$J4948*($G4948-$G4947)*60*24</f>
        <v>4.9636599999999835E-3</v>
      </c>
    </row>
    <row r="4949" spans="1:12">
      <c r="A4949" s="22">
        <v>40314.068749999999</v>
      </c>
      <c r="E4949" s="26">
        <v>14.88435</v>
      </c>
      <c r="G4949" s="27">
        <v>6.8749999999999992E-2</v>
      </c>
      <c r="J4949" s="30">
        <f>IF(G4949&lt;$H$10,$H$16,IF(G4949&gt;$I$10,$H$16,$H$11))*E4949/600</f>
        <v>4.9614500000000001E-3</v>
      </c>
      <c r="L4949" s="32">
        <f>$J4949*($G4949-$G4948)*60*24</f>
        <v>4.9614499999999818E-3</v>
      </c>
    </row>
    <row r="4950" spans="1:12">
      <c r="A4950" s="22">
        <v>40314.069444444445</v>
      </c>
      <c r="E4950" s="26">
        <v>14.797510000000001</v>
      </c>
      <c r="G4950" s="27">
        <v>6.9444444444444434E-2</v>
      </c>
      <c r="J4950" s="30">
        <f>IF(G4950&lt;$H$10,$H$16,IF(G4950&gt;$I$10,$H$16,$H$11))*E4950/600</f>
        <v>4.9325033333333344E-3</v>
      </c>
      <c r="L4950" s="32">
        <f>$J4950*($G4950-$G4949)*60*24</f>
        <v>4.9325033333333171E-3</v>
      </c>
    </row>
    <row r="4951" spans="1:12">
      <c r="A4951" s="22">
        <v>40314.070138888892</v>
      </c>
      <c r="E4951" s="26">
        <v>14.830335</v>
      </c>
      <c r="G4951" s="27">
        <v>7.013888888888889E-2</v>
      </c>
      <c r="J4951" s="30">
        <f>IF(G4951&lt;$H$10,$H$16,IF(G4951&gt;$I$10,$H$16,$H$11))*E4951/600</f>
        <v>4.9434450000000003E-3</v>
      </c>
      <c r="L4951" s="32">
        <f>$J4951*($G4951-$G4950)*60*24</f>
        <v>4.9434450000000818E-3</v>
      </c>
    </row>
    <row r="4952" spans="1:12">
      <c r="A4952" s="22">
        <v>40314.070833333331</v>
      </c>
      <c r="E4952" s="26">
        <v>14.876289999999999</v>
      </c>
      <c r="G4952" s="27">
        <v>7.0833333333333331E-2</v>
      </c>
      <c r="J4952" s="30">
        <f>IF(G4952&lt;$H$10,$H$16,IF(G4952&gt;$I$10,$H$16,$H$11))*E4952/600</f>
        <v>4.9587633333333337E-3</v>
      </c>
      <c r="L4952" s="32">
        <f>$J4952*($G4952-$G4951)*60*24</f>
        <v>4.9587633333333164E-3</v>
      </c>
    </row>
    <row r="4953" spans="1:12">
      <c r="A4953" s="22">
        <v>40314.071527777778</v>
      </c>
      <c r="E4953" s="26">
        <v>14.941940000000001</v>
      </c>
      <c r="G4953" s="27">
        <v>7.1527777777777787E-2</v>
      </c>
      <c r="J4953" s="30">
        <f>IF(G4953&lt;$H$10,$H$16,IF(G4953&gt;$I$10,$H$16,$H$11))*E4953/600</f>
        <v>4.9806466666666672E-3</v>
      </c>
      <c r="L4953" s="32">
        <f>$J4953*($G4953-$G4952)*60*24</f>
        <v>4.9806466666667496E-3</v>
      </c>
    </row>
    <row r="4954" spans="1:12">
      <c r="A4954" s="22">
        <v>40314.072222222225</v>
      </c>
      <c r="E4954" s="26">
        <v>14.935375000000001</v>
      </c>
      <c r="G4954" s="27">
        <v>7.2222222222222229E-2</v>
      </c>
      <c r="J4954" s="30">
        <f>IF(G4954&lt;$H$10,$H$16,IF(G4954&gt;$I$10,$H$16,$H$11))*E4954/600</f>
        <v>4.9784583333333339E-3</v>
      </c>
      <c r="L4954" s="32">
        <f>$J4954*($G4954-$G4953)*60*24</f>
        <v>4.9784583333333157E-3</v>
      </c>
    </row>
    <row r="4955" spans="1:12">
      <c r="A4955" s="22">
        <v>40314.072916666664</v>
      </c>
      <c r="E4955" s="26">
        <v>14.935375000000001</v>
      </c>
      <c r="G4955" s="27">
        <v>7.2916666666666671E-2</v>
      </c>
      <c r="J4955" s="30">
        <f>IF(G4955&lt;$H$10,$H$16,IF(G4955&gt;$I$10,$H$16,$H$11))*E4955/600</f>
        <v>4.9784583333333339E-3</v>
      </c>
      <c r="L4955" s="32">
        <f>$J4955*($G4955-$G4954)*60*24</f>
        <v>4.9784583333333157E-3</v>
      </c>
    </row>
    <row r="4956" spans="1:12">
      <c r="A4956" s="22">
        <v>40314.073611111111</v>
      </c>
      <c r="E4956" s="26">
        <v>14.922245</v>
      </c>
      <c r="G4956" s="27">
        <v>7.3611111111111113E-2</v>
      </c>
      <c r="J4956" s="30">
        <f>IF(G4956&lt;$H$10,$H$16,IF(G4956&gt;$I$10,$H$16,$H$11))*E4956/600</f>
        <v>4.9740816666666672E-3</v>
      </c>
      <c r="L4956" s="32">
        <f>$J4956*($G4956-$G4955)*60*24</f>
        <v>4.9740816666666498E-3</v>
      </c>
    </row>
    <row r="4957" spans="1:12">
      <c r="A4957" s="22">
        <v>40314.074305555558</v>
      </c>
      <c r="E4957" s="26">
        <v>14.909115</v>
      </c>
      <c r="G4957" s="27">
        <v>7.4305555555555555E-2</v>
      </c>
      <c r="J4957" s="30">
        <f>IF(G4957&lt;$H$10,$H$16,IF(G4957&gt;$I$10,$H$16,$H$11))*E4957/600</f>
        <v>4.9697050000000005E-3</v>
      </c>
      <c r="L4957" s="32">
        <f>$J4957*($G4957-$G4956)*60*24</f>
        <v>4.9697049999999831E-3</v>
      </c>
    </row>
    <row r="4958" spans="1:12">
      <c r="A4958" s="22">
        <v>40314.074999999997</v>
      </c>
      <c r="E4958" s="26">
        <v>14.895985</v>
      </c>
      <c r="G4958" s="27">
        <v>7.4999999999999997E-2</v>
      </c>
      <c r="J4958" s="30">
        <f>IF(G4958&lt;$H$10,$H$16,IF(G4958&gt;$I$10,$H$16,$H$11))*E4958/600</f>
        <v>4.9653283333333338E-3</v>
      </c>
      <c r="L4958" s="32">
        <f>$J4958*($G4958-$G4957)*60*24</f>
        <v>4.9653283333333164E-3</v>
      </c>
    </row>
    <row r="4959" spans="1:12">
      <c r="A4959" s="22">
        <v>40314.075694444444</v>
      </c>
      <c r="E4959" s="26">
        <v>15.09849</v>
      </c>
      <c r="G4959" s="27">
        <v>7.5694444444444439E-2</v>
      </c>
      <c r="J4959" s="30">
        <f>IF(G4959&lt;$H$10,$H$16,IF(G4959&gt;$I$10,$H$16,$H$11))*E4959/600</f>
        <v>5.0328300000000003E-3</v>
      </c>
      <c r="L4959" s="32">
        <f>$J4959*($G4959-$G4958)*60*24</f>
        <v>5.0328299999999821E-3</v>
      </c>
    </row>
    <row r="4960" spans="1:12">
      <c r="A4960" s="22">
        <v>40314.076388888891</v>
      </c>
      <c r="E4960" s="26">
        <v>14.810639999999999</v>
      </c>
      <c r="G4960" s="27">
        <v>7.6388888888888895E-2</v>
      </c>
      <c r="J4960" s="30">
        <f>IF(G4960&lt;$H$10,$H$16,IF(G4960&gt;$I$10,$H$16,$H$11))*E4960/600</f>
        <v>4.9368799999999994E-3</v>
      </c>
      <c r="L4960" s="32">
        <f>$J4960*($G4960-$G4959)*60*24</f>
        <v>4.9368800000000809E-3</v>
      </c>
    </row>
    <row r="4961" spans="1:12">
      <c r="A4961" s="22">
        <v>40314.07708333333</v>
      </c>
      <c r="E4961" s="26">
        <v>14.764685</v>
      </c>
      <c r="G4961" s="27">
        <v>7.7083333333333337E-2</v>
      </c>
      <c r="J4961" s="30">
        <f>IF(G4961&lt;$H$10,$H$16,IF(G4961&gt;$I$10,$H$16,$H$11))*E4961/600</f>
        <v>4.9215616666666677E-3</v>
      </c>
      <c r="L4961" s="32">
        <f>$J4961*($G4961-$G4960)*60*24</f>
        <v>4.9215616666666503E-3</v>
      </c>
    </row>
    <row r="4962" spans="1:12">
      <c r="A4962" s="22">
        <v>40314.077777777777</v>
      </c>
      <c r="E4962" s="26">
        <v>14.985168</v>
      </c>
      <c r="G4962" s="27">
        <v>7.7777777777777779E-2</v>
      </c>
      <c r="J4962" s="30">
        <f>IF(G4962&lt;$H$10,$H$16,IF(G4962&gt;$I$10,$H$16,$H$11))*E4962/600</f>
        <v>4.9950560000000003E-3</v>
      </c>
      <c r="L4962" s="32">
        <f>$J4962*($G4962-$G4961)*60*24</f>
        <v>4.995055999999983E-3</v>
      </c>
    </row>
    <row r="4963" spans="1:12">
      <c r="A4963" s="22">
        <v>40314.078472222223</v>
      </c>
      <c r="E4963" s="26">
        <v>15.031829999999999</v>
      </c>
      <c r="G4963" s="27">
        <v>7.8472222222222221E-2</v>
      </c>
      <c r="J4963" s="30">
        <f>IF(G4963&lt;$H$10,$H$16,IF(G4963&gt;$I$10,$H$16,$H$11))*E4963/600</f>
        <v>5.0106099999999995E-3</v>
      </c>
      <c r="L4963" s="32">
        <f>$J4963*($G4963-$G4962)*60*24</f>
        <v>5.0106099999999813E-3</v>
      </c>
    </row>
    <row r="4964" spans="1:12">
      <c r="A4964" s="22">
        <v>40314.07916666667</v>
      </c>
      <c r="E4964" s="26">
        <v>15.065160000000001</v>
      </c>
      <c r="G4964" s="27">
        <v>7.9166666666666663E-2</v>
      </c>
      <c r="J4964" s="30">
        <f>IF(G4964&lt;$H$10,$H$16,IF(G4964&gt;$I$10,$H$16,$H$11))*E4964/600</f>
        <v>5.0217200000000004E-3</v>
      </c>
      <c r="L4964" s="32">
        <f>$J4964*($G4964-$G4963)*60*24</f>
        <v>5.021719999999983E-3</v>
      </c>
    </row>
    <row r="4965" spans="1:12">
      <c r="A4965" s="22">
        <v>40314.079861111109</v>
      </c>
      <c r="E4965" s="26">
        <v>14.8369</v>
      </c>
      <c r="G4965" s="27">
        <v>7.9861111111111105E-2</v>
      </c>
      <c r="J4965" s="30">
        <f>IF(G4965&lt;$H$10,$H$16,IF(G4965&gt;$I$10,$H$16,$H$11))*E4965/600</f>
        <v>4.9456333333333337E-3</v>
      </c>
      <c r="L4965" s="32">
        <f>$J4965*($G4965-$G4964)*60*24</f>
        <v>4.9456333333333154E-3</v>
      </c>
    </row>
    <row r="4966" spans="1:12">
      <c r="A4966" s="22">
        <v>40314.080555555556</v>
      </c>
      <c r="E4966" s="26">
        <v>14.90255</v>
      </c>
      <c r="G4966" s="27">
        <v>8.0555555555555561E-2</v>
      </c>
      <c r="J4966" s="30">
        <f>IF(G4966&lt;$H$10,$H$16,IF(G4966&gt;$I$10,$H$16,$H$11))*E4966/600</f>
        <v>4.9675166666666671E-3</v>
      </c>
      <c r="L4966" s="32">
        <f>$J4966*($G4966-$G4965)*60*24</f>
        <v>4.9675166666667495E-3</v>
      </c>
    </row>
    <row r="4967" spans="1:12">
      <c r="A4967" s="22">
        <v>40314.081250000003</v>
      </c>
      <c r="E4967" s="26">
        <v>14.91568</v>
      </c>
      <c r="G4967" s="27">
        <v>8.1250000000000003E-2</v>
      </c>
      <c r="J4967" s="30">
        <f>IF(G4967&lt;$H$10,$H$16,IF(G4967&gt;$I$10,$H$16,$H$11))*E4967/600</f>
        <v>4.971893333333333E-3</v>
      </c>
      <c r="L4967" s="32">
        <f>$J4967*($G4967-$G4966)*60*24</f>
        <v>4.9718933333333156E-3</v>
      </c>
    </row>
    <row r="4968" spans="1:12">
      <c r="A4968" s="22">
        <v>40314.081944444442</v>
      </c>
      <c r="E4968" s="26">
        <v>14.8005</v>
      </c>
      <c r="G4968" s="27">
        <v>8.1944444444444445E-2</v>
      </c>
      <c r="J4968" s="30">
        <f>IF(G4968&lt;$H$10,$H$16,IF(G4968&gt;$I$10,$H$16,$H$11))*E4968/600</f>
        <v>4.9335000000000004E-3</v>
      </c>
      <c r="L4968" s="32">
        <f>$J4968*($G4968-$G4967)*60*24</f>
        <v>4.933499999999983E-3</v>
      </c>
    </row>
    <row r="4969" spans="1:12">
      <c r="A4969" s="22">
        <v>40314.082638888889</v>
      </c>
      <c r="E4969" s="26">
        <v>14.7875</v>
      </c>
      <c r="G4969" s="27">
        <v>8.2638888888888887E-2</v>
      </c>
      <c r="J4969" s="30">
        <f>IF(G4969&lt;$H$10,$H$16,IF(G4969&gt;$I$10,$H$16,$H$11))*E4969/600</f>
        <v>4.9291666666666668E-3</v>
      </c>
      <c r="L4969" s="32">
        <f>$J4969*($G4969-$G4968)*60*24</f>
        <v>4.9291666666666494E-3</v>
      </c>
    </row>
    <row r="4970" spans="1:12">
      <c r="A4970" s="22">
        <v>40314.083333333336</v>
      </c>
      <c r="E4970" s="26">
        <v>14.889419999999999</v>
      </c>
      <c r="G4970" s="27">
        <v>8.3333333333333329E-2</v>
      </c>
      <c r="J4970" s="30">
        <f>IF(G4970&lt;$H$10,$H$16,IF(G4970&gt;$I$10,$H$16,$H$11))*E4970/600</f>
        <v>4.9631399999999996E-3</v>
      </c>
      <c r="L4970" s="32">
        <f>$J4970*($G4970-$G4969)*60*24</f>
        <v>4.9631399999999822E-3</v>
      </c>
    </row>
    <row r="4971" spans="1:12">
      <c r="A4971" s="22">
        <v>40314.084027777775</v>
      </c>
      <c r="E4971" s="26">
        <v>14.882854999999999</v>
      </c>
      <c r="G4971" s="27">
        <v>8.4027777777777771E-2</v>
      </c>
      <c r="J4971" s="30">
        <f>IF(G4971&lt;$H$10,$H$16,IF(G4971&gt;$I$10,$H$16,$H$11))*E4971/600</f>
        <v>4.9609516666666662E-3</v>
      </c>
      <c r="L4971" s="32">
        <f>$J4971*($G4971-$G4970)*60*24</f>
        <v>4.9609516666666489E-3</v>
      </c>
    </row>
    <row r="4972" spans="1:12">
      <c r="A4972" s="22">
        <v>40314.084722222222</v>
      </c>
      <c r="E4972" s="26">
        <v>14.843465</v>
      </c>
      <c r="G4972" s="27">
        <v>8.4722222222222213E-2</v>
      </c>
      <c r="J4972" s="30">
        <f>IF(G4972&lt;$H$10,$H$16,IF(G4972&gt;$I$10,$H$16,$H$11))*E4972/600</f>
        <v>4.947821666666667E-3</v>
      </c>
      <c r="L4972" s="32">
        <f>$J4972*($G4972-$G4971)*60*24</f>
        <v>4.9478216666666488E-3</v>
      </c>
    </row>
    <row r="4973" spans="1:12">
      <c r="A4973" s="22">
        <v>40314.085416666669</v>
      </c>
      <c r="E4973" s="26">
        <v>14.889419999999999</v>
      </c>
      <c r="G4973" s="27">
        <v>8.5416666666666655E-2</v>
      </c>
      <c r="J4973" s="30">
        <f>IF(G4973&lt;$H$10,$H$16,IF(G4973&gt;$I$10,$H$16,$H$11))*E4973/600</f>
        <v>4.9631399999999996E-3</v>
      </c>
      <c r="L4973" s="32">
        <f>$J4973*($G4973-$G4972)*60*24</f>
        <v>4.9631399999999822E-3</v>
      </c>
    </row>
    <row r="4974" spans="1:12">
      <c r="A4974" s="22">
        <v>40314.086111111108</v>
      </c>
      <c r="E4974" s="26">
        <v>14.9682</v>
      </c>
      <c r="G4974" s="27">
        <v>8.6111111111111124E-2</v>
      </c>
      <c r="J4974" s="30">
        <f>IF(G4974&lt;$H$10,$H$16,IF(G4974&gt;$I$10,$H$16,$H$11))*E4974/600</f>
        <v>4.9893999999999997E-3</v>
      </c>
      <c r="L4974" s="32">
        <f>$J4974*($G4974-$G4973)*60*24</f>
        <v>4.9894000000001819E-3</v>
      </c>
    </row>
    <row r="4975" spans="1:12">
      <c r="A4975" s="22">
        <v>40314.086805555555</v>
      </c>
      <c r="E4975" s="26">
        <v>15.027284999999999</v>
      </c>
      <c r="G4975" s="27">
        <v>8.6805555555555566E-2</v>
      </c>
      <c r="J4975" s="30">
        <f>IF(G4975&lt;$H$10,$H$16,IF(G4975&gt;$I$10,$H$16,$H$11))*E4975/600</f>
        <v>5.0090949999999999E-3</v>
      </c>
      <c r="L4975" s="32">
        <f>$J4975*($G4975-$G4974)*60*24</f>
        <v>5.0090949999999825E-3</v>
      </c>
    </row>
    <row r="4976" spans="1:12">
      <c r="A4976" s="22">
        <v>40314.087500000001</v>
      </c>
      <c r="E4976" s="26">
        <v>15.040414999999999</v>
      </c>
      <c r="G4976" s="27">
        <v>8.7500000000000008E-2</v>
      </c>
      <c r="J4976" s="30">
        <f>IF(G4976&lt;$H$10,$H$16,IF(G4976&gt;$I$10,$H$16,$H$11))*E4976/600</f>
        <v>5.0134716666666666E-3</v>
      </c>
      <c r="L4976" s="32">
        <f>$J4976*($G4976-$G4975)*60*24</f>
        <v>5.0134716666666492E-3</v>
      </c>
    </row>
    <row r="4977" spans="1:12">
      <c r="A4977" s="22">
        <v>40314.088194444441</v>
      </c>
      <c r="E4977" s="26">
        <v>14.885</v>
      </c>
      <c r="G4977" s="27">
        <v>8.819444444444445E-2</v>
      </c>
      <c r="J4977" s="30">
        <f>IF(G4977&lt;$H$10,$H$16,IF(G4977&gt;$I$10,$H$16,$H$11))*E4977/600</f>
        <v>4.9616666666666672E-3</v>
      </c>
      <c r="L4977" s="32">
        <f>$J4977*($G4977-$G4976)*60*24</f>
        <v>4.961666666666649E-3</v>
      </c>
    </row>
    <row r="4978" spans="1:12">
      <c r="A4978" s="22">
        <v>40314.088888888888</v>
      </c>
      <c r="E4978" s="26">
        <v>14.872</v>
      </c>
      <c r="G4978" s="27">
        <v>8.8888888888888892E-2</v>
      </c>
      <c r="J4978" s="30">
        <f>IF(G4978&lt;$H$10,$H$16,IF(G4978&gt;$I$10,$H$16,$H$11))*E4978/600</f>
        <v>4.9573333333333336E-3</v>
      </c>
      <c r="L4978" s="32">
        <f>$J4978*($G4978-$G4977)*60*24</f>
        <v>4.9573333333333153E-3</v>
      </c>
    </row>
    <row r="4979" spans="1:12">
      <c r="A4979" s="22">
        <v>40314.089583333334</v>
      </c>
      <c r="E4979" s="26">
        <v>14.833</v>
      </c>
      <c r="G4979" s="27">
        <v>8.9583333333333334E-2</v>
      </c>
      <c r="J4979" s="30">
        <f>IF(G4979&lt;$H$10,$H$16,IF(G4979&gt;$I$10,$H$16,$H$11))*E4979/600</f>
        <v>4.9443333333333336E-3</v>
      </c>
      <c r="L4979" s="32">
        <f>$J4979*($G4979-$G4978)*60*24</f>
        <v>4.9443333333333154E-3</v>
      </c>
    </row>
    <row r="4980" spans="1:12">
      <c r="A4980" s="22">
        <v>40314.090277777781</v>
      </c>
      <c r="E4980" s="26">
        <v>14.935375000000001</v>
      </c>
      <c r="G4980" s="27">
        <v>9.0277777777777776E-2</v>
      </c>
      <c r="J4980" s="30">
        <f>IF(G4980&lt;$H$10,$H$16,IF(G4980&gt;$I$10,$H$16,$H$11))*E4980/600</f>
        <v>4.9784583333333339E-3</v>
      </c>
      <c r="L4980" s="32">
        <f>$J4980*($G4980-$G4979)*60*24</f>
        <v>4.9784583333333157E-3</v>
      </c>
    </row>
    <row r="4981" spans="1:12">
      <c r="A4981" s="22">
        <v>40314.09097222222</v>
      </c>
      <c r="E4981" s="26">
        <v>14.876289999999999</v>
      </c>
      <c r="G4981" s="27">
        <v>9.0972222222222218E-2</v>
      </c>
      <c r="J4981" s="30">
        <f>IF(G4981&lt;$H$10,$H$16,IF(G4981&gt;$I$10,$H$16,$H$11))*E4981/600</f>
        <v>4.9587633333333337E-3</v>
      </c>
      <c r="L4981" s="32">
        <f>$J4981*($G4981-$G4980)*60*24</f>
        <v>4.9587633333333164E-3</v>
      </c>
    </row>
    <row r="4982" spans="1:12">
      <c r="A4982" s="22">
        <v>40314.091666666667</v>
      </c>
      <c r="E4982" s="26">
        <v>14.7615</v>
      </c>
      <c r="G4982" s="27">
        <v>9.1666666666666674E-2</v>
      </c>
      <c r="J4982" s="30">
        <f>IF(G4982&lt;$H$10,$H$16,IF(G4982&gt;$I$10,$H$16,$H$11))*E4982/600</f>
        <v>4.9205000000000004E-3</v>
      </c>
      <c r="L4982" s="32">
        <f>$J4982*($G4982-$G4981)*60*24</f>
        <v>4.9205000000000811E-3</v>
      </c>
    </row>
    <row r="4983" spans="1:12">
      <c r="A4983" s="22">
        <v>40314.092361111114</v>
      </c>
      <c r="E4983" s="26">
        <v>14.794</v>
      </c>
      <c r="G4983" s="27">
        <v>9.2361111111111116E-2</v>
      </c>
      <c r="J4983" s="30">
        <f>IF(G4983&lt;$H$10,$H$16,IF(G4983&gt;$I$10,$H$16,$H$11))*E4983/600</f>
        <v>4.9313333333333336E-3</v>
      </c>
      <c r="L4983" s="32">
        <f>$J4983*($G4983-$G4982)*60*24</f>
        <v>4.9313333333333162E-3</v>
      </c>
    </row>
    <row r="4984" spans="1:12">
      <c r="A4984" s="22">
        <v>40314.093055555553</v>
      </c>
      <c r="E4984" s="26">
        <v>14.852499999999999</v>
      </c>
      <c r="G4984" s="27">
        <v>9.3055555555555558E-2</v>
      </c>
      <c r="J4984" s="30">
        <f>IF(G4984&lt;$H$10,$H$16,IF(G4984&gt;$I$10,$H$16,$H$11))*E4984/600</f>
        <v>4.9508333333333331E-3</v>
      </c>
      <c r="L4984" s="32">
        <f>$J4984*($G4984-$G4983)*60*24</f>
        <v>4.9508333333333158E-3</v>
      </c>
    </row>
    <row r="4985" spans="1:12">
      <c r="A4985" s="22">
        <v>40314.09375</v>
      </c>
      <c r="E4985" s="26">
        <v>15.133800000000001</v>
      </c>
      <c r="G4985" s="27">
        <v>9.375E-2</v>
      </c>
      <c r="J4985" s="30">
        <f>IF(G4985&lt;$H$10,$H$16,IF(G4985&gt;$I$10,$H$16,$H$11))*E4985/600</f>
        <v>5.0446000000000006E-3</v>
      </c>
      <c r="L4985" s="32">
        <f>$J4985*($G4985-$G4984)*60*24</f>
        <v>5.0445999999999833E-3</v>
      </c>
    </row>
    <row r="4986" spans="1:12">
      <c r="A4986" s="22">
        <v>40314.094444444447</v>
      </c>
      <c r="E4986" s="26">
        <v>14.865500000000001</v>
      </c>
      <c r="G4986" s="27">
        <v>9.4444444444444442E-2</v>
      </c>
      <c r="J4986" s="30">
        <f>IF(G4986&lt;$H$10,$H$16,IF(G4986&gt;$I$10,$H$16,$H$11))*E4986/600</f>
        <v>4.9551666666666676E-3</v>
      </c>
      <c r="L4986" s="32">
        <f>$J4986*($G4986-$G4985)*60*24</f>
        <v>4.9551666666666494E-3</v>
      </c>
    </row>
    <row r="4987" spans="1:12">
      <c r="A4987" s="22">
        <v>40314.095138888886</v>
      </c>
      <c r="E4987" s="26">
        <v>14.852499999999999</v>
      </c>
      <c r="G4987" s="27">
        <v>9.5138888888888884E-2</v>
      </c>
      <c r="J4987" s="30">
        <f>IF(G4987&lt;$H$10,$H$16,IF(G4987&gt;$I$10,$H$16,$H$11))*E4987/600</f>
        <v>4.9508333333333331E-3</v>
      </c>
      <c r="L4987" s="32">
        <f>$J4987*($G4987-$G4986)*60*24</f>
        <v>4.9508333333333158E-3</v>
      </c>
    </row>
    <row r="4988" spans="1:12">
      <c r="A4988" s="22">
        <v>40314.095833333333</v>
      </c>
      <c r="E4988" s="26">
        <v>14.885</v>
      </c>
      <c r="G4988" s="27">
        <v>9.5833333333333326E-2</v>
      </c>
      <c r="J4988" s="30">
        <f>IF(G4988&lt;$H$10,$H$16,IF(G4988&gt;$I$10,$H$16,$H$11))*E4988/600</f>
        <v>4.9616666666666672E-3</v>
      </c>
      <c r="L4988" s="32">
        <f>$J4988*($G4988-$G4987)*60*24</f>
        <v>4.961666666666649E-3</v>
      </c>
    </row>
    <row r="4989" spans="1:12">
      <c r="A4989" s="22">
        <v>40314.09652777778</v>
      </c>
      <c r="E4989" s="26">
        <v>15.1404</v>
      </c>
      <c r="G4989" s="27">
        <v>9.6527777777777768E-2</v>
      </c>
      <c r="J4989" s="30">
        <f>IF(G4989&lt;$H$10,$H$16,IF(G4989&gt;$I$10,$H$16,$H$11))*E4989/600</f>
        <v>5.0468000000000006E-3</v>
      </c>
      <c r="L4989" s="32">
        <f>$J4989*($G4989-$G4988)*60*24</f>
        <v>5.0467999999999824E-3</v>
      </c>
    </row>
    <row r="4990" spans="1:12">
      <c r="A4990" s="22">
        <v>40314.097222222219</v>
      </c>
      <c r="E4990" s="26">
        <v>14.95</v>
      </c>
      <c r="G4990" s="27">
        <v>9.7222222222222224E-2</v>
      </c>
      <c r="J4990" s="30">
        <f>IF(G4990&lt;$H$10,$H$16,IF(G4990&gt;$I$10,$H$16,$H$11))*E4990/600</f>
        <v>4.9833333333333335E-3</v>
      </c>
      <c r="L4990" s="32">
        <f>$J4990*($G4990-$G4989)*60*24</f>
        <v>4.9833333333334151E-3</v>
      </c>
    </row>
    <row r="4991" spans="1:12">
      <c r="A4991" s="22">
        <v>40314.097916666666</v>
      </c>
      <c r="E4991" s="26">
        <v>15.193199999999999</v>
      </c>
      <c r="G4991" s="27">
        <v>9.7916666666666666E-2</v>
      </c>
      <c r="J4991" s="30">
        <f>IF(G4991&lt;$H$10,$H$16,IF(G4991&gt;$I$10,$H$16,$H$11))*E4991/600</f>
        <v>5.0644000000000002E-3</v>
      </c>
      <c r="L4991" s="32">
        <f>$J4991*($G4991-$G4990)*60*24</f>
        <v>5.0643999999999819E-3</v>
      </c>
    </row>
    <row r="4992" spans="1:12">
      <c r="A4992" s="22">
        <v>40314.098611111112</v>
      </c>
      <c r="E4992" s="26">
        <v>14.9175</v>
      </c>
      <c r="G4992" s="27">
        <v>9.8611111111111108E-2</v>
      </c>
      <c r="J4992" s="30">
        <f>IF(G4992&lt;$H$10,$H$16,IF(G4992&gt;$I$10,$H$16,$H$11))*E4992/600</f>
        <v>4.9725000000000004E-3</v>
      </c>
      <c r="L4992" s="32">
        <f>$J4992*($G4992-$G4991)*60*24</f>
        <v>4.9724999999999821E-3</v>
      </c>
    </row>
    <row r="4993" spans="1:12">
      <c r="A4993" s="22">
        <v>40314.099305555559</v>
      </c>
      <c r="E4993" s="26">
        <v>15.193199999999999</v>
      </c>
      <c r="G4993" s="27">
        <v>9.930555555555555E-2</v>
      </c>
      <c r="J4993" s="30">
        <f>IF(G4993&lt;$H$10,$H$16,IF(G4993&gt;$I$10,$H$16,$H$11))*E4993/600</f>
        <v>5.0644000000000002E-3</v>
      </c>
      <c r="L4993" s="32">
        <f>$J4993*($G4993-$G4992)*60*24</f>
        <v>5.0643999999999819E-3</v>
      </c>
    </row>
    <row r="4994" spans="1:12">
      <c r="A4994" s="22">
        <v>40314.1</v>
      </c>
      <c r="E4994" s="26">
        <v>15.1866</v>
      </c>
      <c r="G4994" s="27">
        <v>9.9999999999999992E-2</v>
      </c>
      <c r="J4994" s="30">
        <f>IF(G4994&lt;$H$10,$H$16,IF(G4994&gt;$I$10,$H$16,$H$11))*E4994/600</f>
        <v>5.0622000000000002E-3</v>
      </c>
      <c r="L4994" s="32">
        <f>$J4994*($G4994-$G4993)*60*24</f>
        <v>5.062199999999982E-3</v>
      </c>
    </row>
    <row r="4995" spans="1:12">
      <c r="A4995" s="22">
        <v>40314.100694444445</v>
      </c>
      <c r="E4995" s="26">
        <v>15.2196</v>
      </c>
      <c r="G4995" s="27">
        <v>0.10069444444444443</v>
      </c>
      <c r="J4995" s="30">
        <f>IF(G4995&lt;$H$10,$H$16,IF(G4995&gt;$I$10,$H$16,$H$11))*E4995/600</f>
        <v>5.0731999999999999E-3</v>
      </c>
      <c r="L4995" s="32">
        <f>$J4995*($G4995-$G4994)*60*24</f>
        <v>5.0731999999999817E-3</v>
      </c>
    </row>
    <row r="4996" spans="1:12">
      <c r="A4996" s="22">
        <v>40314.101388888892</v>
      </c>
      <c r="E4996" s="26">
        <v>15.054335999999999</v>
      </c>
      <c r="G4996" s="27">
        <v>0.1013888888888889</v>
      </c>
      <c r="J4996" s="30">
        <f>IF(G4996&lt;$H$10,$H$16,IF(G4996&gt;$I$10,$H$16,$H$11))*E4996/600</f>
        <v>5.0181119999999999E-3</v>
      </c>
      <c r="L4996" s="32">
        <f>$J4996*($G4996-$G4995)*60*24</f>
        <v>5.0181120000001821E-3</v>
      </c>
    </row>
    <row r="4997" spans="1:12">
      <c r="A4997" s="22">
        <v>40314.102083333331</v>
      </c>
      <c r="E4997" s="26">
        <v>15.193199999999999</v>
      </c>
      <c r="G4997" s="27">
        <v>0.10208333333333335</v>
      </c>
      <c r="J4997" s="30">
        <f>IF(G4997&lt;$H$10,$H$16,IF(G4997&gt;$I$10,$H$16,$H$11))*E4997/600</f>
        <v>5.0644000000000002E-3</v>
      </c>
      <c r="L4997" s="32">
        <f>$J4997*($G4997-$G4996)*60*24</f>
        <v>5.0643999999999819E-3</v>
      </c>
    </row>
    <row r="4998" spans="1:12">
      <c r="A4998" s="22">
        <v>40314.102777777778</v>
      </c>
      <c r="E4998" s="26">
        <v>15.2064</v>
      </c>
      <c r="G4998" s="27">
        <v>0.10277777777777779</v>
      </c>
      <c r="J4998" s="30">
        <f>IF(G4998&lt;$H$10,$H$16,IF(G4998&gt;$I$10,$H$16,$H$11))*E4998/600</f>
        <v>5.0688000000000009E-3</v>
      </c>
      <c r="L4998" s="32">
        <f>$J4998*($G4998-$G4997)*60*24</f>
        <v>5.0687999999999836E-3</v>
      </c>
    </row>
    <row r="4999" spans="1:12">
      <c r="A4999" s="22">
        <v>40314.103472222225</v>
      </c>
      <c r="E4999" s="26">
        <v>15.193199999999999</v>
      </c>
      <c r="G4999" s="27">
        <v>0.10347222222222223</v>
      </c>
      <c r="J4999" s="30">
        <f>IF(G4999&lt;$H$10,$H$16,IF(G4999&gt;$I$10,$H$16,$H$11))*E4999/600</f>
        <v>5.0644000000000002E-3</v>
      </c>
      <c r="L4999" s="32">
        <f>$J4999*($G4999-$G4998)*60*24</f>
        <v>5.0643999999999819E-3</v>
      </c>
    </row>
    <row r="5000" spans="1:12">
      <c r="A5000" s="22">
        <v>40314.104166666664</v>
      </c>
      <c r="E5000" s="26">
        <v>15.1866</v>
      </c>
      <c r="G5000" s="27">
        <v>0.10416666666666667</v>
      </c>
      <c r="J5000" s="30">
        <f>IF(G5000&lt;$H$10,$H$16,IF(G5000&gt;$I$10,$H$16,$H$11))*E5000/600</f>
        <v>5.0622000000000002E-3</v>
      </c>
      <c r="L5000" s="32">
        <f>$J5000*($G5000-$G4999)*60*24</f>
        <v>5.062199999999982E-3</v>
      </c>
    </row>
    <row r="5001" spans="1:12">
      <c r="A5001" s="22">
        <v>40314.104861111111</v>
      </c>
      <c r="E5001" s="26">
        <v>15.1602</v>
      </c>
      <c r="G5001" s="27">
        <v>0.10486111111111111</v>
      </c>
      <c r="J5001" s="30">
        <f>IF(G5001&lt;$H$10,$H$16,IF(G5001&gt;$I$10,$H$16,$H$11))*E5001/600</f>
        <v>5.0534000000000004E-3</v>
      </c>
      <c r="L5001" s="32">
        <f>$J5001*($G5001-$G5000)*60*24</f>
        <v>5.0533999999999822E-3</v>
      </c>
    </row>
    <row r="5002" spans="1:12">
      <c r="A5002" s="22">
        <v>40314.105555555558</v>
      </c>
      <c r="E5002" s="26">
        <v>14.904500000000001</v>
      </c>
      <c r="G5002" s="27">
        <v>0.10555555555555556</v>
      </c>
      <c r="J5002" s="30">
        <f>IF(G5002&lt;$H$10,$H$16,IF(G5002&gt;$I$10,$H$16,$H$11))*E5002/600</f>
        <v>4.9681666666666667E-3</v>
      </c>
      <c r="L5002" s="32">
        <f>$J5002*($G5002-$G5001)*60*24</f>
        <v>4.9681666666666485E-3</v>
      </c>
    </row>
    <row r="5003" spans="1:12">
      <c r="A5003" s="22">
        <v>40314.106249999997</v>
      </c>
      <c r="E5003" s="26">
        <v>14.898</v>
      </c>
      <c r="G5003" s="27">
        <v>0.10625</v>
      </c>
      <c r="J5003" s="30">
        <f>IF(G5003&lt;$H$10,$H$16,IF(G5003&gt;$I$10,$H$16,$H$11))*E5003/600</f>
        <v>4.9659999999999999E-3</v>
      </c>
      <c r="L5003" s="32">
        <f>$J5003*($G5003-$G5002)*60*24</f>
        <v>4.9659999999999817E-3</v>
      </c>
    </row>
    <row r="5004" spans="1:12">
      <c r="A5004" s="22">
        <v>40314.106944444444</v>
      </c>
      <c r="E5004" s="26">
        <v>14.878500000000001</v>
      </c>
      <c r="G5004" s="27">
        <v>0.10694444444444444</v>
      </c>
      <c r="J5004" s="30">
        <f>IF(G5004&lt;$H$10,$H$16,IF(G5004&gt;$I$10,$H$16,$H$11))*E5004/600</f>
        <v>4.9595000000000004E-3</v>
      </c>
      <c r="L5004" s="32">
        <f>$J5004*($G5004-$G5003)*60*24</f>
        <v>4.959499999999983E-3</v>
      </c>
    </row>
    <row r="5005" spans="1:12">
      <c r="A5005" s="22">
        <v>40314.107638888891</v>
      </c>
      <c r="E5005" s="26">
        <v>14.878500000000001</v>
      </c>
      <c r="G5005" s="27">
        <v>0.1076388888888889</v>
      </c>
      <c r="J5005" s="30">
        <f>IF(G5005&lt;$H$10,$H$16,IF(G5005&gt;$I$10,$H$16,$H$11))*E5005/600</f>
        <v>4.9595000000000004E-3</v>
      </c>
      <c r="L5005" s="32">
        <f>$J5005*($G5005-$G5004)*60*24</f>
        <v>4.9595000000000819E-3</v>
      </c>
    </row>
    <row r="5006" spans="1:12">
      <c r="A5006" s="22">
        <v>40314.10833333333</v>
      </c>
      <c r="E5006" s="26">
        <v>15.153600000000001</v>
      </c>
      <c r="G5006" s="27">
        <v>0.10833333333333334</v>
      </c>
      <c r="J5006" s="30">
        <f>IF(G5006&lt;$H$10,$H$16,IF(G5006&gt;$I$10,$H$16,$H$11))*E5006/600</f>
        <v>5.0512000000000005E-3</v>
      </c>
      <c r="L5006" s="32">
        <f>$J5006*($G5006-$G5005)*60*24</f>
        <v>5.0511999999999831E-3</v>
      </c>
    </row>
    <row r="5007" spans="1:12">
      <c r="A5007" s="22">
        <v>40314.109027777777</v>
      </c>
      <c r="E5007" s="26">
        <v>14.981999999999999</v>
      </c>
      <c r="G5007" s="27">
        <v>0.10902777777777778</v>
      </c>
      <c r="J5007" s="30">
        <f>IF(G5007&lt;$H$10,$H$16,IF(G5007&gt;$I$10,$H$16,$H$11))*E5007/600</f>
        <v>4.9940000000000002E-3</v>
      </c>
      <c r="L5007" s="32">
        <f>$J5007*($G5007-$G5006)*60*24</f>
        <v>4.993999999999982E-3</v>
      </c>
    </row>
    <row r="5008" spans="1:12">
      <c r="A5008" s="22">
        <v>40314.109722222223</v>
      </c>
      <c r="E5008" s="26">
        <v>14.882999999999999</v>
      </c>
      <c r="G5008" s="27">
        <v>0.10972222222222222</v>
      </c>
      <c r="J5008" s="30">
        <f>IF(G5008&lt;$H$10,$H$16,IF(G5008&gt;$I$10,$H$16,$H$11))*E5008/600</f>
        <v>4.9610000000000001E-3</v>
      </c>
      <c r="L5008" s="32">
        <f>$J5008*($G5008-$G5007)*60*24</f>
        <v>4.9609999999999819E-3</v>
      </c>
    </row>
    <row r="5009" spans="1:12">
      <c r="A5009" s="22">
        <v>40314.11041666667</v>
      </c>
      <c r="E5009" s="26">
        <v>14.9985</v>
      </c>
      <c r="G5009" s="27">
        <v>0.11041666666666666</v>
      </c>
      <c r="J5009" s="30">
        <f>IF(G5009&lt;$H$10,$H$16,IF(G5009&gt;$I$10,$H$16,$H$11))*E5009/600</f>
        <v>4.9995000000000005E-3</v>
      </c>
      <c r="L5009" s="32">
        <f>$J5009*($G5009-$G5008)*60*24</f>
        <v>4.9994999999999823E-3</v>
      </c>
    </row>
    <row r="5010" spans="1:12">
      <c r="A5010" s="22">
        <v>40314.111111111109</v>
      </c>
      <c r="E5010" s="26">
        <v>14.985168</v>
      </c>
      <c r="G5010" s="27">
        <v>0.1111111111111111</v>
      </c>
      <c r="J5010" s="30">
        <f>IF(G5010&lt;$H$10,$H$16,IF(G5010&gt;$I$10,$H$16,$H$11))*E5010/600</f>
        <v>4.9950560000000003E-3</v>
      </c>
      <c r="L5010" s="32">
        <f>$J5010*($G5010-$G5009)*60*24</f>
        <v>4.995055999999983E-3</v>
      </c>
    </row>
    <row r="5011" spans="1:12">
      <c r="A5011" s="22">
        <v>40314.111805555556</v>
      </c>
      <c r="E5011" s="26">
        <v>15.025164</v>
      </c>
      <c r="G5011" s="27">
        <v>0.11180555555555556</v>
      </c>
      <c r="J5011" s="30">
        <f>IF(G5011&lt;$H$10,$H$16,IF(G5011&gt;$I$10,$H$16,$H$11))*E5011/600</f>
        <v>5.0083880000000008E-3</v>
      </c>
      <c r="L5011" s="32">
        <f>$J5011*($G5011-$G5010)*60*24</f>
        <v>5.008388000000084E-3</v>
      </c>
    </row>
    <row r="5012" spans="1:12">
      <c r="A5012" s="22">
        <v>40314.112500000003</v>
      </c>
      <c r="E5012" s="26">
        <v>15.005165999999999</v>
      </c>
      <c r="G5012" s="27">
        <v>0.1125</v>
      </c>
      <c r="J5012" s="30">
        <f>IF(G5012&lt;$H$10,$H$16,IF(G5012&gt;$I$10,$H$16,$H$11))*E5012/600</f>
        <v>5.0017220000000001E-3</v>
      </c>
      <c r="L5012" s="32">
        <f>$J5012*($G5012-$G5011)*60*24</f>
        <v>5.0017219999999819E-3</v>
      </c>
    </row>
    <row r="5013" spans="1:12">
      <c r="A5013" s="22">
        <v>40314.113194444442</v>
      </c>
      <c r="E5013" s="26">
        <v>14.9985</v>
      </c>
      <c r="G5013" s="27">
        <v>0.11319444444444444</v>
      </c>
      <c r="J5013" s="30">
        <f>IF(G5013&lt;$H$10,$H$16,IF(G5013&gt;$I$10,$H$16,$H$11))*E5013/600</f>
        <v>4.9995000000000005E-3</v>
      </c>
      <c r="L5013" s="32">
        <f>$J5013*($G5013-$G5012)*60*24</f>
        <v>4.9994999999999823E-3</v>
      </c>
    </row>
    <row r="5014" spans="1:12">
      <c r="A5014" s="22">
        <v>40314.113888888889</v>
      </c>
      <c r="E5014" s="26">
        <v>14.991834000000001</v>
      </c>
      <c r="G5014" s="27">
        <v>0.11388888888888889</v>
      </c>
      <c r="J5014" s="30">
        <f>IF(G5014&lt;$H$10,$H$16,IF(G5014&gt;$I$10,$H$16,$H$11))*E5014/600</f>
        <v>4.9972780000000008E-3</v>
      </c>
      <c r="L5014" s="32">
        <f>$J5014*($G5014-$G5013)*60*24</f>
        <v>4.9972779999999835E-3</v>
      </c>
    </row>
    <row r="5015" spans="1:12">
      <c r="A5015" s="22">
        <v>40314.114583333336</v>
      </c>
      <c r="E5015" s="26">
        <v>14.8566</v>
      </c>
      <c r="G5015" s="27">
        <v>0.11458333333333333</v>
      </c>
      <c r="J5015" s="30">
        <f>IF(G5015&lt;$H$10,$H$16,IF(G5015&gt;$I$10,$H$16,$H$11))*E5015/600</f>
        <v>4.9522000000000004E-3</v>
      </c>
      <c r="L5015" s="32">
        <f>$J5015*($G5015-$G5014)*60*24</f>
        <v>4.952199999999983E-3</v>
      </c>
    </row>
    <row r="5016" spans="1:12">
      <c r="A5016" s="22">
        <v>40314.115277777775</v>
      </c>
      <c r="E5016" s="26">
        <v>14.8698</v>
      </c>
      <c r="G5016" s="27">
        <v>0.11527777777777777</v>
      </c>
      <c r="J5016" s="30">
        <f>IF(G5016&lt;$H$10,$H$16,IF(G5016&gt;$I$10,$H$16,$H$11))*E5016/600</f>
        <v>4.9566000000000002E-3</v>
      </c>
      <c r="L5016" s="32">
        <f>$J5016*($G5016-$G5015)*60*24</f>
        <v>4.9565999999999829E-3</v>
      </c>
    </row>
    <row r="5017" spans="1:12">
      <c r="A5017" s="22">
        <v>40314.115972222222</v>
      </c>
      <c r="E5017" s="26">
        <v>14.965170000000001</v>
      </c>
      <c r="G5017" s="27">
        <v>0.11597222222222221</v>
      </c>
      <c r="J5017" s="30">
        <f>IF(G5017&lt;$H$10,$H$16,IF(G5017&gt;$I$10,$H$16,$H$11))*E5017/600</f>
        <v>4.9883900000000005E-3</v>
      </c>
      <c r="L5017" s="32">
        <f>$J5017*($G5017-$G5016)*60*24</f>
        <v>4.9883899999999832E-3</v>
      </c>
    </row>
    <row r="5018" spans="1:12">
      <c r="A5018" s="22">
        <v>40314.116666666669</v>
      </c>
      <c r="E5018" s="26">
        <v>14.9094</v>
      </c>
      <c r="G5018" s="27">
        <v>0.11666666666666665</v>
      </c>
      <c r="J5018" s="30">
        <f>IF(G5018&lt;$H$10,$H$16,IF(G5018&gt;$I$10,$H$16,$H$11))*E5018/600</f>
        <v>4.9698000000000008E-3</v>
      </c>
      <c r="L5018" s="32">
        <f>$J5018*($G5018-$G5017)*60*24</f>
        <v>4.9697999999999834E-3</v>
      </c>
    </row>
    <row r="5019" spans="1:12">
      <c r="A5019" s="22">
        <v>40314.117361111108</v>
      </c>
      <c r="E5019" s="26">
        <v>14.9358</v>
      </c>
      <c r="G5019" s="27">
        <v>0.1173611111111111</v>
      </c>
      <c r="J5019" s="30">
        <f>IF(G5019&lt;$H$10,$H$16,IF(G5019&gt;$I$10,$H$16,$H$11))*E5019/600</f>
        <v>4.9786000000000006E-3</v>
      </c>
      <c r="L5019" s="32">
        <f>$J5019*($G5019-$G5018)*60*24</f>
        <v>4.9785999999999832E-3</v>
      </c>
    </row>
    <row r="5020" spans="1:12">
      <c r="A5020" s="22">
        <v>40314.118055555555</v>
      </c>
      <c r="E5020" s="26">
        <v>14.882999999999999</v>
      </c>
      <c r="G5020" s="27">
        <v>0.11805555555555557</v>
      </c>
      <c r="J5020" s="30">
        <f>IF(G5020&lt;$H$10,$H$16,IF(G5020&gt;$I$10,$H$16,$H$11))*E5020/600</f>
        <v>4.9610000000000001E-3</v>
      </c>
      <c r="L5020" s="32">
        <f>$J5020*($G5020-$G5019)*60*24</f>
        <v>4.9610000000001805E-3</v>
      </c>
    </row>
    <row r="5021" spans="1:12">
      <c r="A5021" s="22">
        <v>40314.118750000001</v>
      </c>
      <c r="E5021" s="26">
        <v>15.038496</v>
      </c>
      <c r="G5021" s="27">
        <v>0.11875000000000001</v>
      </c>
      <c r="J5021" s="30">
        <f>IF(G5021&lt;$H$10,$H$16,IF(G5021&gt;$I$10,$H$16,$H$11))*E5021/600</f>
        <v>5.0128320000000001E-3</v>
      </c>
      <c r="L5021" s="32">
        <f>$J5021*($G5021-$G5020)*60*24</f>
        <v>5.0128319999999827E-3</v>
      </c>
    </row>
    <row r="5022" spans="1:12">
      <c r="A5022" s="22">
        <v>40314.119444444441</v>
      </c>
      <c r="E5022" s="26">
        <v>14.865500000000001</v>
      </c>
      <c r="G5022" s="27">
        <v>0.11944444444444445</v>
      </c>
      <c r="J5022" s="30">
        <f>IF(G5022&lt;$H$10,$H$16,IF(G5022&gt;$I$10,$H$16,$H$11))*E5022/600</f>
        <v>4.9551666666666676E-3</v>
      </c>
      <c r="L5022" s="32">
        <f>$J5022*($G5022-$G5021)*60*24</f>
        <v>4.9551666666666494E-3</v>
      </c>
    </row>
    <row r="5023" spans="1:12">
      <c r="A5023" s="22">
        <v>40314.120138888888</v>
      </c>
      <c r="E5023" s="26">
        <v>14.891500000000001</v>
      </c>
      <c r="G5023" s="27">
        <v>0.12013888888888889</v>
      </c>
      <c r="J5023" s="30">
        <f>IF(G5023&lt;$H$10,$H$16,IF(G5023&gt;$I$10,$H$16,$H$11))*E5023/600</f>
        <v>4.963833333333334E-3</v>
      </c>
      <c r="L5023" s="32">
        <f>$J5023*($G5023-$G5022)*60*24</f>
        <v>4.9638333333333166E-3</v>
      </c>
    </row>
    <row r="5024" spans="1:12">
      <c r="A5024" s="22">
        <v>40314.120833333334</v>
      </c>
      <c r="E5024" s="26">
        <v>14.923999999999999</v>
      </c>
      <c r="G5024" s="27">
        <v>0.12083333333333333</v>
      </c>
      <c r="J5024" s="30">
        <f>IF(G5024&lt;$H$10,$H$16,IF(G5024&gt;$I$10,$H$16,$H$11))*E5024/600</f>
        <v>4.9746666666666663E-3</v>
      </c>
      <c r="L5024" s="32">
        <f>$J5024*($G5024-$G5023)*60*24</f>
        <v>4.974666666666649E-3</v>
      </c>
    </row>
    <row r="5025" spans="1:12">
      <c r="A5025" s="22">
        <v>40314.121527777781</v>
      </c>
      <c r="E5025" s="26">
        <v>15.1668</v>
      </c>
      <c r="G5025" s="27">
        <v>0.12152777777777778</v>
      </c>
      <c r="J5025" s="30">
        <f>IF(G5025&lt;$H$10,$H$16,IF(G5025&gt;$I$10,$H$16,$H$11))*E5025/600</f>
        <v>5.0556000000000004E-3</v>
      </c>
      <c r="L5025" s="32">
        <f>$J5025*($G5025-$G5024)*60*24</f>
        <v>5.0555999999999822E-3</v>
      </c>
    </row>
    <row r="5026" spans="1:12">
      <c r="A5026" s="22">
        <v>40314.12222222222</v>
      </c>
      <c r="E5026" s="26">
        <v>15.18</v>
      </c>
      <c r="G5026" s="27">
        <v>0.12222222222222223</v>
      </c>
      <c r="J5026" s="30">
        <f>IF(G5026&lt;$H$10,$H$16,IF(G5026&gt;$I$10,$H$16,$H$11))*E5026/600</f>
        <v>5.0600000000000003E-3</v>
      </c>
      <c r="L5026" s="32">
        <f>$J5026*($G5026-$G5025)*60*24</f>
        <v>5.0600000000000835E-3</v>
      </c>
    </row>
    <row r="5027" spans="1:12">
      <c r="A5027" s="22">
        <v>40314.122916666667</v>
      </c>
      <c r="E5027" s="26">
        <v>14.9435</v>
      </c>
      <c r="G5027" s="27">
        <v>0.12291666666666667</v>
      </c>
      <c r="J5027" s="30">
        <f>IF(G5027&lt;$H$10,$H$16,IF(G5027&gt;$I$10,$H$16,$H$11))*E5027/600</f>
        <v>4.9811666666666667E-3</v>
      </c>
      <c r="L5027" s="32">
        <f>$J5027*($G5027-$G5026)*60*24</f>
        <v>4.9811666666666494E-3</v>
      </c>
    </row>
    <row r="5028" spans="1:12">
      <c r="A5028" s="22">
        <v>40314.123611111114</v>
      </c>
      <c r="E5028" s="26">
        <v>14.9175</v>
      </c>
      <c r="G5028" s="27">
        <v>0.12361111111111112</v>
      </c>
      <c r="J5028" s="30">
        <f>IF(G5028&lt;$H$10,$H$16,IF(G5028&gt;$I$10,$H$16,$H$11))*E5028/600</f>
        <v>4.9725000000000004E-3</v>
      </c>
      <c r="L5028" s="32">
        <f>$J5028*($G5028-$G5027)*60*24</f>
        <v>4.9724999999999821E-3</v>
      </c>
    </row>
    <row r="5029" spans="1:12">
      <c r="A5029" s="22">
        <v>40314.124305555553</v>
      </c>
      <c r="E5029" s="26">
        <v>14.904500000000001</v>
      </c>
      <c r="G5029" s="27">
        <v>0.12430555555555556</v>
      </c>
      <c r="J5029" s="30">
        <f>IF(G5029&lt;$H$10,$H$16,IF(G5029&gt;$I$10,$H$16,$H$11))*E5029/600</f>
        <v>4.9681666666666667E-3</v>
      </c>
      <c r="L5029" s="32">
        <f>$J5029*($G5029-$G5028)*60*24</f>
        <v>4.9681666666666485E-3</v>
      </c>
    </row>
    <row r="5030" spans="1:12">
      <c r="A5030" s="22">
        <v>40314.125</v>
      </c>
      <c r="E5030" s="26">
        <v>14.865500000000001</v>
      </c>
      <c r="G5030" s="27">
        <v>0.125</v>
      </c>
      <c r="J5030" s="30">
        <f>IF(G5030&lt;$H$10,$H$16,IF(G5030&gt;$I$10,$H$16,$H$11))*E5030/600</f>
        <v>4.9551666666666676E-3</v>
      </c>
      <c r="L5030" s="32">
        <f>$J5030*($G5030-$G5029)*60*24</f>
        <v>4.9551666666666494E-3</v>
      </c>
    </row>
    <row r="5031" spans="1:12">
      <c r="A5031" s="22">
        <v>40314.125694444447</v>
      </c>
      <c r="E5031" s="26">
        <v>14.878500000000001</v>
      </c>
      <c r="G5031" s="27">
        <v>0.12569444444444444</v>
      </c>
      <c r="J5031" s="30">
        <f>IF(G5031&lt;$H$10,$H$16,IF(G5031&gt;$I$10,$H$16,$H$11))*E5031/600</f>
        <v>4.9595000000000004E-3</v>
      </c>
      <c r="L5031" s="32">
        <f>$J5031*($G5031-$G5030)*60*24</f>
        <v>4.959499999999983E-3</v>
      </c>
    </row>
    <row r="5032" spans="1:12">
      <c r="A5032" s="22">
        <v>40314.126388888886</v>
      </c>
      <c r="E5032" s="26">
        <v>15.133800000000001</v>
      </c>
      <c r="G5032" s="27">
        <v>0.12638888888888888</v>
      </c>
      <c r="J5032" s="30">
        <f>IF(G5032&lt;$H$10,$H$16,IF(G5032&gt;$I$10,$H$16,$H$11))*E5032/600</f>
        <v>5.0446000000000006E-3</v>
      </c>
      <c r="L5032" s="32">
        <f>$J5032*($G5032-$G5031)*60*24</f>
        <v>5.0445999999999833E-3</v>
      </c>
    </row>
    <row r="5033" spans="1:12">
      <c r="A5033" s="22">
        <v>40314.127083333333</v>
      </c>
      <c r="E5033" s="26">
        <v>15.1206</v>
      </c>
      <c r="G5033" s="27">
        <v>0.12708333333333333</v>
      </c>
      <c r="J5033" s="30">
        <f>IF(G5033&lt;$H$10,$H$16,IF(G5033&gt;$I$10,$H$16,$H$11))*E5033/600</f>
        <v>5.0401999999999999E-3</v>
      </c>
      <c r="L5033" s="32">
        <f>$J5033*($G5033-$G5032)*60*24</f>
        <v>5.0401999999999825E-3</v>
      </c>
    </row>
    <row r="5034" spans="1:12">
      <c r="A5034" s="22">
        <v>40314.12777777778</v>
      </c>
      <c r="E5034" s="26">
        <v>14.872</v>
      </c>
      <c r="G5034" s="27">
        <v>0.1277777777777778</v>
      </c>
      <c r="J5034" s="30">
        <f>IF(G5034&lt;$H$10,$H$16,IF(G5034&gt;$I$10,$H$16,$H$11))*E5034/600</f>
        <v>4.9573333333333336E-3</v>
      </c>
      <c r="L5034" s="32">
        <f>$J5034*($G5034-$G5033)*60*24</f>
        <v>4.957333333333514E-3</v>
      </c>
    </row>
    <row r="5035" spans="1:12">
      <c r="A5035" s="22">
        <v>40314.128472222219</v>
      </c>
      <c r="E5035" s="26">
        <v>15.153600000000001</v>
      </c>
      <c r="G5035" s="27">
        <v>0.12847222222222224</v>
      </c>
      <c r="J5035" s="30">
        <f>IF(G5035&lt;$H$10,$H$16,IF(G5035&gt;$I$10,$H$16,$H$11))*E5035/600</f>
        <v>5.0512000000000005E-3</v>
      </c>
      <c r="L5035" s="32">
        <f>$J5035*($G5035-$G5034)*60*24</f>
        <v>5.0511999999999831E-3</v>
      </c>
    </row>
    <row r="5036" spans="1:12">
      <c r="A5036" s="22">
        <v>40314.129166666666</v>
      </c>
      <c r="E5036" s="26">
        <v>15.18</v>
      </c>
      <c r="G5036" s="27">
        <v>0.12916666666666668</v>
      </c>
      <c r="J5036" s="30">
        <f>IF(G5036&lt;$H$10,$H$16,IF(G5036&gt;$I$10,$H$16,$H$11))*E5036/600</f>
        <v>5.0600000000000003E-3</v>
      </c>
      <c r="L5036" s="32">
        <f>$J5036*($G5036-$G5035)*60*24</f>
        <v>5.059999999999982E-3</v>
      </c>
    </row>
    <row r="5037" spans="1:12">
      <c r="A5037" s="22">
        <v>40314.129861111112</v>
      </c>
      <c r="E5037" s="26">
        <v>15.2196</v>
      </c>
      <c r="G5037" s="27">
        <v>0.12986111111111112</v>
      </c>
      <c r="J5037" s="30">
        <f>IF(G5037&lt;$H$10,$H$16,IF(G5037&gt;$I$10,$H$16,$H$11))*E5037/600</f>
        <v>5.0731999999999999E-3</v>
      </c>
      <c r="L5037" s="32">
        <f>$J5037*($G5037-$G5036)*60*24</f>
        <v>5.0731999999999817E-3</v>
      </c>
    </row>
    <row r="5038" spans="1:12">
      <c r="A5038" s="22">
        <v>40314.130555555559</v>
      </c>
      <c r="E5038" s="26">
        <v>15.2064</v>
      </c>
      <c r="G5038" s="27">
        <v>0.13055555555555556</v>
      </c>
      <c r="J5038" s="30">
        <f>IF(G5038&lt;$H$10,$H$16,IF(G5038&gt;$I$10,$H$16,$H$11))*E5038/600</f>
        <v>5.0688000000000009E-3</v>
      </c>
      <c r="L5038" s="32">
        <f>$J5038*($G5038-$G5037)*60*24</f>
        <v>5.0687999999999836E-3</v>
      </c>
    </row>
    <row r="5039" spans="1:12">
      <c r="A5039" s="22">
        <v>40314.131249999999</v>
      </c>
      <c r="E5039" s="26">
        <v>15.193199999999999</v>
      </c>
      <c r="G5039" s="27">
        <v>0.13125000000000001</v>
      </c>
      <c r="J5039" s="30">
        <f>IF(G5039&lt;$H$10,$H$16,IF(G5039&gt;$I$10,$H$16,$H$11))*E5039/600</f>
        <v>5.0644000000000002E-3</v>
      </c>
      <c r="L5039" s="32">
        <f>$J5039*($G5039-$G5038)*60*24</f>
        <v>5.0643999999999819E-3</v>
      </c>
    </row>
    <row r="5040" spans="1:12">
      <c r="A5040" s="22">
        <v>40314.131944444445</v>
      </c>
      <c r="E5040" s="26">
        <v>14.898</v>
      </c>
      <c r="G5040" s="27">
        <v>0.13194444444444445</v>
      </c>
      <c r="J5040" s="30">
        <f>IF(G5040&lt;$H$10,$H$16,IF(G5040&gt;$I$10,$H$16,$H$11))*E5040/600</f>
        <v>4.9659999999999999E-3</v>
      </c>
      <c r="L5040" s="32">
        <f>$J5040*($G5040-$G5039)*60*24</f>
        <v>4.9659999999999817E-3</v>
      </c>
    </row>
    <row r="5041" spans="1:12">
      <c r="A5041" s="22">
        <v>40314.132638888892</v>
      </c>
      <c r="E5041" s="26">
        <v>15.1206</v>
      </c>
      <c r="G5041" s="27">
        <v>0.13263888888888889</v>
      </c>
      <c r="J5041" s="30">
        <f>IF(G5041&lt;$H$10,$H$16,IF(G5041&gt;$I$10,$H$16,$H$11))*E5041/600</f>
        <v>5.0401999999999999E-3</v>
      </c>
      <c r="L5041" s="32">
        <f>$J5041*($G5041-$G5040)*60*24</f>
        <v>5.0401999999999825E-3</v>
      </c>
    </row>
    <row r="5042" spans="1:12">
      <c r="A5042" s="22">
        <v>40314.133333333331</v>
      </c>
      <c r="E5042" s="26">
        <v>15.1404</v>
      </c>
      <c r="G5042" s="27">
        <v>0.13333333333333333</v>
      </c>
      <c r="J5042" s="30">
        <f>IF(G5042&lt;$H$10,$H$16,IF(G5042&gt;$I$10,$H$16,$H$11))*E5042/600</f>
        <v>5.0468000000000006E-3</v>
      </c>
      <c r="L5042" s="32">
        <f>$J5042*($G5042-$G5041)*60*24</f>
        <v>5.0467999999999824E-3</v>
      </c>
    </row>
    <row r="5043" spans="1:12">
      <c r="A5043" s="22">
        <v>40314.134027777778</v>
      </c>
      <c r="E5043" s="26">
        <v>15.173400000000001</v>
      </c>
      <c r="G5043" s="27">
        <v>0.13402777777777777</v>
      </c>
      <c r="J5043" s="30">
        <f>IF(G5043&lt;$H$10,$H$16,IF(G5043&gt;$I$10,$H$16,$H$11))*E5043/600</f>
        <v>5.0578000000000003E-3</v>
      </c>
      <c r="L5043" s="32">
        <f>$J5043*($G5043-$G5042)*60*24</f>
        <v>5.057799999999983E-3</v>
      </c>
    </row>
    <row r="5044" spans="1:12">
      <c r="A5044" s="22">
        <v>40314.134722222225</v>
      </c>
      <c r="E5044" s="26">
        <v>15.2262</v>
      </c>
      <c r="G5044" s="27">
        <v>0.13472222222222222</v>
      </c>
      <c r="J5044" s="30">
        <f>IF(G5044&lt;$H$10,$H$16,IF(G5044&gt;$I$10,$H$16,$H$11))*E5044/600</f>
        <v>5.0753999999999999E-3</v>
      </c>
      <c r="L5044" s="32">
        <f>$J5044*($G5044-$G5043)*60*24</f>
        <v>5.0753999999999817E-3</v>
      </c>
    </row>
    <row r="5045" spans="1:12">
      <c r="A5045" s="22">
        <v>40314.135416666664</v>
      </c>
      <c r="E5045" s="26">
        <v>15.080472</v>
      </c>
      <c r="G5045" s="27">
        <v>0.13541666666666666</v>
      </c>
      <c r="J5045" s="30">
        <f>IF(G5045&lt;$H$10,$H$16,IF(G5045&gt;$I$10,$H$16,$H$11))*E5045/600</f>
        <v>5.026824E-3</v>
      </c>
      <c r="L5045" s="32">
        <f>$J5045*($G5045-$G5044)*60*24</f>
        <v>5.0268239999999818E-3</v>
      </c>
    </row>
    <row r="5046" spans="1:12">
      <c r="A5046" s="22">
        <v>40314.136111111111</v>
      </c>
      <c r="E5046" s="26">
        <v>15.2064</v>
      </c>
      <c r="G5046" s="27">
        <v>0.1361111111111111</v>
      </c>
      <c r="J5046" s="30">
        <f>IF(G5046&lt;$H$10,$H$16,IF(G5046&gt;$I$10,$H$16,$H$11))*E5046/600</f>
        <v>5.0688000000000009E-3</v>
      </c>
      <c r="L5046" s="32">
        <f>$J5046*($G5046-$G5045)*60*24</f>
        <v>5.0687999999999836E-3</v>
      </c>
    </row>
    <row r="5047" spans="1:12">
      <c r="A5047" s="22">
        <v>40314.136805555558</v>
      </c>
      <c r="E5047" s="26">
        <v>15.2394</v>
      </c>
      <c r="G5047" s="27">
        <v>0.13680555555555554</v>
      </c>
      <c r="J5047" s="30">
        <f>IF(G5047&lt;$H$10,$H$16,IF(G5047&gt;$I$10,$H$16,$H$11))*E5047/600</f>
        <v>5.0798000000000006E-3</v>
      </c>
      <c r="L5047" s="32">
        <f>$J5047*($G5047-$G5046)*60*24</f>
        <v>5.0797999999999824E-3</v>
      </c>
    </row>
    <row r="5048" spans="1:12">
      <c r="A5048" s="22">
        <v>40314.137499999997</v>
      </c>
      <c r="E5048" s="26">
        <v>15.1866</v>
      </c>
      <c r="G5048" s="27">
        <v>0.13749999999999998</v>
      </c>
      <c r="J5048" s="30">
        <f>IF(G5048&lt;$H$10,$H$16,IF(G5048&gt;$I$10,$H$16,$H$11))*E5048/600</f>
        <v>5.0622000000000002E-3</v>
      </c>
      <c r="L5048" s="32">
        <f>$J5048*($G5048-$G5047)*60*24</f>
        <v>5.062199999999982E-3</v>
      </c>
    </row>
    <row r="5049" spans="1:12">
      <c r="A5049" s="22">
        <v>40314.138194444444</v>
      </c>
      <c r="E5049" s="26">
        <v>14.911</v>
      </c>
      <c r="G5049" s="27">
        <v>0.13819444444444443</v>
      </c>
      <c r="J5049" s="30">
        <f>IF(G5049&lt;$H$10,$H$16,IF(G5049&gt;$I$10,$H$16,$H$11))*E5049/600</f>
        <v>4.9703333333333335E-3</v>
      </c>
      <c r="L5049" s="32">
        <f>$J5049*($G5049-$G5048)*60*24</f>
        <v>4.9703333333333153E-3</v>
      </c>
    </row>
    <row r="5050" spans="1:12">
      <c r="A5050" s="22">
        <v>40314.138888888891</v>
      </c>
      <c r="E5050" s="26">
        <v>14.923999999999999</v>
      </c>
      <c r="G5050" s="27">
        <v>0.1388888888888889</v>
      </c>
      <c r="J5050" s="30">
        <f>IF(G5050&lt;$H$10,$H$16,IF(G5050&gt;$I$10,$H$16,$H$11))*E5050/600</f>
        <v>4.9746666666666663E-3</v>
      </c>
      <c r="L5050" s="32">
        <f>$J5050*($G5050-$G5049)*60*24</f>
        <v>4.9746666666668476E-3</v>
      </c>
    </row>
    <row r="5051" spans="1:12">
      <c r="A5051" s="22">
        <v>40314.13958333333</v>
      </c>
      <c r="E5051" s="26">
        <v>14.923999999999999</v>
      </c>
      <c r="G5051" s="27">
        <v>0.13958333333333334</v>
      </c>
      <c r="J5051" s="30">
        <f>IF(G5051&lt;$H$10,$H$16,IF(G5051&gt;$I$10,$H$16,$H$11))*E5051/600</f>
        <v>4.9746666666666663E-3</v>
      </c>
      <c r="L5051" s="32">
        <f>$J5051*($G5051-$G5050)*60*24</f>
        <v>4.974666666666649E-3</v>
      </c>
    </row>
    <row r="5052" spans="1:12">
      <c r="A5052" s="22">
        <v>40314.140277777777</v>
      </c>
      <c r="E5052" s="26">
        <v>14.9305</v>
      </c>
      <c r="G5052" s="27">
        <v>0.14027777777777778</v>
      </c>
      <c r="J5052" s="30">
        <f>IF(G5052&lt;$H$10,$H$16,IF(G5052&gt;$I$10,$H$16,$H$11))*E5052/600</f>
        <v>4.976833333333334E-3</v>
      </c>
      <c r="L5052" s="32">
        <f>$J5052*($G5052-$G5051)*60*24</f>
        <v>4.9768333333333158E-3</v>
      </c>
    </row>
    <row r="5053" spans="1:12">
      <c r="A5053" s="22">
        <v>40314.140972222223</v>
      </c>
      <c r="E5053" s="26">
        <v>14.911</v>
      </c>
      <c r="G5053" s="27">
        <v>0.14097222222222222</v>
      </c>
      <c r="J5053" s="30">
        <f>IF(G5053&lt;$H$10,$H$16,IF(G5053&gt;$I$10,$H$16,$H$11))*E5053/600</f>
        <v>4.9703333333333335E-3</v>
      </c>
      <c r="L5053" s="32">
        <f>$J5053*($G5053-$G5052)*60*24</f>
        <v>4.9703333333333153E-3</v>
      </c>
    </row>
    <row r="5054" spans="1:12">
      <c r="A5054" s="22">
        <v>40314.14166666667</v>
      </c>
      <c r="E5054" s="26">
        <v>14.911</v>
      </c>
      <c r="G5054" s="27">
        <v>0.14166666666666666</v>
      </c>
      <c r="J5054" s="30">
        <f>IF(G5054&lt;$H$10,$H$16,IF(G5054&gt;$I$10,$H$16,$H$11))*E5054/600</f>
        <v>4.9703333333333335E-3</v>
      </c>
      <c r="L5054" s="32">
        <f>$J5054*($G5054-$G5053)*60*24</f>
        <v>4.9703333333333153E-3</v>
      </c>
    </row>
    <row r="5055" spans="1:12">
      <c r="A5055" s="22">
        <v>40314.142361111109</v>
      </c>
      <c r="E5055" s="26">
        <v>14.911</v>
      </c>
      <c r="G5055" s="27">
        <v>0.1423611111111111</v>
      </c>
      <c r="J5055" s="30">
        <f>IF(G5055&lt;$H$10,$H$16,IF(G5055&gt;$I$10,$H$16,$H$11))*E5055/600</f>
        <v>4.9703333333333335E-3</v>
      </c>
      <c r="L5055" s="32">
        <f>$J5055*($G5055-$G5054)*60*24</f>
        <v>4.9703333333333153E-3</v>
      </c>
    </row>
    <row r="5056" spans="1:12">
      <c r="A5056" s="22">
        <v>40314.143055555556</v>
      </c>
      <c r="E5056" s="26">
        <v>14.936999999999999</v>
      </c>
      <c r="G5056" s="27">
        <v>0.14305555555555557</v>
      </c>
      <c r="J5056" s="30">
        <f>IF(G5056&lt;$H$10,$H$16,IF(G5056&gt;$I$10,$H$16,$H$11))*E5056/600</f>
        <v>4.9789999999999999E-3</v>
      </c>
      <c r="L5056" s="32">
        <f>$J5056*($G5056-$G5055)*60*24</f>
        <v>4.9790000000001812E-3</v>
      </c>
    </row>
    <row r="5057" spans="1:12">
      <c r="A5057" s="22">
        <v>40314.143750000003</v>
      </c>
      <c r="E5057" s="26">
        <v>14.911</v>
      </c>
      <c r="G5057" s="27">
        <v>0.14375000000000002</v>
      </c>
      <c r="J5057" s="30">
        <f>IF(G5057&lt;$H$10,$H$16,IF(G5057&gt;$I$10,$H$16,$H$11))*E5057/600</f>
        <v>4.9703333333333335E-3</v>
      </c>
      <c r="L5057" s="32">
        <f>$J5057*($G5057-$G5056)*60*24</f>
        <v>4.9703333333333153E-3</v>
      </c>
    </row>
    <row r="5058" spans="1:12">
      <c r="A5058" s="22">
        <v>40314.144444444442</v>
      </c>
      <c r="E5058" s="26">
        <v>15.147</v>
      </c>
      <c r="G5058" s="27">
        <v>0.14444444444444446</v>
      </c>
      <c r="J5058" s="30">
        <f>IF(G5058&lt;$H$10,$H$16,IF(G5058&gt;$I$10,$H$16,$H$11))*E5058/600</f>
        <v>5.0490000000000005E-3</v>
      </c>
      <c r="L5058" s="32">
        <f>$J5058*($G5058-$G5057)*60*24</f>
        <v>5.0489999999999823E-3</v>
      </c>
    </row>
    <row r="5059" spans="1:12">
      <c r="A5059" s="22">
        <v>40314.145138888889</v>
      </c>
      <c r="E5059" s="26">
        <v>15.18</v>
      </c>
      <c r="G5059" s="27">
        <v>0.1451388888888889</v>
      </c>
      <c r="J5059" s="30">
        <f>IF(G5059&lt;$H$10,$H$16,IF(G5059&gt;$I$10,$H$16,$H$11))*E5059/600</f>
        <v>5.0600000000000003E-3</v>
      </c>
      <c r="L5059" s="32">
        <f>$J5059*($G5059-$G5058)*60*24</f>
        <v>5.059999999999982E-3</v>
      </c>
    </row>
    <row r="5060" spans="1:12">
      <c r="A5060" s="22">
        <v>40314.145833333336</v>
      </c>
      <c r="E5060" s="26">
        <v>15.212999999999999</v>
      </c>
      <c r="G5060" s="27">
        <v>0.14583333333333334</v>
      </c>
      <c r="J5060" s="30">
        <f>IF(G5060&lt;$H$10,$H$16,IF(G5060&gt;$I$10,$H$16,$H$11))*E5060/600</f>
        <v>5.071E-3</v>
      </c>
      <c r="L5060" s="32">
        <f>$J5060*($G5060-$G5059)*60*24</f>
        <v>5.0709999999999818E-3</v>
      </c>
    </row>
    <row r="5061" spans="1:12">
      <c r="A5061" s="22">
        <v>40314.146527777775</v>
      </c>
      <c r="E5061" s="26">
        <v>15.1866</v>
      </c>
      <c r="G5061" s="27">
        <v>0.14652777777777778</v>
      </c>
      <c r="J5061" s="30">
        <f>IF(G5061&lt;$H$10,$H$16,IF(G5061&gt;$I$10,$H$16,$H$11))*E5061/600</f>
        <v>5.0622000000000002E-3</v>
      </c>
      <c r="L5061" s="32">
        <f>$J5061*($G5061-$G5060)*60*24</f>
        <v>5.062199999999982E-3</v>
      </c>
    </row>
    <row r="5062" spans="1:12">
      <c r="A5062" s="22">
        <v>40314.147222222222</v>
      </c>
      <c r="E5062" s="26">
        <v>15.153600000000001</v>
      </c>
      <c r="G5062" s="27">
        <v>0.14722222222222223</v>
      </c>
      <c r="J5062" s="30">
        <f>IF(G5062&lt;$H$10,$H$16,IF(G5062&gt;$I$10,$H$16,$H$11))*E5062/600</f>
        <v>5.0512000000000005E-3</v>
      </c>
      <c r="L5062" s="32">
        <f>$J5062*($G5062-$G5061)*60*24</f>
        <v>5.0511999999999831E-3</v>
      </c>
    </row>
    <row r="5063" spans="1:12">
      <c r="A5063" s="22">
        <v>40314.147916666669</v>
      </c>
      <c r="E5063" s="26">
        <v>15.1668</v>
      </c>
      <c r="G5063" s="27">
        <v>0.14791666666666667</v>
      </c>
      <c r="J5063" s="30">
        <f>IF(G5063&lt;$H$10,$H$16,IF(G5063&gt;$I$10,$H$16,$H$11))*E5063/600</f>
        <v>5.0556000000000004E-3</v>
      </c>
      <c r="L5063" s="32">
        <f>$J5063*($G5063-$G5062)*60*24</f>
        <v>5.0555999999999822E-3</v>
      </c>
    </row>
    <row r="5064" spans="1:12">
      <c r="A5064" s="22">
        <v>40314.148611111108</v>
      </c>
      <c r="E5064" s="26">
        <v>15.153600000000001</v>
      </c>
      <c r="G5064" s="27">
        <v>0.14861111111111111</v>
      </c>
      <c r="J5064" s="30">
        <f>IF(G5064&lt;$H$10,$H$16,IF(G5064&gt;$I$10,$H$16,$H$11))*E5064/600</f>
        <v>5.0512000000000005E-3</v>
      </c>
      <c r="L5064" s="32">
        <f>$J5064*($G5064-$G5063)*60*24</f>
        <v>5.0511999999999831E-3</v>
      </c>
    </row>
    <row r="5065" spans="1:12">
      <c r="A5065" s="22">
        <v>40314.149305555555</v>
      </c>
      <c r="E5065" s="26">
        <v>15.1668</v>
      </c>
      <c r="G5065" s="27">
        <v>0.14930555555555555</v>
      </c>
      <c r="J5065" s="30">
        <f>IF(G5065&lt;$H$10,$H$16,IF(G5065&gt;$I$10,$H$16,$H$11))*E5065/600</f>
        <v>5.0556000000000004E-3</v>
      </c>
      <c r="L5065" s="32">
        <f>$J5065*($G5065-$G5064)*60*24</f>
        <v>5.0555999999999822E-3</v>
      </c>
    </row>
    <row r="5066" spans="1:12">
      <c r="A5066" s="22">
        <v>40314.15</v>
      </c>
      <c r="E5066" s="26">
        <v>15.2196</v>
      </c>
      <c r="G5066" s="27">
        <v>0.15</v>
      </c>
      <c r="J5066" s="30">
        <f>IF(G5066&lt;$H$10,$H$16,IF(G5066&gt;$I$10,$H$16,$H$11))*E5066/600</f>
        <v>5.0731999999999999E-3</v>
      </c>
      <c r="L5066" s="32">
        <f>$J5066*($G5066-$G5065)*60*24</f>
        <v>5.0731999999999817E-3</v>
      </c>
    </row>
    <row r="5067" spans="1:12">
      <c r="A5067" s="22">
        <v>40314.150694444441</v>
      </c>
      <c r="E5067" s="26">
        <v>15.2196</v>
      </c>
      <c r="G5067" s="27">
        <v>0.15069444444444444</v>
      </c>
      <c r="J5067" s="30">
        <f>IF(G5067&lt;$H$10,$H$16,IF(G5067&gt;$I$10,$H$16,$H$11))*E5067/600</f>
        <v>5.0731999999999999E-3</v>
      </c>
      <c r="L5067" s="32">
        <f>$J5067*($G5067-$G5066)*60*24</f>
        <v>5.0731999999999817E-3</v>
      </c>
    </row>
    <row r="5068" spans="1:12">
      <c r="A5068" s="22">
        <v>40314.151388888888</v>
      </c>
      <c r="E5068" s="26">
        <v>15.1998</v>
      </c>
      <c r="G5068" s="27">
        <v>0.15138888888888888</v>
      </c>
      <c r="J5068" s="30">
        <f>IF(G5068&lt;$H$10,$H$16,IF(G5068&gt;$I$10,$H$16,$H$11))*E5068/600</f>
        <v>5.0666000000000001E-3</v>
      </c>
      <c r="L5068" s="32">
        <f>$J5068*($G5068-$G5067)*60*24</f>
        <v>5.0665999999999819E-3</v>
      </c>
    </row>
    <row r="5069" spans="1:12">
      <c r="A5069" s="22">
        <v>40314.152083333334</v>
      </c>
      <c r="E5069" s="26">
        <v>15.1998</v>
      </c>
      <c r="G5069" s="27">
        <v>0.15208333333333332</v>
      </c>
      <c r="J5069" s="30">
        <f>IF(G5069&lt;$H$10,$H$16,IF(G5069&gt;$I$10,$H$16,$H$11))*E5069/600</f>
        <v>5.0666000000000001E-3</v>
      </c>
      <c r="L5069" s="32">
        <f>$J5069*($G5069-$G5068)*60*24</f>
        <v>5.0665999999999819E-3</v>
      </c>
    </row>
    <row r="5070" spans="1:12">
      <c r="A5070" s="22">
        <v>40314.152777777781</v>
      </c>
      <c r="E5070" s="26">
        <v>15.2262</v>
      </c>
      <c r="G5070" s="27">
        <v>0.15277777777777776</v>
      </c>
      <c r="J5070" s="30">
        <f>IF(G5070&lt;$H$10,$H$16,IF(G5070&gt;$I$10,$H$16,$H$11))*E5070/600</f>
        <v>5.0753999999999999E-3</v>
      </c>
      <c r="L5070" s="32">
        <f>$J5070*($G5070-$G5069)*60*24</f>
        <v>5.0753999999999817E-3</v>
      </c>
    </row>
    <row r="5071" spans="1:12">
      <c r="A5071" s="22">
        <v>40314.15347222222</v>
      </c>
      <c r="E5071" s="26">
        <v>15.232799999999999</v>
      </c>
      <c r="G5071" s="27">
        <v>0.15347222222222223</v>
      </c>
      <c r="J5071" s="30">
        <f>IF(G5071&lt;$H$10,$H$16,IF(G5071&gt;$I$10,$H$16,$H$11))*E5071/600</f>
        <v>5.0775999999999998E-3</v>
      </c>
      <c r="L5071" s="32">
        <f>$J5071*($G5071-$G5070)*60*24</f>
        <v>5.0776000000001846E-3</v>
      </c>
    </row>
    <row r="5072" spans="1:12">
      <c r="A5072" s="22">
        <v>40314.154166666667</v>
      </c>
      <c r="E5072" s="26">
        <v>15.2196</v>
      </c>
      <c r="G5072" s="27">
        <v>0.15416666666666667</v>
      </c>
      <c r="J5072" s="30">
        <f>IF(G5072&lt;$H$10,$H$16,IF(G5072&gt;$I$10,$H$16,$H$11))*E5072/600</f>
        <v>5.0731999999999999E-3</v>
      </c>
      <c r="L5072" s="32">
        <f>$J5072*($G5072-$G5071)*60*24</f>
        <v>5.0731999999999817E-3</v>
      </c>
    </row>
    <row r="5073" spans="1:12">
      <c r="A5073" s="22">
        <v>40314.154861111114</v>
      </c>
      <c r="E5073" s="26">
        <v>15.047802000000001</v>
      </c>
      <c r="G5073" s="27">
        <v>0.15486111111111112</v>
      </c>
      <c r="J5073" s="30">
        <f>IF(G5073&lt;$H$10,$H$16,IF(G5073&gt;$I$10,$H$16,$H$11))*E5073/600</f>
        <v>5.0159340000000005E-3</v>
      </c>
      <c r="L5073" s="32">
        <f>$J5073*($G5073-$G5072)*60*24</f>
        <v>5.0159339999999823E-3</v>
      </c>
    </row>
    <row r="5074" spans="1:12">
      <c r="A5074" s="22">
        <v>40314.155555555553</v>
      </c>
      <c r="E5074" s="26">
        <v>15.246</v>
      </c>
      <c r="G5074" s="27">
        <v>0.15555555555555556</v>
      </c>
      <c r="J5074" s="30">
        <f>IF(G5074&lt;$H$10,$H$16,IF(G5074&gt;$I$10,$H$16,$H$11))*E5074/600</f>
        <v>5.0820000000000006E-3</v>
      </c>
      <c r="L5074" s="32">
        <f>$J5074*($G5074-$G5073)*60*24</f>
        <v>5.0819999999999824E-3</v>
      </c>
    </row>
    <row r="5075" spans="1:12">
      <c r="A5075" s="22">
        <v>40314.15625</v>
      </c>
      <c r="E5075" s="26">
        <v>15.087006000000001</v>
      </c>
      <c r="G5075" s="27">
        <v>0.15625</v>
      </c>
      <c r="J5075" s="30">
        <f>IF(G5075&lt;$H$10,$H$16,IF(G5075&gt;$I$10,$H$16,$H$11))*E5075/600</f>
        <v>5.0290020000000003E-3</v>
      </c>
      <c r="L5075" s="32">
        <f>$J5075*($G5075-$G5074)*60*24</f>
        <v>5.0290019999999821E-3</v>
      </c>
    </row>
    <row r="5076" spans="1:12">
      <c r="A5076" s="22">
        <v>40314.156944444447</v>
      </c>
      <c r="E5076" s="26">
        <v>15.073938</v>
      </c>
      <c r="G5076" s="27">
        <v>0.15694444444444444</v>
      </c>
      <c r="J5076" s="30">
        <f>IF(G5076&lt;$H$10,$H$16,IF(G5076&gt;$I$10,$H$16,$H$11))*E5076/600</f>
        <v>5.0246459999999998E-3</v>
      </c>
      <c r="L5076" s="32">
        <f>$J5076*($G5076-$G5075)*60*24</f>
        <v>5.0246459999999825E-3</v>
      </c>
    </row>
    <row r="5077" spans="1:12">
      <c r="A5077" s="22">
        <v>40314.157638888886</v>
      </c>
      <c r="E5077" s="26">
        <v>15.18</v>
      </c>
      <c r="G5077" s="27">
        <v>0.15763888888888888</v>
      </c>
      <c r="J5077" s="30">
        <f>IF(G5077&lt;$H$10,$H$16,IF(G5077&gt;$I$10,$H$16,$H$11))*E5077/600</f>
        <v>5.0600000000000003E-3</v>
      </c>
      <c r="L5077" s="32">
        <f>$J5077*($G5077-$G5076)*60*24</f>
        <v>5.059999999999982E-3</v>
      </c>
    </row>
    <row r="5078" spans="1:12">
      <c r="A5078" s="22">
        <v>40314.158333333333</v>
      </c>
      <c r="E5078" s="26">
        <v>15.133800000000001</v>
      </c>
      <c r="G5078" s="27">
        <v>0.15833333333333333</v>
      </c>
      <c r="J5078" s="30">
        <f>IF(G5078&lt;$H$10,$H$16,IF(G5078&gt;$I$10,$H$16,$H$11))*E5078/600</f>
        <v>5.0446000000000006E-3</v>
      </c>
      <c r="L5078" s="32">
        <f>$J5078*($G5078-$G5077)*60*24</f>
        <v>5.0445999999999833E-3</v>
      </c>
    </row>
    <row r="5079" spans="1:12">
      <c r="A5079" s="22">
        <v>40314.15902777778</v>
      </c>
      <c r="E5079" s="26">
        <v>14.885</v>
      </c>
      <c r="G5079" s="27">
        <v>0.15902777777777777</v>
      </c>
      <c r="J5079" s="30">
        <f>IF(G5079&lt;$H$10,$H$16,IF(G5079&gt;$I$10,$H$16,$H$11))*E5079/600</f>
        <v>4.9616666666666672E-3</v>
      </c>
      <c r="L5079" s="32">
        <f>$J5079*($G5079-$G5078)*60*24</f>
        <v>4.961666666666649E-3</v>
      </c>
    </row>
    <row r="5080" spans="1:12">
      <c r="A5080" s="22">
        <v>40314.159722222219</v>
      </c>
      <c r="E5080" s="26">
        <v>15.1008</v>
      </c>
      <c r="G5080" s="27">
        <v>0.15972222222222224</v>
      </c>
      <c r="J5080" s="30">
        <f>IF(G5080&lt;$H$10,$H$16,IF(G5080&gt;$I$10,$H$16,$H$11))*E5080/600</f>
        <v>5.0336000000000001E-3</v>
      </c>
      <c r="L5080" s="32">
        <f>$J5080*($G5080-$G5079)*60*24</f>
        <v>5.0336000000001831E-3</v>
      </c>
    </row>
    <row r="5081" spans="1:12">
      <c r="A5081" s="22">
        <v>40314.160416666666</v>
      </c>
      <c r="E5081" s="26">
        <v>14.846</v>
      </c>
      <c r="G5081" s="27">
        <v>0.16041666666666668</v>
      </c>
      <c r="J5081" s="30">
        <f>IF(G5081&lt;$H$10,$H$16,IF(G5081&gt;$I$10,$H$16,$H$11))*E5081/600</f>
        <v>4.9486666666666672E-3</v>
      </c>
      <c r="L5081" s="32">
        <f>$J5081*($G5081-$G5080)*60*24</f>
        <v>4.948666666666649E-3</v>
      </c>
    </row>
    <row r="5082" spans="1:12">
      <c r="A5082" s="22">
        <v>40314.161111111112</v>
      </c>
      <c r="E5082" s="26">
        <v>15.0876</v>
      </c>
      <c r="G5082" s="27">
        <v>0.16111111111111112</v>
      </c>
      <c r="J5082" s="30">
        <f>IF(G5082&lt;$H$10,$H$16,IF(G5082&gt;$I$10,$H$16,$H$11))*E5082/600</f>
        <v>5.0292000000000002E-3</v>
      </c>
      <c r="L5082" s="32">
        <f>$J5082*($G5082-$G5081)*60*24</f>
        <v>5.0291999999999819E-3</v>
      </c>
    </row>
    <row r="5083" spans="1:12">
      <c r="A5083" s="22">
        <v>40314.161805555559</v>
      </c>
      <c r="E5083" s="26">
        <v>15.1272</v>
      </c>
      <c r="G5083" s="27">
        <v>0.16180555555555556</v>
      </c>
      <c r="J5083" s="30">
        <f>IF(G5083&lt;$H$10,$H$16,IF(G5083&gt;$I$10,$H$16,$H$11))*E5083/600</f>
        <v>5.0423999999999998E-3</v>
      </c>
      <c r="L5083" s="32">
        <f>$J5083*($G5083-$G5082)*60*24</f>
        <v>5.0423999999999816E-3</v>
      </c>
    </row>
    <row r="5084" spans="1:12">
      <c r="A5084" s="22">
        <v>40314.162499999999</v>
      </c>
      <c r="E5084" s="26">
        <v>15.1602</v>
      </c>
      <c r="G5084" s="27">
        <v>0.16250000000000001</v>
      </c>
      <c r="J5084" s="30">
        <f>IF(G5084&lt;$H$10,$H$16,IF(G5084&gt;$I$10,$H$16,$H$11))*E5084/600</f>
        <v>5.0534000000000004E-3</v>
      </c>
      <c r="L5084" s="32">
        <f>$J5084*($G5084-$G5083)*60*24</f>
        <v>5.0533999999999822E-3</v>
      </c>
    </row>
    <row r="5085" spans="1:12">
      <c r="A5085" s="22">
        <v>40314.163194444445</v>
      </c>
      <c r="E5085" s="26">
        <v>15.153600000000001</v>
      </c>
      <c r="G5085" s="27">
        <v>0.16319444444444445</v>
      </c>
      <c r="J5085" s="30">
        <f>IF(G5085&lt;$H$10,$H$16,IF(G5085&gt;$I$10,$H$16,$H$11))*E5085/600</f>
        <v>5.0512000000000005E-3</v>
      </c>
      <c r="L5085" s="32">
        <f>$J5085*($G5085-$G5084)*60*24</f>
        <v>5.0511999999999831E-3</v>
      </c>
    </row>
    <row r="5086" spans="1:12">
      <c r="A5086" s="22">
        <v>40314.163888888892</v>
      </c>
      <c r="E5086" s="26">
        <v>15.015131999999999</v>
      </c>
      <c r="G5086" s="27">
        <v>0.16388888888888889</v>
      </c>
      <c r="J5086" s="30">
        <f>IF(G5086&lt;$H$10,$H$16,IF(G5086&gt;$I$10,$H$16,$H$11))*E5086/600</f>
        <v>5.0050440000000002E-3</v>
      </c>
      <c r="L5086" s="32">
        <f>$J5086*($G5086-$G5085)*60*24</f>
        <v>5.0050439999999828E-3</v>
      </c>
    </row>
    <row r="5087" spans="1:12">
      <c r="A5087" s="22">
        <v>40314.164583333331</v>
      </c>
      <c r="E5087" s="26">
        <v>15.021666</v>
      </c>
      <c r="G5087" s="27">
        <v>0.16458333333333333</v>
      </c>
      <c r="J5087" s="30">
        <f>IF(G5087&lt;$H$10,$H$16,IF(G5087&gt;$I$10,$H$16,$H$11))*E5087/600</f>
        <v>5.0072220000000004E-3</v>
      </c>
      <c r="L5087" s="32">
        <f>$J5087*($G5087-$G5086)*60*24</f>
        <v>5.0072219999999822E-3</v>
      </c>
    </row>
    <row r="5088" spans="1:12">
      <c r="A5088" s="22">
        <v>40314.165277777778</v>
      </c>
      <c r="E5088" s="26">
        <v>15.06087</v>
      </c>
      <c r="G5088" s="27">
        <v>0.16527777777777777</v>
      </c>
      <c r="J5088" s="30">
        <f>IF(G5088&lt;$H$10,$H$16,IF(G5088&gt;$I$10,$H$16,$H$11))*E5088/600</f>
        <v>5.0202900000000002E-3</v>
      </c>
      <c r="L5088" s="32">
        <f>$J5088*($G5088-$G5087)*60*24</f>
        <v>5.0202899999999828E-3</v>
      </c>
    </row>
    <row r="5089" spans="1:12">
      <c r="A5089" s="22">
        <v>40314.165972222225</v>
      </c>
      <c r="E5089" s="26">
        <v>15.1866</v>
      </c>
      <c r="G5089" s="27">
        <v>0.16597222222222222</v>
      </c>
      <c r="J5089" s="30">
        <f>IF(G5089&lt;$H$10,$H$16,IF(G5089&gt;$I$10,$H$16,$H$11))*E5089/600</f>
        <v>5.0622000000000002E-3</v>
      </c>
      <c r="L5089" s="32">
        <f>$J5089*($G5089-$G5088)*60*24</f>
        <v>5.062199999999982E-3</v>
      </c>
    </row>
    <row r="5090" spans="1:12">
      <c r="A5090" s="22">
        <v>40314.166666666664</v>
      </c>
      <c r="E5090" s="26">
        <v>15.080472</v>
      </c>
      <c r="G5090" s="27">
        <v>0.16666666666666666</v>
      </c>
      <c r="J5090" s="30">
        <f>IF(G5090&lt;$H$10,$H$16,IF(G5090&gt;$I$10,$H$16,$H$11))*E5090/600</f>
        <v>5.026824E-3</v>
      </c>
      <c r="L5090" s="32">
        <f>$J5090*($G5090-$G5089)*60*24</f>
        <v>5.0268239999999818E-3</v>
      </c>
    </row>
    <row r="5091" spans="1:12">
      <c r="A5091" s="22">
        <v>40314.167361111111</v>
      </c>
      <c r="E5091" s="26">
        <v>15.087006000000001</v>
      </c>
      <c r="G5091" s="27">
        <v>0.1673611111111111</v>
      </c>
      <c r="J5091" s="30">
        <f>IF(G5091&lt;$H$10,$H$16,IF(G5091&gt;$I$10,$H$16,$H$11))*E5091/600</f>
        <v>5.0290020000000003E-3</v>
      </c>
      <c r="L5091" s="32">
        <f>$J5091*($G5091-$G5090)*60*24</f>
        <v>5.0290019999999821E-3</v>
      </c>
    </row>
    <row r="5092" spans="1:12">
      <c r="A5092" s="22">
        <v>40314.168055555558</v>
      </c>
      <c r="E5092" s="26">
        <v>15.047802000000001</v>
      </c>
      <c r="G5092" s="27">
        <v>0.16805555555555554</v>
      </c>
      <c r="J5092" s="30">
        <f>IF(G5092&lt;$H$10,$H$16,IF(G5092&gt;$I$10,$H$16,$H$11))*E5092/600</f>
        <v>5.0159340000000005E-3</v>
      </c>
      <c r="L5092" s="32">
        <f>$J5092*($G5092-$G5091)*60*24</f>
        <v>5.0159339999999823E-3</v>
      </c>
    </row>
    <row r="5093" spans="1:12">
      <c r="A5093" s="22">
        <v>40314.168749999997</v>
      </c>
      <c r="E5093" s="26">
        <v>15.0282</v>
      </c>
      <c r="G5093" s="27">
        <v>0.16874999999999998</v>
      </c>
      <c r="J5093" s="30">
        <f>IF(G5093&lt;$H$10,$H$16,IF(G5093&gt;$I$10,$H$16,$H$11))*E5093/600</f>
        <v>5.0093999999999998E-3</v>
      </c>
      <c r="L5093" s="32">
        <f>$J5093*($G5093-$G5092)*60*24</f>
        <v>5.0093999999999824E-3</v>
      </c>
    </row>
    <row r="5094" spans="1:12">
      <c r="A5094" s="22">
        <v>40314.169444444444</v>
      </c>
      <c r="E5094" s="26">
        <v>15.054335999999999</v>
      </c>
      <c r="G5094" s="27">
        <v>0.16944444444444443</v>
      </c>
      <c r="J5094" s="30">
        <f>IF(G5094&lt;$H$10,$H$16,IF(G5094&gt;$I$10,$H$16,$H$11))*E5094/600</f>
        <v>5.0181119999999999E-3</v>
      </c>
      <c r="L5094" s="32">
        <f>$J5094*($G5094-$G5093)*60*24</f>
        <v>5.0181119999999826E-3</v>
      </c>
    </row>
    <row r="5095" spans="1:12">
      <c r="A5095" s="22">
        <v>40314.170138888891</v>
      </c>
      <c r="E5095" s="26">
        <v>15.047802000000001</v>
      </c>
      <c r="G5095" s="27">
        <v>0.17013888888888887</v>
      </c>
      <c r="J5095" s="30">
        <f>IF(G5095&lt;$H$10,$H$16,IF(G5095&gt;$I$10,$H$16,$H$11))*E5095/600</f>
        <v>5.0159340000000005E-3</v>
      </c>
      <c r="L5095" s="32">
        <f>$J5095*($G5095-$G5094)*60*24</f>
        <v>5.0159339999999823E-3</v>
      </c>
    </row>
    <row r="5096" spans="1:12">
      <c r="A5096" s="22">
        <v>40314.17083333333</v>
      </c>
      <c r="E5096" s="26">
        <v>15.034734</v>
      </c>
      <c r="G5096" s="27">
        <v>0.17083333333333331</v>
      </c>
      <c r="J5096" s="30">
        <f>IF(G5096&lt;$H$10,$H$16,IF(G5096&gt;$I$10,$H$16,$H$11))*E5096/600</f>
        <v>5.011578E-3</v>
      </c>
      <c r="L5096" s="32">
        <f>$J5096*($G5096-$G5095)*60*24</f>
        <v>5.0115779999999818E-3</v>
      </c>
    </row>
    <row r="5097" spans="1:12">
      <c r="A5097" s="22">
        <v>40314.171527777777</v>
      </c>
      <c r="E5097" s="26">
        <v>15.18</v>
      </c>
      <c r="G5097" s="27">
        <v>0.17152777777777775</v>
      </c>
      <c r="J5097" s="30">
        <f>IF(G5097&lt;$H$10,$H$16,IF(G5097&gt;$I$10,$H$16,$H$11))*E5097/600</f>
        <v>5.0600000000000003E-3</v>
      </c>
      <c r="L5097" s="32">
        <f>$J5097*($G5097-$G5096)*60*24</f>
        <v>5.059999999999982E-3</v>
      </c>
    </row>
    <row r="5098" spans="1:12">
      <c r="A5098" s="22">
        <v>40314.172222222223</v>
      </c>
      <c r="E5098" s="26">
        <v>15.021666</v>
      </c>
      <c r="G5098" s="27">
        <v>0.17222222222222225</v>
      </c>
      <c r="J5098" s="30">
        <f>IF(G5098&lt;$H$10,$H$16,IF(G5098&gt;$I$10,$H$16,$H$11))*E5098/600</f>
        <v>5.0072220000000004E-3</v>
      </c>
      <c r="L5098" s="32">
        <f>$J5098*($G5098-$G5097)*60*24</f>
        <v>5.0072220000003829E-3</v>
      </c>
    </row>
    <row r="5099" spans="1:12">
      <c r="A5099" s="22">
        <v>40314.17291666667</v>
      </c>
      <c r="E5099" s="26">
        <v>15.034734</v>
      </c>
      <c r="G5099" s="27">
        <v>0.17291666666666669</v>
      </c>
      <c r="J5099" s="30">
        <f>IF(G5099&lt;$H$10,$H$16,IF(G5099&gt;$I$10,$H$16,$H$11))*E5099/600</f>
        <v>5.011578E-3</v>
      </c>
      <c r="L5099" s="32">
        <f>$J5099*($G5099-$G5098)*60*24</f>
        <v>5.0115779999999818E-3</v>
      </c>
    </row>
    <row r="5100" spans="1:12">
      <c r="A5100" s="22">
        <v>40314.173611111109</v>
      </c>
      <c r="E5100" s="26">
        <v>15.093540000000001</v>
      </c>
      <c r="G5100" s="27">
        <v>0.17361111111111113</v>
      </c>
      <c r="J5100" s="30">
        <f>IF(G5100&lt;$H$10,$H$16,IF(G5100&gt;$I$10,$H$16,$H$11))*E5100/600</f>
        <v>5.0311800000000005E-3</v>
      </c>
      <c r="L5100" s="32">
        <f>$J5100*($G5100-$G5099)*60*24</f>
        <v>5.0311799999999823E-3</v>
      </c>
    </row>
    <row r="5101" spans="1:12">
      <c r="A5101" s="22">
        <v>40314.174305555556</v>
      </c>
      <c r="E5101" s="26">
        <v>15.093540000000001</v>
      </c>
      <c r="G5101" s="27">
        <v>0.17430555555555557</v>
      </c>
      <c r="J5101" s="30">
        <f>IF(G5101&lt;$H$10,$H$16,IF(G5101&gt;$I$10,$H$16,$H$11))*E5101/600</f>
        <v>5.0311800000000005E-3</v>
      </c>
      <c r="L5101" s="32">
        <f>$J5101*($G5101-$G5100)*60*24</f>
        <v>5.0311799999999823E-3</v>
      </c>
    </row>
    <row r="5102" spans="1:12">
      <c r="A5102" s="22">
        <v>40314.175000000003</v>
      </c>
      <c r="E5102" s="26">
        <v>15.047802000000001</v>
      </c>
      <c r="G5102" s="27">
        <v>0.17500000000000002</v>
      </c>
      <c r="J5102" s="30">
        <f>IF(G5102&lt;$H$10,$H$16,IF(G5102&gt;$I$10,$H$16,$H$11))*E5102/600</f>
        <v>5.0159340000000005E-3</v>
      </c>
      <c r="L5102" s="32">
        <f>$J5102*($G5102-$G5101)*60*24</f>
        <v>5.0159339999999823E-3</v>
      </c>
    </row>
    <row r="5103" spans="1:12">
      <c r="A5103" s="22">
        <v>40314.175694444442</v>
      </c>
      <c r="E5103" s="26">
        <v>15.1866</v>
      </c>
      <c r="G5103" s="27">
        <v>0.17569444444444446</v>
      </c>
      <c r="J5103" s="30">
        <f>IF(G5103&lt;$H$10,$H$16,IF(G5103&gt;$I$10,$H$16,$H$11))*E5103/600</f>
        <v>5.0622000000000002E-3</v>
      </c>
      <c r="L5103" s="32">
        <f>$J5103*($G5103-$G5102)*60*24</f>
        <v>5.062199999999982E-3</v>
      </c>
    </row>
    <row r="5104" spans="1:12">
      <c r="A5104" s="22">
        <v>40314.176388888889</v>
      </c>
      <c r="E5104" s="26">
        <v>15.047802000000001</v>
      </c>
      <c r="G5104" s="27">
        <v>0.1763888888888889</v>
      </c>
      <c r="J5104" s="30">
        <f>IF(G5104&lt;$H$10,$H$16,IF(G5104&gt;$I$10,$H$16,$H$11))*E5104/600</f>
        <v>5.0159340000000005E-3</v>
      </c>
      <c r="L5104" s="32">
        <f>$J5104*($G5104-$G5103)*60*24</f>
        <v>5.0159339999999823E-3</v>
      </c>
    </row>
    <row r="5105" spans="1:12">
      <c r="A5105" s="22">
        <v>40314.177083333336</v>
      </c>
      <c r="E5105" s="26">
        <v>15.067404</v>
      </c>
      <c r="G5105" s="27">
        <v>0.17708333333333334</v>
      </c>
      <c r="J5105" s="30">
        <f>IF(G5105&lt;$H$10,$H$16,IF(G5105&gt;$I$10,$H$16,$H$11))*E5105/600</f>
        <v>5.0224679999999996E-3</v>
      </c>
      <c r="L5105" s="32">
        <f>$J5105*($G5105-$G5104)*60*24</f>
        <v>5.0224679999999813E-3</v>
      </c>
    </row>
    <row r="5106" spans="1:12">
      <c r="A5106" s="22">
        <v>40314.177777777775</v>
      </c>
      <c r="E5106" s="26">
        <v>15.047802000000001</v>
      </c>
      <c r="G5106" s="27">
        <v>0.17777777777777778</v>
      </c>
      <c r="J5106" s="30">
        <f>IF(G5106&lt;$H$10,$H$16,IF(G5106&gt;$I$10,$H$16,$H$11))*E5106/600</f>
        <v>5.0159340000000005E-3</v>
      </c>
      <c r="L5106" s="32">
        <f>$J5106*($G5106-$G5105)*60*24</f>
        <v>5.0159339999999823E-3</v>
      </c>
    </row>
    <row r="5107" spans="1:12">
      <c r="A5107" s="22">
        <v>40314.178472222222</v>
      </c>
      <c r="E5107" s="26">
        <v>15.1998</v>
      </c>
      <c r="G5107" s="27">
        <v>0.17847222222222223</v>
      </c>
      <c r="J5107" s="30">
        <f>IF(G5107&lt;$H$10,$H$16,IF(G5107&gt;$I$10,$H$16,$H$11))*E5107/600</f>
        <v>5.0666000000000001E-3</v>
      </c>
      <c r="L5107" s="32">
        <f>$J5107*($G5107-$G5106)*60*24</f>
        <v>5.0665999999999819E-3</v>
      </c>
    </row>
    <row r="5108" spans="1:12">
      <c r="A5108" s="22">
        <v>40314.179166666669</v>
      </c>
      <c r="E5108" s="26">
        <v>15.06087</v>
      </c>
      <c r="G5108" s="27">
        <v>0.17916666666666667</v>
      </c>
      <c r="J5108" s="30">
        <f>IF(G5108&lt;$H$10,$H$16,IF(G5108&gt;$I$10,$H$16,$H$11))*E5108/600</f>
        <v>5.0202900000000002E-3</v>
      </c>
      <c r="L5108" s="32">
        <f>$J5108*($G5108-$G5107)*60*24</f>
        <v>5.0202899999999828E-3</v>
      </c>
    </row>
    <row r="5109" spans="1:12">
      <c r="A5109" s="22">
        <v>40314.179861111108</v>
      </c>
      <c r="E5109" s="26">
        <v>15.18</v>
      </c>
      <c r="G5109" s="27">
        <v>0.17986111111111111</v>
      </c>
      <c r="J5109" s="30">
        <f>IF(G5109&lt;$H$10,$H$16,IF(G5109&gt;$I$10,$H$16,$H$11))*E5109/600</f>
        <v>5.0600000000000003E-3</v>
      </c>
      <c r="L5109" s="32">
        <f>$J5109*($G5109-$G5108)*60*24</f>
        <v>5.059999999999982E-3</v>
      </c>
    </row>
    <row r="5110" spans="1:12">
      <c r="A5110" s="22">
        <v>40314.180555555555</v>
      </c>
      <c r="E5110" s="26">
        <v>15.1866</v>
      </c>
      <c r="G5110" s="27">
        <v>0.18055555555555555</v>
      </c>
      <c r="J5110" s="30">
        <f>IF(G5110&lt;$H$10,$H$16,IF(G5110&gt;$I$10,$H$16,$H$11))*E5110/600</f>
        <v>5.0622000000000002E-3</v>
      </c>
      <c r="L5110" s="32">
        <f>$J5110*($G5110-$G5109)*60*24</f>
        <v>5.062199999999982E-3</v>
      </c>
    </row>
    <row r="5111" spans="1:12">
      <c r="A5111" s="22">
        <v>40314.181250000001</v>
      </c>
      <c r="E5111" s="26">
        <v>15.1602</v>
      </c>
      <c r="G5111" s="27">
        <v>0.18124999999999999</v>
      </c>
      <c r="J5111" s="30">
        <f>IF(G5111&lt;$H$10,$H$16,IF(G5111&gt;$I$10,$H$16,$H$11))*E5111/600</f>
        <v>5.0534000000000004E-3</v>
      </c>
      <c r="L5111" s="32">
        <f>$J5111*($G5111-$G5110)*60*24</f>
        <v>5.0533999999999822E-3</v>
      </c>
    </row>
    <row r="5112" spans="1:12">
      <c r="A5112" s="22">
        <v>40314.181944444441</v>
      </c>
      <c r="E5112" s="26">
        <v>15.1866</v>
      </c>
      <c r="G5112" s="27">
        <v>0.18194444444444444</v>
      </c>
      <c r="J5112" s="30">
        <f>IF(G5112&lt;$H$10,$H$16,IF(G5112&gt;$I$10,$H$16,$H$11))*E5112/600</f>
        <v>5.0622000000000002E-3</v>
      </c>
      <c r="L5112" s="32">
        <f>$J5112*($G5112-$G5111)*60*24</f>
        <v>5.062199999999982E-3</v>
      </c>
    </row>
    <row r="5113" spans="1:12">
      <c r="A5113" s="22">
        <v>40314.182638888888</v>
      </c>
      <c r="E5113" s="26">
        <v>15.1668</v>
      </c>
      <c r="G5113" s="27">
        <v>0.18263888888888891</v>
      </c>
      <c r="J5113" s="30">
        <f>IF(G5113&lt;$H$10,$H$16,IF(G5113&gt;$I$10,$H$16,$H$11))*E5113/600</f>
        <v>5.0556000000000004E-3</v>
      </c>
      <c r="L5113" s="32">
        <f>$J5113*($G5113-$G5112)*60*24</f>
        <v>5.0556000000001843E-3</v>
      </c>
    </row>
    <row r="5114" spans="1:12">
      <c r="A5114" s="22">
        <v>40314.183333333334</v>
      </c>
      <c r="E5114" s="26">
        <v>15.18</v>
      </c>
      <c r="G5114" s="27">
        <v>0.18333333333333335</v>
      </c>
      <c r="J5114" s="30">
        <f>IF(G5114&lt;$H$10,$H$16,IF(G5114&gt;$I$10,$H$16,$H$11))*E5114/600</f>
        <v>5.0600000000000003E-3</v>
      </c>
      <c r="L5114" s="32">
        <f>$J5114*($G5114-$G5113)*60*24</f>
        <v>5.059999999999982E-3</v>
      </c>
    </row>
    <row r="5115" spans="1:12">
      <c r="A5115" s="22">
        <v>40314.184027777781</v>
      </c>
      <c r="E5115" s="26">
        <v>15.18</v>
      </c>
      <c r="G5115" s="27">
        <v>0.18402777777777779</v>
      </c>
      <c r="J5115" s="30">
        <f>IF(G5115&lt;$H$10,$H$16,IF(G5115&gt;$I$10,$H$16,$H$11))*E5115/600</f>
        <v>5.0600000000000003E-3</v>
      </c>
      <c r="L5115" s="32">
        <f>$J5115*($G5115-$G5114)*60*24</f>
        <v>5.059999999999982E-3</v>
      </c>
    </row>
    <row r="5116" spans="1:12">
      <c r="A5116" s="22">
        <v>40314.18472222222</v>
      </c>
      <c r="E5116" s="26">
        <v>15.193199999999999</v>
      </c>
      <c r="G5116" s="27">
        <v>0.18472222222222223</v>
      </c>
      <c r="J5116" s="30">
        <f>IF(G5116&lt;$H$10,$H$16,IF(G5116&gt;$I$10,$H$16,$H$11))*E5116/600</f>
        <v>5.0644000000000002E-3</v>
      </c>
      <c r="L5116" s="32">
        <f>$J5116*($G5116-$G5115)*60*24</f>
        <v>5.0643999999999819E-3</v>
      </c>
    </row>
    <row r="5117" spans="1:12">
      <c r="A5117" s="22">
        <v>40314.185416666667</v>
      </c>
      <c r="E5117" s="26">
        <v>15.2262</v>
      </c>
      <c r="G5117" s="27">
        <v>0.18541666666666667</v>
      </c>
      <c r="J5117" s="30">
        <f>IF(G5117&lt;$H$10,$H$16,IF(G5117&gt;$I$10,$H$16,$H$11))*E5117/600</f>
        <v>5.0753999999999999E-3</v>
      </c>
      <c r="L5117" s="32">
        <f>$J5117*($G5117-$G5116)*60*24</f>
        <v>5.0753999999999817E-3</v>
      </c>
    </row>
    <row r="5118" spans="1:12">
      <c r="A5118" s="22">
        <v>40314.186111111114</v>
      </c>
      <c r="E5118" s="26">
        <v>15.232799999999999</v>
      </c>
      <c r="G5118" s="27">
        <v>0.18611111111111112</v>
      </c>
      <c r="J5118" s="30">
        <f>IF(G5118&lt;$H$10,$H$16,IF(G5118&gt;$I$10,$H$16,$H$11))*E5118/600</f>
        <v>5.0775999999999998E-3</v>
      </c>
      <c r="L5118" s="32">
        <f>$J5118*($G5118-$G5117)*60*24</f>
        <v>5.0775999999999816E-3</v>
      </c>
    </row>
    <row r="5119" spans="1:12">
      <c r="A5119" s="22">
        <v>40314.186805555553</v>
      </c>
      <c r="E5119" s="26">
        <v>15.212999999999999</v>
      </c>
      <c r="G5119" s="27">
        <v>0.18680555555555556</v>
      </c>
      <c r="J5119" s="30">
        <f>IF(G5119&lt;$H$10,$H$16,IF(G5119&gt;$I$10,$H$16,$H$11))*E5119/600</f>
        <v>5.071E-3</v>
      </c>
      <c r="L5119" s="32">
        <f>$J5119*($G5119-$G5118)*60*24</f>
        <v>5.0709999999999818E-3</v>
      </c>
    </row>
    <row r="5120" spans="1:12">
      <c r="A5120" s="22">
        <v>40314.1875</v>
      </c>
      <c r="E5120" s="26">
        <v>15.1866</v>
      </c>
      <c r="G5120" s="27">
        <v>0.1875</v>
      </c>
      <c r="J5120" s="30">
        <f>IF(G5120&lt;$H$10,$H$16,IF(G5120&gt;$I$10,$H$16,$H$11))*E5120/600</f>
        <v>5.0622000000000002E-3</v>
      </c>
      <c r="L5120" s="32">
        <f>$J5120*($G5120-$G5119)*60*24</f>
        <v>5.062199999999982E-3</v>
      </c>
    </row>
    <row r="5121" spans="1:12">
      <c r="A5121" s="22">
        <v>40314.188194444447</v>
      </c>
      <c r="E5121" s="26">
        <v>15.173400000000001</v>
      </c>
      <c r="G5121" s="27">
        <v>0.18819444444444444</v>
      </c>
      <c r="J5121" s="30">
        <f>IF(G5121&lt;$H$10,$H$16,IF(G5121&gt;$I$10,$H$16,$H$11))*E5121/600</f>
        <v>5.0578000000000003E-3</v>
      </c>
      <c r="L5121" s="32">
        <f>$J5121*($G5121-$G5120)*60*24</f>
        <v>5.057799999999983E-3</v>
      </c>
    </row>
    <row r="5122" spans="1:12">
      <c r="A5122" s="22">
        <v>40314.188888888886</v>
      </c>
      <c r="E5122" s="26">
        <v>15.1272</v>
      </c>
      <c r="G5122" s="27">
        <v>0.18888888888888888</v>
      </c>
      <c r="J5122" s="30">
        <f>IF(G5122&lt;$H$10,$H$16,IF(G5122&gt;$I$10,$H$16,$H$11))*E5122/600</f>
        <v>5.0423999999999998E-3</v>
      </c>
      <c r="L5122" s="32">
        <f>$J5122*($G5122-$G5121)*60*24</f>
        <v>5.0423999999999816E-3</v>
      </c>
    </row>
    <row r="5123" spans="1:12">
      <c r="A5123" s="22">
        <v>40314.189583333333</v>
      </c>
      <c r="E5123" s="26">
        <v>15.133800000000001</v>
      </c>
      <c r="G5123" s="27">
        <v>0.18958333333333333</v>
      </c>
      <c r="J5123" s="30">
        <f>IF(G5123&lt;$H$10,$H$16,IF(G5123&gt;$I$10,$H$16,$H$11))*E5123/600</f>
        <v>5.0446000000000006E-3</v>
      </c>
      <c r="L5123" s="32">
        <f>$J5123*($G5123-$G5122)*60*24</f>
        <v>5.0445999999999833E-3</v>
      </c>
    </row>
    <row r="5124" spans="1:12">
      <c r="A5124" s="22">
        <v>40314.19027777778</v>
      </c>
      <c r="E5124" s="26">
        <v>15.2064</v>
      </c>
      <c r="G5124" s="27">
        <v>0.19027777777777777</v>
      </c>
      <c r="J5124" s="30">
        <f>IF(G5124&lt;$H$10,$H$16,IF(G5124&gt;$I$10,$H$16,$H$11))*E5124/600</f>
        <v>5.0688000000000009E-3</v>
      </c>
      <c r="L5124" s="32">
        <f>$J5124*($G5124-$G5123)*60*24</f>
        <v>5.0687999999999836E-3</v>
      </c>
    </row>
    <row r="5125" spans="1:12">
      <c r="A5125" s="22">
        <v>40314.190972222219</v>
      </c>
      <c r="E5125" s="26">
        <v>15.2262</v>
      </c>
      <c r="G5125" s="27">
        <v>0.19097222222222221</v>
      </c>
      <c r="J5125" s="30">
        <f>IF(G5125&lt;$H$10,$H$16,IF(G5125&gt;$I$10,$H$16,$H$11))*E5125/600</f>
        <v>5.0753999999999999E-3</v>
      </c>
      <c r="L5125" s="32">
        <f>$J5125*($G5125-$G5124)*60*24</f>
        <v>5.0753999999999817E-3</v>
      </c>
    </row>
    <row r="5126" spans="1:12">
      <c r="A5126" s="22">
        <v>40314.191666666666</v>
      </c>
      <c r="E5126" s="26">
        <v>15.2394</v>
      </c>
      <c r="G5126" s="27">
        <v>0.19166666666666665</v>
      </c>
      <c r="J5126" s="30">
        <f>IF(G5126&lt;$H$10,$H$16,IF(G5126&gt;$I$10,$H$16,$H$11))*E5126/600</f>
        <v>5.0798000000000006E-3</v>
      </c>
      <c r="L5126" s="32">
        <f>$J5126*($G5126-$G5125)*60*24</f>
        <v>5.0797999999999824E-3</v>
      </c>
    </row>
    <row r="5127" spans="1:12">
      <c r="A5127" s="22">
        <v>40314.192361111112</v>
      </c>
      <c r="E5127" s="26">
        <v>15.285600000000001</v>
      </c>
      <c r="G5127" s="27">
        <v>0.19236111111111112</v>
      </c>
      <c r="J5127" s="30">
        <f>IF(G5127&lt;$H$10,$H$16,IF(G5127&gt;$I$10,$H$16,$H$11))*E5127/600</f>
        <v>5.0952000000000002E-3</v>
      </c>
      <c r="L5127" s="32">
        <f>$J5127*($G5127-$G5126)*60*24</f>
        <v>5.0952000000001859E-3</v>
      </c>
    </row>
    <row r="5128" spans="1:12">
      <c r="A5128" s="22">
        <v>40314.193055555559</v>
      </c>
      <c r="E5128" s="26">
        <v>15.279</v>
      </c>
      <c r="G5128" s="27">
        <v>0.19305555555555554</v>
      </c>
      <c r="J5128" s="30">
        <f>IF(G5128&lt;$H$10,$H$16,IF(G5128&gt;$I$10,$H$16,$H$11))*E5128/600</f>
        <v>5.0930000000000003E-3</v>
      </c>
      <c r="L5128" s="32">
        <f>$J5128*($G5128-$G5127)*60*24</f>
        <v>5.0929999999997783E-3</v>
      </c>
    </row>
    <row r="5129" spans="1:12">
      <c r="A5129" s="22">
        <v>40314.193749999999</v>
      </c>
      <c r="E5129" s="26">
        <v>15.272399999999999</v>
      </c>
      <c r="G5129" s="27">
        <v>0.19375000000000001</v>
      </c>
      <c r="J5129" s="30">
        <f>IF(G5129&lt;$H$10,$H$16,IF(G5129&gt;$I$10,$H$16,$H$11))*E5129/600</f>
        <v>5.0907999999999995E-3</v>
      </c>
      <c r="L5129" s="32">
        <f>$J5129*($G5129-$G5128)*60*24</f>
        <v>5.0908000000001851E-3</v>
      </c>
    </row>
    <row r="5130" spans="1:12">
      <c r="A5130" s="22">
        <v>40314.194444444445</v>
      </c>
      <c r="E5130" s="26">
        <v>15.2592</v>
      </c>
      <c r="G5130" s="27">
        <v>0.19444444444444445</v>
      </c>
      <c r="J5130" s="30">
        <f>IF(G5130&lt;$H$10,$H$16,IF(G5130&gt;$I$10,$H$16,$H$11))*E5130/600</f>
        <v>5.0864000000000005E-3</v>
      </c>
      <c r="L5130" s="32">
        <f>$J5130*($G5130-$G5129)*60*24</f>
        <v>5.0863999999999823E-3</v>
      </c>
    </row>
    <row r="5131" spans="1:12">
      <c r="A5131" s="22">
        <v>40314.195138888892</v>
      </c>
      <c r="E5131" s="26">
        <v>15.252599999999999</v>
      </c>
      <c r="G5131" s="27">
        <v>0.19513888888888889</v>
      </c>
      <c r="J5131" s="30">
        <f>IF(G5131&lt;$H$10,$H$16,IF(G5131&gt;$I$10,$H$16,$H$11))*E5131/600</f>
        <v>5.0842000000000005E-3</v>
      </c>
      <c r="L5131" s="32">
        <f>$J5131*($G5131-$G5130)*60*24</f>
        <v>5.0841999999999823E-3</v>
      </c>
    </row>
    <row r="5132" spans="1:12">
      <c r="A5132" s="22">
        <v>40314.195833333331</v>
      </c>
      <c r="E5132" s="26">
        <v>15.246</v>
      </c>
      <c r="G5132" s="27">
        <v>0.19583333333333333</v>
      </c>
      <c r="J5132" s="30">
        <f>IF(G5132&lt;$H$10,$H$16,IF(G5132&gt;$I$10,$H$16,$H$11))*E5132/600</f>
        <v>5.0820000000000006E-3</v>
      </c>
      <c r="L5132" s="32">
        <f>$J5132*($G5132-$G5131)*60*24</f>
        <v>5.0819999999999824E-3</v>
      </c>
    </row>
    <row r="5133" spans="1:12">
      <c r="A5133" s="22">
        <v>40314.196527777778</v>
      </c>
      <c r="E5133" s="26">
        <v>15.2394</v>
      </c>
      <c r="G5133" s="27">
        <v>0.19652777777777777</v>
      </c>
      <c r="J5133" s="30">
        <f>IF(G5133&lt;$H$10,$H$16,IF(G5133&gt;$I$10,$H$16,$H$11))*E5133/600</f>
        <v>5.0798000000000006E-3</v>
      </c>
      <c r="L5133" s="32">
        <f>$J5133*($G5133-$G5132)*60*24</f>
        <v>5.0797999999999824E-3</v>
      </c>
    </row>
    <row r="5134" spans="1:12">
      <c r="A5134" s="22">
        <v>40314.197222222225</v>
      </c>
      <c r="E5134" s="26">
        <v>15.2394</v>
      </c>
      <c r="G5134" s="27">
        <v>0.19722222222222222</v>
      </c>
      <c r="J5134" s="30">
        <f>IF(G5134&lt;$H$10,$H$16,IF(G5134&gt;$I$10,$H$16,$H$11))*E5134/600</f>
        <v>5.0798000000000006E-3</v>
      </c>
      <c r="L5134" s="32">
        <f>$J5134*($G5134-$G5133)*60*24</f>
        <v>5.0797999999999824E-3</v>
      </c>
    </row>
    <row r="5135" spans="1:12">
      <c r="A5135" s="22">
        <v>40314.197916666664</v>
      </c>
      <c r="E5135" s="26">
        <v>15.272399999999999</v>
      </c>
      <c r="G5135" s="27">
        <v>0.19791666666666666</v>
      </c>
      <c r="J5135" s="30">
        <f>IF(G5135&lt;$H$10,$H$16,IF(G5135&gt;$I$10,$H$16,$H$11))*E5135/600</f>
        <v>5.0907999999999995E-3</v>
      </c>
      <c r="L5135" s="32">
        <f>$J5135*($G5135-$G5134)*60*24</f>
        <v>5.0907999999999813E-3</v>
      </c>
    </row>
    <row r="5136" spans="1:12">
      <c r="A5136" s="22">
        <v>40314.198611111111</v>
      </c>
      <c r="E5136" s="26">
        <v>15.405125999999999</v>
      </c>
      <c r="G5136" s="27">
        <v>0.1986111111111111</v>
      </c>
      <c r="J5136" s="30">
        <f>IF(G5136&lt;$H$10,$H$16,IF(G5136&gt;$I$10,$H$16,$H$11))*E5136/600</f>
        <v>5.1350420000000003E-3</v>
      </c>
      <c r="L5136" s="32">
        <f>$J5136*($G5136-$G5135)*60*24</f>
        <v>5.135041999999982E-3</v>
      </c>
    </row>
    <row r="5137" spans="1:12">
      <c r="A5137" s="22">
        <v>40314.199305555558</v>
      </c>
      <c r="E5137" s="26">
        <v>15.358464</v>
      </c>
      <c r="G5137" s="27">
        <v>0.19930555555555554</v>
      </c>
      <c r="J5137" s="30">
        <f>IF(G5137&lt;$H$10,$H$16,IF(G5137&gt;$I$10,$H$16,$H$11))*E5137/600</f>
        <v>5.1194880000000002E-3</v>
      </c>
      <c r="L5137" s="32">
        <f>$J5137*($G5137-$G5136)*60*24</f>
        <v>5.1194879999999819E-3</v>
      </c>
    </row>
    <row r="5138" spans="1:12">
      <c r="A5138" s="22">
        <v>40314.199999999997</v>
      </c>
      <c r="E5138" s="26">
        <v>15.2262</v>
      </c>
      <c r="G5138" s="27">
        <v>0.19999999999999998</v>
      </c>
      <c r="J5138" s="30">
        <f>IF(G5138&lt;$H$10,$H$16,IF(G5138&gt;$I$10,$H$16,$H$11))*E5138/600</f>
        <v>5.0753999999999999E-3</v>
      </c>
      <c r="L5138" s="32">
        <f>$J5138*($G5138-$G5137)*60*24</f>
        <v>5.0753999999999817E-3</v>
      </c>
    </row>
    <row r="5139" spans="1:12">
      <c r="A5139" s="22">
        <v>40314.200694444444</v>
      </c>
      <c r="E5139" s="26">
        <v>15.212999999999999</v>
      </c>
      <c r="G5139" s="27">
        <v>0.20069444444444443</v>
      </c>
      <c r="J5139" s="30">
        <f>IF(G5139&lt;$H$10,$H$16,IF(G5139&gt;$I$10,$H$16,$H$11))*E5139/600</f>
        <v>5.071E-3</v>
      </c>
      <c r="L5139" s="32">
        <f>$J5139*($G5139-$G5138)*60*24</f>
        <v>5.0709999999999818E-3</v>
      </c>
    </row>
    <row r="5140" spans="1:12">
      <c r="A5140" s="22">
        <v>40314.201388888891</v>
      </c>
      <c r="E5140" s="26">
        <v>15.193199999999999</v>
      </c>
      <c r="G5140" s="27">
        <v>0.20138888888888887</v>
      </c>
      <c r="J5140" s="30">
        <f>IF(G5140&lt;$H$10,$H$16,IF(G5140&gt;$I$10,$H$16,$H$11))*E5140/600</f>
        <v>5.0644000000000002E-3</v>
      </c>
      <c r="L5140" s="32">
        <f>$J5140*($G5140-$G5139)*60*24</f>
        <v>5.0643999999999819E-3</v>
      </c>
    </row>
    <row r="5141" spans="1:12">
      <c r="A5141" s="22">
        <v>40314.20208333333</v>
      </c>
      <c r="E5141" s="26">
        <v>15.2196</v>
      </c>
      <c r="G5141" s="27">
        <v>0.20208333333333331</v>
      </c>
      <c r="J5141" s="30">
        <f>IF(G5141&lt;$H$10,$H$16,IF(G5141&gt;$I$10,$H$16,$H$11))*E5141/600</f>
        <v>5.0731999999999999E-3</v>
      </c>
      <c r="L5141" s="32">
        <f>$J5141*($G5141-$G5140)*60*24</f>
        <v>5.0731999999999817E-3</v>
      </c>
    </row>
    <row r="5142" spans="1:12">
      <c r="A5142" s="22">
        <v>40314.202777777777</v>
      </c>
      <c r="E5142" s="26">
        <v>15.212999999999999</v>
      </c>
      <c r="G5142" s="27">
        <v>0.20277777777777781</v>
      </c>
      <c r="J5142" s="30">
        <f>IF(G5142&lt;$H$10,$H$16,IF(G5142&gt;$I$10,$H$16,$H$11))*E5142/600</f>
        <v>5.071E-3</v>
      </c>
      <c r="L5142" s="32">
        <f>$J5142*($G5142-$G5141)*60*24</f>
        <v>5.0710000000003877E-3</v>
      </c>
    </row>
    <row r="5143" spans="1:12">
      <c r="A5143" s="22">
        <v>40314.203472222223</v>
      </c>
      <c r="E5143" s="26">
        <v>15.173400000000001</v>
      </c>
      <c r="G5143" s="27">
        <v>0.20347222222222219</v>
      </c>
      <c r="J5143" s="30">
        <f>IF(G5143&lt;$H$10,$H$16,IF(G5143&gt;$I$10,$H$16,$H$11))*E5143/600</f>
        <v>5.0578000000000003E-3</v>
      </c>
      <c r="L5143" s="32">
        <f>$J5143*($G5143-$G5142)*60*24</f>
        <v>5.0577999999995779E-3</v>
      </c>
    </row>
    <row r="5144" spans="1:12">
      <c r="A5144" s="22">
        <v>40314.20416666667</v>
      </c>
      <c r="E5144" s="26">
        <v>15.1668</v>
      </c>
      <c r="G5144" s="27">
        <v>0.20416666666666669</v>
      </c>
      <c r="J5144" s="30">
        <f>IF(G5144&lt;$H$10,$H$16,IF(G5144&gt;$I$10,$H$16,$H$11))*E5144/600</f>
        <v>5.0556000000000004E-3</v>
      </c>
      <c r="L5144" s="32">
        <f>$J5144*($G5144-$G5143)*60*24</f>
        <v>5.0556000000003863E-3</v>
      </c>
    </row>
    <row r="5145" spans="1:12">
      <c r="A5145" s="22">
        <v>40314.204861111109</v>
      </c>
      <c r="E5145" s="26">
        <v>15.18</v>
      </c>
      <c r="G5145" s="27">
        <v>0.20486111111111113</v>
      </c>
      <c r="J5145" s="30">
        <f>IF(G5145&lt;$H$10,$H$16,IF(G5145&gt;$I$10,$H$16,$H$11))*E5145/600</f>
        <v>5.0600000000000003E-3</v>
      </c>
      <c r="L5145" s="32">
        <f>$J5145*($G5145-$G5144)*60*24</f>
        <v>5.059999999999982E-3</v>
      </c>
    </row>
    <row r="5146" spans="1:12">
      <c r="A5146" s="22">
        <v>40314.205555555556</v>
      </c>
      <c r="E5146" s="26">
        <v>15.2196</v>
      </c>
      <c r="G5146" s="27">
        <v>0.20555555555555557</v>
      </c>
      <c r="J5146" s="30">
        <f>IF(G5146&lt;$H$10,$H$16,IF(G5146&gt;$I$10,$H$16,$H$11))*E5146/600</f>
        <v>5.0731999999999999E-3</v>
      </c>
      <c r="L5146" s="32">
        <f>$J5146*($G5146-$G5145)*60*24</f>
        <v>5.0731999999999817E-3</v>
      </c>
    </row>
    <row r="5147" spans="1:12">
      <c r="A5147" s="22">
        <v>40314.206250000003</v>
      </c>
      <c r="E5147" s="26">
        <v>15.2064</v>
      </c>
      <c r="G5147" s="27">
        <v>0.20625000000000002</v>
      </c>
      <c r="J5147" s="30">
        <f>IF(G5147&lt;$H$10,$H$16,IF(G5147&gt;$I$10,$H$16,$H$11))*E5147/600</f>
        <v>5.0688000000000009E-3</v>
      </c>
      <c r="L5147" s="32">
        <f>$J5147*($G5147-$G5146)*60*24</f>
        <v>5.0687999999999836E-3</v>
      </c>
    </row>
    <row r="5148" spans="1:12">
      <c r="A5148" s="22">
        <v>40314.206944444442</v>
      </c>
      <c r="E5148" s="26">
        <v>15.1668</v>
      </c>
      <c r="G5148" s="27">
        <v>0.20694444444444446</v>
      </c>
      <c r="J5148" s="30">
        <f>IF(G5148&lt;$H$10,$H$16,IF(G5148&gt;$I$10,$H$16,$H$11))*E5148/600</f>
        <v>5.0556000000000004E-3</v>
      </c>
      <c r="L5148" s="32">
        <f>$J5148*($G5148-$G5147)*60*24</f>
        <v>5.0555999999999822E-3</v>
      </c>
    </row>
    <row r="5149" spans="1:12">
      <c r="A5149" s="22">
        <v>40314.207638888889</v>
      </c>
      <c r="E5149" s="26">
        <v>15.153600000000001</v>
      </c>
      <c r="G5149" s="27">
        <v>0.2076388888888889</v>
      </c>
      <c r="J5149" s="30">
        <f>IF(G5149&lt;$H$10,$H$16,IF(G5149&gt;$I$10,$H$16,$H$11))*E5149/600</f>
        <v>5.0512000000000005E-3</v>
      </c>
      <c r="L5149" s="32">
        <f>$J5149*($G5149-$G5148)*60*24</f>
        <v>5.0511999999999831E-3</v>
      </c>
    </row>
    <row r="5150" spans="1:12">
      <c r="A5150" s="22">
        <v>40314.208333333336</v>
      </c>
      <c r="E5150" s="26">
        <v>15.173400000000001</v>
      </c>
      <c r="G5150" s="27">
        <v>0.20833333333333334</v>
      </c>
      <c r="J5150" s="30">
        <f>IF(G5150&lt;$H$10,$H$16,IF(G5150&gt;$I$10,$H$16,$H$11))*E5150/600</f>
        <v>5.0578000000000003E-3</v>
      </c>
      <c r="L5150" s="32">
        <f>$J5150*($G5150-$G5149)*60*24</f>
        <v>5.057799999999983E-3</v>
      </c>
    </row>
    <row r="5151" spans="1:12">
      <c r="A5151" s="22">
        <v>40314.209027777775</v>
      </c>
      <c r="E5151" s="26">
        <v>15.193199999999999</v>
      </c>
      <c r="G5151" s="27">
        <v>0.20902777777777778</v>
      </c>
      <c r="J5151" s="30">
        <f>IF(G5151&lt;$H$10,$H$16,IF(G5151&gt;$I$10,$H$16,$H$11))*E5151/600</f>
        <v>5.0644000000000002E-3</v>
      </c>
      <c r="L5151" s="32">
        <f>$J5151*($G5151-$G5150)*60*24</f>
        <v>5.0643999999999819E-3</v>
      </c>
    </row>
    <row r="5152" spans="1:12">
      <c r="A5152" s="22">
        <v>40314.209722222222</v>
      </c>
      <c r="E5152" s="26">
        <v>15.1998</v>
      </c>
      <c r="G5152" s="27">
        <v>0.20972222222222223</v>
      </c>
      <c r="J5152" s="30">
        <f>IF(G5152&lt;$H$10,$H$16,IF(G5152&gt;$I$10,$H$16,$H$11))*E5152/600</f>
        <v>5.0666000000000001E-3</v>
      </c>
      <c r="L5152" s="32">
        <f>$J5152*($G5152-$G5151)*60*24</f>
        <v>5.0665999999999819E-3</v>
      </c>
    </row>
    <row r="5153" spans="1:12">
      <c r="A5153" s="22">
        <v>40314.210416666669</v>
      </c>
      <c r="E5153" s="26">
        <v>15.212999999999999</v>
      </c>
      <c r="G5153" s="27">
        <v>0.21041666666666667</v>
      </c>
      <c r="J5153" s="30">
        <f>IF(G5153&lt;$H$10,$H$16,IF(G5153&gt;$I$10,$H$16,$H$11))*E5153/600</f>
        <v>5.071E-3</v>
      </c>
      <c r="L5153" s="32">
        <f>$J5153*($G5153-$G5152)*60*24</f>
        <v>5.0709999999999818E-3</v>
      </c>
    </row>
    <row r="5154" spans="1:12">
      <c r="A5154" s="22">
        <v>40314.211111111108</v>
      </c>
      <c r="E5154" s="26">
        <v>15.193199999999999</v>
      </c>
      <c r="G5154" s="27">
        <v>0.21111111111111111</v>
      </c>
      <c r="J5154" s="30">
        <f>IF(G5154&lt;$H$10,$H$16,IF(G5154&gt;$I$10,$H$16,$H$11))*E5154/600</f>
        <v>5.0644000000000002E-3</v>
      </c>
      <c r="L5154" s="32">
        <f>$J5154*($G5154-$G5153)*60*24</f>
        <v>5.0643999999999819E-3</v>
      </c>
    </row>
    <row r="5155" spans="1:12">
      <c r="A5155" s="22">
        <v>40314.211805555555</v>
      </c>
      <c r="E5155" s="26">
        <v>15.193199999999999</v>
      </c>
      <c r="G5155" s="27">
        <v>0.21180555555555555</v>
      </c>
      <c r="J5155" s="30">
        <f>IF(G5155&lt;$H$10,$H$16,IF(G5155&gt;$I$10,$H$16,$H$11))*E5155/600</f>
        <v>5.0644000000000002E-3</v>
      </c>
      <c r="L5155" s="32">
        <f>$J5155*($G5155-$G5154)*60*24</f>
        <v>5.0643999999999819E-3</v>
      </c>
    </row>
    <row r="5156" spans="1:12">
      <c r="A5156" s="22">
        <v>40314.212500000001</v>
      </c>
      <c r="E5156" s="26">
        <v>15.1866</v>
      </c>
      <c r="G5156" s="27">
        <v>0.21249999999999999</v>
      </c>
      <c r="J5156" s="30">
        <f>IF(G5156&lt;$H$10,$H$16,IF(G5156&gt;$I$10,$H$16,$H$11))*E5156/600</f>
        <v>5.0622000000000002E-3</v>
      </c>
      <c r="L5156" s="32">
        <f>$J5156*($G5156-$G5155)*60*24</f>
        <v>5.062199999999982E-3</v>
      </c>
    </row>
    <row r="5157" spans="1:12">
      <c r="A5157" s="22">
        <v>40314.213194444441</v>
      </c>
      <c r="E5157" s="26">
        <v>15.067404</v>
      </c>
      <c r="G5157" s="27">
        <v>0.21319444444444444</v>
      </c>
      <c r="J5157" s="30">
        <f>IF(G5157&lt;$H$10,$H$16,IF(G5157&gt;$I$10,$H$16,$H$11))*E5157/600</f>
        <v>5.0224679999999996E-3</v>
      </c>
      <c r="L5157" s="32">
        <f>$J5157*($G5157-$G5156)*60*24</f>
        <v>5.0224679999999813E-3</v>
      </c>
    </row>
    <row r="5158" spans="1:12">
      <c r="A5158" s="22">
        <v>40314.213888888888</v>
      </c>
      <c r="E5158" s="26">
        <v>15.1998</v>
      </c>
      <c r="G5158" s="27">
        <v>0.21388888888888891</v>
      </c>
      <c r="J5158" s="30">
        <f>IF(G5158&lt;$H$10,$H$16,IF(G5158&gt;$I$10,$H$16,$H$11))*E5158/600</f>
        <v>5.0666000000000001E-3</v>
      </c>
      <c r="L5158" s="32">
        <f>$J5158*($G5158-$G5157)*60*24</f>
        <v>5.0666000000001848E-3</v>
      </c>
    </row>
    <row r="5159" spans="1:12">
      <c r="A5159" s="22">
        <v>40314.214583333334</v>
      </c>
      <c r="E5159" s="26">
        <v>15.1668</v>
      </c>
      <c r="G5159" s="27">
        <v>0.21458333333333335</v>
      </c>
      <c r="J5159" s="30">
        <f>IF(G5159&lt;$H$10,$H$16,IF(G5159&gt;$I$10,$H$16,$H$11))*E5159/600</f>
        <v>5.0556000000000004E-3</v>
      </c>
      <c r="L5159" s="32">
        <f>$J5159*($G5159-$G5158)*60*24</f>
        <v>5.0555999999999822E-3</v>
      </c>
    </row>
    <row r="5160" spans="1:12">
      <c r="A5160" s="22">
        <v>40314.215277777781</v>
      </c>
      <c r="E5160" s="26">
        <v>15.1272</v>
      </c>
      <c r="G5160" s="27">
        <v>0.21527777777777779</v>
      </c>
      <c r="J5160" s="30">
        <f>IF(G5160&lt;$H$10,$H$16,IF(G5160&gt;$I$10,$H$16,$H$11))*E5160/600</f>
        <v>5.0423999999999998E-3</v>
      </c>
      <c r="L5160" s="32">
        <f>$J5160*($G5160-$G5159)*60*24</f>
        <v>5.0423999999999816E-3</v>
      </c>
    </row>
    <row r="5161" spans="1:12">
      <c r="A5161" s="22">
        <v>40314.21597222222</v>
      </c>
      <c r="E5161" s="26">
        <v>15.001025</v>
      </c>
      <c r="G5161" s="27">
        <v>0.21597222222222223</v>
      </c>
      <c r="J5161" s="30">
        <f>IF(G5161&lt;$H$10,$H$16,IF(G5161&gt;$I$10,$H$16,$H$11))*E5161/600</f>
        <v>5.0003416666666673E-3</v>
      </c>
      <c r="L5161" s="32">
        <f>$J5161*($G5161-$G5160)*60*24</f>
        <v>5.00034166666665E-3</v>
      </c>
    </row>
    <row r="5162" spans="1:12">
      <c r="A5162" s="22">
        <v>40314.216666666667</v>
      </c>
      <c r="E5162" s="26">
        <v>15.176069999999999</v>
      </c>
      <c r="G5162" s="27">
        <v>0.21666666666666667</v>
      </c>
      <c r="J5162" s="30">
        <f>IF(G5162&lt;$H$10,$H$16,IF(G5162&gt;$I$10,$H$16,$H$11))*E5162/600</f>
        <v>5.0586899999999994E-3</v>
      </c>
      <c r="L5162" s="32">
        <f>$J5162*($G5162-$G5161)*60*24</f>
        <v>5.0586899999999812E-3</v>
      </c>
    </row>
    <row r="5163" spans="1:12">
      <c r="A5163" s="22">
        <v>40314.217361111114</v>
      </c>
      <c r="E5163" s="26">
        <v>15.066675</v>
      </c>
      <c r="G5163" s="27">
        <v>0.21736111111111112</v>
      </c>
      <c r="J5163" s="30">
        <f>IF(G5163&lt;$H$10,$H$16,IF(G5163&gt;$I$10,$H$16,$H$11))*E5163/600</f>
        <v>5.022225E-3</v>
      </c>
      <c r="L5163" s="32">
        <f>$J5163*($G5163-$G5162)*60*24</f>
        <v>5.0222249999999826E-3</v>
      </c>
    </row>
    <row r="5164" spans="1:12">
      <c r="A5164" s="22">
        <v>40314.218055555553</v>
      </c>
      <c r="E5164" s="26">
        <v>15.21585</v>
      </c>
      <c r="G5164" s="27">
        <v>0.21805555555555556</v>
      </c>
      <c r="J5164" s="30">
        <f>IF(G5164&lt;$H$10,$H$16,IF(G5164&gt;$I$10,$H$16,$H$11))*E5164/600</f>
        <v>5.0719499999999995E-3</v>
      </c>
      <c r="L5164" s="32">
        <f>$J5164*($G5164-$G5163)*60*24</f>
        <v>5.0719499999999813E-3</v>
      </c>
    </row>
    <row r="5165" spans="1:12">
      <c r="A5165" s="22">
        <v>40314.21875</v>
      </c>
      <c r="E5165" s="26">
        <v>15.132325</v>
      </c>
      <c r="G5165" s="27">
        <v>0.21875</v>
      </c>
      <c r="J5165" s="30">
        <f>IF(G5165&lt;$H$10,$H$16,IF(G5165&gt;$I$10,$H$16,$H$11))*E5165/600</f>
        <v>5.0441083333333334E-3</v>
      </c>
      <c r="L5165" s="32">
        <f>$J5165*($G5165-$G5164)*60*24</f>
        <v>5.0441083333333161E-3</v>
      </c>
    </row>
    <row r="5166" spans="1:12">
      <c r="A5166" s="22">
        <v>40314.219444444447</v>
      </c>
      <c r="E5166" s="26">
        <v>15.112629999999999</v>
      </c>
      <c r="G5166" s="27">
        <v>0.21944444444444444</v>
      </c>
      <c r="J5166" s="30">
        <f>IF(G5166&lt;$H$10,$H$16,IF(G5166&gt;$I$10,$H$16,$H$11))*E5166/600</f>
        <v>5.0375433333333334E-3</v>
      </c>
      <c r="L5166" s="32">
        <f>$J5166*($G5166-$G5165)*60*24</f>
        <v>5.0375433333333152E-3</v>
      </c>
    </row>
    <row r="5167" spans="1:12">
      <c r="A5167" s="22">
        <v>40314.220138888886</v>
      </c>
      <c r="E5167" s="26">
        <v>15.13889</v>
      </c>
      <c r="G5167" s="27">
        <v>0.22013888888888888</v>
      </c>
      <c r="J5167" s="30">
        <f>IF(G5167&lt;$H$10,$H$16,IF(G5167&gt;$I$10,$H$16,$H$11))*E5167/600</f>
        <v>5.0462966666666668E-3</v>
      </c>
      <c r="L5167" s="32">
        <f>$J5167*($G5167-$G5166)*60*24</f>
        <v>5.0462966666666486E-3</v>
      </c>
    </row>
    <row r="5168" spans="1:12">
      <c r="A5168" s="22">
        <v>40314.220833333333</v>
      </c>
      <c r="E5168" s="26">
        <v>15.099500000000001</v>
      </c>
      <c r="G5168" s="27">
        <v>0.22083333333333333</v>
      </c>
      <c r="J5168" s="30">
        <f>IF(G5168&lt;$H$10,$H$16,IF(G5168&gt;$I$10,$H$16,$H$11))*E5168/600</f>
        <v>5.0331666666666667E-3</v>
      </c>
      <c r="L5168" s="32">
        <f>$J5168*($G5168-$G5167)*60*24</f>
        <v>5.0331666666666493E-3</v>
      </c>
    </row>
    <row r="5169" spans="1:12">
      <c r="A5169" s="22">
        <v>40314.22152777778</v>
      </c>
      <c r="E5169" s="26">
        <v>15.053545</v>
      </c>
      <c r="G5169" s="27">
        <v>0.22152777777777777</v>
      </c>
      <c r="J5169" s="30">
        <f>IF(G5169&lt;$H$10,$H$16,IF(G5169&gt;$I$10,$H$16,$H$11))*E5169/600</f>
        <v>5.0178483333333341E-3</v>
      </c>
      <c r="L5169" s="32">
        <f>$J5169*($G5169-$G5168)*60*24</f>
        <v>5.0178483333333168E-3</v>
      </c>
    </row>
    <row r="5170" spans="1:12">
      <c r="A5170" s="22">
        <v>40314.222222222219</v>
      </c>
      <c r="E5170" s="26">
        <v>15.092935000000001</v>
      </c>
      <c r="G5170" s="27">
        <v>0.22222222222222221</v>
      </c>
      <c r="J5170" s="30">
        <f>IF(G5170&lt;$H$10,$H$16,IF(G5170&gt;$I$10,$H$16,$H$11))*E5170/600</f>
        <v>5.0309783333333333E-3</v>
      </c>
      <c r="L5170" s="32">
        <f>$J5170*($G5170-$G5169)*60*24</f>
        <v>5.030978333333316E-3</v>
      </c>
    </row>
    <row r="5171" spans="1:12">
      <c r="A5171" s="22">
        <v>40314.222916666666</v>
      </c>
      <c r="E5171" s="26">
        <v>15.132325</v>
      </c>
      <c r="G5171" s="27">
        <v>0.22291666666666665</v>
      </c>
      <c r="J5171" s="30">
        <f>IF(G5171&lt;$H$10,$H$16,IF(G5171&gt;$I$10,$H$16,$H$11))*E5171/600</f>
        <v>5.0441083333333334E-3</v>
      </c>
      <c r="L5171" s="32">
        <f>$J5171*($G5171-$G5170)*60*24</f>
        <v>5.0441083333333161E-3</v>
      </c>
    </row>
    <row r="5172" spans="1:12">
      <c r="A5172" s="22">
        <v>40314.223611111112</v>
      </c>
      <c r="E5172" s="26">
        <v>15.132325</v>
      </c>
      <c r="G5172" s="27">
        <v>0.22361111111111109</v>
      </c>
      <c r="J5172" s="30">
        <f>IF(G5172&lt;$H$10,$H$16,IF(G5172&gt;$I$10,$H$16,$H$11))*E5172/600</f>
        <v>5.0441083333333334E-3</v>
      </c>
      <c r="L5172" s="32">
        <f>$J5172*($G5172-$G5171)*60*24</f>
        <v>5.0441083333333161E-3</v>
      </c>
    </row>
    <row r="5173" spans="1:12">
      <c r="A5173" s="22">
        <v>40314.224305555559</v>
      </c>
      <c r="E5173" s="26">
        <v>15.268890000000001</v>
      </c>
      <c r="G5173" s="27">
        <v>0.22430555555555556</v>
      </c>
      <c r="J5173" s="30">
        <f>IF(G5173&lt;$H$10,$H$16,IF(G5173&gt;$I$10,$H$16,$H$11))*E5173/600</f>
        <v>5.0896300000000004E-3</v>
      </c>
      <c r="L5173" s="32">
        <f>$J5173*($G5173-$G5172)*60*24</f>
        <v>5.089630000000186E-3</v>
      </c>
    </row>
    <row r="5174" spans="1:12">
      <c r="A5174" s="22">
        <v>40314.224999999999</v>
      </c>
      <c r="E5174" s="26">
        <v>15.242369999999999</v>
      </c>
      <c r="G5174" s="27">
        <v>0.22500000000000001</v>
      </c>
      <c r="J5174" s="30">
        <f>IF(G5174&lt;$H$10,$H$16,IF(G5174&gt;$I$10,$H$16,$H$11))*E5174/600</f>
        <v>5.08079E-3</v>
      </c>
      <c r="L5174" s="32">
        <f>$J5174*($G5174-$G5173)*60*24</f>
        <v>5.0807899999999817E-3</v>
      </c>
    </row>
    <row r="5175" spans="1:12">
      <c r="A5175" s="22">
        <v>40314.225694444445</v>
      </c>
      <c r="E5175" s="26">
        <v>15.22911</v>
      </c>
      <c r="G5175" s="27">
        <v>0.22569444444444445</v>
      </c>
      <c r="J5175" s="30">
        <f>IF(G5175&lt;$H$10,$H$16,IF(G5175&gt;$I$10,$H$16,$H$11))*E5175/600</f>
        <v>5.0763700000000002E-3</v>
      </c>
      <c r="L5175" s="32">
        <f>$J5175*($G5175-$G5174)*60*24</f>
        <v>5.076369999999982E-3</v>
      </c>
    </row>
    <row r="5176" spans="1:12">
      <c r="A5176" s="22">
        <v>40314.226388888892</v>
      </c>
      <c r="E5176" s="26">
        <v>15.249000000000001</v>
      </c>
      <c r="G5176" s="27">
        <v>0.22638888888888889</v>
      </c>
      <c r="J5176" s="30">
        <f>IF(G5176&lt;$H$10,$H$16,IF(G5176&gt;$I$10,$H$16,$H$11))*E5176/600</f>
        <v>5.0830000000000007E-3</v>
      </c>
      <c r="L5176" s="32">
        <f>$J5176*($G5176-$G5175)*60*24</f>
        <v>5.0829999999999825E-3</v>
      </c>
    </row>
    <row r="5177" spans="1:12">
      <c r="A5177" s="22">
        <v>40314.227083333331</v>
      </c>
      <c r="E5177" s="26">
        <v>15.22911</v>
      </c>
      <c r="G5177" s="27">
        <v>0.22708333333333333</v>
      </c>
      <c r="J5177" s="30">
        <f>IF(G5177&lt;$H$10,$H$16,IF(G5177&gt;$I$10,$H$16,$H$11))*E5177/600</f>
        <v>5.0763700000000002E-3</v>
      </c>
      <c r="L5177" s="32">
        <f>$J5177*($G5177-$G5176)*60*24</f>
        <v>5.076369999999982E-3</v>
      </c>
    </row>
    <row r="5178" spans="1:12">
      <c r="A5178" s="22">
        <v>40314.227777777778</v>
      </c>
      <c r="E5178" s="26">
        <v>15.23574</v>
      </c>
      <c r="G5178" s="27">
        <v>0.22777777777777777</v>
      </c>
      <c r="J5178" s="30">
        <f>IF(G5178&lt;$H$10,$H$16,IF(G5178&gt;$I$10,$H$16,$H$11))*E5178/600</f>
        <v>5.0785800000000001E-3</v>
      </c>
      <c r="L5178" s="32">
        <f>$J5178*($G5178-$G5177)*60*24</f>
        <v>5.0785799999999819E-3</v>
      </c>
    </row>
    <row r="5179" spans="1:12">
      <c r="A5179" s="22">
        <v>40314.228472222225</v>
      </c>
      <c r="E5179" s="26">
        <v>15.25563</v>
      </c>
      <c r="G5179" s="27">
        <v>0.22847222222222222</v>
      </c>
      <c r="J5179" s="30">
        <f>IF(G5179&lt;$H$10,$H$16,IF(G5179&gt;$I$10,$H$16,$H$11))*E5179/600</f>
        <v>5.0852099999999997E-3</v>
      </c>
      <c r="L5179" s="32">
        <f>$J5179*($G5179-$G5178)*60*24</f>
        <v>5.0852099999999824E-3</v>
      </c>
    </row>
    <row r="5180" spans="1:12">
      <c r="A5180" s="22">
        <v>40314.229166666664</v>
      </c>
      <c r="E5180" s="26">
        <v>15.29541</v>
      </c>
      <c r="G5180" s="27">
        <v>0.22916666666666666</v>
      </c>
      <c r="J5180" s="30">
        <f>IF(G5180&lt;$H$10,$H$16,IF(G5180&gt;$I$10,$H$16,$H$11))*E5180/600</f>
        <v>5.0984699999999999E-3</v>
      </c>
      <c r="L5180" s="32">
        <f>$J5180*($G5180-$G5179)*60*24</f>
        <v>5.0984699999999817E-3</v>
      </c>
    </row>
    <row r="5181" spans="1:12">
      <c r="A5181" s="22">
        <v>40314.229861111111</v>
      </c>
      <c r="E5181" s="26">
        <v>15.32193</v>
      </c>
      <c r="G5181" s="27">
        <v>0.2298611111111111</v>
      </c>
      <c r="J5181" s="30">
        <f>IF(G5181&lt;$H$10,$H$16,IF(G5181&gt;$I$10,$H$16,$H$11))*E5181/600</f>
        <v>5.1073100000000003E-3</v>
      </c>
      <c r="L5181" s="32">
        <f>$J5181*($G5181-$G5180)*60*24</f>
        <v>5.1073099999999821E-3</v>
      </c>
    </row>
    <row r="5182" spans="1:12">
      <c r="A5182" s="22">
        <v>40314.230555555558</v>
      </c>
      <c r="E5182" s="26">
        <v>15.335190000000001</v>
      </c>
      <c r="G5182" s="27">
        <v>0.23055555555555554</v>
      </c>
      <c r="J5182" s="30">
        <f>IF(G5182&lt;$H$10,$H$16,IF(G5182&gt;$I$10,$H$16,$H$11))*E5182/600</f>
        <v>5.1117300000000001E-3</v>
      </c>
      <c r="L5182" s="32">
        <f>$J5182*($G5182-$G5181)*60*24</f>
        <v>5.1117299999999819E-3</v>
      </c>
    </row>
    <row r="5183" spans="1:12">
      <c r="A5183" s="22">
        <v>40314.231249999997</v>
      </c>
      <c r="E5183" s="26">
        <v>15.32193</v>
      </c>
      <c r="G5183" s="27">
        <v>0.23124999999999998</v>
      </c>
      <c r="J5183" s="30">
        <f>IF(G5183&lt;$H$10,$H$16,IF(G5183&gt;$I$10,$H$16,$H$11))*E5183/600</f>
        <v>5.1073100000000003E-3</v>
      </c>
      <c r="L5183" s="32">
        <f>$J5183*($G5183-$G5182)*60*24</f>
        <v>5.1073099999999821E-3</v>
      </c>
    </row>
    <row r="5184" spans="1:12">
      <c r="A5184" s="22">
        <v>40314.231944444444</v>
      </c>
      <c r="E5184" s="26">
        <v>15.308669999999999</v>
      </c>
      <c r="G5184" s="27">
        <v>0.23194444444444443</v>
      </c>
      <c r="J5184" s="30">
        <f>IF(G5184&lt;$H$10,$H$16,IF(G5184&gt;$I$10,$H$16,$H$11))*E5184/600</f>
        <v>5.1028899999999997E-3</v>
      </c>
      <c r="L5184" s="32">
        <f>$J5184*($G5184-$G5183)*60*24</f>
        <v>5.1028899999999815E-3</v>
      </c>
    </row>
    <row r="5185" spans="1:12">
      <c r="A5185" s="22">
        <v>40314.232638888891</v>
      </c>
      <c r="E5185" s="26">
        <v>15.34182</v>
      </c>
      <c r="G5185" s="27">
        <v>0.23263888888888887</v>
      </c>
      <c r="J5185" s="30">
        <f>IF(G5185&lt;$H$10,$H$16,IF(G5185&gt;$I$10,$H$16,$H$11))*E5185/600</f>
        <v>5.1139400000000008E-3</v>
      </c>
      <c r="L5185" s="32">
        <f>$J5185*($G5185-$G5184)*60*24</f>
        <v>5.1139399999999826E-3</v>
      </c>
    </row>
    <row r="5186" spans="1:12">
      <c r="A5186" s="22">
        <v>40314.23333333333</v>
      </c>
      <c r="E5186" s="26">
        <v>15.32856</v>
      </c>
      <c r="G5186" s="27">
        <v>0.23333333333333331</v>
      </c>
      <c r="J5186" s="30">
        <f>IF(G5186&lt;$H$10,$H$16,IF(G5186&gt;$I$10,$H$16,$H$11))*E5186/600</f>
        <v>5.1095200000000002E-3</v>
      </c>
      <c r="L5186" s="32">
        <f>$J5186*($G5186-$G5185)*60*24</f>
        <v>5.109519999999982E-3</v>
      </c>
    </row>
    <row r="5187" spans="1:12">
      <c r="A5187" s="22">
        <v>40314.234027777777</v>
      </c>
      <c r="E5187" s="26">
        <v>15.145455</v>
      </c>
      <c r="G5187" s="27">
        <v>0.23402777777777781</v>
      </c>
      <c r="J5187" s="30">
        <f>IF(G5187&lt;$H$10,$H$16,IF(G5187&gt;$I$10,$H$16,$H$11))*E5187/600</f>
        <v>5.0484850000000001E-3</v>
      </c>
      <c r="L5187" s="32">
        <f>$J5187*($G5187-$G5186)*60*24</f>
        <v>5.0484850000003852E-3</v>
      </c>
    </row>
    <row r="5188" spans="1:12">
      <c r="A5188" s="22">
        <v>40314.234722222223</v>
      </c>
      <c r="E5188" s="26">
        <v>15.29541</v>
      </c>
      <c r="G5188" s="27">
        <v>0.23472222222222219</v>
      </c>
      <c r="J5188" s="30">
        <f>IF(G5188&lt;$H$10,$H$16,IF(G5188&gt;$I$10,$H$16,$H$11))*E5188/600</f>
        <v>5.0984699999999999E-3</v>
      </c>
      <c r="L5188" s="32">
        <f>$J5188*($G5188-$G5187)*60*24</f>
        <v>5.098469999999574E-3</v>
      </c>
    </row>
    <row r="5189" spans="1:12">
      <c r="A5189" s="22">
        <v>40314.23541666667</v>
      </c>
      <c r="E5189" s="26">
        <v>15.197975</v>
      </c>
      <c r="G5189" s="27">
        <v>0.23541666666666669</v>
      </c>
      <c r="J5189" s="30">
        <f>IF(G5189&lt;$H$10,$H$16,IF(G5189&gt;$I$10,$H$16,$H$11))*E5189/600</f>
        <v>5.0659916666666669E-3</v>
      </c>
      <c r="L5189" s="32">
        <f>$J5189*($G5189-$G5188)*60*24</f>
        <v>5.0659916666670537E-3</v>
      </c>
    </row>
    <row r="5190" spans="1:12">
      <c r="A5190" s="22">
        <v>40314.236111111109</v>
      </c>
      <c r="E5190" s="26">
        <v>15.171715000000001</v>
      </c>
      <c r="G5190" s="27">
        <v>0.23611111111111113</v>
      </c>
      <c r="J5190" s="30">
        <f>IF(G5190&lt;$H$10,$H$16,IF(G5190&gt;$I$10,$H$16,$H$11))*E5190/600</f>
        <v>5.0572383333333335E-3</v>
      </c>
      <c r="L5190" s="32">
        <f>$J5190*($G5190-$G5189)*60*24</f>
        <v>5.0572383333333162E-3</v>
      </c>
    </row>
    <row r="5191" spans="1:12">
      <c r="A5191" s="22">
        <v>40314.236805555556</v>
      </c>
      <c r="E5191" s="26">
        <v>15.242369999999999</v>
      </c>
      <c r="G5191" s="27">
        <v>0.23680555555555557</v>
      </c>
      <c r="J5191" s="30">
        <f>IF(G5191&lt;$H$10,$H$16,IF(G5191&gt;$I$10,$H$16,$H$11))*E5191/600</f>
        <v>5.08079E-3</v>
      </c>
      <c r="L5191" s="32">
        <f>$J5191*($G5191-$G5190)*60*24</f>
        <v>5.0807899999999817E-3</v>
      </c>
    </row>
    <row r="5192" spans="1:12">
      <c r="A5192" s="22">
        <v>40314.237500000003</v>
      </c>
      <c r="E5192" s="26">
        <v>15.28215</v>
      </c>
      <c r="G5192" s="27">
        <v>0.23750000000000002</v>
      </c>
      <c r="J5192" s="30">
        <f>IF(G5192&lt;$H$10,$H$16,IF(G5192&gt;$I$10,$H$16,$H$11))*E5192/600</f>
        <v>5.0940500000000001E-3</v>
      </c>
      <c r="L5192" s="32">
        <f>$J5192*($G5192-$G5191)*60*24</f>
        <v>5.0940499999999819E-3</v>
      </c>
    </row>
    <row r="5193" spans="1:12">
      <c r="A5193" s="22">
        <v>40314.238194444442</v>
      </c>
      <c r="E5193" s="26">
        <v>15.355079999999999</v>
      </c>
      <c r="G5193" s="27">
        <v>0.23819444444444446</v>
      </c>
      <c r="J5193" s="30">
        <f>IF(G5193&lt;$H$10,$H$16,IF(G5193&gt;$I$10,$H$16,$H$11))*E5193/600</f>
        <v>5.1183600000000006E-3</v>
      </c>
      <c r="L5193" s="32">
        <f>$J5193*($G5193-$G5192)*60*24</f>
        <v>5.1183599999999824E-3</v>
      </c>
    </row>
    <row r="5194" spans="1:12">
      <c r="A5194" s="22">
        <v>40314.238888888889</v>
      </c>
      <c r="E5194" s="26">
        <v>15.20454</v>
      </c>
      <c r="G5194" s="27">
        <v>0.2388888888888889</v>
      </c>
      <c r="J5194" s="30">
        <f>IF(G5194&lt;$H$10,$H$16,IF(G5194&gt;$I$10,$H$16,$H$11))*E5194/600</f>
        <v>5.0681800000000003E-3</v>
      </c>
      <c r="L5194" s="32">
        <f>$J5194*($G5194-$G5193)*60*24</f>
        <v>5.0681799999999829E-3</v>
      </c>
    </row>
    <row r="5195" spans="1:12">
      <c r="A5195" s="22">
        <v>40314.239583333336</v>
      </c>
      <c r="E5195" s="26">
        <v>15.268890000000001</v>
      </c>
      <c r="G5195" s="27">
        <v>0.23958333333333334</v>
      </c>
      <c r="J5195" s="30">
        <f>IF(G5195&lt;$H$10,$H$16,IF(G5195&gt;$I$10,$H$16,$H$11))*E5195/600</f>
        <v>5.0896300000000004E-3</v>
      </c>
      <c r="L5195" s="32">
        <f>$J5195*($G5195-$G5194)*60*24</f>
        <v>5.0896299999999822E-3</v>
      </c>
    </row>
    <row r="5196" spans="1:12">
      <c r="A5196" s="22">
        <v>40314.240277777775</v>
      </c>
      <c r="E5196" s="26">
        <v>15.34182</v>
      </c>
      <c r="G5196" s="27">
        <v>0.24027777777777778</v>
      </c>
      <c r="J5196" s="30">
        <f>IF(G5196&lt;$H$10,$H$16,IF(G5196&gt;$I$10,$H$16,$H$11))*E5196/600</f>
        <v>5.1139400000000008E-3</v>
      </c>
      <c r="L5196" s="32">
        <f>$J5196*($G5196-$G5195)*60*24</f>
        <v>5.1139399999999826E-3</v>
      </c>
    </row>
    <row r="5197" spans="1:12">
      <c r="A5197" s="22">
        <v>40314.240972222222</v>
      </c>
      <c r="E5197" s="26">
        <v>15.184844999999999</v>
      </c>
      <c r="G5197" s="27">
        <v>0.24097222222222223</v>
      </c>
      <c r="J5197" s="30">
        <f>IF(G5197&lt;$H$10,$H$16,IF(G5197&gt;$I$10,$H$16,$H$11))*E5197/600</f>
        <v>5.0616150000000002E-3</v>
      </c>
      <c r="L5197" s="32">
        <f>$J5197*($G5197-$G5196)*60*24</f>
        <v>5.061614999999982E-3</v>
      </c>
    </row>
    <row r="5198" spans="1:12">
      <c r="A5198" s="22">
        <v>40314.241666666669</v>
      </c>
      <c r="E5198" s="26">
        <v>138.89829499999999</v>
      </c>
      <c r="G5198" s="27">
        <v>0.24166666666666667</v>
      </c>
      <c r="J5198" s="30">
        <f>IF(G5198&lt;$H$10,$H$16,IF(G5198&gt;$I$10,$H$16,$H$11))*E5198/600</f>
        <v>4.6299431666666661E-2</v>
      </c>
      <c r="L5198" s="32">
        <f>$J5198*($G5198-$G5197)*60*24</f>
        <v>4.6299431666666495E-2</v>
      </c>
    </row>
    <row r="5199" spans="1:12">
      <c r="A5199" s="22">
        <v>40314.242361111108</v>
      </c>
      <c r="E5199" s="26">
        <v>171.40346400000001</v>
      </c>
      <c r="G5199" s="27">
        <v>0.24236111111111111</v>
      </c>
      <c r="J5199" s="30">
        <f>IF(G5199&lt;$H$10,$H$16,IF(G5199&gt;$I$10,$H$16,$H$11))*E5199/600</f>
        <v>5.7134488000000004E-2</v>
      </c>
      <c r="L5199" s="32">
        <f>$J5199*($G5199-$G5198)*60*24</f>
        <v>5.713448799999981E-2</v>
      </c>
    </row>
    <row r="5200" spans="1:12">
      <c r="A5200" s="22">
        <v>40314.243055555555</v>
      </c>
      <c r="E5200" s="26">
        <v>174.230784</v>
      </c>
      <c r="G5200" s="27">
        <v>0.24305555555555555</v>
      </c>
      <c r="J5200" s="30">
        <f>IF(G5200&lt;$H$10,$H$16,IF(G5200&gt;$I$10,$H$16,$H$11))*E5200/600</f>
        <v>5.8076928000000007E-2</v>
      </c>
      <c r="L5200" s="32">
        <f>$J5200*($G5200-$G5199)*60*24</f>
        <v>5.8076927999999806E-2</v>
      </c>
    </row>
    <row r="5201" spans="1:12">
      <c r="A5201" s="22">
        <v>40314.243750000001</v>
      </c>
      <c r="E5201" s="26">
        <v>172.28356600000001</v>
      </c>
      <c r="G5201" s="27">
        <v>0.24374999999999999</v>
      </c>
      <c r="J5201" s="30">
        <f>IF(G5201&lt;$H$10,$H$16,IF(G5201&gt;$I$10,$H$16,$H$11))*E5201/600</f>
        <v>5.742785533333334E-2</v>
      </c>
      <c r="L5201" s="32">
        <f>$J5201*($G5201-$G5200)*60*24</f>
        <v>5.7427855333333132E-2</v>
      </c>
    </row>
    <row r="5202" spans="1:12">
      <c r="A5202" s="22">
        <v>40314.244444444441</v>
      </c>
      <c r="E5202" s="26">
        <v>183.61727999999999</v>
      </c>
      <c r="G5202" s="27">
        <v>0.24444444444444446</v>
      </c>
      <c r="J5202" s="30">
        <f>IF(G5202&lt;$H$10,$H$16,IF(G5202&gt;$I$10,$H$16,$H$11))*E5202/600</f>
        <v>6.1205759999999998E-2</v>
      </c>
      <c r="L5202" s="32">
        <f>$J5202*($G5202-$G5201)*60*24</f>
        <v>6.1205760000002218E-2</v>
      </c>
    </row>
    <row r="5203" spans="1:12">
      <c r="A5203" s="22">
        <v>40314.245138888888</v>
      </c>
      <c r="E5203" s="26">
        <v>180.12643199999999</v>
      </c>
      <c r="G5203" s="27">
        <v>0.24513888888888888</v>
      </c>
      <c r="J5203" s="30">
        <f>IF(G5203&lt;$H$10,$H$16,IF(G5203&gt;$I$10,$H$16,$H$11))*E5203/600</f>
        <v>6.0042143999999999E-2</v>
      </c>
      <c r="L5203" s="32">
        <f>$J5203*($G5203-$G5202)*60*24</f>
        <v>6.0042143999997383E-2</v>
      </c>
    </row>
    <row r="5204" spans="1:12">
      <c r="A5204" s="22">
        <v>40314.245833333334</v>
      </c>
      <c r="E5204" s="26">
        <v>166.48167900000001</v>
      </c>
      <c r="G5204" s="27">
        <v>0.24583333333333335</v>
      </c>
      <c r="J5204" s="30">
        <f>IF(G5204&lt;$H$10,$H$16,IF(G5204&gt;$I$10,$H$16,$H$11))*E5204/600</f>
        <v>5.5493893000000002E-2</v>
      </c>
      <c r="L5204" s="32">
        <f>$J5204*($G5204-$G5203)*60*24</f>
        <v>5.5493893000002015E-2</v>
      </c>
    </row>
    <row r="5205" spans="1:12">
      <c r="A5205" s="22">
        <v>40314.246527777781</v>
      </c>
      <c r="E5205" s="26">
        <v>165.36419900000001</v>
      </c>
      <c r="G5205" s="27">
        <v>0.24652777777777779</v>
      </c>
      <c r="J5205" s="30">
        <f>IF(G5205&lt;$H$10,$H$16,IF(G5205&gt;$I$10,$H$16,$H$11))*E5205/600</f>
        <v>5.5121399666666675E-2</v>
      </c>
      <c r="L5205" s="32">
        <f>$J5205*($G5205-$G5204)*60*24</f>
        <v>5.512139966666648E-2</v>
      </c>
    </row>
    <row r="5206" spans="1:12">
      <c r="A5206" s="22">
        <v>40314.24722222222</v>
      </c>
      <c r="E5206" s="26">
        <v>177.304608</v>
      </c>
      <c r="G5206" s="27">
        <v>0.24722222222222223</v>
      </c>
      <c r="J5206" s="30">
        <f>IF(G5206&lt;$H$10,$H$16,IF(G5206&gt;$I$10,$H$16,$H$11))*E5206/600</f>
        <v>5.9101535999999996E-2</v>
      </c>
      <c r="L5206" s="32">
        <f>$J5206*($G5206-$G5205)*60*24</f>
        <v>5.9101535999999781E-2</v>
      </c>
    </row>
    <row r="5207" spans="1:12">
      <c r="A5207" s="22">
        <v>40314.247916666667</v>
      </c>
      <c r="E5207" s="26">
        <v>166.82065399999999</v>
      </c>
      <c r="G5207" s="27">
        <v>0.24791666666666667</v>
      </c>
      <c r="J5207" s="30">
        <f>IF(G5207&lt;$H$10,$H$16,IF(G5207&gt;$I$10,$H$16,$H$11))*E5207/600</f>
        <v>5.5606884666666662E-2</v>
      </c>
      <c r="L5207" s="32">
        <f>$J5207*($G5207-$G5206)*60*24</f>
        <v>5.5606884666666467E-2</v>
      </c>
    </row>
    <row r="5208" spans="1:12">
      <c r="A5208" s="22">
        <v>40314.248611111114</v>
      </c>
      <c r="E5208" s="26">
        <v>165.25782000000001</v>
      </c>
      <c r="G5208" s="27">
        <v>0.24861111111111112</v>
      </c>
      <c r="J5208" s="30">
        <f>IF(G5208&lt;$H$10,$H$16,IF(G5208&gt;$I$10,$H$16,$H$11))*E5208/600</f>
        <v>5.5085940000000007E-2</v>
      </c>
      <c r="L5208" s="32">
        <f>$J5208*($G5208-$G5207)*60*24</f>
        <v>5.5085939999999813E-2</v>
      </c>
    </row>
    <row r="5209" spans="1:12">
      <c r="A5209" s="22">
        <v>40314.249305555553</v>
      </c>
      <c r="E5209" s="26">
        <v>182.36920799999999</v>
      </c>
      <c r="G5209" s="27">
        <v>0.24930555555555556</v>
      </c>
      <c r="J5209" s="30">
        <f>IF(G5209&lt;$H$10,$H$16,IF(G5209&gt;$I$10,$H$16,$H$11))*E5209/600</f>
        <v>6.0789735999999997E-2</v>
      </c>
      <c r="L5209" s="32">
        <f>$J5209*($G5209-$G5208)*60*24</f>
        <v>6.0789735999999775E-2</v>
      </c>
    </row>
    <row r="5210" spans="1:12">
      <c r="A5210" s="22">
        <v>40314.25</v>
      </c>
      <c r="E5210" s="26">
        <v>191.00754800000001</v>
      </c>
      <c r="G5210" s="27">
        <v>0.25</v>
      </c>
      <c r="J5210" s="30">
        <f>IF(G5210&lt;$H$10,$H$16,IF(G5210&gt;$I$10,$H$16,$H$11))*E5210/600</f>
        <v>6.3669182666666671E-2</v>
      </c>
      <c r="L5210" s="32">
        <f>$J5210*($G5210-$G5209)*60*24</f>
        <v>6.3669182666666449E-2</v>
      </c>
    </row>
    <row r="5211" spans="1:12">
      <c r="A5211" s="22">
        <v>40314.250694444447</v>
      </c>
      <c r="E5211" s="26">
        <v>196.65956700000001</v>
      </c>
      <c r="G5211" s="27">
        <v>0.25069444444444444</v>
      </c>
      <c r="J5211" s="30">
        <f>IF(G5211&lt;$H$10,$H$16,IF(G5211&gt;$I$10,$H$16,$H$11))*E5211/600</f>
        <v>6.5553189000000012E-2</v>
      </c>
      <c r="L5211" s="32">
        <f>$J5211*($G5211-$G5210)*60*24</f>
        <v>6.555318899999979E-2</v>
      </c>
    </row>
    <row r="5212" spans="1:12">
      <c r="A5212" s="22">
        <v>40314.251388888886</v>
      </c>
      <c r="E5212" s="26">
        <v>198.33105599999999</v>
      </c>
      <c r="G5212" s="27">
        <v>0.25138888888888888</v>
      </c>
      <c r="J5212" s="30">
        <f>IF(G5212&lt;$H$10,$H$16,IF(G5212&gt;$I$10,$H$16,$H$11))*E5212/600</f>
        <v>6.6110351999999997E-2</v>
      </c>
      <c r="L5212" s="32">
        <f>$J5212*($G5212-$G5211)*60*24</f>
        <v>6.6110351999999761E-2</v>
      </c>
    </row>
    <row r="5213" spans="1:12">
      <c r="A5213" s="22">
        <v>40314.252083333333</v>
      </c>
      <c r="E5213" s="26">
        <v>198.373929</v>
      </c>
      <c r="G5213" s="27">
        <v>0.25208333333333333</v>
      </c>
      <c r="J5213" s="30">
        <f>IF(G5213&lt;$H$10,$H$16,IF(G5213&gt;$I$10,$H$16,$H$11))*E5213/600</f>
        <v>6.6124642999999997E-2</v>
      </c>
      <c r="L5213" s="32">
        <f>$J5213*($G5213-$G5212)*60*24</f>
        <v>6.6124642999999761E-2</v>
      </c>
    </row>
    <row r="5214" spans="1:12">
      <c r="A5214" s="22">
        <v>40314.25277777778</v>
      </c>
      <c r="E5214" s="26">
        <v>198.07326</v>
      </c>
      <c r="G5214" s="27">
        <v>0.25277777777777777</v>
      </c>
      <c r="J5214" s="30">
        <f>IF(G5214&lt;$H$10,$H$16,IF(G5214&gt;$I$10,$H$16,$H$11))*E5214/600</f>
        <v>6.6024420000000014E-2</v>
      </c>
      <c r="L5214" s="32">
        <f>$J5214*($G5214-$G5213)*60*24</f>
        <v>6.6024419999999778E-2</v>
      </c>
    </row>
    <row r="5215" spans="1:12">
      <c r="A5215" s="22">
        <v>40314.253472222219</v>
      </c>
      <c r="E5215" s="26">
        <v>197.04468</v>
      </c>
      <c r="G5215" s="27">
        <v>0.25347222222222221</v>
      </c>
      <c r="J5215" s="30">
        <f>IF(G5215&lt;$H$10,$H$16,IF(G5215&gt;$I$10,$H$16,$H$11))*E5215/600</f>
        <v>6.5681560000000014E-2</v>
      </c>
      <c r="L5215" s="32">
        <f>$J5215*($G5215-$G5214)*60*24</f>
        <v>6.5681559999999778E-2</v>
      </c>
    </row>
    <row r="5216" spans="1:12">
      <c r="A5216" s="22">
        <v>40314.254166666666</v>
      </c>
      <c r="E5216" s="26">
        <v>193.27479600000001</v>
      </c>
      <c r="G5216" s="27">
        <v>0.25416666666666665</v>
      </c>
      <c r="J5216" s="30">
        <f>IF(G5216&lt;$H$10,$H$16,IF(G5216&gt;$I$10,$H$16,$H$11))*E5216/600</f>
        <v>6.4424932000000018E-2</v>
      </c>
      <c r="L5216" s="32">
        <f>$J5216*($G5216-$G5215)*60*24</f>
        <v>6.4424931999999796E-2</v>
      </c>
    </row>
    <row r="5217" spans="1:12">
      <c r="A5217" s="22">
        <v>40314.254861111112</v>
      </c>
      <c r="E5217" s="26">
        <v>197.55766800000001</v>
      </c>
      <c r="G5217" s="27">
        <v>0.25486111111111109</v>
      </c>
      <c r="J5217" s="30">
        <f>IF(G5217&lt;$H$10,$H$16,IF(G5217&gt;$I$10,$H$16,$H$11))*E5217/600</f>
        <v>6.5852556000000007E-2</v>
      </c>
      <c r="L5217" s="32">
        <f>$J5217*($G5217-$G5216)*60*24</f>
        <v>6.5852555999999771E-2</v>
      </c>
    </row>
    <row r="5218" spans="1:12">
      <c r="A5218" s="22">
        <v>40314.255555555559</v>
      </c>
      <c r="E5218" s="26">
        <v>200.860005</v>
      </c>
      <c r="G5218" s="27">
        <v>0.25555555555555559</v>
      </c>
      <c r="J5218" s="30">
        <f>IF(G5218&lt;$H$10,$H$16,IF(G5218&gt;$I$10,$H$16,$H$11))*E5218/600</f>
        <v>6.6953335000000003E-2</v>
      </c>
      <c r="L5218" s="32">
        <f>$J5218*($G5218-$G5217)*60*24</f>
        <v>6.6953335000005124E-2</v>
      </c>
    </row>
    <row r="5219" spans="1:12">
      <c r="A5219" s="22">
        <v>40314.256249999999</v>
      </c>
      <c r="E5219" s="26">
        <v>200.39063400000001</v>
      </c>
      <c r="G5219" s="27">
        <v>0.25625000000000003</v>
      </c>
      <c r="J5219" s="30">
        <f>IF(G5219&lt;$H$10,$H$16,IF(G5219&gt;$I$10,$H$16,$H$11))*E5219/600</f>
        <v>6.6796878000000018E-2</v>
      </c>
      <c r="L5219" s="32">
        <f>$J5219*($G5219-$G5218)*60*24</f>
        <v>6.6796877999999782E-2</v>
      </c>
    </row>
    <row r="5220" spans="1:12">
      <c r="A5220" s="22">
        <v>40314.256944444445</v>
      </c>
      <c r="E5220" s="26">
        <v>173.918927</v>
      </c>
      <c r="G5220" s="27">
        <v>0.25694444444444448</v>
      </c>
      <c r="J5220" s="30">
        <f>IF(G5220&lt;$H$10,$H$16,IF(G5220&gt;$I$10,$H$16,$H$11))*E5220/600</f>
        <v>5.7972975666666662E-2</v>
      </c>
      <c r="L5220" s="32">
        <f>$J5220*($G5220-$G5219)*60*24</f>
        <v>5.7972975666666454E-2</v>
      </c>
    </row>
    <row r="5221" spans="1:12">
      <c r="A5221" s="22">
        <v>40314.257638888892</v>
      </c>
      <c r="E5221" s="26">
        <v>161.25857999999999</v>
      </c>
      <c r="G5221" s="27">
        <v>0.25763888888888892</v>
      </c>
      <c r="J5221" s="30">
        <f>IF(G5221&lt;$H$10,$H$16,IF(G5221&gt;$I$10,$H$16,$H$11))*E5221/600</f>
        <v>5.3752860000000006E-2</v>
      </c>
      <c r="L5221" s="32">
        <f>$J5221*($G5221-$G5220)*60*24</f>
        <v>5.3752859999999805E-2</v>
      </c>
    </row>
    <row r="5222" spans="1:12">
      <c r="A5222" s="22">
        <v>40314.258333333331</v>
      </c>
      <c r="E5222" s="26">
        <v>160.49232000000001</v>
      </c>
      <c r="G5222" s="27">
        <v>0.25833333333333336</v>
      </c>
      <c r="J5222" s="30">
        <f>IF(G5222&lt;$H$10,$H$16,IF(G5222&gt;$I$10,$H$16,$H$11))*E5222/600</f>
        <v>5.349744E-2</v>
      </c>
      <c r="L5222" s="32">
        <f>$J5222*($G5222-$G5221)*60*24</f>
        <v>5.3497439999999806E-2</v>
      </c>
    </row>
    <row r="5223" spans="1:12">
      <c r="A5223" s="22">
        <v>40314.259027777778</v>
      </c>
      <c r="E5223" s="26">
        <v>161.49879200000001</v>
      </c>
      <c r="G5223" s="27">
        <v>0.2590277777777778</v>
      </c>
      <c r="J5223" s="30">
        <f>IF(G5223&lt;$H$10,$H$16,IF(G5223&gt;$I$10,$H$16,$H$11))*E5223/600</f>
        <v>5.3832930666666667E-2</v>
      </c>
      <c r="L5223" s="32">
        <f>$J5223*($G5223-$G5222)*60*24</f>
        <v>5.3832930666666473E-2</v>
      </c>
    </row>
    <row r="5224" spans="1:12">
      <c r="A5224" s="22">
        <v>40314.259722222225</v>
      </c>
      <c r="E5224" s="26">
        <v>160.87125599999999</v>
      </c>
      <c r="G5224" s="27">
        <v>0.25972222222222224</v>
      </c>
      <c r="J5224" s="30">
        <f>IF(G5224&lt;$H$10,$H$16,IF(G5224&gt;$I$10,$H$16,$H$11))*E5224/600</f>
        <v>5.3623752000000004E-2</v>
      </c>
      <c r="L5224" s="32">
        <f>$J5224*($G5224-$G5223)*60*24</f>
        <v>5.3623751999999809E-2</v>
      </c>
    </row>
    <row r="5225" spans="1:12">
      <c r="A5225" s="22">
        <v>40314.260416666664</v>
      </c>
      <c r="E5225" s="26">
        <v>163.09238400000001</v>
      </c>
      <c r="G5225" s="27">
        <v>0.26041666666666669</v>
      </c>
      <c r="J5225" s="30">
        <f>IF(G5225&lt;$H$10,$H$16,IF(G5225&gt;$I$10,$H$16,$H$11))*E5225/600</f>
        <v>5.4364128000000005E-2</v>
      </c>
      <c r="L5225" s="32">
        <f>$J5225*($G5225-$G5224)*60*24</f>
        <v>5.4364127999999803E-2</v>
      </c>
    </row>
    <row r="5226" spans="1:12">
      <c r="A5226" s="22">
        <v>40314.261111111111</v>
      </c>
      <c r="E5226" s="26">
        <v>161.3612</v>
      </c>
      <c r="G5226" s="27">
        <v>0.26111111111111113</v>
      </c>
      <c r="J5226" s="30">
        <f>IF(G5226&lt;$H$10,$H$16,IF(G5226&gt;$I$10,$H$16,$H$11))*E5226/600</f>
        <v>5.3787066666666675E-2</v>
      </c>
      <c r="L5226" s="32">
        <f>$J5226*($G5226-$G5225)*60*24</f>
        <v>5.378706666666648E-2</v>
      </c>
    </row>
    <row r="5227" spans="1:12">
      <c r="A5227" s="22">
        <v>40314.261805555558</v>
      </c>
      <c r="E5227" s="26">
        <v>160.94933399999999</v>
      </c>
      <c r="G5227" s="27">
        <v>0.26180555555555557</v>
      </c>
      <c r="J5227" s="30">
        <f>IF(G5227&lt;$H$10,$H$16,IF(G5227&gt;$I$10,$H$16,$H$11))*E5227/600</f>
        <v>5.3649777999999995E-2</v>
      </c>
      <c r="L5227" s="32">
        <f>$J5227*($G5227-$G5226)*60*24</f>
        <v>5.3649777999999808E-2</v>
      </c>
    </row>
    <row r="5228" spans="1:12">
      <c r="A5228" s="22">
        <v>40314.262499999997</v>
      </c>
      <c r="E5228" s="26">
        <v>160.67251200000001</v>
      </c>
      <c r="G5228" s="27">
        <v>0.26250000000000001</v>
      </c>
      <c r="J5228" s="30">
        <f>IF(G5228&lt;$H$10,$H$16,IF(G5228&gt;$I$10,$H$16,$H$11))*E5228/600</f>
        <v>5.3557504000000006E-2</v>
      </c>
      <c r="L5228" s="32">
        <f>$J5228*($G5228-$G5227)*60*24</f>
        <v>5.3557503999999811E-2</v>
      </c>
    </row>
    <row r="5229" spans="1:12">
      <c r="A5229" s="22">
        <v>40314.263194444444</v>
      </c>
      <c r="E5229" s="26">
        <v>161.92248799999999</v>
      </c>
      <c r="G5229" s="27">
        <v>0.26319444444444445</v>
      </c>
      <c r="J5229" s="30">
        <f>IF(G5229&lt;$H$10,$H$16,IF(G5229&gt;$I$10,$H$16,$H$11))*E5229/600</f>
        <v>5.3974162666666659E-2</v>
      </c>
      <c r="L5229" s="32">
        <f>$J5229*($G5229-$G5228)*60*24</f>
        <v>5.3974162666666464E-2</v>
      </c>
    </row>
    <row r="5230" spans="1:12">
      <c r="A5230" s="22">
        <v>40314.263888888891</v>
      </c>
      <c r="E5230" s="26">
        <v>162.94969599999999</v>
      </c>
      <c r="G5230" s="27">
        <v>0.2638888888888889</v>
      </c>
      <c r="J5230" s="30">
        <f>IF(G5230&lt;$H$10,$H$16,IF(G5230&gt;$I$10,$H$16,$H$11))*E5230/600</f>
        <v>5.431656533333333E-2</v>
      </c>
      <c r="L5230" s="32">
        <f>$J5230*($G5230-$G5229)*60*24</f>
        <v>5.4316565333333136E-2</v>
      </c>
    </row>
    <row r="5231" spans="1:12">
      <c r="A5231" s="22">
        <v>40314.26458333333</v>
      </c>
      <c r="E5231" s="26">
        <v>162.88981799999999</v>
      </c>
      <c r="G5231" s="27">
        <v>0.26458333333333334</v>
      </c>
      <c r="J5231" s="30">
        <f>IF(G5231&lt;$H$10,$H$16,IF(G5231&gt;$I$10,$H$16,$H$11))*E5231/600</f>
        <v>5.4296605999999997E-2</v>
      </c>
      <c r="L5231" s="32">
        <f>$J5231*($G5231-$G5230)*60*24</f>
        <v>5.4296605999999803E-2</v>
      </c>
    </row>
    <row r="5232" spans="1:12">
      <c r="A5232" s="22">
        <v>40314.265277777777</v>
      </c>
      <c r="E5232" s="26">
        <v>161.239936</v>
      </c>
      <c r="G5232" s="27">
        <v>0.26527777777777778</v>
      </c>
      <c r="J5232" s="30">
        <f>IF(G5232&lt;$H$10,$H$16,IF(G5232&gt;$I$10,$H$16,$H$11))*E5232/600</f>
        <v>5.3746645333333343E-2</v>
      </c>
      <c r="L5232" s="32">
        <f>$J5232*($G5232-$G5231)*60*24</f>
        <v>5.3746645333333148E-2</v>
      </c>
    </row>
    <row r="5233" spans="1:12">
      <c r="A5233" s="22">
        <v>40314.265972222223</v>
      </c>
      <c r="E5233" s="26">
        <v>159.69543999999999</v>
      </c>
      <c r="G5233" s="27">
        <v>0.26597222222222222</v>
      </c>
      <c r="J5233" s="30">
        <f>IF(G5233&lt;$H$10,$H$16,IF(G5233&gt;$I$10,$H$16,$H$11))*E5233/600</f>
        <v>5.3231813333333329E-2</v>
      </c>
      <c r="L5233" s="32">
        <f>$J5233*($G5233-$G5232)*60*24</f>
        <v>5.3231813333333135E-2</v>
      </c>
    </row>
    <row r="5234" spans="1:12">
      <c r="A5234" s="22">
        <v>40314.26666666667</v>
      </c>
      <c r="E5234" s="26">
        <v>160.03197599999999</v>
      </c>
      <c r="G5234" s="27">
        <v>0.26666666666666666</v>
      </c>
      <c r="J5234" s="30">
        <f>IF(G5234&lt;$H$10,$H$16,IF(G5234&gt;$I$10,$H$16,$H$11))*E5234/600</f>
        <v>5.3343992E-2</v>
      </c>
      <c r="L5234" s="32">
        <f>$J5234*($G5234-$G5233)*60*24</f>
        <v>5.3343991999999812E-2</v>
      </c>
    </row>
    <row r="5235" spans="1:12">
      <c r="A5235" s="22">
        <v>40314.267361111109</v>
      </c>
      <c r="E5235" s="26">
        <v>160.01707200000001</v>
      </c>
      <c r="G5235" s="27">
        <v>0.2673611111111111</v>
      </c>
      <c r="J5235" s="30">
        <f>IF(G5235&lt;$H$10,$H$16,IF(G5235&gt;$I$10,$H$16,$H$11))*E5235/600</f>
        <v>5.3339024000000006E-2</v>
      </c>
      <c r="L5235" s="32">
        <f>$J5235*($G5235-$G5234)*60*24</f>
        <v>5.3339023999999818E-2</v>
      </c>
    </row>
    <row r="5236" spans="1:12">
      <c r="A5236" s="22">
        <v>40314.268055555556</v>
      </c>
      <c r="E5236" s="26">
        <v>155.40361200000001</v>
      </c>
      <c r="G5236" s="27">
        <v>0.26805555555555555</v>
      </c>
      <c r="J5236" s="30">
        <f>IF(G5236&lt;$H$10,$H$16,IF(G5236&gt;$I$10,$H$16,$H$11))*E5236/600</f>
        <v>5.1801204000000003E-2</v>
      </c>
      <c r="L5236" s="32">
        <f>$J5236*($G5236-$G5235)*60*24</f>
        <v>5.1801203999999823E-2</v>
      </c>
    </row>
    <row r="5237" spans="1:12">
      <c r="A5237" s="22">
        <v>40314.268750000003</v>
      </c>
      <c r="E5237" s="26">
        <v>158.649216</v>
      </c>
      <c r="G5237" s="27">
        <v>0.26874999999999999</v>
      </c>
      <c r="J5237" s="30">
        <f>IF(G5237&lt;$H$10,$H$16,IF(G5237&gt;$I$10,$H$16,$H$11))*E5237/600</f>
        <v>5.2883072000000003E-2</v>
      </c>
      <c r="L5237" s="32">
        <f>$J5237*($G5237-$G5236)*60*24</f>
        <v>5.2883071999999816E-2</v>
      </c>
    </row>
    <row r="5238" spans="1:12">
      <c r="A5238" s="22">
        <v>40314.269444444442</v>
      </c>
      <c r="E5238" s="26">
        <v>156.55437599999999</v>
      </c>
      <c r="G5238" s="27">
        <v>0.26944444444444443</v>
      </c>
      <c r="J5238" s="30">
        <f>IF(G5238&lt;$H$10,$H$16,IF(G5238&gt;$I$10,$H$16,$H$11))*E5238/600</f>
        <v>5.2184791999999994E-2</v>
      </c>
      <c r="L5238" s="32">
        <f>$J5238*($G5238-$G5237)*60*24</f>
        <v>5.2184791999999813E-2</v>
      </c>
    </row>
    <row r="5239" spans="1:12">
      <c r="A5239" s="22">
        <v>40314.270138888889</v>
      </c>
      <c r="E5239" s="26">
        <v>157.647704</v>
      </c>
      <c r="G5239" s="27">
        <v>0.27013888888888887</v>
      </c>
      <c r="J5239" s="30">
        <f>IF(G5239&lt;$H$10,$H$16,IF(G5239&gt;$I$10,$H$16,$H$11))*E5239/600</f>
        <v>5.2549234666666673E-2</v>
      </c>
      <c r="L5239" s="32">
        <f>$J5239*($G5239-$G5238)*60*24</f>
        <v>5.2549234666666486E-2</v>
      </c>
    </row>
    <row r="5240" spans="1:12">
      <c r="A5240" s="22">
        <v>40314.270833333336</v>
      </c>
      <c r="E5240" s="26">
        <v>156.38095200000001</v>
      </c>
      <c r="G5240" s="27">
        <v>0.27083333333333331</v>
      </c>
      <c r="J5240" s="30">
        <f>IF(G5240&lt;$H$10,$H$16,IF(G5240&gt;$I$10,$H$16,$H$11))*E5240/600</f>
        <v>5.2126984000000008E-2</v>
      </c>
      <c r="L5240" s="32">
        <f>$J5240*($G5240-$G5239)*60*24</f>
        <v>5.2126983999999821E-2</v>
      </c>
    </row>
    <row r="5241" spans="1:12">
      <c r="A5241" s="22">
        <v>40314.271527777775</v>
      </c>
      <c r="E5241" s="26">
        <v>158.67009999999999</v>
      </c>
      <c r="G5241" s="27">
        <v>0.27152777777777776</v>
      </c>
      <c r="J5241" s="30">
        <f>IF(G5241&lt;$H$10,$H$16,IF(G5241&gt;$I$10,$H$16,$H$11))*E5241/600</f>
        <v>5.2890033333333336E-2</v>
      </c>
      <c r="L5241" s="32">
        <f>$J5241*($G5241-$G5240)*60*24</f>
        <v>5.2890033333333142E-2</v>
      </c>
    </row>
    <row r="5242" spans="1:12">
      <c r="A5242" s="22">
        <v>40314.272222222222</v>
      </c>
      <c r="E5242" s="26">
        <v>156.57636400000001</v>
      </c>
      <c r="G5242" s="27">
        <v>0.2722222222222222</v>
      </c>
      <c r="J5242" s="30">
        <f>IF(G5242&lt;$H$10,$H$16,IF(G5242&gt;$I$10,$H$16,$H$11))*E5242/600</f>
        <v>5.2192121333333334E-2</v>
      </c>
      <c r="L5242" s="32">
        <f>$J5242*($G5242-$G5241)*60*24</f>
        <v>5.2192121333333147E-2</v>
      </c>
    </row>
    <row r="5243" spans="1:12">
      <c r="A5243" s="22">
        <v>40314.272916666669</v>
      </c>
      <c r="E5243" s="26">
        <v>155.49588600000001</v>
      </c>
      <c r="G5243" s="27">
        <v>0.27291666666666664</v>
      </c>
      <c r="J5243" s="30">
        <f>IF(G5243&lt;$H$10,$H$16,IF(G5243&gt;$I$10,$H$16,$H$11))*E5243/600</f>
        <v>5.1831962000000002E-2</v>
      </c>
      <c r="L5243" s="32">
        <f>$J5243*($G5243-$G5242)*60*24</f>
        <v>5.1831961999999815E-2</v>
      </c>
    </row>
    <row r="5244" spans="1:12">
      <c r="A5244" s="22">
        <v>40314.273611111108</v>
      </c>
      <c r="E5244" s="26">
        <v>155.61418599999999</v>
      </c>
      <c r="G5244" s="27">
        <v>0.27361111111111108</v>
      </c>
      <c r="J5244" s="30">
        <f>IF(G5244&lt;$H$10,$H$16,IF(G5244&gt;$I$10,$H$16,$H$11))*E5244/600</f>
        <v>5.1871395333333334E-2</v>
      </c>
      <c r="L5244" s="32">
        <f>$J5244*($G5244-$G5243)*60*24</f>
        <v>5.1871395333333153E-2</v>
      </c>
    </row>
    <row r="5245" spans="1:12">
      <c r="A5245" s="22">
        <v>40314.274305555555</v>
      </c>
      <c r="E5245" s="26">
        <v>155.21870000000001</v>
      </c>
      <c r="G5245" s="27">
        <v>0.27430555555555552</v>
      </c>
      <c r="J5245" s="30">
        <f>IF(G5245&lt;$H$10,$H$16,IF(G5245&gt;$I$10,$H$16,$H$11))*E5245/600</f>
        <v>5.1739566666666674E-2</v>
      </c>
      <c r="L5245" s="32">
        <f>$J5245*($G5245-$G5244)*60*24</f>
        <v>5.1739566666666487E-2</v>
      </c>
    </row>
    <row r="5246" spans="1:12">
      <c r="A5246" s="22">
        <v>40314.275000000001</v>
      </c>
      <c r="E5246" s="26">
        <v>159.693692</v>
      </c>
      <c r="G5246" s="27">
        <v>0.27499999999999997</v>
      </c>
      <c r="J5246" s="30">
        <f>IF(G5246&lt;$H$10,$H$16,IF(G5246&gt;$I$10,$H$16,$H$11))*E5246/600</f>
        <v>5.3231230666666671E-2</v>
      </c>
      <c r="L5246" s="32">
        <f>$J5246*($G5246-$G5245)*60*24</f>
        <v>5.323123066666649E-2</v>
      </c>
    </row>
    <row r="5247" spans="1:12">
      <c r="A5247" s="22">
        <v>40314.275694444441</v>
      </c>
      <c r="E5247" s="26">
        <v>180.732573</v>
      </c>
      <c r="G5247" s="27">
        <v>0.27569444444444446</v>
      </c>
      <c r="J5247" s="30">
        <f>IF(G5247&lt;$H$10,$H$16,IF(G5247&gt;$I$10,$H$16,$H$11))*E5247/600</f>
        <v>6.0244191000000002E-2</v>
      </c>
      <c r="L5247" s="32">
        <f>$J5247*($G5247-$G5246)*60*24</f>
        <v>6.0244191000004603E-2</v>
      </c>
    </row>
    <row r="5248" spans="1:12">
      <c r="A5248" s="22">
        <v>40314.276388888888</v>
      </c>
      <c r="E5248" s="26">
        <v>180.03823499999999</v>
      </c>
      <c r="G5248" s="27">
        <v>0.27638888888888885</v>
      </c>
      <c r="J5248" s="30">
        <f>IF(G5248&lt;$H$10,$H$16,IF(G5248&gt;$I$10,$H$16,$H$11))*E5248/600</f>
        <v>6.0012744999999999E-2</v>
      </c>
      <c r="L5248" s="32">
        <f>$J5248*($G5248-$G5247)*60*24</f>
        <v>6.0012744999994989E-2</v>
      </c>
    </row>
    <row r="5249" spans="1:12">
      <c r="A5249" s="22">
        <v>40314.277083333334</v>
      </c>
      <c r="E5249" s="26">
        <v>179.63396399999999</v>
      </c>
      <c r="G5249" s="27">
        <v>0.27708333333333335</v>
      </c>
      <c r="J5249" s="30">
        <f>IF(G5249&lt;$H$10,$H$16,IF(G5249&gt;$I$10,$H$16,$H$11))*E5249/600</f>
        <v>5.9877988E-2</v>
      </c>
      <c r="L5249" s="32">
        <f>$J5249*($G5249-$G5248)*60*24</f>
        <v>5.9877988000004573E-2</v>
      </c>
    </row>
    <row r="5250" spans="1:12">
      <c r="A5250" s="22">
        <v>40314.277777777781</v>
      </c>
      <c r="E5250" s="26">
        <v>175.23013499999999</v>
      </c>
      <c r="G5250" s="27">
        <v>0.27777777777777779</v>
      </c>
      <c r="J5250" s="30">
        <f>IF(G5250&lt;$H$10,$H$16,IF(G5250&gt;$I$10,$H$16,$H$11))*E5250/600</f>
        <v>5.8410045000000001E-2</v>
      </c>
      <c r="L5250" s="32">
        <f>$J5250*($G5250-$G5249)*60*24</f>
        <v>5.8410044999999793E-2</v>
      </c>
    </row>
    <row r="5251" spans="1:12">
      <c r="A5251" s="22">
        <v>40314.27847222222</v>
      </c>
      <c r="E5251" s="26">
        <v>153.98583199999999</v>
      </c>
      <c r="G5251" s="27">
        <v>0.27847222222222223</v>
      </c>
      <c r="J5251" s="30">
        <f>IF(G5251&lt;$H$10,$H$16,IF(G5251&gt;$I$10,$H$16,$H$11))*E5251/600</f>
        <v>5.1328610666666663E-2</v>
      </c>
      <c r="L5251" s="32">
        <f>$J5251*($G5251-$G5250)*60*24</f>
        <v>5.1328610666666476E-2</v>
      </c>
    </row>
    <row r="5252" spans="1:12">
      <c r="A5252" s="22">
        <v>40314.279166666667</v>
      </c>
      <c r="E5252" s="26">
        <v>155.38068000000001</v>
      </c>
      <c r="G5252" s="27">
        <v>0.27916666666666667</v>
      </c>
      <c r="J5252" s="30">
        <f>IF(G5252&lt;$H$10,$H$16,IF(G5252&gt;$I$10,$H$16,$H$11))*E5252/600</f>
        <v>5.1793560000000009E-2</v>
      </c>
      <c r="L5252" s="32">
        <f>$J5252*($G5252-$G5251)*60*24</f>
        <v>5.1793559999999829E-2</v>
      </c>
    </row>
    <row r="5253" spans="1:12">
      <c r="A5253" s="22">
        <v>40314.279861111114</v>
      </c>
      <c r="E5253" s="26">
        <v>153.37504000000001</v>
      </c>
      <c r="G5253" s="27">
        <v>0.27986111111111112</v>
      </c>
      <c r="J5253" s="30">
        <f>IF(G5253&lt;$H$10,$H$16,IF(G5253&gt;$I$10,$H$16,$H$11))*E5253/600</f>
        <v>5.1125013333333344E-2</v>
      </c>
      <c r="L5253" s="32">
        <f>$J5253*($G5253-$G5252)*60*24</f>
        <v>5.1125013333333157E-2</v>
      </c>
    </row>
    <row r="5254" spans="1:12">
      <c r="A5254" s="22">
        <v>40314.280555555553</v>
      </c>
      <c r="E5254" s="26">
        <v>157.54056499999999</v>
      </c>
      <c r="G5254" s="27">
        <v>0.28055555555555556</v>
      </c>
      <c r="J5254" s="30">
        <f>IF(G5254&lt;$H$10,$H$16,IF(G5254&gt;$I$10,$H$16,$H$11))*E5254/600</f>
        <v>5.2513521666666667E-2</v>
      </c>
      <c r="L5254" s="32">
        <f>$J5254*($G5254-$G5253)*60*24</f>
        <v>5.2513521666666479E-2</v>
      </c>
    </row>
    <row r="5255" spans="1:12">
      <c r="A5255" s="22">
        <v>40314.28125</v>
      </c>
      <c r="E5255" s="26">
        <v>158.99394000000001</v>
      </c>
      <c r="G5255" s="27">
        <v>0.28125</v>
      </c>
      <c r="J5255" s="30">
        <f>IF(G5255&lt;$H$10,$H$16,IF(G5255&gt;$I$10,$H$16,$H$11))*E5255/600</f>
        <v>5.299798E-2</v>
      </c>
      <c r="L5255" s="32">
        <f>$J5255*($G5255-$G5254)*60*24</f>
        <v>5.299797999999982E-2</v>
      </c>
    </row>
    <row r="5256" spans="1:12">
      <c r="A5256" s="22">
        <v>40314.281944444447</v>
      </c>
      <c r="E5256" s="26">
        <v>153.17411200000001</v>
      </c>
      <c r="G5256" s="27">
        <v>0.28194444444444444</v>
      </c>
      <c r="J5256" s="30">
        <f>IF(G5256&lt;$H$10,$H$16,IF(G5256&gt;$I$10,$H$16,$H$11))*E5256/600</f>
        <v>5.1058037333333341E-2</v>
      </c>
      <c r="L5256" s="32">
        <f>$J5256*($G5256-$G5255)*60*24</f>
        <v>5.1058037333333167E-2</v>
      </c>
    </row>
    <row r="5257" spans="1:12">
      <c r="A5257" s="22">
        <v>40314.282638888886</v>
      </c>
      <c r="E5257" s="26">
        <v>157.52368799999999</v>
      </c>
      <c r="G5257" s="27">
        <v>0.28263888888888888</v>
      </c>
      <c r="J5257" s="30">
        <f>IF(G5257&lt;$H$10,$H$16,IF(G5257&gt;$I$10,$H$16,$H$11))*E5257/600</f>
        <v>5.2507895999999998E-2</v>
      </c>
      <c r="L5257" s="32">
        <f>$J5257*($G5257-$G5256)*60*24</f>
        <v>5.2507895999999818E-2</v>
      </c>
    </row>
    <row r="5258" spans="1:12">
      <c r="A5258" s="22">
        <v>40314.283333333333</v>
      </c>
      <c r="E5258" s="26">
        <v>154.47796</v>
      </c>
      <c r="G5258" s="27">
        <v>0.28333333333333333</v>
      </c>
      <c r="J5258" s="30">
        <f>IF(G5258&lt;$H$10,$H$16,IF(G5258&gt;$I$10,$H$16,$H$11))*E5258/600</f>
        <v>5.1492653333333332E-2</v>
      </c>
      <c r="L5258" s="32">
        <f>$J5258*($G5258-$G5257)*60*24</f>
        <v>5.1492653333333152E-2</v>
      </c>
    </row>
    <row r="5259" spans="1:12">
      <c r="A5259" s="22">
        <v>40314.28402777778</v>
      </c>
      <c r="E5259" s="26">
        <v>154.32908399999999</v>
      </c>
      <c r="G5259" s="27">
        <v>0.28402777777777777</v>
      </c>
      <c r="J5259" s="30">
        <f>IF(G5259&lt;$H$10,$H$16,IF(G5259&gt;$I$10,$H$16,$H$11))*E5259/600</f>
        <v>5.1443028000000002E-2</v>
      </c>
      <c r="L5259" s="32">
        <f>$J5259*($G5259-$G5258)*60*24</f>
        <v>5.1443027999999814E-2</v>
      </c>
    </row>
    <row r="5260" spans="1:12">
      <c r="A5260" s="22">
        <v>40314.284722222219</v>
      </c>
      <c r="E5260" s="26">
        <v>155.59471199999999</v>
      </c>
      <c r="G5260" s="27">
        <v>0.28472222222222221</v>
      </c>
      <c r="J5260" s="30">
        <f>IF(G5260&lt;$H$10,$H$16,IF(G5260&gt;$I$10,$H$16,$H$11))*E5260/600</f>
        <v>5.1864903999999996E-2</v>
      </c>
      <c r="L5260" s="32">
        <f>$J5260*($G5260-$G5259)*60*24</f>
        <v>5.1864903999999809E-2</v>
      </c>
    </row>
    <row r="5261" spans="1:12">
      <c r="A5261" s="22">
        <v>40314.285416666666</v>
      </c>
      <c r="E5261" s="26">
        <v>154.56331800000001</v>
      </c>
      <c r="G5261" s="27">
        <v>0.28541666666666665</v>
      </c>
      <c r="J5261" s="30">
        <f>IF(G5261&lt;$H$10,$H$16,IF(G5261&gt;$I$10,$H$16,$H$11))*E5261/600</f>
        <v>5.1521106000000004E-2</v>
      </c>
      <c r="L5261" s="32">
        <f>$J5261*($G5261-$G5260)*60*24</f>
        <v>5.1521105999999831E-2</v>
      </c>
    </row>
    <row r="5262" spans="1:12">
      <c r="A5262" s="22">
        <v>40314.286111111112</v>
      </c>
      <c r="E5262" s="26">
        <v>154.67998</v>
      </c>
      <c r="G5262" s="27">
        <v>0.28611111111111115</v>
      </c>
      <c r="J5262" s="30">
        <f>IF(G5262&lt;$H$10,$H$16,IF(G5262&gt;$I$10,$H$16,$H$11))*E5262/600</f>
        <v>5.1559993333333339E-2</v>
      </c>
      <c r="L5262" s="32">
        <f>$J5262*($G5262-$G5261)*60*24</f>
        <v>5.1559993333337273E-2</v>
      </c>
    </row>
    <row r="5263" spans="1:12">
      <c r="A5263" s="22">
        <v>40314.286805555559</v>
      </c>
      <c r="E5263" s="26">
        <v>153.96926999999999</v>
      </c>
      <c r="G5263" s="27">
        <v>0.28680555555555554</v>
      </c>
      <c r="J5263" s="30">
        <f>IF(G5263&lt;$H$10,$H$16,IF(G5263&gt;$I$10,$H$16,$H$11))*E5263/600</f>
        <v>5.1323090000000002E-2</v>
      </c>
      <c r="L5263" s="32">
        <f>$J5263*($G5263-$G5262)*60*24</f>
        <v>5.1323089999995714E-2</v>
      </c>
    </row>
    <row r="5264" spans="1:12">
      <c r="A5264" s="22">
        <v>40314.287499999999</v>
      </c>
      <c r="E5264" s="26">
        <v>155.01264</v>
      </c>
      <c r="G5264" s="27">
        <v>0.28750000000000003</v>
      </c>
      <c r="J5264" s="30">
        <f>IF(G5264&lt;$H$10,$H$16,IF(G5264&gt;$I$10,$H$16,$H$11))*E5264/600</f>
        <v>5.1670880000000002E-2</v>
      </c>
      <c r="L5264" s="32">
        <f>$J5264*($G5264-$G5263)*60*24</f>
        <v>5.1670880000003951E-2</v>
      </c>
    </row>
    <row r="5265" spans="1:12">
      <c r="A5265" s="22">
        <v>40314.288194444445</v>
      </c>
      <c r="E5265" s="26">
        <v>158.30072000000001</v>
      </c>
      <c r="G5265" s="27">
        <v>0.28819444444444448</v>
      </c>
      <c r="J5265" s="30">
        <f>IF(G5265&lt;$H$10,$H$16,IF(G5265&gt;$I$10,$H$16,$H$11))*E5265/600</f>
        <v>5.2766906666666669E-2</v>
      </c>
      <c r="L5265" s="32">
        <f>$J5265*($G5265-$G5264)*60*24</f>
        <v>5.2766906666666481E-2</v>
      </c>
    </row>
    <row r="5266" spans="1:12">
      <c r="A5266" s="22">
        <v>40314.288888888892</v>
      </c>
      <c r="E5266" s="26">
        <v>156.768</v>
      </c>
      <c r="G5266" s="27">
        <v>0.28888888888888892</v>
      </c>
      <c r="J5266" s="30">
        <f>IF(G5266&lt;$H$10,$H$16,IF(G5266&gt;$I$10,$H$16,$H$11))*E5266/600</f>
        <v>5.2255999999999997E-2</v>
      </c>
      <c r="L5266" s="32">
        <f>$J5266*($G5266-$G5265)*60*24</f>
        <v>5.225599999999981E-2</v>
      </c>
    </row>
    <row r="5267" spans="1:12">
      <c r="A5267" s="22">
        <v>40314.289583333331</v>
      </c>
      <c r="E5267" s="26">
        <v>158.64204000000001</v>
      </c>
      <c r="G5267" s="27">
        <v>0.28958333333333336</v>
      </c>
      <c r="J5267" s="30">
        <f>IF(G5267&lt;$H$10,$H$16,IF(G5267&gt;$I$10,$H$16,$H$11))*E5267/600</f>
        <v>5.2880680000000006E-2</v>
      </c>
      <c r="L5267" s="32">
        <f>$J5267*($G5267-$G5266)*60*24</f>
        <v>5.2880679999999819E-2</v>
      </c>
    </row>
    <row r="5268" spans="1:12">
      <c r="A5268" s="22">
        <v>40314.290277777778</v>
      </c>
      <c r="E5268" s="26">
        <v>162.36666</v>
      </c>
      <c r="G5268" s="27">
        <v>0.2902777777777778</v>
      </c>
      <c r="J5268" s="30">
        <f>IF(G5268&lt;$H$10,$H$16,IF(G5268&gt;$I$10,$H$16,$H$11))*E5268/600</f>
        <v>5.4122219999999999E-2</v>
      </c>
      <c r="L5268" s="32">
        <f>$J5268*($G5268-$G5267)*60*24</f>
        <v>5.4122219999999804E-2</v>
      </c>
    </row>
    <row r="5269" spans="1:12">
      <c r="A5269" s="22">
        <v>40314.290972222225</v>
      </c>
      <c r="E5269" s="26">
        <v>154.827946</v>
      </c>
      <c r="G5269" s="27">
        <v>0.29097222222222224</v>
      </c>
      <c r="J5269" s="30">
        <f>IF(G5269&lt;$H$10,$H$16,IF(G5269&gt;$I$10,$H$16,$H$11))*E5269/600</f>
        <v>5.1609315333333336E-2</v>
      </c>
      <c r="L5269" s="32">
        <f>$J5269*($G5269-$G5268)*60*24</f>
        <v>5.1609315333333156E-2</v>
      </c>
    </row>
    <row r="5270" spans="1:12">
      <c r="A5270" s="22">
        <v>40314.291666666664</v>
      </c>
      <c r="E5270" s="26">
        <v>154.07391999999999</v>
      </c>
      <c r="G5270" s="27">
        <v>0.29166666666666669</v>
      </c>
      <c r="J5270" s="30">
        <f>IF(G5270&lt;$H$10,$H$16,IF(G5270&gt;$I$10,$H$16,$H$11))*E5270/600</f>
        <v>5.1357973333333334E-2</v>
      </c>
      <c r="L5270" s="32">
        <f>$J5270*($G5270-$G5269)*60*24</f>
        <v>5.1357973333333147E-2</v>
      </c>
    </row>
    <row r="5271" spans="1:12">
      <c r="A5271" s="22">
        <v>40314.292361111111</v>
      </c>
      <c r="E5271" s="26">
        <v>158.226384</v>
      </c>
      <c r="G5271" s="27">
        <v>0.29236111111111113</v>
      </c>
      <c r="J5271" s="30">
        <f>IF(G5271&lt;$H$10,$H$16,IF(G5271&gt;$I$10,$H$16,$H$11))*E5271/600</f>
        <v>5.2742127999999999E-2</v>
      </c>
      <c r="L5271" s="32">
        <f>$J5271*($G5271-$G5270)*60*24</f>
        <v>5.2742127999999812E-2</v>
      </c>
    </row>
    <row r="5272" spans="1:12">
      <c r="A5272" s="22">
        <v>40314.293055555558</v>
      </c>
      <c r="E5272" s="26">
        <v>156.96561600000001</v>
      </c>
      <c r="G5272" s="27">
        <v>0.29305555555555557</v>
      </c>
      <c r="J5272" s="30">
        <f>IF(G5272&lt;$H$10,$H$16,IF(G5272&gt;$I$10,$H$16,$H$11))*E5272/600</f>
        <v>5.2321872000000005E-2</v>
      </c>
      <c r="L5272" s="32">
        <f>$J5272*($G5272-$G5271)*60*24</f>
        <v>5.2321871999999818E-2</v>
      </c>
    </row>
    <row r="5273" spans="1:12">
      <c r="A5273" s="22">
        <v>40314.293749999997</v>
      </c>
      <c r="E5273" s="26">
        <v>155.802368</v>
      </c>
      <c r="G5273" s="27">
        <v>0.29375000000000001</v>
      </c>
      <c r="J5273" s="30">
        <f>IF(G5273&lt;$H$10,$H$16,IF(G5273&gt;$I$10,$H$16,$H$11))*E5273/600</f>
        <v>5.1934122666666672E-2</v>
      </c>
      <c r="L5273" s="32">
        <f>$J5273*($G5273-$G5272)*60*24</f>
        <v>5.1934122666666499E-2</v>
      </c>
    </row>
    <row r="5274" spans="1:12">
      <c r="A5274" s="22">
        <v>40314.294444444444</v>
      </c>
      <c r="E5274" s="26">
        <v>158.53992</v>
      </c>
      <c r="G5274" s="27">
        <v>0.29444444444444445</v>
      </c>
      <c r="J5274" s="30">
        <f>IF(G5274&lt;$H$10,$H$16,IF(G5274&gt;$I$10,$H$16,$H$11))*E5274/600</f>
        <v>5.284664E-2</v>
      </c>
      <c r="L5274" s="32">
        <f>$J5274*($G5274-$G5273)*60*24</f>
        <v>5.2846639999999806E-2</v>
      </c>
    </row>
    <row r="5275" spans="1:12">
      <c r="A5275" s="22">
        <v>40314.295138888891</v>
      </c>
      <c r="E5275" s="26">
        <v>177.94155000000001</v>
      </c>
      <c r="G5275" s="27">
        <v>0.2951388888888889</v>
      </c>
      <c r="J5275" s="30">
        <f>IF(G5275&lt;$H$10,$H$16,IF(G5275&gt;$I$10,$H$16,$H$11))*E5275/600</f>
        <v>5.9313850000000001E-2</v>
      </c>
      <c r="L5275" s="32">
        <f>$J5275*($G5275-$G5274)*60*24</f>
        <v>5.9313849999999793E-2</v>
      </c>
    </row>
    <row r="5276" spans="1:12">
      <c r="A5276" s="22">
        <v>40314.29583333333</v>
      </c>
      <c r="E5276" s="26">
        <v>178.22296800000001</v>
      </c>
      <c r="G5276" s="27">
        <v>0.29583333333333334</v>
      </c>
      <c r="J5276" s="30">
        <f>IF(G5276&lt;$H$10,$H$16,IF(G5276&gt;$I$10,$H$16,$H$11))*E5276/600</f>
        <v>5.9407656000000003E-2</v>
      </c>
      <c r="L5276" s="32">
        <f>$J5276*($G5276-$G5275)*60*24</f>
        <v>5.9407655999999795E-2</v>
      </c>
    </row>
    <row r="5277" spans="1:12">
      <c r="A5277" s="22">
        <v>40314.296527777777</v>
      </c>
      <c r="E5277" s="26">
        <v>178.38767100000001</v>
      </c>
      <c r="G5277" s="27">
        <v>0.29652777777777778</v>
      </c>
      <c r="J5277" s="30">
        <f>IF(G5277&lt;$H$10,$H$16,IF(G5277&gt;$I$10,$H$16,$H$11))*E5277/600</f>
        <v>5.9462557000000006E-2</v>
      </c>
      <c r="L5277" s="32">
        <f>$J5277*($G5277-$G5276)*60*24</f>
        <v>5.9462556999999805E-2</v>
      </c>
    </row>
    <row r="5278" spans="1:12">
      <c r="A5278" s="22">
        <v>40314.297222222223</v>
      </c>
      <c r="E5278" s="26">
        <v>180.36842200000001</v>
      </c>
      <c r="G5278" s="27">
        <v>0.29722222222222222</v>
      </c>
      <c r="J5278" s="30">
        <f>IF(G5278&lt;$H$10,$H$16,IF(G5278&gt;$I$10,$H$16,$H$11))*E5278/600</f>
        <v>6.012280733333334E-2</v>
      </c>
      <c r="L5278" s="32">
        <f>$J5278*($G5278-$G5277)*60*24</f>
        <v>6.0122807333333125E-2</v>
      </c>
    </row>
    <row r="5279" spans="1:12">
      <c r="A5279" s="22">
        <v>40314.29791666667</v>
      </c>
      <c r="E5279" s="26">
        <v>178.633284</v>
      </c>
      <c r="G5279" s="27">
        <v>0.29791666666666666</v>
      </c>
      <c r="J5279" s="30">
        <f>IF(G5279&lt;$H$10,$H$16,IF(G5279&gt;$I$10,$H$16,$H$11))*E5279/600</f>
        <v>5.9544428000000003E-2</v>
      </c>
      <c r="L5279" s="32">
        <f>$J5279*($G5279-$G5278)*60*24</f>
        <v>5.9544427999999788E-2</v>
      </c>
    </row>
    <row r="5280" spans="1:12">
      <c r="A5280" s="22">
        <v>40314.298611111109</v>
      </c>
      <c r="E5280" s="26">
        <v>179.98424399999999</v>
      </c>
      <c r="G5280" s="27">
        <v>0.2986111111111111</v>
      </c>
      <c r="J5280" s="30">
        <f>IF(G5280&lt;$H$10,$H$16,IF(G5280&gt;$I$10,$H$16,$H$11))*E5280/600</f>
        <v>5.9994748000000001E-2</v>
      </c>
      <c r="L5280" s="32">
        <f>$J5280*($G5280-$G5279)*60*24</f>
        <v>5.9994747999999792E-2</v>
      </c>
    </row>
    <row r="5281" spans="1:12">
      <c r="A5281" s="22">
        <v>40314.299305555556</v>
      </c>
      <c r="E5281" s="26">
        <v>178.02478500000001</v>
      </c>
      <c r="G5281" s="27">
        <v>0.29930555555555555</v>
      </c>
      <c r="J5281" s="30">
        <f>IF(G5281&lt;$H$10,$H$16,IF(G5281&gt;$I$10,$H$16,$H$11))*E5281/600</f>
        <v>5.9341595000000011E-2</v>
      </c>
      <c r="L5281" s="32">
        <f>$J5281*($G5281-$G5280)*60*24</f>
        <v>5.9341594999999789E-2</v>
      </c>
    </row>
    <row r="5282" spans="1:12">
      <c r="A5282" s="22">
        <v>40314.300000000003</v>
      </c>
      <c r="E5282" s="26">
        <v>178.93051199999999</v>
      </c>
      <c r="G5282" s="27">
        <v>0.3</v>
      </c>
      <c r="J5282" s="30">
        <f>IF(G5282&lt;$H$10,$H$16,IF(G5282&gt;$I$10,$H$16,$H$11))*E5282/600</f>
        <v>5.9643503999999993E-2</v>
      </c>
      <c r="L5282" s="32">
        <f>$J5282*($G5282-$G5281)*60*24</f>
        <v>5.9643503999999785E-2</v>
      </c>
    </row>
    <row r="5283" spans="1:12">
      <c r="A5283" s="22">
        <v>40314.300694444442</v>
      </c>
      <c r="E5283" s="26">
        <v>178.17869999999999</v>
      </c>
      <c r="G5283" s="27">
        <v>0.30069444444444443</v>
      </c>
      <c r="J5283" s="30">
        <f>IF(G5283&lt;$H$10,$H$16,IF(G5283&gt;$I$10,$H$16,$H$11))*E5283/600</f>
        <v>5.9392899999999998E-2</v>
      </c>
      <c r="L5283" s="32">
        <f>$J5283*($G5283-$G5282)*60*24</f>
        <v>5.939289999999979E-2</v>
      </c>
    </row>
    <row r="5284" spans="1:12">
      <c r="A5284" s="22">
        <v>40314.301388888889</v>
      </c>
      <c r="E5284" s="26">
        <v>178.17869999999999</v>
      </c>
      <c r="G5284" s="27">
        <v>0.30138888888888887</v>
      </c>
      <c r="J5284" s="30">
        <f>IF(G5284&lt;$H$10,$H$16,IF(G5284&gt;$I$10,$H$16,$H$11))*E5284/600</f>
        <v>5.9392899999999998E-2</v>
      </c>
      <c r="L5284" s="32">
        <f>$J5284*($G5284-$G5283)*60*24</f>
        <v>5.939289999999979E-2</v>
      </c>
    </row>
    <row r="5285" spans="1:12">
      <c r="A5285" s="22">
        <v>40314.302083333336</v>
      </c>
      <c r="E5285" s="26">
        <v>178.50940800000001</v>
      </c>
      <c r="G5285" s="27">
        <v>0.30208333333333331</v>
      </c>
      <c r="J5285" s="30">
        <f>IF(G5285&lt;$H$10,$H$16,IF(G5285&gt;$I$10,$H$16,$H$11))*E5285/600</f>
        <v>5.9503135999999998E-2</v>
      </c>
      <c r="L5285" s="32">
        <f>$J5285*($G5285-$G5284)*60*24</f>
        <v>5.950313599999979E-2</v>
      </c>
    </row>
    <row r="5286" spans="1:12">
      <c r="A5286" s="22">
        <v>40314.302777777775</v>
      </c>
      <c r="E5286" s="26">
        <v>178.44774899999999</v>
      </c>
      <c r="G5286" s="27">
        <v>0.30277777777777776</v>
      </c>
      <c r="J5286" s="30">
        <f>IF(G5286&lt;$H$10,$H$16,IF(G5286&gt;$I$10,$H$16,$H$11))*E5286/600</f>
        <v>5.9482583000000006E-2</v>
      </c>
      <c r="L5286" s="32">
        <f>$J5286*($G5286-$G5285)*60*24</f>
        <v>5.9482582999999797E-2</v>
      </c>
    </row>
    <row r="5287" spans="1:12">
      <c r="A5287" s="22">
        <v>40314.303472222222</v>
      </c>
      <c r="E5287" s="26">
        <v>178.623705</v>
      </c>
      <c r="G5287" s="27">
        <v>0.3034722222222222</v>
      </c>
      <c r="J5287" s="30">
        <f>IF(G5287&lt;$H$10,$H$16,IF(G5287&gt;$I$10,$H$16,$H$11))*E5287/600</f>
        <v>5.9541235000000005E-2</v>
      </c>
      <c r="L5287" s="32">
        <f>$J5287*($G5287-$G5286)*60*24</f>
        <v>5.954123499999979E-2</v>
      </c>
    </row>
    <row r="5288" spans="1:12">
      <c r="A5288" s="22">
        <v>40314.304166666669</v>
      </c>
      <c r="E5288" s="26">
        <v>178.54512</v>
      </c>
      <c r="G5288" s="27">
        <v>0.30416666666666664</v>
      </c>
      <c r="J5288" s="30">
        <f>IF(G5288&lt;$H$10,$H$16,IF(G5288&gt;$I$10,$H$16,$H$11))*E5288/600</f>
        <v>5.9515039999999998E-2</v>
      </c>
      <c r="L5288" s="32">
        <f>$J5288*($G5288-$G5287)*60*24</f>
        <v>5.951503999999979E-2</v>
      </c>
    </row>
    <row r="5289" spans="1:12">
      <c r="A5289" s="22">
        <v>40314.304861111108</v>
      </c>
      <c r="E5289" s="26">
        <v>179.440338</v>
      </c>
      <c r="G5289" s="27">
        <v>0.30486111111111108</v>
      </c>
      <c r="J5289" s="30">
        <f>IF(G5289&lt;$H$10,$H$16,IF(G5289&gt;$I$10,$H$16,$H$11))*E5289/600</f>
        <v>5.9813445999999999E-2</v>
      </c>
      <c r="L5289" s="32">
        <f>$J5289*($G5289-$G5288)*60*24</f>
        <v>5.9813445999999784E-2</v>
      </c>
    </row>
    <row r="5290" spans="1:12">
      <c r="A5290" s="22">
        <v>40314.305555555555</v>
      </c>
      <c r="E5290" s="26">
        <v>178.70229</v>
      </c>
      <c r="G5290" s="27">
        <v>0.30555555555555552</v>
      </c>
      <c r="J5290" s="30">
        <f>IF(G5290&lt;$H$10,$H$16,IF(G5290&gt;$I$10,$H$16,$H$11))*E5290/600</f>
        <v>5.9567430000000005E-2</v>
      </c>
      <c r="L5290" s="32">
        <f>$J5290*($G5290-$G5289)*60*24</f>
        <v>5.9567429999999782E-2</v>
      </c>
    </row>
    <row r="5291" spans="1:12">
      <c r="A5291" s="22">
        <v>40314.306250000001</v>
      </c>
      <c r="E5291" s="26">
        <v>179.39030399999999</v>
      </c>
      <c r="G5291" s="27">
        <v>0.30624999999999997</v>
      </c>
      <c r="J5291" s="30">
        <f>IF(G5291&lt;$H$10,$H$16,IF(G5291&gt;$I$10,$H$16,$H$11))*E5291/600</f>
        <v>5.9796768E-2</v>
      </c>
      <c r="L5291" s="32">
        <f>$J5291*($G5291-$G5290)*60*24</f>
        <v>5.9796767999999792E-2</v>
      </c>
    </row>
    <row r="5292" spans="1:12">
      <c r="A5292" s="22">
        <v>40314.306944444441</v>
      </c>
      <c r="E5292" s="26">
        <v>179.06778</v>
      </c>
      <c r="G5292" s="27">
        <v>0.30694444444444441</v>
      </c>
      <c r="J5292" s="30">
        <f>IF(G5292&lt;$H$10,$H$16,IF(G5292&gt;$I$10,$H$16,$H$11))*E5292/600</f>
        <v>5.9689259999999994E-2</v>
      </c>
      <c r="L5292" s="32">
        <f>$J5292*($G5292-$G5291)*60*24</f>
        <v>5.9689259999999786E-2</v>
      </c>
    </row>
    <row r="5293" spans="1:12">
      <c r="A5293" s="22">
        <v>40314.307638888888</v>
      </c>
      <c r="E5293" s="26">
        <v>178.43165999999999</v>
      </c>
      <c r="G5293" s="27">
        <v>0.30763888888888891</v>
      </c>
      <c r="J5293" s="30">
        <f>IF(G5293&lt;$H$10,$H$16,IF(G5293&gt;$I$10,$H$16,$H$11))*E5293/600</f>
        <v>5.9477219999999997E-2</v>
      </c>
      <c r="L5293" s="32">
        <f>$J5293*($G5293-$G5292)*60*24</f>
        <v>5.9477220000004542E-2</v>
      </c>
    </row>
    <row r="5294" spans="1:12">
      <c r="A5294" s="22">
        <v>40314.308333333334</v>
      </c>
      <c r="E5294" s="26">
        <v>178.71995999999999</v>
      </c>
      <c r="G5294" s="27">
        <v>0.30833333333333335</v>
      </c>
      <c r="J5294" s="30">
        <f>IF(G5294&lt;$H$10,$H$16,IF(G5294&gt;$I$10,$H$16,$H$11))*E5294/600</f>
        <v>5.9573319999999999E-2</v>
      </c>
      <c r="L5294" s="32">
        <f>$J5294*($G5294-$G5293)*60*24</f>
        <v>5.9573319999999791E-2</v>
      </c>
    </row>
    <row r="5295" spans="1:12">
      <c r="A5295" s="22">
        <v>40314.309027777781</v>
      </c>
      <c r="E5295" s="26">
        <v>178.77892199999999</v>
      </c>
      <c r="G5295" s="27">
        <v>0.30902777777777779</v>
      </c>
      <c r="J5295" s="30">
        <f>IF(G5295&lt;$H$10,$H$16,IF(G5295&gt;$I$10,$H$16,$H$11))*E5295/600</f>
        <v>5.9592974000000007E-2</v>
      </c>
      <c r="L5295" s="32">
        <f>$J5295*($G5295-$G5294)*60*24</f>
        <v>5.9592973999999799E-2</v>
      </c>
    </row>
    <row r="5296" spans="1:12">
      <c r="A5296" s="22">
        <v>40314.30972222222</v>
      </c>
      <c r="E5296" s="26">
        <v>178.82923500000001</v>
      </c>
      <c r="G5296" s="27">
        <v>0.30972222222222223</v>
      </c>
      <c r="J5296" s="30">
        <f>IF(G5296&lt;$H$10,$H$16,IF(G5296&gt;$I$10,$H$16,$H$11))*E5296/600</f>
        <v>5.9609744999999999E-2</v>
      </c>
      <c r="L5296" s="32">
        <f>$J5296*($G5296-$G5295)*60*24</f>
        <v>5.9609744999999784E-2</v>
      </c>
    </row>
    <row r="5297" spans="1:12">
      <c r="A5297" s="22">
        <v>40314.310416666667</v>
      </c>
      <c r="E5297" s="26">
        <v>178.45053899999999</v>
      </c>
      <c r="G5297" s="27">
        <v>0.31041666666666667</v>
      </c>
      <c r="J5297" s="30">
        <f>IF(G5297&lt;$H$10,$H$16,IF(G5297&gt;$I$10,$H$16,$H$11))*E5297/600</f>
        <v>5.9483513000000002E-2</v>
      </c>
      <c r="L5297" s="32">
        <f>$J5297*($G5297-$G5296)*60*24</f>
        <v>5.9483512999999794E-2</v>
      </c>
    </row>
    <row r="5298" spans="1:12">
      <c r="A5298" s="22">
        <v>40314.311111111114</v>
      </c>
      <c r="E5298" s="26">
        <v>178.30108799999999</v>
      </c>
      <c r="G5298" s="27">
        <v>0.31111111111111112</v>
      </c>
      <c r="J5298" s="30">
        <f>IF(G5298&lt;$H$10,$H$16,IF(G5298&gt;$I$10,$H$16,$H$11))*E5298/600</f>
        <v>5.9433696000000008E-2</v>
      </c>
      <c r="L5298" s="32">
        <f>$J5298*($G5298-$G5297)*60*24</f>
        <v>5.94336959999998E-2</v>
      </c>
    </row>
    <row r="5299" spans="1:12">
      <c r="A5299" s="22">
        <v>40314.311805555553</v>
      </c>
      <c r="E5299" s="26">
        <v>178.40264400000001</v>
      </c>
      <c r="G5299" s="27">
        <v>0.31180555555555556</v>
      </c>
      <c r="J5299" s="30">
        <f>IF(G5299&lt;$H$10,$H$16,IF(G5299&gt;$I$10,$H$16,$H$11))*E5299/600</f>
        <v>5.9467548000000009E-2</v>
      </c>
      <c r="L5299" s="32">
        <f>$J5299*($G5299-$G5298)*60*24</f>
        <v>5.9467547999999801E-2</v>
      </c>
    </row>
    <row r="5300" spans="1:12">
      <c r="A5300" s="22">
        <v>40314.3125</v>
      </c>
      <c r="E5300" s="26">
        <v>178.19543999999999</v>
      </c>
      <c r="G5300" s="27">
        <v>0.3125</v>
      </c>
      <c r="J5300" s="30">
        <f>IF(G5300&lt;$H$10,$H$16,IF(G5300&gt;$I$10,$H$16,$H$11))*E5300/600</f>
        <v>5.9398480000000003E-2</v>
      </c>
      <c r="L5300" s="32">
        <f>$J5300*($G5300-$G5299)*60*24</f>
        <v>5.9398479999999781E-2</v>
      </c>
    </row>
    <row r="5301" spans="1:12">
      <c r="A5301" s="22">
        <v>40314.313194444447</v>
      </c>
      <c r="E5301" s="26">
        <v>178.10020800000001</v>
      </c>
      <c r="G5301" s="27">
        <v>0.31319444444444444</v>
      </c>
      <c r="J5301" s="30">
        <f>IF(G5301&lt;$H$10,$H$16,IF(G5301&gt;$I$10,$H$16,$H$11))*E5301/600</f>
        <v>5.9366736000000003E-2</v>
      </c>
      <c r="L5301" s="32">
        <f>$J5301*($G5301-$G5300)*60*24</f>
        <v>5.9366735999999788E-2</v>
      </c>
    </row>
    <row r="5302" spans="1:12">
      <c r="A5302" s="22">
        <v>40314.313888888886</v>
      </c>
      <c r="E5302" s="26">
        <v>179.436432</v>
      </c>
      <c r="G5302" s="27">
        <v>0.31388888888888888</v>
      </c>
      <c r="J5302" s="30">
        <f>IF(G5302&lt;$H$10,$H$16,IF(G5302&gt;$I$10,$H$16,$H$11))*E5302/600</f>
        <v>5.9812144000000005E-2</v>
      </c>
      <c r="L5302" s="32">
        <f>$J5302*($G5302-$G5301)*60*24</f>
        <v>5.9812143999999783E-2</v>
      </c>
    </row>
    <row r="5303" spans="1:12">
      <c r="A5303" s="22">
        <v>40314.314583333333</v>
      </c>
      <c r="E5303" s="26">
        <v>178.81110000000001</v>
      </c>
      <c r="G5303" s="27">
        <v>0.31458333333333333</v>
      </c>
      <c r="J5303" s="30">
        <f>IF(G5303&lt;$H$10,$H$16,IF(G5303&gt;$I$10,$H$16,$H$11))*E5303/600</f>
        <v>5.9603700000000009E-2</v>
      </c>
      <c r="L5303" s="32">
        <f>$J5303*($G5303-$G5302)*60*24</f>
        <v>5.9603699999999794E-2</v>
      </c>
    </row>
    <row r="5304" spans="1:12">
      <c r="A5304" s="22">
        <v>40314.31527777778</v>
      </c>
      <c r="E5304" s="26">
        <v>179.074476</v>
      </c>
      <c r="G5304" s="27">
        <v>0.31527777777777777</v>
      </c>
      <c r="J5304" s="30">
        <f>IF(G5304&lt;$H$10,$H$16,IF(G5304&gt;$I$10,$H$16,$H$11))*E5304/600</f>
        <v>5.9691492000000006E-2</v>
      </c>
      <c r="L5304" s="32">
        <f>$J5304*($G5304-$G5303)*60*24</f>
        <v>5.9691491999999798E-2</v>
      </c>
    </row>
    <row r="5305" spans="1:12">
      <c r="A5305" s="22">
        <v>40314.315972222219</v>
      </c>
      <c r="E5305" s="26">
        <v>179.15343300000001</v>
      </c>
      <c r="G5305" s="27">
        <v>0.31597222222222221</v>
      </c>
      <c r="J5305" s="30">
        <f>IF(G5305&lt;$H$10,$H$16,IF(G5305&gt;$I$10,$H$16,$H$11))*E5305/600</f>
        <v>5.9717811000000003E-2</v>
      </c>
      <c r="L5305" s="32">
        <f>$J5305*($G5305-$G5304)*60*24</f>
        <v>5.9717810999999801E-2</v>
      </c>
    </row>
    <row r="5306" spans="1:12">
      <c r="A5306" s="22">
        <v>40314.316666666666</v>
      </c>
      <c r="E5306" s="26">
        <v>178.331592</v>
      </c>
      <c r="G5306" s="27">
        <v>0.31666666666666665</v>
      </c>
      <c r="J5306" s="30">
        <f>IF(G5306&lt;$H$10,$H$16,IF(G5306&gt;$I$10,$H$16,$H$11))*E5306/600</f>
        <v>5.9443864000000006E-2</v>
      </c>
      <c r="L5306" s="32">
        <f>$J5306*($G5306-$G5305)*60*24</f>
        <v>5.9443863999999791E-2</v>
      </c>
    </row>
    <row r="5307" spans="1:12">
      <c r="A5307" s="22">
        <v>40314.317361111112</v>
      </c>
      <c r="E5307" s="26">
        <v>178.06812300000001</v>
      </c>
      <c r="G5307" s="27">
        <v>0.31736111111111115</v>
      </c>
      <c r="J5307" s="30">
        <f>IF(G5307&lt;$H$10,$H$16,IF(G5307&gt;$I$10,$H$16,$H$11))*E5307/600</f>
        <v>5.9356041000000005E-2</v>
      </c>
      <c r="L5307" s="32">
        <f>$J5307*($G5307-$G5306)*60*24</f>
        <v>5.9356041000004543E-2</v>
      </c>
    </row>
    <row r="5308" spans="1:12">
      <c r="A5308" s="22">
        <v>40314.318055555559</v>
      </c>
      <c r="E5308" s="26">
        <v>178.15377599999999</v>
      </c>
      <c r="G5308" s="27">
        <v>0.31805555555555554</v>
      </c>
      <c r="J5308" s="30">
        <f>IF(G5308&lt;$H$10,$H$16,IF(G5308&gt;$I$10,$H$16,$H$11))*E5308/600</f>
        <v>5.9384592000000007E-2</v>
      </c>
      <c r="L5308" s="32">
        <f>$J5308*($G5308-$G5307)*60*24</f>
        <v>5.9384591999995053E-2</v>
      </c>
    </row>
    <row r="5309" spans="1:12">
      <c r="A5309" s="22">
        <v>40314.318749999999</v>
      </c>
      <c r="E5309" s="26">
        <v>167.638824</v>
      </c>
      <c r="G5309" s="27">
        <v>0.31875000000000003</v>
      </c>
      <c r="J5309" s="30">
        <f>IF(G5309&lt;$H$10,$H$16,IF(G5309&gt;$I$10,$H$16,$H$11))*E5309/600</f>
        <v>5.5879607999999997E-2</v>
      </c>
      <c r="L5309" s="32">
        <f>$J5309*($G5309-$G5308)*60*24</f>
        <v>5.5879608000004265E-2</v>
      </c>
    </row>
    <row r="5310" spans="1:12">
      <c r="A5310" s="22">
        <v>40314.319444444445</v>
      </c>
      <c r="E5310" s="26">
        <v>154.48253600000001</v>
      </c>
      <c r="G5310" s="27">
        <v>0.31944444444444448</v>
      </c>
      <c r="J5310" s="30">
        <f>IF(G5310&lt;$H$10,$H$16,IF(G5310&gt;$I$10,$H$16,$H$11))*E5310/600</f>
        <v>5.1494178666666668E-2</v>
      </c>
      <c r="L5310" s="32">
        <f>$J5310*($G5310-$G5309)*60*24</f>
        <v>5.1494178666666487E-2</v>
      </c>
    </row>
    <row r="5311" spans="1:12">
      <c r="A5311" s="22">
        <v>40314.320138888892</v>
      </c>
      <c r="E5311" s="26">
        <v>157.03296</v>
      </c>
      <c r="G5311" s="27">
        <v>0.32013888888888892</v>
      </c>
      <c r="J5311" s="30">
        <f>IF(G5311&lt;$H$10,$H$16,IF(G5311&gt;$I$10,$H$16,$H$11))*E5311/600</f>
        <v>5.2344320000000007E-2</v>
      </c>
      <c r="L5311" s="32">
        <f>$J5311*($G5311-$G5310)*60*24</f>
        <v>5.2344319999999826E-2</v>
      </c>
    </row>
    <row r="5312" spans="1:12">
      <c r="A5312" s="22">
        <v>40314.320833333331</v>
      </c>
      <c r="E5312" s="26">
        <v>156.82264799999999</v>
      </c>
      <c r="G5312" s="27">
        <v>0.32083333333333336</v>
      </c>
      <c r="J5312" s="30">
        <f>IF(G5312&lt;$H$10,$H$16,IF(G5312&gt;$I$10,$H$16,$H$11))*E5312/600</f>
        <v>5.2274215999999998E-2</v>
      </c>
      <c r="L5312" s="32">
        <f>$J5312*($G5312-$G5311)*60*24</f>
        <v>5.2274215999999804E-2</v>
      </c>
    </row>
    <row r="5313" spans="1:12">
      <c r="A5313" s="22">
        <v>40314.321527777778</v>
      </c>
      <c r="E5313" s="26">
        <v>155.71184</v>
      </c>
      <c r="G5313" s="27">
        <v>0.3215277777777778</v>
      </c>
      <c r="J5313" s="30">
        <f>IF(G5313&lt;$H$10,$H$16,IF(G5313&gt;$I$10,$H$16,$H$11))*E5313/600</f>
        <v>5.1903946666666666E-2</v>
      </c>
      <c r="L5313" s="32">
        <f>$J5313*($G5313-$G5312)*60*24</f>
        <v>5.1903946666666485E-2</v>
      </c>
    </row>
    <row r="5314" spans="1:12">
      <c r="A5314" s="22">
        <v>40314.322222222225</v>
      </c>
      <c r="E5314" s="26">
        <v>154.06227999999999</v>
      </c>
      <c r="G5314" s="27">
        <v>0.32222222222222224</v>
      </c>
      <c r="J5314" s="30">
        <f>IF(G5314&lt;$H$10,$H$16,IF(G5314&gt;$I$10,$H$16,$H$11))*E5314/600</f>
        <v>5.135409333333333E-2</v>
      </c>
      <c r="L5314" s="32">
        <f>$J5314*($G5314-$G5313)*60*24</f>
        <v>5.1354093333333149E-2</v>
      </c>
    </row>
    <row r="5315" spans="1:12">
      <c r="A5315" s="22">
        <v>40314.322916666664</v>
      </c>
      <c r="E5315" s="26">
        <v>156.84822399999999</v>
      </c>
      <c r="G5315" s="27">
        <v>0.32291666666666669</v>
      </c>
      <c r="J5315" s="30">
        <f>IF(G5315&lt;$H$10,$H$16,IF(G5315&gt;$I$10,$H$16,$H$11))*E5315/600</f>
        <v>5.2282741333333334E-2</v>
      </c>
      <c r="L5315" s="32">
        <f>$J5315*($G5315-$G5314)*60*24</f>
        <v>5.2282741333333146E-2</v>
      </c>
    </row>
    <row r="5316" spans="1:12">
      <c r="A5316" s="22">
        <v>40314.323611111111</v>
      </c>
      <c r="E5316" s="26">
        <v>164.19931199999999</v>
      </c>
      <c r="G5316" s="27">
        <v>0.32361111111111113</v>
      </c>
      <c r="J5316" s="30">
        <f>IF(G5316&lt;$H$10,$H$16,IF(G5316&gt;$I$10,$H$16,$H$11))*E5316/600</f>
        <v>5.4733104000000005E-2</v>
      </c>
      <c r="L5316" s="32">
        <f>$J5316*($G5316-$G5315)*60*24</f>
        <v>5.4733103999999803E-2</v>
      </c>
    </row>
    <row r="5317" spans="1:12">
      <c r="A5317" s="22">
        <v>40314.324305555558</v>
      </c>
      <c r="E5317" s="26">
        <v>162.40005600000001</v>
      </c>
      <c r="G5317" s="27">
        <v>0.32430555555555557</v>
      </c>
      <c r="J5317" s="30">
        <f>IF(G5317&lt;$H$10,$H$16,IF(G5317&gt;$I$10,$H$16,$H$11))*E5317/600</f>
        <v>5.4133352000000003E-2</v>
      </c>
      <c r="L5317" s="32">
        <f>$J5317*($G5317-$G5316)*60*24</f>
        <v>5.4133351999999815E-2</v>
      </c>
    </row>
    <row r="5318" spans="1:12">
      <c r="A5318" s="22">
        <v>40314.324999999997</v>
      </c>
      <c r="E5318" s="26">
        <v>155.49665200000001</v>
      </c>
      <c r="G5318" s="27">
        <v>0.32500000000000001</v>
      </c>
      <c r="J5318" s="30">
        <f>IF(G5318&lt;$H$10,$H$16,IF(G5318&gt;$I$10,$H$16,$H$11))*E5318/600</f>
        <v>5.183221733333334E-2</v>
      </c>
      <c r="L5318" s="32">
        <f>$J5318*($G5318-$G5317)*60*24</f>
        <v>5.183221733333316E-2</v>
      </c>
    </row>
    <row r="5319" spans="1:12">
      <c r="A5319" s="22">
        <v>40314.325694444444</v>
      </c>
      <c r="E5319" s="26">
        <v>154.40958000000001</v>
      </c>
      <c r="G5319" s="27">
        <v>0.32569444444444445</v>
      </c>
      <c r="J5319" s="30">
        <f>IF(G5319&lt;$H$10,$H$16,IF(G5319&gt;$I$10,$H$16,$H$11))*E5319/600</f>
        <v>5.1469860000000006E-2</v>
      </c>
      <c r="L5319" s="32">
        <f>$J5319*($G5319-$G5318)*60*24</f>
        <v>5.1469859999999826E-2</v>
      </c>
    </row>
    <row r="5320" spans="1:12">
      <c r="A5320" s="22">
        <v>40314.326388888891</v>
      </c>
      <c r="E5320" s="26">
        <v>152.19977499999999</v>
      </c>
      <c r="G5320" s="27">
        <v>0.3263888888888889</v>
      </c>
      <c r="J5320" s="30">
        <f>IF(G5320&lt;$H$10,$H$16,IF(G5320&gt;$I$10,$H$16,$H$11))*E5320/600</f>
        <v>5.073325833333333E-2</v>
      </c>
      <c r="L5320" s="32">
        <f>$J5320*($G5320-$G5319)*60*24</f>
        <v>5.0733258333333149E-2</v>
      </c>
    </row>
    <row r="5321" spans="1:12">
      <c r="A5321" s="22">
        <v>40314.32708333333</v>
      </c>
      <c r="E5321" s="26">
        <v>154.905023</v>
      </c>
      <c r="G5321" s="27">
        <v>0.32708333333333334</v>
      </c>
      <c r="J5321" s="30">
        <f>IF(G5321&lt;$H$10,$H$16,IF(G5321&gt;$I$10,$H$16,$H$11))*E5321/600</f>
        <v>5.163500766666667E-2</v>
      </c>
      <c r="L5321" s="32">
        <f>$J5321*($G5321-$G5320)*60*24</f>
        <v>5.163500766666649E-2</v>
      </c>
    </row>
    <row r="5322" spans="1:12">
      <c r="A5322" s="22">
        <v>40314.327777777777</v>
      </c>
      <c r="E5322" s="26">
        <v>157.986816</v>
      </c>
      <c r="G5322" s="27">
        <v>0.32777777777777778</v>
      </c>
      <c r="J5322" s="30">
        <f>IF(G5322&lt;$H$10,$H$16,IF(G5322&gt;$I$10,$H$16,$H$11))*E5322/600</f>
        <v>5.2662272000000003E-2</v>
      </c>
      <c r="L5322" s="32">
        <f>$J5322*($G5322-$G5321)*60*24</f>
        <v>5.2662271999999816E-2</v>
      </c>
    </row>
    <row r="5323" spans="1:12">
      <c r="A5323" s="22">
        <v>40314.328472222223</v>
      </c>
      <c r="E5323" s="26">
        <v>153.96981600000001</v>
      </c>
      <c r="G5323" s="27">
        <v>0.32847222222222222</v>
      </c>
      <c r="J5323" s="30">
        <f>IF(G5323&lt;$H$10,$H$16,IF(G5323&gt;$I$10,$H$16,$H$11))*E5323/600</f>
        <v>5.1323272000000003E-2</v>
      </c>
      <c r="L5323" s="32">
        <f>$J5323*($G5323-$G5322)*60*24</f>
        <v>5.1323271999999816E-2</v>
      </c>
    </row>
    <row r="5324" spans="1:12">
      <c r="A5324" s="22">
        <v>40314.32916666667</v>
      </c>
      <c r="E5324" s="26">
        <v>154.72493399999999</v>
      </c>
      <c r="G5324" s="27">
        <v>0.32916666666666666</v>
      </c>
      <c r="J5324" s="30">
        <f>IF(G5324&lt;$H$10,$H$16,IF(G5324&gt;$I$10,$H$16,$H$11))*E5324/600</f>
        <v>5.1574978E-2</v>
      </c>
      <c r="L5324" s="32">
        <f>$J5324*($G5324-$G5323)*60*24</f>
        <v>5.1574977999999813E-2</v>
      </c>
    </row>
    <row r="5325" spans="1:12">
      <c r="A5325" s="22">
        <v>40314.329861111109</v>
      </c>
      <c r="E5325" s="26">
        <v>153.46786</v>
      </c>
      <c r="G5325" s="27">
        <v>0.3298611111111111</v>
      </c>
      <c r="J5325" s="30">
        <f>IF(G5325&lt;$H$10,$H$16,IF(G5325&gt;$I$10,$H$16,$H$11))*E5325/600</f>
        <v>5.1155953333333337E-2</v>
      </c>
      <c r="L5325" s="32">
        <f>$J5325*($G5325-$G5324)*60*24</f>
        <v>5.115595333333315E-2</v>
      </c>
    </row>
    <row r="5326" spans="1:12">
      <c r="A5326" s="22">
        <v>40314.330555555556</v>
      </c>
      <c r="E5326" s="26">
        <v>152.22352599999999</v>
      </c>
      <c r="G5326" s="27">
        <v>0.33055555555555555</v>
      </c>
      <c r="J5326" s="30">
        <f>IF(G5326&lt;$H$10,$H$16,IF(G5326&gt;$I$10,$H$16,$H$11))*E5326/600</f>
        <v>5.0741175333333333E-2</v>
      </c>
      <c r="L5326" s="32">
        <f>$J5326*($G5326-$G5325)*60*24</f>
        <v>5.0741175333333152E-2</v>
      </c>
    </row>
    <row r="5327" spans="1:12">
      <c r="A5327" s="22">
        <v>40314.331250000003</v>
      </c>
      <c r="E5327" s="26">
        <v>153.08293</v>
      </c>
      <c r="G5327" s="27">
        <v>0.33124999999999999</v>
      </c>
      <c r="J5327" s="30">
        <f>IF(G5327&lt;$H$10,$H$16,IF(G5327&gt;$I$10,$H$16,$H$11))*E5327/600</f>
        <v>5.1027643333333338E-2</v>
      </c>
      <c r="L5327" s="32">
        <f>$J5327*($G5327-$G5326)*60*24</f>
        <v>5.1027643333333157E-2</v>
      </c>
    </row>
    <row r="5328" spans="1:12">
      <c r="A5328" s="22">
        <v>40314.331944444442</v>
      </c>
      <c r="E5328" s="26">
        <v>155.30207200000001</v>
      </c>
      <c r="G5328" s="27">
        <v>0.33194444444444443</v>
      </c>
      <c r="J5328" s="30">
        <f>IF(G5328&lt;$H$10,$H$16,IF(G5328&gt;$I$10,$H$16,$H$11))*E5328/600</f>
        <v>5.176735733333334E-2</v>
      </c>
      <c r="L5328" s="32">
        <f>$J5328*($G5328-$G5327)*60*24</f>
        <v>5.1767357333333153E-2</v>
      </c>
    </row>
    <row r="5329" spans="1:12">
      <c r="A5329" s="22">
        <v>40314.332638888889</v>
      </c>
      <c r="E5329" s="26">
        <v>153.23851199999999</v>
      </c>
      <c r="G5329" s="27">
        <v>0.33263888888888887</v>
      </c>
      <c r="J5329" s="30">
        <f>IF(G5329&lt;$H$10,$H$16,IF(G5329&gt;$I$10,$H$16,$H$11))*E5329/600</f>
        <v>5.1079503999999998E-2</v>
      </c>
      <c r="L5329" s="32">
        <f>$J5329*($G5329-$G5328)*60*24</f>
        <v>5.107950399999981E-2</v>
      </c>
    </row>
    <row r="5330" spans="1:12">
      <c r="A5330" s="22">
        <v>40314.333333333336</v>
      </c>
      <c r="E5330" s="26">
        <v>152.88707199999999</v>
      </c>
      <c r="G5330" s="27">
        <v>0.33333333333333331</v>
      </c>
      <c r="J5330" s="30">
        <f>IF(G5330&lt;$H$10,$H$16,IF(G5330&gt;$I$10,$H$16,$H$11))*E5330/600</f>
        <v>5.0962357333333333E-2</v>
      </c>
      <c r="L5330" s="32">
        <f>$J5330*($G5330-$G5329)*60*24</f>
        <v>5.0962357333333153E-2</v>
      </c>
    </row>
    <row r="5331" spans="1:12">
      <c r="A5331" s="22">
        <v>40314.334027777775</v>
      </c>
      <c r="E5331" s="26">
        <v>154.82633999999999</v>
      </c>
      <c r="G5331" s="27">
        <v>0.33402777777777781</v>
      </c>
      <c r="J5331" s="30">
        <f>IF(G5331&lt;$H$10,$H$16,IF(G5331&gt;$I$10,$H$16,$H$11))*E5331/600</f>
        <v>5.160878E-2</v>
      </c>
      <c r="L5331" s="32">
        <f>$J5331*($G5331-$G5330)*60*24</f>
        <v>5.1608780000003948E-2</v>
      </c>
    </row>
    <row r="5332" spans="1:12">
      <c r="A5332" s="22">
        <v>40314.334722222222</v>
      </c>
      <c r="E5332" s="26">
        <v>154.892304</v>
      </c>
      <c r="G5332" s="27">
        <v>0.3347222222222222</v>
      </c>
      <c r="J5332" s="30">
        <f>IF(G5332&lt;$H$10,$H$16,IF(G5332&gt;$I$10,$H$16,$H$11))*E5332/600</f>
        <v>5.1630768E-2</v>
      </c>
      <c r="L5332" s="32">
        <f>$J5332*($G5332-$G5331)*60*24</f>
        <v>5.1630767999995691E-2</v>
      </c>
    </row>
    <row r="5333" spans="1:12">
      <c r="A5333" s="22">
        <v>40314.335416666669</v>
      </c>
      <c r="E5333" s="26">
        <v>153.389208</v>
      </c>
      <c r="G5333" s="27">
        <v>0.3354166666666667</v>
      </c>
      <c r="J5333" s="30">
        <f>IF(G5333&lt;$H$10,$H$16,IF(G5333&gt;$I$10,$H$16,$H$11))*E5333/600</f>
        <v>5.1129736000000002E-2</v>
      </c>
      <c r="L5333" s="32">
        <f>$J5333*($G5333-$G5332)*60*24</f>
        <v>5.1129736000003909E-2</v>
      </c>
    </row>
    <row r="5334" spans="1:12">
      <c r="A5334" s="22">
        <v>40314.336111111108</v>
      </c>
      <c r="E5334" s="26">
        <v>154.94272000000001</v>
      </c>
      <c r="G5334" s="27">
        <v>0.33611111111111108</v>
      </c>
      <c r="J5334" s="30">
        <f>IF(G5334&lt;$H$10,$H$16,IF(G5334&gt;$I$10,$H$16,$H$11))*E5334/600</f>
        <v>5.1647573333333342E-2</v>
      </c>
      <c r="L5334" s="32">
        <f>$J5334*($G5334-$G5333)*60*24</f>
        <v>5.1647573333329033E-2</v>
      </c>
    </row>
    <row r="5335" spans="1:12">
      <c r="A5335" s="22">
        <v>40314.336805555555</v>
      </c>
      <c r="E5335" s="26">
        <v>155.65075200000001</v>
      </c>
      <c r="G5335" s="27">
        <v>0.33680555555555558</v>
      </c>
      <c r="J5335" s="30">
        <f>IF(G5335&lt;$H$10,$H$16,IF(G5335&gt;$I$10,$H$16,$H$11))*E5335/600</f>
        <v>5.188358400000001E-2</v>
      </c>
      <c r="L5335" s="32">
        <f>$J5335*($G5335-$G5334)*60*24</f>
        <v>5.1883584000003966E-2</v>
      </c>
    </row>
    <row r="5336" spans="1:12">
      <c r="A5336" s="22">
        <v>40314.337500000001</v>
      </c>
      <c r="E5336" s="26">
        <v>151.792641</v>
      </c>
      <c r="G5336" s="27">
        <v>0.33749999999999997</v>
      </c>
      <c r="J5336" s="30">
        <f>IF(G5336&lt;$H$10,$H$16,IF(G5336&gt;$I$10,$H$16,$H$11))*E5336/600</f>
        <v>5.0597547000000007E-2</v>
      </c>
      <c r="L5336" s="32">
        <f>$J5336*($G5336-$G5335)*60*24</f>
        <v>5.0597546999995781E-2</v>
      </c>
    </row>
    <row r="5337" spans="1:12">
      <c r="A5337" s="22">
        <v>40314.338194444441</v>
      </c>
      <c r="E5337" s="26">
        <v>151.994024</v>
      </c>
      <c r="G5337" s="27">
        <v>0.33819444444444446</v>
      </c>
      <c r="J5337" s="30">
        <f>IF(G5337&lt;$H$10,$H$16,IF(G5337&gt;$I$10,$H$16,$H$11))*E5337/600</f>
        <v>5.0664674666666666E-2</v>
      </c>
      <c r="L5337" s="32">
        <f>$J5337*($G5337-$G5336)*60*24</f>
        <v>5.0664674666670545E-2</v>
      </c>
    </row>
    <row r="5338" spans="1:12">
      <c r="A5338" s="22">
        <v>40314.338888888888</v>
      </c>
      <c r="E5338" s="26">
        <v>153.52334400000001</v>
      </c>
      <c r="G5338" s="27">
        <v>0.33888888888888885</v>
      </c>
      <c r="J5338" s="30">
        <f>IF(G5338&lt;$H$10,$H$16,IF(G5338&gt;$I$10,$H$16,$H$11))*E5338/600</f>
        <v>5.1174448000000004E-2</v>
      </c>
      <c r="L5338" s="32">
        <f>$J5338*($G5338-$G5337)*60*24</f>
        <v>5.1174447999995723E-2</v>
      </c>
    </row>
    <row r="5339" spans="1:12">
      <c r="A5339" s="22">
        <v>40314.339583333334</v>
      </c>
      <c r="E5339" s="26">
        <v>153.461152</v>
      </c>
      <c r="G5339" s="27">
        <v>0.33958333333333335</v>
      </c>
      <c r="J5339" s="30">
        <f>IF(G5339&lt;$H$10,$H$16,IF(G5339&gt;$I$10,$H$16,$H$11))*E5339/600</f>
        <v>5.1153717333333334E-2</v>
      </c>
      <c r="L5339" s="32">
        <f>$J5339*($G5339-$G5338)*60*24</f>
        <v>5.1153717333337241E-2</v>
      </c>
    </row>
    <row r="5340" spans="1:12">
      <c r="A5340" s="22">
        <v>40314.340277777781</v>
      </c>
      <c r="E5340" s="26">
        <v>153.45599999999999</v>
      </c>
      <c r="G5340" s="27">
        <v>0.34027777777777773</v>
      </c>
      <c r="J5340" s="30">
        <f>IF(G5340&lt;$H$10,$H$16,IF(G5340&gt;$I$10,$H$16,$H$11))*E5340/600</f>
        <v>5.1151999999999996E-2</v>
      </c>
      <c r="L5340" s="32">
        <f>$J5340*($G5340-$G5339)*60*24</f>
        <v>5.1151999999995729E-2</v>
      </c>
    </row>
    <row r="5341" spans="1:12">
      <c r="A5341" s="22">
        <v>40314.34097222222</v>
      </c>
      <c r="E5341" s="26">
        <v>156.20864</v>
      </c>
      <c r="G5341" s="27">
        <v>0.34097222222222223</v>
      </c>
      <c r="J5341" s="30">
        <f>IF(G5341&lt;$H$10,$H$16,IF(G5341&gt;$I$10,$H$16,$H$11))*E5341/600</f>
        <v>5.2069546666666668E-2</v>
      </c>
      <c r="L5341" s="32">
        <f>$J5341*($G5341-$G5340)*60*24</f>
        <v>5.2069546666670657E-2</v>
      </c>
    </row>
    <row r="5342" spans="1:12">
      <c r="A5342" s="22">
        <v>40314.341666666667</v>
      </c>
      <c r="E5342" s="26">
        <v>155.94</v>
      </c>
      <c r="G5342" s="27">
        <v>0.34166666666666662</v>
      </c>
      <c r="J5342" s="30">
        <f>IF(G5342&lt;$H$10,$H$16,IF(G5342&gt;$I$10,$H$16,$H$11))*E5342/600</f>
        <v>5.1980000000000005E-2</v>
      </c>
      <c r="L5342" s="32">
        <f>$J5342*($G5342-$G5341)*60*24</f>
        <v>5.1979999999995662E-2</v>
      </c>
    </row>
    <row r="5343" spans="1:12">
      <c r="A5343" s="22">
        <v>40314.342361111114</v>
      </c>
      <c r="E5343" s="26">
        <v>155.52462</v>
      </c>
      <c r="G5343" s="27">
        <v>0.34236111111111112</v>
      </c>
      <c r="J5343" s="30">
        <f>IF(G5343&lt;$H$10,$H$16,IF(G5343&gt;$I$10,$H$16,$H$11))*E5343/600</f>
        <v>5.1841539999999998E-2</v>
      </c>
      <c r="L5343" s="32">
        <f>$J5343*($G5343-$G5342)*60*24</f>
        <v>5.1841540000003961E-2</v>
      </c>
    </row>
    <row r="5344" spans="1:12">
      <c r="A5344" s="22">
        <v>40314.343055555553</v>
      </c>
      <c r="E5344" s="26">
        <v>153.18579600000001</v>
      </c>
      <c r="G5344" s="27">
        <v>0.3430555555555555</v>
      </c>
      <c r="J5344" s="30">
        <f>IF(G5344&lt;$H$10,$H$16,IF(G5344&gt;$I$10,$H$16,$H$11))*E5344/600</f>
        <v>5.1061932000000004E-2</v>
      </c>
      <c r="L5344" s="32">
        <f>$J5344*($G5344-$G5343)*60*24</f>
        <v>5.1061931999995744E-2</v>
      </c>
    </row>
    <row r="5345" spans="1:12">
      <c r="A5345" s="22">
        <v>40314.34375</v>
      </c>
      <c r="E5345" s="26">
        <v>153.73052799999999</v>
      </c>
      <c r="G5345" s="27">
        <v>0.34375</v>
      </c>
      <c r="J5345" s="30">
        <f>IF(G5345&lt;$H$10,$H$16,IF(G5345&gt;$I$10,$H$16,$H$11))*E5345/600</f>
        <v>5.1243509333333333E-2</v>
      </c>
      <c r="L5345" s="32">
        <f>$J5345*($G5345-$G5344)*60*24</f>
        <v>5.1243509333337253E-2</v>
      </c>
    </row>
    <row r="5346" spans="1:12">
      <c r="A5346" s="22">
        <v>40314.344444444447</v>
      </c>
      <c r="E5346" s="26">
        <v>152.318985</v>
      </c>
      <c r="G5346" s="27">
        <v>0.3444444444444445</v>
      </c>
      <c r="J5346" s="30">
        <f>IF(G5346&lt;$H$10,$H$16,IF(G5346&gt;$I$10,$H$16,$H$11))*E5346/600</f>
        <v>5.0772995000000001E-2</v>
      </c>
      <c r="L5346" s="32">
        <f>$J5346*($G5346-$G5345)*60*24</f>
        <v>5.0772995000003873E-2</v>
      </c>
    </row>
    <row r="5347" spans="1:12">
      <c r="A5347" s="22">
        <v>40314.345138888886</v>
      </c>
      <c r="E5347" s="26">
        <v>152.45776000000001</v>
      </c>
      <c r="G5347" s="27">
        <v>0.34513888888888888</v>
      </c>
      <c r="J5347" s="30">
        <f>IF(G5347&lt;$H$10,$H$16,IF(G5347&gt;$I$10,$H$16,$H$11))*E5347/600</f>
        <v>5.0819253333333335E-2</v>
      </c>
      <c r="L5347" s="32">
        <f>$J5347*($G5347-$G5346)*60*24</f>
        <v>5.0819253333329095E-2</v>
      </c>
    </row>
    <row r="5348" spans="1:12">
      <c r="A5348" s="22">
        <v>40314.345833333333</v>
      </c>
      <c r="E5348" s="26">
        <v>154.65568300000001</v>
      </c>
      <c r="G5348" s="27">
        <v>0.34583333333333338</v>
      </c>
      <c r="J5348" s="30">
        <f>IF(G5348&lt;$H$10,$H$16,IF(G5348&gt;$I$10,$H$16,$H$11))*E5348/600</f>
        <v>5.1551894333333334E-2</v>
      </c>
      <c r="L5348" s="32">
        <f>$J5348*($G5348-$G5347)*60*24</f>
        <v>5.1551894333337275E-2</v>
      </c>
    </row>
    <row r="5349" spans="1:12">
      <c r="A5349" s="22">
        <v>40314.34652777778</v>
      </c>
      <c r="E5349" s="26">
        <v>154.72093000000001</v>
      </c>
      <c r="G5349" s="27">
        <v>0.34652777777777777</v>
      </c>
      <c r="J5349" s="30">
        <f>IF(G5349&lt;$H$10,$H$16,IF(G5349&gt;$I$10,$H$16,$H$11))*E5349/600</f>
        <v>5.1573643333333336E-2</v>
      </c>
      <c r="L5349" s="32">
        <f>$J5349*($G5349-$G5348)*60*24</f>
        <v>5.1573643333329033E-2</v>
      </c>
    </row>
    <row r="5350" spans="1:12">
      <c r="A5350" s="22">
        <v>40314.347222222219</v>
      </c>
      <c r="E5350" s="26">
        <v>156.35289599999999</v>
      </c>
      <c r="G5350" s="27">
        <v>0.34722222222222227</v>
      </c>
      <c r="J5350" s="30">
        <f>IF(G5350&lt;$H$10,$H$16,IF(G5350&gt;$I$10,$H$16,$H$11))*E5350/600</f>
        <v>5.2117631999999997E-2</v>
      </c>
      <c r="L5350" s="32">
        <f>$J5350*($G5350-$G5349)*60*24</f>
        <v>5.211763200000398E-2</v>
      </c>
    </row>
    <row r="5351" spans="1:12">
      <c r="A5351" s="22">
        <v>40314.347916666666</v>
      </c>
      <c r="E5351" s="26">
        <v>157.11851999999999</v>
      </c>
      <c r="G5351" s="27">
        <v>0.34791666666666665</v>
      </c>
      <c r="J5351" s="30">
        <f>IF(G5351&lt;$H$10,$H$16,IF(G5351&gt;$I$10,$H$16,$H$11))*E5351/600</f>
        <v>5.2372840000000004E-2</v>
      </c>
      <c r="L5351" s="32">
        <f>$J5351*($G5351-$G5350)*60*24</f>
        <v>5.2372839999995632E-2</v>
      </c>
    </row>
    <row r="5352" spans="1:12">
      <c r="A5352" s="22">
        <v>40314.348611111112</v>
      </c>
      <c r="E5352" s="26">
        <v>156.423</v>
      </c>
      <c r="G5352" s="27">
        <v>0.34861111111111115</v>
      </c>
      <c r="J5352" s="30">
        <f>IF(G5352&lt;$H$10,$H$16,IF(G5352&gt;$I$10,$H$16,$H$11))*E5352/600</f>
        <v>5.2141E-2</v>
      </c>
      <c r="L5352" s="32">
        <f>$J5352*($G5352-$G5351)*60*24</f>
        <v>5.2141000000003976E-2</v>
      </c>
    </row>
    <row r="5353" spans="1:12">
      <c r="A5353" s="22">
        <v>40314.349305555559</v>
      </c>
      <c r="E5353" s="26">
        <v>156.49338</v>
      </c>
      <c r="G5353" s="27">
        <v>0.34930555555555554</v>
      </c>
      <c r="J5353" s="30">
        <f>IF(G5353&lt;$H$10,$H$16,IF(G5353&gt;$I$10,$H$16,$H$11))*E5353/600</f>
        <v>5.2164460000000003E-2</v>
      </c>
      <c r="L5353" s="32">
        <f>$J5353*($G5353-$G5352)*60*24</f>
        <v>5.2164459999995638E-2</v>
      </c>
    </row>
    <row r="5354" spans="1:12">
      <c r="A5354" s="22">
        <v>40314.35</v>
      </c>
      <c r="E5354" s="26">
        <v>155.94064399999999</v>
      </c>
      <c r="G5354" s="27">
        <v>0.35000000000000003</v>
      </c>
      <c r="J5354" s="30">
        <f>IF(G5354&lt;$H$10,$H$16,IF(G5354&gt;$I$10,$H$16,$H$11))*E5354/600</f>
        <v>5.198021466666667E-2</v>
      </c>
      <c r="L5354" s="32">
        <f>$J5354*($G5354-$G5353)*60*24</f>
        <v>5.1980214666670639E-2</v>
      </c>
    </row>
    <row r="5355" spans="1:12">
      <c r="A5355" s="22">
        <v>40314.350694444445</v>
      </c>
      <c r="E5355" s="26">
        <v>155.938804</v>
      </c>
      <c r="G5355" s="27">
        <v>0.35069444444444442</v>
      </c>
      <c r="J5355" s="30">
        <f>IF(G5355&lt;$H$10,$H$16,IF(G5355&gt;$I$10,$H$16,$H$11))*E5355/600</f>
        <v>5.197960133333334E-2</v>
      </c>
      <c r="L5355" s="32">
        <f>$J5355*($G5355-$G5354)*60*24</f>
        <v>5.1979601333329004E-2</v>
      </c>
    </row>
    <row r="5356" spans="1:12">
      <c r="A5356" s="22">
        <v>40314.351388888892</v>
      </c>
      <c r="E5356" s="26">
        <v>158.43973199999999</v>
      </c>
      <c r="G5356" s="27">
        <v>0.35138888888888892</v>
      </c>
      <c r="J5356" s="30">
        <f>IF(G5356&lt;$H$10,$H$16,IF(G5356&gt;$I$10,$H$16,$H$11))*E5356/600</f>
        <v>5.2813244000000002E-2</v>
      </c>
      <c r="L5356" s="32">
        <f>$J5356*($G5356-$G5355)*60*24</f>
        <v>5.2813244000004034E-2</v>
      </c>
    </row>
    <row r="5357" spans="1:12">
      <c r="A5357" s="22">
        <v>40314.352083333331</v>
      </c>
      <c r="E5357" s="26">
        <v>169.771096</v>
      </c>
      <c r="G5357" s="27">
        <v>0.3520833333333333</v>
      </c>
      <c r="J5357" s="30">
        <f>IF(G5357&lt;$H$10,$H$16,IF(G5357&gt;$I$10,$H$16,$H$11))*E5357/600</f>
        <v>5.6590365333333344E-2</v>
      </c>
      <c r="L5357" s="32">
        <f>$J5357*($G5357-$G5356)*60*24</f>
        <v>5.6590365333328618E-2</v>
      </c>
    </row>
    <row r="5358" spans="1:12">
      <c r="A5358" s="22">
        <v>40314.352777777778</v>
      </c>
      <c r="E5358" s="26">
        <v>174.81414599999999</v>
      </c>
      <c r="G5358" s="27">
        <v>0.3527777777777778</v>
      </c>
      <c r="J5358" s="30">
        <f>IF(G5358&lt;$H$10,$H$16,IF(G5358&gt;$I$10,$H$16,$H$11))*E5358/600</f>
        <v>5.8271382000000004E-2</v>
      </c>
      <c r="L5358" s="32">
        <f>$J5358*($G5358-$G5357)*60*24</f>
        <v>5.8271382000004451E-2</v>
      </c>
    </row>
    <row r="5359" spans="1:12">
      <c r="A5359" s="22">
        <v>40314.353472222225</v>
      </c>
      <c r="E5359" s="26">
        <v>157.92949999999999</v>
      </c>
      <c r="G5359" s="27">
        <v>0.35347222222222219</v>
      </c>
      <c r="J5359" s="30">
        <f>IF(G5359&lt;$H$10,$H$16,IF(G5359&gt;$I$10,$H$16,$H$11))*E5359/600</f>
        <v>5.2643166666666664E-2</v>
      </c>
      <c r="L5359" s="32">
        <f>$J5359*($G5359-$G5358)*60*24</f>
        <v>5.2643166666662272E-2</v>
      </c>
    </row>
    <row r="5360" spans="1:12">
      <c r="A5360" s="22">
        <v>40314.354166666664</v>
      </c>
      <c r="E5360" s="26">
        <v>153.62840800000001</v>
      </c>
      <c r="G5360" s="27">
        <v>0.35416666666666669</v>
      </c>
      <c r="J5360" s="30">
        <f>IF(G5360&lt;$H$10,$H$16,IF(G5360&gt;$I$10,$H$16,$H$11))*E5360/600</f>
        <v>5.6330416266666676E-2</v>
      </c>
      <c r="L5360" s="32">
        <f>$J5360*($G5360-$G5359)*60*24</f>
        <v>5.6330416266670978E-2</v>
      </c>
    </row>
    <row r="5361" spans="1:12">
      <c r="A5361" s="22">
        <v>40314.354861111111</v>
      </c>
      <c r="E5361" s="26">
        <v>153.691428</v>
      </c>
      <c r="G5361" s="27">
        <v>0.35486111111111113</v>
      </c>
      <c r="J5361" s="30">
        <f>IF(G5361&lt;$H$10,$H$16,IF(G5361&gt;$I$10,$H$16,$H$11))*E5361/600</f>
        <v>5.6353523600000004E-2</v>
      </c>
      <c r="L5361" s="32">
        <f>$J5361*($G5361-$G5360)*60*24</f>
        <v>5.6353523599999802E-2</v>
      </c>
    </row>
    <row r="5362" spans="1:12">
      <c r="A5362" s="22">
        <v>40314.355555555558</v>
      </c>
      <c r="E5362" s="26">
        <v>153.25626800000001</v>
      </c>
      <c r="G5362" s="27">
        <v>0.35555555555555557</v>
      </c>
      <c r="J5362" s="30">
        <f>IF(G5362&lt;$H$10,$H$16,IF(G5362&gt;$I$10,$H$16,$H$11))*E5362/600</f>
        <v>5.6193964933333333E-2</v>
      </c>
      <c r="L5362" s="32">
        <f>$J5362*($G5362-$G5361)*60*24</f>
        <v>5.6193964933333132E-2</v>
      </c>
    </row>
    <row r="5363" spans="1:12">
      <c r="A5363" s="22">
        <v>40314.356249999997</v>
      </c>
      <c r="E5363" s="26">
        <v>153.28644399999999</v>
      </c>
      <c r="G5363" s="27">
        <v>0.35625000000000001</v>
      </c>
      <c r="J5363" s="30">
        <f>IF(G5363&lt;$H$10,$H$16,IF(G5363&gt;$I$10,$H$16,$H$11))*E5363/600</f>
        <v>5.620502946666666E-2</v>
      </c>
      <c r="L5363" s="32">
        <f>$J5363*($G5363-$G5362)*60*24</f>
        <v>5.6205029466666466E-2</v>
      </c>
    </row>
    <row r="5364" spans="1:12">
      <c r="A5364" s="22">
        <v>40314.356944444444</v>
      </c>
      <c r="E5364" s="26">
        <v>153.36215999999999</v>
      </c>
      <c r="G5364" s="27">
        <v>0.35694444444444445</v>
      </c>
      <c r="J5364" s="30">
        <f>IF(G5364&lt;$H$10,$H$16,IF(G5364&gt;$I$10,$H$16,$H$11))*E5364/600</f>
        <v>5.6232792000000004E-2</v>
      </c>
      <c r="L5364" s="32">
        <f>$J5364*($G5364-$G5363)*60*24</f>
        <v>5.6232791999999802E-2</v>
      </c>
    </row>
    <row r="5365" spans="1:12">
      <c r="A5365" s="22">
        <v>40314.357638888891</v>
      </c>
      <c r="E5365" s="26">
        <v>154.75319999999999</v>
      </c>
      <c r="G5365" s="27">
        <v>0.3576388888888889</v>
      </c>
      <c r="J5365" s="30">
        <f>IF(G5365&lt;$H$10,$H$16,IF(G5365&gt;$I$10,$H$16,$H$11))*E5365/600</f>
        <v>5.6742840000000003E-2</v>
      </c>
      <c r="L5365" s="32">
        <f>$J5365*($G5365-$G5364)*60*24</f>
        <v>5.6742839999999795E-2</v>
      </c>
    </row>
    <row r="5366" spans="1:12">
      <c r="A5366" s="22">
        <v>40314.35833333333</v>
      </c>
      <c r="E5366" s="26">
        <v>180.53639999999999</v>
      </c>
      <c r="G5366" s="27">
        <v>0.35833333333333334</v>
      </c>
      <c r="J5366" s="30">
        <f>IF(G5366&lt;$H$10,$H$16,IF(G5366&gt;$I$10,$H$16,$H$11))*E5366/600</f>
        <v>6.6196679999999994E-2</v>
      </c>
      <c r="L5366" s="32">
        <f>$J5366*($G5366-$G5365)*60*24</f>
        <v>6.6196679999999758E-2</v>
      </c>
    </row>
    <row r="5367" spans="1:12">
      <c r="A5367" s="22">
        <v>40314.359027777777</v>
      </c>
      <c r="E5367" s="26">
        <v>181.17005399999999</v>
      </c>
      <c r="G5367" s="27">
        <v>0.35902777777777778</v>
      </c>
      <c r="J5367" s="30">
        <f>IF(G5367&lt;$H$10,$H$16,IF(G5367&gt;$I$10,$H$16,$H$11))*E5367/600</f>
        <v>6.6429019800000003E-2</v>
      </c>
      <c r="L5367" s="32">
        <f>$J5367*($G5367-$G5366)*60*24</f>
        <v>6.6429019799999767E-2</v>
      </c>
    </row>
    <row r="5368" spans="1:12">
      <c r="A5368" s="22">
        <v>40314.359722222223</v>
      </c>
      <c r="E5368" s="26">
        <v>180.93449000000001</v>
      </c>
      <c r="G5368" s="27">
        <v>0.35972222222222222</v>
      </c>
      <c r="J5368" s="30">
        <f>IF(G5368&lt;$H$10,$H$16,IF(G5368&gt;$I$10,$H$16,$H$11))*E5368/600</f>
        <v>6.6342646333333338E-2</v>
      </c>
      <c r="L5368" s="32">
        <f>$J5368*($G5368-$G5367)*60*24</f>
        <v>6.6342646333333102E-2</v>
      </c>
    </row>
    <row r="5369" spans="1:12">
      <c r="A5369" s="22">
        <v>40314.36041666667</v>
      </c>
      <c r="E5369" s="26">
        <v>179.62159199999999</v>
      </c>
      <c r="G5369" s="27">
        <v>0.36041666666666666</v>
      </c>
      <c r="J5369" s="30">
        <f>IF(G5369&lt;$H$10,$H$16,IF(G5369&gt;$I$10,$H$16,$H$11))*E5369/600</f>
        <v>6.5861250400000002E-2</v>
      </c>
      <c r="L5369" s="32">
        <f>$J5369*($G5369-$G5368)*60*24</f>
        <v>6.5861250399999766E-2</v>
      </c>
    </row>
    <row r="5370" spans="1:12">
      <c r="A5370" s="22">
        <v>40314.361111111109</v>
      </c>
      <c r="E5370" s="26">
        <v>158.74462</v>
      </c>
      <c r="G5370" s="27">
        <v>0.3611111111111111</v>
      </c>
      <c r="J5370" s="30">
        <f>IF(G5370&lt;$H$10,$H$16,IF(G5370&gt;$I$10,$H$16,$H$11))*E5370/600</f>
        <v>5.8206360666666665E-2</v>
      </c>
      <c r="L5370" s="32">
        <f>$J5370*($G5370-$G5369)*60*24</f>
        <v>5.8206360666666457E-2</v>
      </c>
    </row>
    <row r="5371" spans="1:12">
      <c r="A5371" s="22">
        <v>40314.361805555556</v>
      </c>
      <c r="E5371" s="26">
        <v>153.62840800000001</v>
      </c>
      <c r="G5371" s="27">
        <v>0.36180555555555555</v>
      </c>
      <c r="J5371" s="30">
        <f>IF(G5371&lt;$H$10,$H$16,IF(G5371&gt;$I$10,$H$16,$H$11))*E5371/600</f>
        <v>5.6330416266666676E-2</v>
      </c>
      <c r="L5371" s="32">
        <f>$J5371*($G5371-$G5370)*60*24</f>
        <v>5.6330416266666475E-2</v>
      </c>
    </row>
    <row r="5372" spans="1:12">
      <c r="A5372" s="22">
        <v>40314.362500000003</v>
      </c>
      <c r="E5372" s="26">
        <v>153.558672</v>
      </c>
      <c r="G5372" s="27">
        <v>0.36249999999999999</v>
      </c>
      <c r="J5372" s="30">
        <f>IF(G5372&lt;$H$10,$H$16,IF(G5372&gt;$I$10,$H$16,$H$11))*E5372/600</f>
        <v>5.6304846399999997E-2</v>
      </c>
      <c r="L5372" s="32">
        <f>$J5372*($G5372-$G5371)*60*24</f>
        <v>5.6304846399999796E-2</v>
      </c>
    </row>
    <row r="5373" spans="1:12">
      <c r="A5373" s="22">
        <v>40314.363194444442</v>
      </c>
      <c r="E5373" s="26">
        <v>154.90638000000001</v>
      </c>
      <c r="G5373" s="27">
        <v>0.36319444444444443</v>
      </c>
      <c r="J5373" s="30">
        <f>IF(G5373&lt;$H$10,$H$16,IF(G5373&gt;$I$10,$H$16,$H$11))*E5373/600</f>
        <v>5.6799006000000013E-2</v>
      </c>
      <c r="L5373" s="32">
        <f>$J5373*($G5373-$G5372)*60*24</f>
        <v>5.6799005999999819E-2</v>
      </c>
    </row>
    <row r="5374" spans="1:12">
      <c r="A5374" s="22">
        <v>40314.363888888889</v>
      </c>
      <c r="E5374" s="26">
        <v>154.73884799999999</v>
      </c>
      <c r="G5374" s="27">
        <v>0.36388888888888887</v>
      </c>
      <c r="J5374" s="30">
        <f>IF(G5374&lt;$H$10,$H$16,IF(G5374&gt;$I$10,$H$16,$H$11))*E5374/600</f>
        <v>5.6737577599999998E-2</v>
      </c>
      <c r="L5374" s="32">
        <f>$J5374*($G5374-$G5373)*60*24</f>
        <v>5.6737577599999797E-2</v>
      </c>
    </row>
    <row r="5375" spans="1:12">
      <c r="A5375" s="22">
        <v>40314.364583333336</v>
      </c>
      <c r="E5375" s="26">
        <v>153.522424</v>
      </c>
      <c r="G5375" s="27">
        <v>0.36458333333333331</v>
      </c>
      <c r="J5375" s="30">
        <f>IF(G5375&lt;$H$10,$H$16,IF(G5375&gt;$I$10,$H$16,$H$11))*E5375/600</f>
        <v>5.6291555466666664E-2</v>
      </c>
      <c r="L5375" s="32">
        <f>$J5375*($G5375-$G5374)*60*24</f>
        <v>5.6291555466666462E-2</v>
      </c>
    </row>
    <row r="5376" spans="1:12">
      <c r="A5376" s="22">
        <v>40314.365277777775</v>
      </c>
      <c r="E5376" s="26">
        <v>153.56502</v>
      </c>
      <c r="G5376" s="27">
        <v>0.36527777777777781</v>
      </c>
      <c r="J5376" s="30">
        <f>IF(G5376&lt;$H$10,$H$16,IF(G5376&gt;$I$10,$H$16,$H$11))*E5376/600</f>
        <v>5.6307174000000008E-2</v>
      </c>
      <c r="L5376" s="32">
        <f>$J5376*($G5376-$G5375)*60*24</f>
        <v>5.6307174000004317E-2</v>
      </c>
    </row>
    <row r="5377" spans="1:12">
      <c r="A5377" s="22">
        <v>40314.365972222222</v>
      </c>
      <c r="E5377" s="26">
        <v>159.22403199999999</v>
      </c>
      <c r="G5377" s="27">
        <v>0.3659722222222222</v>
      </c>
      <c r="J5377" s="30">
        <f>IF(G5377&lt;$H$10,$H$16,IF(G5377&gt;$I$10,$H$16,$H$11))*E5377/600</f>
        <v>5.8382145066666669E-2</v>
      </c>
      <c r="L5377" s="32">
        <f>$J5377*($G5377-$G5376)*60*24</f>
        <v>5.8382145066661791E-2</v>
      </c>
    </row>
    <row r="5378" spans="1:12">
      <c r="A5378" s="22">
        <v>40314.366666666669</v>
      </c>
      <c r="E5378" s="26">
        <v>164.84510399999999</v>
      </c>
      <c r="G5378" s="27">
        <v>0.3666666666666667</v>
      </c>
      <c r="J5378" s="30">
        <f>IF(G5378&lt;$H$10,$H$16,IF(G5378&gt;$I$10,$H$16,$H$11))*E5378/600</f>
        <v>6.0443204799999997E-2</v>
      </c>
      <c r="L5378" s="32">
        <f>$J5378*($G5378-$G5377)*60*24</f>
        <v>6.0443204800004618E-2</v>
      </c>
    </row>
    <row r="5379" spans="1:12">
      <c r="A5379" s="22">
        <v>40314.367361111108</v>
      </c>
      <c r="E5379" s="26">
        <v>164.19261599999999</v>
      </c>
      <c r="G5379" s="27">
        <v>0.36736111111111108</v>
      </c>
      <c r="J5379" s="30">
        <f>IF(G5379&lt;$H$10,$H$16,IF(G5379&gt;$I$10,$H$16,$H$11))*E5379/600</f>
        <v>6.0203959199999997E-2</v>
      </c>
      <c r="L5379" s="32">
        <f>$J5379*($G5379-$G5378)*60*24</f>
        <v>6.0203959199994966E-2</v>
      </c>
    </row>
    <row r="5380" spans="1:12">
      <c r="A5380" s="22">
        <v>40314.368055555555</v>
      </c>
      <c r="E5380" s="26">
        <v>164.7123</v>
      </c>
      <c r="G5380" s="27">
        <v>0.36805555555555558</v>
      </c>
      <c r="J5380" s="30">
        <f>IF(G5380&lt;$H$10,$H$16,IF(G5380&gt;$I$10,$H$16,$H$11))*E5380/600</f>
        <v>6.0394509999999998E-2</v>
      </c>
      <c r="L5380" s="32">
        <f>$J5380*($G5380-$G5379)*60*24</f>
        <v>6.0394510000004606E-2</v>
      </c>
    </row>
    <row r="5381" spans="1:12">
      <c r="A5381" s="22">
        <v>40314.368750000001</v>
      </c>
      <c r="E5381" s="26">
        <v>164.07692399999999</v>
      </c>
      <c r="G5381" s="27">
        <v>0.36874999999999997</v>
      </c>
      <c r="J5381" s="30">
        <f>IF(G5381&lt;$H$10,$H$16,IF(G5381&gt;$I$10,$H$16,$H$11))*E5381/600</f>
        <v>6.0161538799999997E-2</v>
      </c>
      <c r="L5381" s="32">
        <f>$J5381*($G5381-$G5380)*60*24</f>
        <v>6.0161538799994967E-2</v>
      </c>
    </row>
    <row r="5382" spans="1:12">
      <c r="A5382" s="22">
        <v>40314.369444444441</v>
      </c>
      <c r="E5382" s="26">
        <v>163.75067999999999</v>
      </c>
      <c r="G5382" s="27">
        <v>0.36944444444444446</v>
      </c>
      <c r="J5382" s="30">
        <f>IF(G5382&lt;$H$10,$H$16,IF(G5382&gt;$I$10,$H$16,$H$11))*E5382/600</f>
        <v>6.0041916000000001E-2</v>
      </c>
      <c r="L5382" s="32">
        <f>$J5382*($G5382-$G5381)*60*24</f>
        <v>6.004191600000458E-2</v>
      </c>
    </row>
    <row r="5383" spans="1:12">
      <c r="A5383" s="22">
        <v>40314.370138888888</v>
      </c>
      <c r="E5383" s="26">
        <v>164.71564799999999</v>
      </c>
      <c r="G5383" s="27">
        <v>0.37013888888888885</v>
      </c>
      <c r="J5383" s="30">
        <f>IF(G5383&lt;$H$10,$H$16,IF(G5383&gt;$I$10,$H$16,$H$11))*E5383/600</f>
        <v>6.0395737599999999E-2</v>
      </c>
      <c r="L5383" s="32">
        <f>$J5383*($G5383-$G5382)*60*24</f>
        <v>6.0395737599994954E-2</v>
      </c>
    </row>
    <row r="5384" spans="1:12">
      <c r="A5384" s="22">
        <v>40314.370833333334</v>
      </c>
      <c r="E5384" s="26">
        <v>167.56963200000001</v>
      </c>
      <c r="G5384" s="27">
        <v>0.37083333333333335</v>
      </c>
      <c r="J5384" s="30">
        <f>IF(G5384&lt;$H$10,$H$16,IF(G5384&gt;$I$10,$H$16,$H$11))*E5384/600</f>
        <v>6.1442198400000002E-2</v>
      </c>
      <c r="L5384" s="32">
        <f>$J5384*($G5384-$G5383)*60*24</f>
        <v>6.1442198400004699E-2</v>
      </c>
    </row>
    <row r="5385" spans="1:12">
      <c r="A5385" s="22">
        <v>40314.371527777781</v>
      </c>
      <c r="E5385" s="26">
        <v>154.40544</v>
      </c>
      <c r="G5385" s="27">
        <v>0.37152777777777773</v>
      </c>
      <c r="J5385" s="30">
        <f>IF(G5385&lt;$H$10,$H$16,IF(G5385&gt;$I$10,$H$16,$H$11))*E5385/600</f>
        <v>5.6615327999999999E-2</v>
      </c>
      <c r="L5385" s="32">
        <f>$J5385*($G5385-$G5384)*60*24</f>
        <v>5.6615327999995274E-2</v>
      </c>
    </row>
    <row r="5386" spans="1:12">
      <c r="A5386" s="22">
        <v>40314.37222222222</v>
      </c>
      <c r="E5386" s="26">
        <v>153.10787199999999</v>
      </c>
      <c r="G5386" s="27">
        <v>0.37222222222222223</v>
      </c>
      <c r="J5386" s="30">
        <f>IF(G5386&lt;$H$10,$H$16,IF(G5386&gt;$I$10,$H$16,$H$11))*E5386/600</f>
        <v>5.6139553066666667E-2</v>
      </c>
      <c r="L5386" s="32">
        <f>$J5386*($G5386-$G5385)*60*24</f>
        <v>5.6139553066670955E-2</v>
      </c>
    </row>
    <row r="5387" spans="1:12">
      <c r="A5387" s="22">
        <v>40314.372916666667</v>
      </c>
      <c r="E5387" s="26">
        <v>153.03703200000001</v>
      </c>
      <c r="G5387" s="27">
        <v>0.37291666666666662</v>
      </c>
      <c r="J5387" s="30">
        <f>IF(G5387&lt;$H$10,$H$16,IF(G5387&gt;$I$10,$H$16,$H$11))*E5387/600</f>
        <v>5.6113578400000003E-2</v>
      </c>
      <c r="L5387" s="32">
        <f>$J5387*($G5387-$G5386)*60*24</f>
        <v>5.6113578399995312E-2</v>
      </c>
    </row>
    <row r="5388" spans="1:12">
      <c r="A5388" s="22">
        <v>40314.373611111114</v>
      </c>
      <c r="E5388" s="26">
        <v>158.11902000000001</v>
      </c>
      <c r="G5388" s="27">
        <v>0.37361111111111112</v>
      </c>
      <c r="J5388" s="30">
        <f>IF(G5388&lt;$H$10,$H$16,IF(G5388&gt;$I$10,$H$16,$H$11))*E5388/600</f>
        <v>5.7976974000000008E-2</v>
      </c>
      <c r="L5388" s="32">
        <f>$J5388*($G5388-$G5387)*60*24</f>
        <v>5.7976974000004428E-2</v>
      </c>
    </row>
    <row r="5389" spans="1:12">
      <c r="A5389" s="22">
        <v>40314.374305555553</v>
      </c>
      <c r="E5389" s="26">
        <v>158.01975200000001</v>
      </c>
      <c r="G5389" s="27">
        <v>0.3743055555555555</v>
      </c>
      <c r="J5389" s="30">
        <f>IF(G5389&lt;$H$10,$H$16,IF(G5389&gt;$I$10,$H$16,$H$11))*E5389/600</f>
        <v>5.7940575733333333E-2</v>
      </c>
      <c r="L5389" s="32">
        <f>$J5389*($G5389-$G5388)*60*24</f>
        <v>5.7940575733328496E-2</v>
      </c>
    </row>
    <row r="5390" spans="1:12">
      <c r="A5390" s="22">
        <v>40314.375</v>
      </c>
      <c r="E5390" s="26">
        <v>157.90235999999999</v>
      </c>
      <c r="G5390" s="27">
        <v>0.375</v>
      </c>
      <c r="J5390" s="30">
        <f>IF(G5390&lt;$H$10,$H$16,IF(G5390&gt;$I$10,$H$16,$H$11))*E5390/600</f>
        <v>5.7897532000000002E-2</v>
      </c>
      <c r="L5390" s="32">
        <f>$J5390*($G5390-$G5389)*60*24</f>
        <v>5.7897532000004429E-2</v>
      </c>
    </row>
    <row r="5391" spans="1:12">
      <c r="A5391" s="22">
        <v>40314.375694444447</v>
      </c>
      <c r="E5391" s="26">
        <v>154.14599999999999</v>
      </c>
      <c r="G5391" s="27">
        <v>0.3756944444444445</v>
      </c>
      <c r="J5391" s="30">
        <f>IF(G5391&lt;$H$10,$H$16,IF(G5391&gt;$I$10,$H$16,$H$11))*E5391/600</f>
        <v>5.6520199999999993E-2</v>
      </c>
      <c r="L5391" s="32">
        <f>$J5391*($G5391-$G5390)*60*24</f>
        <v>5.6520200000004309E-2</v>
      </c>
    </row>
    <row r="5392" spans="1:12">
      <c r="A5392" s="22">
        <v>40314.376388888886</v>
      </c>
      <c r="E5392" s="26">
        <v>154.69836799999999</v>
      </c>
      <c r="G5392" s="27">
        <v>0.37638888888888888</v>
      </c>
      <c r="J5392" s="30">
        <f>IF(G5392&lt;$H$10,$H$16,IF(G5392&gt;$I$10,$H$16,$H$11))*E5392/600</f>
        <v>5.6722734933333331E-2</v>
      </c>
      <c r="L5392" s="32">
        <f>$J5392*($G5392-$G5391)*60*24</f>
        <v>5.6722734933328592E-2</v>
      </c>
    </row>
    <row r="5393" spans="1:12">
      <c r="A5393" s="22">
        <v>40314.377083333333</v>
      </c>
      <c r="E5393" s="26">
        <v>154.62624</v>
      </c>
      <c r="G5393" s="27">
        <v>0.37708333333333338</v>
      </c>
      <c r="J5393" s="30">
        <f>IF(G5393&lt;$H$10,$H$16,IF(G5393&gt;$I$10,$H$16,$H$11))*E5393/600</f>
        <v>5.6696287999999991E-2</v>
      </c>
      <c r="L5393" s="32">
        <f>$J5393*($G5393-$G5392)*60*24</f>
        <v>5.6696288000004313E-2</v>
      </c>
    </row>
    <row r="5394" spans="1:12">
      <c r="A5394" s="22">
        <v>40314.37777777778</v>
      </c>
      <c r="E5394" s="26">
        <v>154.14784</v>
      </c>
      <c r="G5394" s="27">
        <v>0.37777777777777777</v>
      </c>
      <c r="J5394" s="30">
        <f>IF(G5394&lt;$H$10,$H$16,IF(G5394&gt;$I$10,$H$16,$H$11))*E5394/600</f>
        <v>5.6520874666666665E-2</v>
      </c>
      <c r="L5394" s="32">
        <f>$J5394*($G5394-$G5393)*60*24</f>
        <v>5.6520874666661947E-2</v>
      </c>
    </row>
    <row r="5395" spans="1:12">
      <c r="A5395" s="22">
        <v>40314.378472222219</v>
      </c>
      <c r="E5395" s="26">
        <v>162.76376400000001</v>
      </c>
      <c r="G5395" s="27">
        <v>0.37847222222222227</v>
      </c>
      <c r="J5395" s="30">
        <f>IF(G5395&lt;$H$10,$H$16,IF(G5395&gt;$I$10,$H$16,$H$11))*E5395/600</f>
        <v>5.9680046799999997E-2</v>
      </c>
      <c r="L5395" s="32">
        <f>$J5395*($G5395-$G5394)*60*24</f>
        <v>5.9680046800004556E-2</v>
      </c>
    </row>
    <row r="5396" spans="1:12">
      <c r="A5396" s="22">
        <v>40314.379166666666</v>
      </c>
      <c r="E5396" s="26">
        <v>164.20963499999999</v>
      </c>
      <c r="G5396" s="27">
        <v>0.37916666666666665</v>
      </c>
      <c r="J5396" s="30">
        <f>IF(G5396&lt;$H$10,$H$16,IF(G5396&gt;$I$10,$H$16,$H$11))*E5396/600</f>
        <v>6.0210199499999992E-2</v>
      </c>
      <c r="L5396" s="32">
        <f>$J5396*($G5396-$G5395)*60*24</f>
        <v>6.0210199499994968E-2</v>
      </c>
    </row>
    <row r="5397" spans="1:12">
      <c r="A5397" s="22">
        <v>40314.379861111112</v>
      </c>
      <c r="E5397" s="26">
        <v>154.55705599999999</v>
      </c>
      <c r="G5397" s="27">
        <v>0.37986111111111115</v>
      </c>
      <c r="J5397" s="30">
        <f>IF(G5397&lt;$H$10,$H$16,IF(G5397&gt;$I$10,$H$16,$H$11))*E5397/600</f>
        <v>5.6670920533333335E-2</v>
      </c>
      <c r="L5397" s="32">
        <f>$J5397*($G5397-$G5396)*60*24</f>
        <v>5.6670920533337665E-2</v>
      </c>
    </row>
    <row r="5398" spans="1:12">
      <c r="A5398" s="22">
        <v>40314.380555555559</v>
      </c>
      <c r="E5398" s="26">
        <v>154.73884799999999</v>
      </c>
      <c r="G5398" s="27">
        <v>0.38055555555555554</v>
      </c>
      <c r="J5398" s="30">
        <f>IF(G5398&lt;$H$10,$H$16,IF(G5398&gt;$I$10,$H$16,$H$11))*E5398/600</f>
        <v>5.6737577599999998E-2</v>
      </c>
      <c r="L5398" s="32">
        <f>$J5398*($G5398-$G5397)*60*24</f>
        <v>5.6737577599995259E-2</v>
      </c>
    </row>
    <row r="5399" spans="1:12">
      <c r="A5399" s="22">
        <v>40314.381249999999</v>
      </c>
      <c r="E5399" s="26">
        <v>154.74896799999999</v>
      </c>
      <c r="G5399" s="27">
        <v>0.38125000000000003</v>
      </c>
      <c r="J5399" s="30">
        <f>IF(G5399&lt;$H$10,$H$16,IF(G5399&gt;$I$10,$H$16,$H$11))*E5399/600</f>
        <v>5.6741288266666662E-2</v>
      </c>
      <c r="L5399" s="32">
        <f>$J5399*($G5399-$G5398)*60*24</f>
        <v>5.6741288266670999E-2</v>
      </c>
    </row>
    <row r="5400" spans="1:12">
      <c r="A5400" s="22">
        <v>40314.381944444445</v>
      </c>
      <c r="E5400" s="26">
        <v>155.45148</v>
      </c>
      <c r="G5400" s="27">
        <v>0.38194444444444442</v>
      </c>
      <c r="J5400" s="30">
        <f>IF(G5400&lt;$H$10,$H$16,IF(G5400&gt;$I$10,$H$16,$H$11))*E5400/600</f>
        <v>5.6998876000000004E-2</v>
      </c>
      <c r="L5400" s="32">
        <f>$J5400*($G5400-$G5399)*60*24</f>
        <v>5.6998875999995251E-2</v>
      </c>
    </row>
    <row r="5401" spans="1:12">
      <c r="A5401" s="22">
        <v>40314.382638888892</v>
      </c>
      <c r="E5401" s="26">
        <v>155.04134400000001</v>
      </c>
      <c r="G5401" s="27">
        <v>0.38263888888888892</v>
      </c>
      <c r="J5401" s="30">
        <f>IF(G5401&lt;$H$10,$H$16,IF(G5401&gt;$I$10,$H$16,$H$11))*E5401/600</f>
        <v>5.6848492800000004E-2</v>
      </c>
      <c r="L5401" s="32">
        <f>$J5401*($G5401-$G5400)*60*24</f>
        <v>5.6848492800004355E-2</v>
      </c>
    </row>
    <row r="5402" spans="1:12">
      <c r="A5402" s="22">
        <v>40314.383333333331</v>
      </c>
      <c r="E5402" s="26">
        <v>154.31344000000001</v>
      </c>
      <c r="G5402" s="27">
        <v>0.3833333333333333</v>
      </c>
      <c r="J5402" s="30">
        <f>IF(G5402&lt;$H$10,$H$16,IF(G5402&gt;$I$10,$H$16,$H$11))*E5402/600</f>
        <v>5.6581594666666672E-2</v>
      </c>
      <c r="L5402" s="32">
        <f>$J5402*($G5402-$G5401)*60*24</f>
        <v>5.6581594666661947E-2</v>
      </c>
    </row>
    <row r="5403" spans="1:12">
      <c r="A5403" s="22">
        <v>40314.384027777778</v>
      </c>
      <c r="E5403" s="26">
        <v>154.69800000000001</v>
      </c>
      <c r="G5403" s="27">
        <v>0.3840277777777778</v>
      </c>
      <c r="J5403" s="30">
        <f>IF(G5403&lt;$H$10,$H$16,IF(G5403&gt;$I$10,$H$16,$H$11))*E5403/600</f>
        <v>5.6722600000000005E-2</v>
      </c>
      <c r="L5403" s="32">
        <f>$J5403*($G5403-$G5402)*60*24</f>
        <v>5.6722600000004342E-2</v>
      </c>
    </row>
    <row r="5404" spans="1:12">
      <c r="A5404" s="22">
        <v>40314.384722222225</v>
      </c>
      <c r="E5404" s="26">
        <v>154.26146</v>
      </c>
      <c r="G5404" s="27">
        <v>0.38472222222222219</v>
      </c>
      <c r="J5404" s="30">
        <f>IF(G5404&lt;$H$10,$H$16,IF(G5404&gt;$I$10,$H$16,$H$11))*E5404/600</f>
        <v>5.656253533333333E-2</v>
      </c>
      <c r="L5404" s="32">
        <f>$J5404*($G5404-$G5403)*60*24</f>
        <v>5.6562535333328598E-2</v>
      </c>
    </row>
    <row r="5405" spans="1:12">
      <c r="A5405" s="22">
        <v>40314.385416666664</v>
      </c>
      <c r="E5405" s="26">
        <v>153.92106000000001</v>
      </c>
      <c r="G5405" s="27">
        <v>0.38541666666666669</v>
      </c>
      <c r="J5405" s="30">
        <f>IF(G5405&lt;$H$10,$H$16,IF(G5405&gt;$I$10,$H$16,$H$11))*E5405/600</f>
        <v>5.643772200000001E-2</v>
      </c>
      <c r="L5405" s="32">
        <f>$J5405*($G5405-$G5404)*60*24</f>
        <v>5.6437722000004312E-2</v>
      </c>
    </row>
    <row r="5406" spans="1:12">
      <c r="A5406" s="22">
        <v>40314.386111111111</v>
      </c>
      <c r="E5406" s="26">
        <v>153.94764799999999</v>
      </c>
      <c r="G5406" s="27">
        <v>0.38611111111111113</v>
      </c>
      <c r="J5406" s="30">
        <f>IF(G5406&lt;$H$10,$H$16,IF(G5406&gt;$I$10,$H$16,$H$11))*E5406/600</f>
        <v>5.6447470933333327E-2</v>
      </c>
      <c r="L5406" s="32">
        <f>$J5406*($G5406-$G5405)*60*24</f>
        <v>5.6447470933333126E-2</v>
      </c>
    </row>
    <row r="5407" spans="1:12">
      <c r="A5407" s="22">
        <v>40314.386805555558</v>
      </c>
      <c r="E5407" s="26">
        <v>153.464832</v>
      </c>
      <c r="G5407" s="27">
        <v>0.38680555555555557</v>
      </c>
      <c r="J5407" s="30">
        <f>IF(G5407&lt;$H$10,$H$16,IF(G5407&gt;$I$10,$H$16,$H$11))*E5407/600</f>
        <v>5.6270438400000004E-2</v>
      </c>
      <c r="L5407" s="32">
        <f>$J5407*($G5407-$G5406)*60*24</f>
        <v>5.6270438399999803E-2</v>
      </c>
    </row>
    <row r="5408" spans="1:12">
      <c r="A5408" s="22">
        <v>40314.387499999997</v>
      </c>
      <c r="E5408" s="26">
        <v>164.65185</v>
      </c>
      <c r="G5408" s="27">
        <v>0.38750000000000001</v>
      </c>
      <c r="J5408" s="30">
        <f>IF(G5408&lt;$H$10,$H$16,IF(G5408&gt;$I$10,$H$16,$H$11))*E5408/600</f>
        <v>6.0372345000000001E-2</v>
      </c>
      <c r="L5408" s="32">
        <f>$J5408*($G5408-$G5407)*60*24</f>
        <v>6.0372344999999786E-2</v>
      </c>
    </row>
    <row r="5409" spans="1:12">
      <c r="A5409" s="22">
        <v>40314.388194444444</v>
      </c>
      <c r="E5409" s="26">
        <v>180.48846</v>
      </c>
      <c r="G5409" s="27">
        <v>0.38819444444444445</v>
      </c>
      <c r="J5409" s="30">
        <f>IF(G5409&lt;$H$10,$H$16,IF(G5409&gt;$I$10,$H$16,$H$11))*E5409/600</f>
        <v>6.6179102000000004E-2</v>
      </c>
      <c r="L5409" s="32">
        <f>$J5409*($G5409-$G5408)*60*24</f>
        <v>6.6179101999999768E-2</v>
      </c>
    </row>
    <row r="5410" spans="1:12">
      <c r="A5410" s="22">
        <v>40314.388888888891</v>
      </c>
      <c r="E5410" s="26">
        <v>179.6951</v>
      </c>
      <c r="G5410" s="27">
        <v>0.3888888888888889</v>
      </c>
      <c r="J5410" s="30">
        <f>IF(G5410&lt;$H$10,$H$16,IF(G5410&gt;$I$10,$H$16,$H$11))*E5410/600</f>
        <v>6.5888203333333326E-2</v>
      </c>
      <c r="L5410" s="32">
        <f>$J5410*($G5410-$G5409)*60*24</f>
        <v>6.588820333333309E-2</v>
      </c>
    </row>
    <row r="5411" spans="1:12">
      <c r="A5411" s="22">
        <v>40314.38958333333</v>
      </c>
      <c r="E5411" s="26">
        <v>179.27961999999999</v>
      </c>
      <c r="G5411" s="27">
        <v>0.38958333333333334</v>
      </c>
      <c r="J5411" s="30">
        <f>IF(G5411&lt;$H$10,$H$16,IF(G5411&gt;$I$10,$H$16,$H$11))*E5411/600</f>
        <v>6.573586066666666E-2</v>
      </c>
      <c r="L5411" s="32">
        <f>$J5411*($G5411-$G5410)*60*24</f>
        <v>6.5735860666666424E-2</v>
      </c>
    </row>
    <row r="5412" spans="1:12">
      <c r="A5412" s="22">
        <v>40314.390277777777</v>
      </c>
      <c r="E5412" s="26">
        <v>179.81222399999999</v>
      </c>
      <c r="G5412" s="27">
        <v>0.39027777777777778</v>
      </c>
      <c r="J5412" s="30">
        <f>IF(G5412&lt;$H$10,$H$16,IF(G5412&gt;$I$10,$H$16,$H$11))*E5412/600</f>
        <v>6.5931148799999992E-2</v>
      </c>
      <c r="L5412" s="32">
        <f>$J5412*($G5412-$G5411)*60*24</f>
        <v>6.5931148799999756E-2</v>
      </c>
    </row>
    <row r="5413" spans="1:12">
      <c r="A5413" s="22">
        <v>40314.390972222223</v>
      </c>
      <c r="E5413" s="26">
        <v>180.25721999999999</v>
      </c>
      <c r="G5413" s="27">
        <v>0.39097222222222222</v>
      </c>
      <c r="J5413" s="30">
        <f>IF(G5413&lt;$H$10,$H$16,IF(G5413&gt;$I$10,$H$16,$H$11))*E5413/600</f>
        <v>6.6094314000000001E-2</v>
      </c>
      <c r="L5413" s="32">
        <f>$J5413*($G5413-$G5412)*60*24</f>
        <v>6.6094313999999765E-2</v>
      </c>
    </row>
    <row r="5414" spans="1:12">
      <c r="A5414" s="22">
        <v>40314.39166666667</v>
      </c>
      <c r="E5414" s="26">
        <v>181.64785599999999</v>
      </c>
      <c r="G5414" s="27">
        <v>0.39166666666666666</v>
      </c>
      <c r="J5414" s="30">
        <f>IF(G5414&lt;$H$10,$H$16,IF(G5414&gt;$I$10,$H$16,$H$11))*E5414/600</f>
        <v>6.6604213866666664E-2</v>
      </c>
      <c r="L5414" s="32">
        <f>$J5414*($G5414-$G5413)*60*24</f>
        <v>6.6604213866666429E-2</v>
      </c>
    </row>
    <row r="5415" spans="1:12">
      <c r="A5415" s="22">
        <v>40314.392361111109</v>
      </c>
      <c r="E5415" s="26">
        <v>175.96669499999999</v>
      </c>
      <c r="G5415" s="27">
        <v>0.3923611111111111</v>
      </c>
      <c r="J5415" s="30">
        <f>IF(G5415&lt;$H$10,$H$16,IF(G5415&gt;$I$10,$H$16,$H$11))*E5415/600</f>
        <v>6.4521121499999987E-2</v>
      </c>
      <c r="L5415" s="32">
        <f>$J5415*($G5415-$G5414)*60*24</f>
        <v>6.4521121499999765E-2</v>
      </c>
    </row>
    <row r="5416" spans="1:12">
      <c r="A5416" s="22">
        <v>40314.393055555556</v>
      </c>
      <c r="E5416" s="26">
        <v>164.47449900000001</v>
      </c>
      <c r="G5416" s="27">
        <v>0.39305555555555555</v>
      </c>
      <c r="J5416" s="30">
        <f>IF(G5416&lt;$H$10,$H$16,IF(G5416&gt;$I$10,$H$16,$H$11))*E5416/600</f>
        <v>6.0307316300000004E-2</v>
      </c>
      <c r="L5416" s="32">
        <f>$J5416*($G5416-$G5415)*60*24</f>
        <v>6.0307316299999789E-2</v>
      </c>
    </row>
    <row r="5417" spans="1:12">
      <c r="A5417" s="22">
        <v>40314.393750000003</v>
      </c>
      <c r="E5417" s="26">
        <v>154.936556</v>
      </c>
      <c r="G5417" s="27">
        <v>0.39374999999999999</v>
      </c>
      <c r="J5417" s="30">
        <f>IF(G5417&lt;$H$10,$H$16,IF(G5417&gt;$I$10,$H$16,$H$11))*E5417/600</f>
        <v>5.6810070533333326E-2</v>
      </c>
      <c r="L5417" s="32">
        <f>$J5417*($G5417-$G5416)*60*24</f>
        <v>5.6810070533333125E-2</v>
      </c>
    </row>
    <row r="5418" spans="1:12">
      <c r="A5418" s="22">
        <v>40314.394444444442</v>
      </c>
      <c r="E5418" s="26">
        <v>154.78963200000001</v>
      </c>
      <c r="G5418" s="27">
        <v>0.39444444444444443</v>
      </c>
      <c r="J5418" s="30">
        <f>IF(G5418&lt;$H$10,$H$16,IF(G5418&gt;$I$10,$H$16,$H$11))*E5418/600</f>
        <v>5.6756198400000006E-2</v>
      </c>
      <c r="L5418" s="32">
        <f>$J5418*($G5418-$G5417)*60*24</f>
        <v>5.6756198399999805E-2</v>
      </c>
    </row>
    <row r="5419" spans="1:12">
      <c r="A5419" s="22">
        <v>40314.395138888889</v>
      </c>
      <c r="E5419" s="26">
        <v>154.48410000000001</v>
      </c>
      <c r="G5419" s="27">
        <v>0.39513888888888887</v>
      </c>
      <c r="J5419" s="30">
        <f>IF(G5419&lt;$H$10,$H$16,IF(G5419&gt;$I$10,$H$16,$H$11))*E5419/600</f>
        <v>5.6644170000000001E-2</v>
      </c>
      <c r="L5419" s="32">
        <f>$J5419*($G5419-$G5418)*60*24</f>
        <v>5.6644169999999806E-2</v>
      </c>
    </row>
    <row r="5420" spans="1:12">
      <c r="A5420" s="22">
        <v>40314.395833333336</v>
      </c>
      <c r="E5420" s="26">
        <v>155.08256</v>
      </c>
      <c r="G5420" s="27">
        <v>0.39583333333333331</v>
      </c>
      <c r="J5420" s="30">
        <f>IF(G5420&lt;$H$10,$H$16,IF(G5420&gt;$I$10,$H$16,$H$11))*E5420/600</f>
        <v>5.6863605333333331E-2</v>
      </c>
      <c r="L5420" s="32">
        <f>$J5420*($G5420-$G5419)*60*24</f>
        <v>5.6863605333333123E-2</v>
      </c>
    </row>
    <row r="5421" spans="1:12">
      <c r="A5421" s="22">
        <v>40314.396527777775</v>
      </c>
      <c r="E5421" s="26">
        <v>154.6336</v>
      </c>
      <c r="G5421" s="27">
        <v>0.39652777777777781</v>
      </c>
      <c r="J5421" s="30">
        <f>IF(G5421&lt;$H$10,$H$16,IF(G5421&gt;$I$10,$H$16,$H$11))*E5421/600</f>
        <v>5.6698986666666673E-2</v>
      </c>
      <c r="L5421" s="32">
        <f>$J5421*($G5421-$G5420)*60*24</f>
        <v>5.6698986666671003E-2</v>
      </c>
    </row>
    <row r="5422" spans="1:12">
      <c r="A5422" s="22">
        <v>40314.397222222222</v>
      </c>
      <c r="E5422" s="26">
        <v>153.88839999999999</v>
      </c>
      <c r="G5422" s="27">
        <v>0.3972222222222222</v>
      </c>
      <c r="J5422" s="30">
        <f>IF(G5422&lt;$H$10,$H$16,IF(G5422&gt;$I$10,$H$16,$H$11))*E5422/600</f>
        <v>5.6425746666666658E-2</v>
      </c>
      <c r="L5422" s="32">
        <f>$J5422*($G5422-$G5421)*60*24</f>
        <v>5.6425746666661947E-2</v>
      </c>
    </row>
    <row r="5423" spans="1:12">
      <c r="A5423" s="22">
        <v>40314.397916666669</v>
      </c>
      <c r="E5423" s="26">
        <v>153.97653600000001</v>
      </c>
      <c r="G5423" s="27">
        <v>0.3979166666666667</v>
      </c>
      <c r="J5423" s="30">
        <f>IF(G5423&lt;$H$10,$H$16,IF(G5423&gt;$I$10,$H$16,$H$11))*E5423/600</f>
        <v>5.6458063200000005E-2</v>
      </c>
      <c r="L5423" s="32">
        <f>$J5423*($G5423-$G5422)*60*24</f>
        <v>5.6458063200004314E-2</v>
      </c>
    </row>
    <row r="5424" spans="1:12">
      <c r="A5424" s="22">
        <v>40314.398611111108</v>
      </c>
      <c r="E5424" s="26">
        <v>154.21868000000001</v>
      </c>
      <c r="G5424" s="27">
        <v>0.39861111111111108</v>
      </c>
      <c r="J5424" s="30">
        <f>IF(G5424&lt;$H$10,$H$16,IF(G5424&gt;$I$10,$H$16,$H$11))*E5424/600</f>
        <v>5.6546849333333329E-2</v>
      </c>
      <c r="L5424" s="32">
        <f>$J5424*($G5424-$G5423)*60*24</f>
        <v>5.6546849333328604E-2</v>
      </c>
    </row>
    <row r="5425" spans="1:12">
      <c r="A5425" s="22">
        <v>40314.399305555555</v>
      </c>
      <c r="E5425" s="26">
        <v>180.84406200000001</v>
      </c>
      <c r="G5425" s="27">
        <v>0.39930555555555558</v>
      </c>
      <c r="J5425" s="30">
        <f>IF(G5425&lt;$H$10,$H$16,IF(G5425&gt;$I$10,$H$16,$H$11))*E5425/600</f>
        <v>6.6309489400000005E-2</v>
      </c>
      <c r="L5425" s="32">
        <f>$J5425*($G5425-$G5424)*60*24</f>
        <v>6.6309489400005084E-2</v>
      </c>
    </row>
    <row r="5426" spans="1:12">
      <c r="A5426" s="22">
        <v>40314.400000000001</v>
      </c>
      <c r="E5426" s="26">
        <v>180.16810799999999</v>
      </c>
      <c r="G5426" s="27">
        <v>0.39999999999999997</v>
      </c>
      <c r="J5426" s="30">
        <f>IF(G5426&lt;$H$10,$H$16,IF(G5426&gt;$I$10,$H$16,$H$11))*E5426/600</f>
        <v>6.6061639599999999E-2</v>
      </c>
      <c r="L5426" s="32">
        <f>$J5426*($G5426-$G5425)*60*24</f>
        <v>6.6061639599994476E-2</v>
      </c>
    </row>
    <row r="5427" spans="1:12">
      <c r="A5427" s="22">
        <v>40314.400694444441</v>
      </c>
      <c r="E5427" s="26">
        <v>179.51086000000001</v>
      </c>
      <c r="G5427" s="27">
        <v>0.40069444444444446</v>
      </c>
      <c r="J5427" s="30">
        <f>IF(G5427&lt;$H$10,$H$16,IF(G5427&gt;$I$10,$H$16,$H$11))*E5427/600</f>
        <v>6.5820648666666676E-2</v>
      </c>
      <c r="L5427" s="32">
        <f>$J5427*($G5427-$G5426)*60*24</f>
        <v>6.5820648666671699E-2</v>
      </c>
    </row>
    <row r="5428" spans="1:12">
      <c r="A5428" s="22">
        <v>40314.401388888888</v>
      </c>
      <c r="E5428" s="26">
        <v>179.97465600000001</v>
      </c>
      <c r="G5428" s="27">
        <v>0.40138888888888885</v>
      </c>
      <c r="J5428" s="30">
        <f>IF(G5428&lt;$H$10,$H$16,IF(G5428&gt;$I$10,$H$16,$H$11))*E5428/600</f>
        <v>6.5990707199999998E-2</v>
      </c>
      <c r="L5428" s="32">
        <f>$J5428*($G5428-$G5427)*60*24</f>
        <v>6.5990707199994489E-2</v>
      </c>
    </row>
    <row r="5429" spans="1:12">
      <c r="A5429" s="22">
        <v>40314.402083333334</v>
      </c>
      <c r="E5429" s="26">
        <v>166.35839999999999</v>
      </c>
      <c r="G5429" s="27">
        <v>0.40208333333333335</v>
      </c>
      <c r="J5429" s="30">
        <f>IF(G5429&lt;$H$10,$H$16,IF(G5429&gt;$I$10,$H$16,$H$11))*E5429/600</f>
        <v>6.0998079999999996E-2</v>
      </c>
      <c r="L5429" s="32">
        <f>$J5429*($G5429-$G5428)*60*24</f>
        <v>6.0998080000004645E-2</v>
      </c>
    </row>
    <row r="5430" spans="1:12">
      <c r="A5430" s="22">
        <v>40314.402777777781</v>
      </c>
      <c r="E5430" s="26">
        <v>155.232336</v>
      </c>
      <c r="G5430" s="27">
        <v>0.40277777777777773</v>
      </c>
      <c r="J5430" s="30">
        <f>IF(G5430&lt;$H$10,$H$16,IF(G5430&gt;$I$10,$H$16,$H$11))*E5430/600</f>
        <v>5.6918523200000001E-2</v>
      </c>
      <c r="L5430" s="32">
        <f>$J5430*($G5430-$G5429)*60*24</f>
        <v>5.6918523199995255E-2</v>
      </c>
    </row>
    <row r="5431" spans="1:12">
      <c r="A5431" s="22">
        <v>40314.40347222222</v>
      </c>
      <c r="E5431" s="26">
        <v>155.03968800000001</v>
      </c>
      <c r="G5431" s="27">
        <v>0.40347222222222223</v>
      </c>
      <c r="J5431" s="30">
        <f>IF(G5431&lt;$H$10,$H$16,IF(G5431&gt;$I$10,$H$16,$H$11))*E5431/600</f>
        <v>5.6847885600000002E-2</v>
      </c>
      <c r="L5431" s="32">
        <f>$J5431*($G5431-$G5430)*60*24</f>
        <v>5.6847885600004339E-2</v>
      </c>
    </row>
    <row r="5432" spans="1:12">
      <c r="A5432" s="22">
        <v>40314.404166666667</v>
      </c>
      <c r="E5432" s="26">
        <v>155.38754</v>
      </c>
      <c r="G5432" s="27">
        <v>0.40416666666666662</v>
      </c>
      <c r="J5432" s="30">
        <f>IF(G5432&lt;$H$10,$H$16,IF(G5432&gt;$I$10,$H$16,$H$11))*E5432/600</f>
        <v>5.6975431333333333E-2</v>
      </c>
      <c r="L5432" s="32">
        <f>$J5432*($G5432-$G5431)*60*24</f>
        <v>5.697543133332858E-2</v>
      </c>
    </row>
    <row r="5433" spans="1:12">
      <c r="A5433" s="22">
        <v>40314.404861111114</v>
      </c>
      <c r="E5433" s="26">
        <v>154.103859</v>
      </c>
      <c r="G5433" s="27">
        <v>0.40486111111111112</v>
      </c>
      <c r="J5433" s="30">
        <f>IF(G5433&lt;$H$10,$H$16,IF(G5433&gt;$I$10,$H$16,$H$11))*E5433/600</f>
        <v>5.6504748300000004E-2</v>
      </c>
      <c r="L5433" s="32">
        <f>$J5433*($G5433-$G5432)*60*24</f>
        <v>5.650474830000432E-2</v>
      </c>
    </row>
    <row r="5434" spans="1:12">
      <c r="A5434" s="22">
        <v>40314.405555555553</v>
      </c>
      <c r="E5434" s="26">
        <v>154.03023999999999</v>
      </c>
      <c r="G5434" s="27">
        <v>0.4055555555555555</v>
      </c>
      <c r="J5434" s="30">
        <f>IF(G5434&lt;$H$10,$H$16,IF(G5434&gt;$I$10,$H$16,$H$11))*E5434/600</f>
        <v>5.6477754666666664E-2</v>
      </c>
      <c r="L5434" s="32">
        <f>$J5434*($G5434-$G5433)*60*24</f>
        <v>5.6477754666661946E-2</v>
      </c>
    </row>
    <row r="5435" spans="1:12">
      <c r="A5435" s="22">
        <v>40314.40625</v>
      </c>
      <c r="E5435" s="26">
        <v>153.954801</v>
      </c>
      <c r="G5435" s="27">
        <v>0.40625</v>
      </c>
      <c r="J5435" s="30">
        <f>IF(G5435&lt;$H$10,$H$16,IF(G5435&gt;$I$10,$H$16,$H$11))*E5435/600</f>
        <v>5.6450093700000002E-2</v>
      </c>
      <c r="L5435" s="32">
        <f>$J5435*($G5435-$G5434)*60*24</f>
        <v>5.6450093700004311E-2</v>
      </c>
    </row>
    <row r="5436" spans="1:12">
      <c r="A5436" s="22">
        <v>40314.406944444447</v>
      </c>
      <c r="E5436" s="26">
        <v>154.11177599999999</v>
      </c>
      <c r="G5436" s="27">
        <v>0.4069444444444445</v>
      </c>
      <c r="J5436" s="30">
        <f>IF(G5436&lt;$H$10,$H$16,IF(G5436&gt;$I$10,$H$16,$H$11))*E5436/600</f>
        <v>5.6507651200000002E-2</v>
      </c>
      <c r="L5436" s="32">
        <f>$J5436*($G5436-$G5435)*60*24</f>
        <v>5.6507651200004318E-2</v>
      </c>
    </row>
    <row r="5437" spans="1:12">
      <c r="A5437" s="22">
        <v>40314.407638888886</v>
      </c>
      <c r="E5437" s="26">
        <v>154.67998</v>
      </c>
      <c r="G5437" s="27">
        <v>0.40763888888888888</v>
      </c>
      <c r="J5437" s="30">
        <f>IF(G5437&lt;$H$10,$H$16,IF(G5437&gt;$I$10,$H$16,$H$11))*E5437/600</f>
        <v>5.6715992666666666E-2</v>
      </c>
      <c r="L5437" s="32">
        <f>$J5437*($G5437-$G5436)*60*24</f>
        <v>5.6715992666661927E-2</v>
      </c>
    </row>
    <row r="5438" spans="1:12">
      <c r="A5438" s="22">
        <v>40314.408333333333</v>
      </c>
      <c r="E5438" s="26">
        <v>154.58943500000001</v>
      </c>
      <c r="G5438" s="27">
        <v>0.40833333333333338</v>
      </c>
      <c r="J5438" s="30">
        <f>IF(G5438&lt;$H$10,$H$16,IF(G5438&gt;$I$10,$H$16,$H$11))*E5438/600</f>
        <v>5.6682792833333336E-2</v>
      </c>
      <c r="L5438" s="32">
        <f>$J5438*($G5438-$G5437)*60*24</f>
        <v>5.6682792833337659E-2</v>
      </c>
    </row>
    <row r="5439" spans="1:12">
      <c r="A5439" s="22">
        <v>40314.40902777778</v>
      </c>
      <c r="E5439" s="26">
        <v>168.75302400000001</v>
      </c>
      <c r="G5439" s="27">
        <v>0.40902777777777777</v>
      </c>
      <c r="J5439" s="30">
        <f>IF(G5439&lt;$H$10,$H$16,IF(G5439&gt;$I$10,$H$16,$H$11))*E5439/600</f>
        <v>6.1876108800000003E-2</v>
      </c>
      <c r="L5439" s="32">
        <f>$J5439*($G5439-$G5438)*60*24</f>
        <v>6.1876108799994833E-2</v>
      </c>
    </row>
    <row r="5440" spans="1:12">
      <c r="A5440" s="22">
        <v>40314.409722222219</v>
      </c>
      <c r="E5440" s="26">
        <v>176.027796</v>
      </c>
      <c r="G5440" s="27">
        <v>0.40972222222222227</v>
      </c>
      <c r="J5440" s="30">
        <f>IF(G5440&lt;$H$10,$H$16,IF(G5440&gt;$I$10,$H$16,$H$11))*E5440/600</f>
        <v>6.4543525199999993E-2</v>
      </c>
      <c r="L5440" s="32">
        <f>$J5440*($G5440-$G5439)*60*24</f>
        <v>6.454352520000492E-2</v>
      </c>
    </row>
    <row r="5441" spans="1:12">
      <c r="A5441" s="22">
        <v>40314.410416666666</v>
      </c>
      <c r="E5441" s="26">
        <v>155.006124</v>
      </c>
      <c r="G5441" s="27">
        <v>0.41041666666666665</v>
      </c>
      <c r="J5441" s="30">
        <f>IF(G5441&lt;$H$10,$H$16,IF(G5441&gt;$I$10,$H$16,$H$11))*E5441/600</f>
        <v>5.6835578800000001E-2</v>
      </c>
      <c r="L5441" s="32">
        <f>$J5441*($G5441-$G5440)*60*24</f>
        <v>5.6835578799995255E-2</v>
      </c>
    </row>
    <row r="5442" spans="1:12">
      <c r="A5442" s="22">
        <v>40314.411111111112</v>
      </c>
      <c r="E5442" s="26">
        <v>154.303695</v>
      </c>
      <c r="G5442" s="27">
        <v>0.41111111111111115</v>
      </c>
      <c r="J5442" s="30">
        <f>IF(G5442&lt;$H$10,$H$16,IF(G5442&gt;$I$10,$H$16,$H$11))*E5442/600</f>
        <v>5.6578021500000006E-2</v>
      </c>
      <c r="L5442" s="32">
        <f>$J5442*($G5442-$G5441)*60*24</f>
        <v>5.6578021500004336E-2</v>
      </c>
    </row>
    <row r="5443" spans="1:12">
      <c r="A5443" s="22">
        <v>40314.411805555559</v>
      </c>
      <c r="E5443" s="26">
        <v>154.403704</v>
      </c>
      <c r="G5443" s="27">
        <v>0.41180555555555554</v>
      </c>
      <c r="J5443" s="30">
        <f>IF(G5443&lt;$H$10,$H$16,IF(G5443&gt;$I$10,$H$16,$H$11))*E5443/600</f>
        <v>5.6614691466666672E-2</v>
      </c>
      <c r="L5443" s="32">
        <f>$J5443*($G5443-$G5442)*60*24</f>
        <v>5.661469146666194E-2</v>
      </c>
    </row>
    <row r="5444" spans="1:12">
      <c r="A5444" s="22">
        <v>40314.412499999999</v>
      </c>
      <c r="E5444" s="26">
        <v>154.43282400000001</v>
      </c>
      <c r="G5444" s="27">
        <v>0.41250000000000003</v>
      </c>
      <c r="J5444" s="30">
        <f>IF(G5444&lt;$H$10,$H$16,IF(G5444&gt;$I$10,$H$16,$H$11))*E5444/600</f>
        <v>5.6625368799999999E-2</v>
      </c>
      <c r="L5444" s="32">
        <f>$J5444*($G5444-$G5443)*60*24</f>
        <v>5.6625368800004322E-2</v>
      </c>
    </row>
    <row r="5445" spans="1:12">
      <c r="A5445" s="22">
        <v>40314.413194444445</v>
      </c>
      <c r="E5445" s="26">
        <v>154.079835</v>
      </c>
      <c r="G5445" s="27">
        <v>0.41319444444444442</v>
      </c>
      <c r="J5445" s="30">
        <f>IF(G5445&lt;$H$10,$H$16,IF(G5445&gt;$I$10,$H$16,$H$11))*E5445/600</f>
        <v>5.6495939500000002E-2</v>
      </c>
      <c r="L5445" s="32">
        <f>$J5445*($G5445-$G5444)*60*24</f>
        <v>5.6495939499995276E-2</v>
      </c>
    </row>
    <row r="5446" spans="1:12">
      <c r="A5446" s="22">
        <v>40314.413888888892</v>
      </c>
      <c r="E5446" s="26">
        <v>155.65986000000001</v>
      </c>
      <c r="G5446" s="27">
        <v>0.41388888888888892</v>
      </c>
      <c r="J5446" s="30">
        <f>IF(G5446&lt;$H$10,$H$16,IF(G5446&gt;$I$10,$H$16,$H$11))*E5446/600</f>
        <v>5.7075281999999998E-2</v>
      </c>
      <c r="L5446" s="32">
        <f>$J5446*($G5446-$G5445)*60*24</f>
        <v>5.7075282000004349E-2</v>
      </c>
    </row>
    <row r="5447" spans="1:12">
      <c r="A5447" s="22">
        <v>40314.414583333331</v>
      </c>
      <c r="E5447" s="26">
        <v>155.36224000000001</v>
      </c>
      <c r="G5447" s="27">
        <v>0.4145833333333333</v>
      </c>
      <c r="J5447" s="30">
        <f>IF(G5447&lt;$H$10,$H$16,IF(G5447&gt;$I$10,$H$16,$H$11))*E5447/600</f>
        <v>5.6966154666666678E-2</v>
      </c>
      <c r="L5447" s="32">
        <f>$J5447*($G5447-$G5446)*60*24</f>
        <v>5.6966154666661918E-2</v>
      </c>
    </row>
    <row r="5448" spans="1:12">
      <c r="A5448" s="22">
        <v>40314.415277777778</v>
      </c>
      <c r="E5448" s="26">
        <v>154.53515999999999</v>
      </c>
      <c r="G5448" s="27">
        <v>0.4152777777777778</v>
      </c>
      <c r="J5448" s="30">
        <f>IF(G5448&lt;$H$10,$H$16,IF(G5448&gt;$I$10,$H$16,$H$11))*E5448/600</f>
        <v>5.6662891999999999E-2</v>
      </c>
      <c r="L5448" s="32">
        <f>$J5448*($G5448-$G5447)*60*24</f>
        <v>5.6662892000004336E-2</v>
      </c>
    </row>
    <row r="5449" spans="1:12">
      <c r="A5449" s="22">
        <v>40314.415972222225</v>
      </c>
      <c r="E5449" s="26">
        <v>153.07751200000001</v>
      </c>
      <c r="G5449" s="27">
        <v>0.41597222222222219</v>
      </c>
      <c r="J5449" s="30">
        <f>IF(G5449&lt;$H$10,$H$16,IF(G5449&gt;$I$10,$H$16,$H$11))*E5449/600</f>
        <v>5.6128421066666677E-2</v>
      </c>
      <c r="L5449" s="32">
        <f>$J5449*($G5449-$G5448)*60*24</f>
        <v>5.6128421066661993E-2</v>
      </c>
    </row>
    <row r="5450" spans="1:12">
      <c r="A5450" s="22">
        <v>40314.416666666664</v>
      </c>
      <c r="E5450" s="26">
        <v>154.00358399999999</v>
      </c>
      <c r="G5450" s="27">
        <v>0.41666666666666669</v>
      </c>
      <c r="J5450" s="30">
        <f>IF(G5450&lt;$H$10,$H$16,IF(G5450&gt;$I$10,$H$16,$H$11))*E5450/600</f>
        <v>5.6467980799999998E-2</v>
      </c>
      <c r="L5450" s="32">
        <f>$J5450*($G5450-$G5449)*60*24</f>
        <v>5.6467980800004307E-2</v>
      </c>
    </row>
    <row r="5451" spans="1:12">
      <c r="A5451" s="22">
        <v>40314.417361111111</v>
      </c>
      <c r="E5451" s="26">
        <v>153.09996000000001</v>
      </c>
      <c r="G5451" s="27">
        <v>0.41736111111111113</v>
      </c>
      <c r="J5451" s="30">
        <f>IF(G5451&lt;$H$10,$H$16,IF(G5451&gt;$I$10,$H$16,$H$11))*E5451/600</f>
        <v>5.6136652000000009E-2</v>
      </c>
      <c r="L5451" s="32">
        <f>$J5451*($G5451-$G5450)*60*24</f>
        <v>5.6136651999999801E-2</v>
      </c>
    </row>
    <row r="5452" spans="1:12">
      <c r="A5452" s="22">
        <v>40314.418055555558</v>
      </c>
      <c r="E5452" s="26">
        <v>153.32628</v>
      </c>
      <c r="G5452" s="27">
        <v>0.41805555555555557</v>
      </c>
      <c r="J5452" s="30">
        <f>IF(G5452&lt;$H$10,$H$16,IF(G5452&gt;$I$10,$H$16,$H$11))*E5452/600</f>
        <v>5.6219635999999996E-2</v>
      </c>
      <c r="L5452" s="32">
        <f>$J5452*($G5452-$G5451)*60*24</f>
        <v>5.6219635999999795E-2</v>
      </c>
    </row>
    <row r="5453" spans="1:12">
      <c r="A5453" s="22">
        <v>40314.418749999997</v>
      </c>
      <c r="E5453" s="26">
        <v>154.04056800000001</v>
      </c>
      <c r="G5453" s="27">
        <v>0.41875000000000001</v>
      </c>
      <c r="J5453" s="30">
        <f>IF(G5453&lt;$H$10,$H$16,IF(G5453&gt;$I$10,$H$16,$H$11))*E5453/600</f>
        <v>5.6481541600000004E-2</v>
      </c>
      <c r="L5453" s="32">
        <f>$J5453*($G5453-$G5452)*60*24</f>
        <v>5.648154159999981E-2</v>
      </c>
    </row>
    <row r="5454" spans="1:12">
      <c r="A5454" s="22">
        <v>40314.419444444444</v>
      </c>
      <c r="E5454" s="26">
        <v>165.17134799999999</v>
      </c>
      <c r="G5454" s="27">
        <v>0.41944444444444445</v>
      </c>
      <c r="J5454" s="30">
        <f>IF(G5454&lt;$H$10,$H$16,IF(G5454&gt;$I$10,$H$16,$H$11))*E5454/600</f>
        <v>6.0562827599999994E-2</v>
      </c>
      <c r="L5454" s="32">
        <f>$J5454*($G5454-$G5453)*60*24</f>
        <v>6.0562827599999772E-2</v>
      </c>
    </row>
    <row r="5455" spans="1:12">
      <c r="A5455" s="22">
        <v>40314.420138888891</v>
      </c>
      <c r="E5455" s="26">
        <v>168.93683999999999</v>
      </c>
      <c r="G5455" s="27">
        <v>0.4201388888888889</v>
      </c>
      <c r="J5455" s="30">
        <f>IF(G5455&lt;$H$10,$H$16,IF(G5455&gt;$I$10,$H$16,$H$11))*E5455/600</f>
        <v>6.1943508000000001E-2</v>
      </c>
      <c r="L5455" s="32">
        <f>$J5455*($G5455-$G5454)*60*24</f>
        <v>6.1943507999999779E-2</v>
      </c>
    </row>
    <row r="5456" spans="1:12">
      <c r="A5456" s="22">
        <v>40314.42083333333</v>
      </c>
      <c r="E5456" s="26">
        <v>158.569728</v>
      </c>
      <c r="G5456" s="27">
        <v>0.42083333333333334</v>
      </c>
      <c r="J5456" s="30">
        <f>IF(G5456&lt;$H$10,$H$16,IF(G5456&gt;$I$10,$H$16,$H$11))*E5456/600</f>
        <v>5.8142233599999996E-2</v>
      </c>
      <c r="L5456" s="32">
        <f>$J5456*($G5456-$G5455)*60*24</f>
        <v>5.8142233599999794E-2</v>
      </c>
    </row>
    <row r="5457" spans="1:12">
      <c r="A5457" s="22">
        <v>40314.421527777777</v>
      </c>
      <c r="E5457" s="26">
        <v>162.11255600000001</v>
      </c>
      <c r="G5457" s="27">
        <v>0.42152777777777778</v>
      </c>
      <c r="J5457" s="30">
        <f>IF(G5457&lt;$H$10,$H$16,IF(G5457&gt;$I$10,$H$16,$H$11))*E5457/600</f>
        <v>5.9441270533333333E-2</v>
      </c>
      <c r="L5457" s="32">
        <f>$J5457*($G5457-$G5456)*60*24</f>
        <v>5.9441270533333118E-2</v>
      </c>
    </row>
    <row r="5458" spans="1:12">
      <c r="A5458" s="22">
        <v>40314.422222222223</v>
      </c>
      <c r="E5458" s="26">
        <v>158.57718</v>
      </c>
      <c r="G5458" s="27">
        <v>0.42222222222222222</v>
      </c>
      <c r="J5458" s="30">
        <f>IF(G5458&lt;$H$10,$H$16,IF(G5458&gt;$I$10,$H$16,$H$11))*E5458/600</f>
        <v>5.8144965999999992E-2</v>
      </c>
      <c r="L5458" s="32">
        <f>$J5458*($G5458-$G5457)*60*24</f>
        <v>5.8144965999999798E-2</v>
      </c>
    </row>
    <row r="5459" spans="1:12">
      <c r="A5459" s="22">
        <v>40314.42291666667</v>
      </c>
      <c r="E5459" s="26">
        <v>153.58342999999999</v>
      </c>
      <c r="G5459" s="27">
        <v>0.42291666666666666</v>
      </c>
      <c r="J5459" s="30">
        <f>IF(G5459&lt;$H$10,$H$16,IF(G5459&gt;$I$10,$H$16,$H$11))*E5459/600</f>
        <v>5.6313924333333328E-2</v>
      </c>
      <c r="L5459" s="32">
        <f>$J5459*($G5459-$G5458)*60*24</f>
        <v>5.6313924333333126E-2</v>
      </c>
    </row>
    <row r="5460" spans="1:12">
      <c r="A5460" s="22">
        <v>40314.423611111109</v>
      </c>
      <c r="E5460" s="26">
        <v>156.56549999999999</v>
      </c>
      <c r="G5460" s="27">
        <v>0.4236111111111111</v>
      </c>
      <c r="J5460" s="30">
        <f>IF(G5460&lt;$H$10,$H$16,IF(G5460&gt;$I$10,$H$16,$H$11))*E5460/600</f>
        <v>5.7407349999999996E-2</v>
      </c>
      <c r="L5460" s="32">
        <f>$J5460*($G5460-$G5459)*60*24</f>
        <v>5.7407349999999788E-2</v>
      </c>
    </row>
    <row r="5461" spans="1:12">
      <c r="A5461" s="22">
        <v>40314.424305555556</v>
      </c>
      <c r="E5461" s="26">
        <v>154.67269999999999</v>
      </c>
      <c r="G5461" s="27">
        <v>0.42430555555555555</v>
      </c>
      <c r="J5461" s="30">
        <f>IF(G5461&lt;$H$10,$H$16,IF(G5461&gt;$I$10,$H$16,$H$11))*E5461/600</f>
        <v>5.6713323333333336E-2</v>
      </c>
      <c r="L5461" s="32">
        <f>$J5461*($G5461-$G5460)*60*24</f>
        <v>5.6713323333333135E-2</v>
      </c>
    </row>
    <row r="5462" spans="1:12">
      <c r="A5462" s="22">
        <v>40314.425000000003</v>
      </c>
      <c r="E5462" s="26">
        <v>158.83799999999999</v>
      </c>
      <c r="G5462" s="27">
        <v>0.42499999999999999</v>
      </c>
      <c r="J5462" s="30">
        <f>IF(G5462&lt;$H$10,$H$16,IF(G5462&gt;$I$10,$H$16,$H$11))*E5462/600</f>
        <v>5.8240599999999997E-2</v>
      </c>
      <c r="L5462" s="32">
        <f>$J5462*($G5462-$G5461)*60*24</f>
        <v>5.8240599999999795E-2</v>
      </c>
    </row>
    <row r="5463" spans="1:12">
      <c r="A5463" s="22">
        <v>40314.425694444442</v>
      </c>
      <c r="E5463" s="26">
        <v>155.3006</v>
      </c>
      <c r="G5463" s="27">
        <v>0.42569444444444443</v>
      </c>
      <c r="J5463" s="30">
        <f>IF(G5463&lt;$H$10,$H$16,IF(G5463&gt;$I$10,$H$16,$H$11))*E5463/600</f>
        <v>5.6943553333333327E-2</v>
      </c>
      <c r="L5463" s="32">
        <f>$J5463*($G5463-$G5462)*60*24</f>
        <v>5.6943553333333126E-2</v>
      </c>
    </row>
    <row r="5464" spans="1:12">
      <c r="A5464" s="22">
        <v>40314.426388888889</v>
      </c>
      <c r="E5464" s="26">
        <v>159.83297999999999</v>
      </c>
      <c r="G5464" s="27">
        <v>0.42638888888888887</v>
      </c>
      <c r="J5464" s="30">
        <f>IF(G5464&lt;$H$10,$H$16,IF(G5464&gt;$I$10,$H$16,$H$11))*E5464/600</f>
        <v>5.8605426000000002E-2</v>
      </c>
      <c r="L5464" s="32">
        <f>$J5464*($G5464-$G5463)*60*24</f>
        <v>5.8605425999999794E-2</v>
      </c>
    </row>
    <row r="5465" spans="1:12">
      <c r="A5465" s="22">
        <v>40314.427083333336</v>
      </c>
      <c r="E5465" s="26">
        <v>174.449772</v>
      </c>
      <c r="G5465" s="27">
        <v>0.42708333333333331</v>
      </c>
      <c r="J5465" s="30">
        <f>IF(G5465&lt;$H$10,$H$16,IF(G5465&gt;$I$10,$H$16,$H$11))*E5465/600</f>
        <v>6.3964916400000002E-2</v>
      </c>
      <c r="L5465" s="32">
        <f>$J5465*($G5465-$G5464)*60*24</f>
        <v>6.3964916399999766E-2</v>
      </c>
    </row>
    <row r="5466" spans="1:12">
      <c r="A5466" s="22">
        <v>40314.427777777775</v>
      </c>
      <c r="E5466" s="26">
        <v>180.60432599999999</v>
      </c>
      <c r="G5466" s="27">
        <v>0.42777777777777781</v>
      </c>
      <c r="J5466" s="30">
        <f>IF(G5466&lt;$H$10,$H$16,IF(G5466&gt;$I$10,$H$16,$H$11))*E5466/600</f>
        <v>6.6221586199999988E-2</v>
      </c>
      <c r="L5466" s="32">
        <f>$J5466*($G5466-$G5465)*60*24</f>
        <v>6.6221586200005039E-2</v>
      </c>
    </row>
    <row r="5467" spans="1:12">
      <c r="A5467" s="22">
        <v>40314.428472222222</v>
      </c>
      <c r="E5467" s="26">
        <v>178.49080799999999</v>
      </c>
      <c r="G5467" s="27">
        <v>0.4284722222222222</v>
      </c>
      <c r="J5467" s="30">
        <f>IF(G5467&lt;$H$10,$H$16,IF(G5467&gt;$I$10,$H$16,$H$11))*E5467/600</f>
        <v>6.54466296E-2</v>
      </c>
      <c r="L5467" s="32">
        <f>$J5467*($G5467-$G5466)*60*24</f>
        <v>6.5446629599994532E-2</v>
      </c>
    </row>
    <row r="5468" spans="1:12">
      <c r="A5468" s="22">
        <v>40314.429166666669</v>
      </c>
      <c r="E5468" s="26">
        <v>157.73952</v>
      </c>
      <c r="G5468" s="27">
        <v>0.4291666666666667</v>
      </c>
      <c r="J5468" s="30">
        <f>IF(G5468&lt;$H$10,$H$16,IF(G5468&gt;$I$10,$H$16,$H$11))*E5468/600</f>
        <v>5.7837823999999996E-2</v>
      </c>
      <c r="L5468" s="32">
        <f>$J5468*($G5468-$G5467)*60*24</f>
        <v>5.7837824000004409E-2</v>
      </c>
    </row>
    <row r="5469" spans="1:12">
      <c r="A5469" s="22">
        <v>40314.429861111108</v>
      </c>
      <c r="E5469" s="26">
        <v>156.49199999999999</v>
      </c>
      <c r="G5469" s="27">
        <v>0.42986111111111108</v>
      </c>
      <c r="J5469" s="30">
        <f>IF(G5469&lt;$H$10,$H$16,IF(G5469&gt;$I$10,$H$16,$H$11))*E5469/600</f>
        <v>5.7380399999999991E-2</v>
      </c>
      <c r="L5469" s="32">
        <f>$J5469*($G5469-$G5468)*60*24</f>
        <v>5.7380399999995196E-2</v>
      </c>
    </row>
    <row r="5470" spans="1:12">
      <c r="A5470" s="22">
        <v>40314.430555555555</v>
      </c>
      <c r="E5470" s="26">
        <v>156.49006800000001</v>
      </c>
      <c r="G5470" s="27">
        <v>0.43055555555555558</v>
      </c>
      <c r="J5470" s="30">
        <f>IF(G5470&lt;$H$10,$H$16,IF(G5470&gt;$I$10,$H$16,$H$11))*E5470/600</f>
        <v>5.7379691599999998E-2</v>
      </c>
      <c r="L5470" s="32">
        <f>$J5470*($G5470-$G5469)*60*24</f>
        <v>5.737969160000439E-2</v>
      </c>
    </row>
    <row r="5471" spans="1:12">
      <c r="A5471" s="22">
        <v>40314.431250000001</v>
      </c>
      <c r="E5471" s="26">
        <v>153.13115999999999</v>
      </c>
      <c r="G5471" s="27">
        <v>0.43124999999999997</v>
      </c>
      <c r="J5471" s="30">
        <f>IF(G5471&lt;$H$10,$H$16,IF(G5471&gt;$I$10,$H$16,$H$11))*E5471/600</f>
        <v>5.6148091999999997E-2</v>
      </c>
      <c r="L5471" s="32">
        <f>$J5471*($G5471-$G5470)*60*24</f>
        <v>5.6148091999995306E-2</v>
      </c>
    </row>
    <row r="5472" spans="1:12">
      <c r="A5472" s="22">
        <v>40314.431944444441</v>
      </c>
      <c r="E5472" s="26">
        <v>164.28467599999999</v>
      </c>
      <c r="G5472" s="27">
        <v>0.43194444444444446</v>
      </c>
      <c r="J5472" s="30">
        <f>IF(G5472&lt;$H$10,$H$16,IF(G5472&gt;$I$10,$H$16,$H$11))*E5472/600</f>
        <v>6.0237714533333327E-2</v>
      </c>
      <c r="L5472" s="32">
        <f>$J5472*($G5472-$G5471)*60*24</f>
        <v>6.0237714533337927E-2</v>
      </c>
    </row>
    <row r="5473" spans="1:12">
      <c r="A5473" s="22">
        <v>40314.432638888888</v>
      </c>
      <c r="E5473" s="26">
        <v>171.572352</v>
      </c>
      <c r="G5473" s="27">
        <v>0.43263888888888885</v>
      </c>
      <c r="J5473" s="30">
        <f>IF(G5473&lt;$H$10,$H$16,IF(G5473&gt;$I$10,$H$16,$H$11))*E5473/600</f>
        <v>6.2909862400000002E-2</v>
      </c>
      <c r="L5473" s="32">
        <f>$J5473*($G5473-$G5472)*60*24</f>
        <v>6.2909862399994756E-2</v>
      </c>
    </row>
    <row r="5474" spans="1:12">
      <c r="A5474" s="22">
        <v>40314.433333333334</v>
      </c>
      <c r="E5474" s="26">
        <v>171.30042</v>
      </c>
      <c r="G5474" s="27">
        <v>0.43333333333333335</v>
      </c>
      <c r="J5474" s="30">
        <f>IF(G5474&lt;$H$10,$H$16,IF(G5474&gt;$I$10,$H$16,$H$11))*E5474/600</f>
        <v>6.2810153999999993E-2</v>
      </c>
      <c r="L5474" s="32">
        <f>$J5474*($G5474-$G5473)*60*24</f>
        <v>6.2810154000004795E-2</v>
      </c>
    </row>
    <row r="5475" spans="1:12">
      <c r="A5475" s="22">
        <v>40314.434027777781</v>
      </c>
      <c r="E5475" s="26">
        <v>171.491535</v>
      </c>
      <c r="G5475" s="27">
        <v>0.43402777777777773</v>
      </c>
      <c r="J5475" s="30">
        <f>IF(G5475&lt;$H$10,$H$16,IF(G5475&gt;$I$10,$H$16,$H$11))*E5475/600</f>
        <v>6.2880229499999996E-2</v>
      </c>
      <c r="L5475" s="32">
        <f>$J5475*($G5475-$G5474)*60*24</f>
        <v>6.288022949999475E-2</v>
      </c>
    </row>
    <row r="5476" spans="1:12">
      <c r="A5476" s="22">
        <v>40314.43472222222</v>
      </c>
      <c r="E5476" s="26">
        <v>168.97575599999999</v>
      </c>
      <c r="G5476" s="27">
        <v>0.43472222222222223</v>
      </c>
      <c r="J5476" s="30">
        <f>IF(G5476&lt;$H$10,$H$16,IF(G5476&gt;$I$10,$H$16,$H$11))*E5476/600</f>
        <v>6.1957777200000001E-2</v>
      </c>
      <c r="L5476" s="32">
        <f>$J5476*($G5476-$G5475)*60*24</f>
        <v>6.1957777200004734E-2</v>
      </c>
    </row>
    <row r="5477" spans="1:12">
      <c r="A5477" s="22">
        <v>40314.435416666667</v>
      </c>
      <c r="E5477" s="26">
        <v>164.69637599999999</v>
      </c>
      <c r="G5477" s="27">
        <v>0.43541666666666662</v>
      </c>
      <c r="J5477" s="30">
        <f>IF(G5477&lt;$H$10,$H$16,IF(G5477&gt;$I$10,$H$16,$H$11))*E5477/600</f>
        <v>6.0388671199999994E-2</v>
      </c>
      <c r="L5477" s="32">
        <f>$J5477*($G5477-$G5476)*60*24</f>
        <v>6.0388671199994956E-2</v>
      </c>
    </row>
    <row r="5478" spans="1:12">
      <c r="A5478" s="22">
        <v>40314.436111111114</v>
      </c>
      <c r="E5478" s="26">
        <v>155.03747999999999</v>
      </c>
      <c r="G5478" s="27">
        <v>0.43611111111111112</v>
      </c>
      <c r="J5478" s="30">
        <f>IF(G5478&lt;$H$10,$H$16,IF(G5478&gt;$I$10,$H$16,$H$11))*E5478/600</f>
        <v>5.6847075999999996E-2</v>
      </c>
      <c r="L5478" s="32">
        <f>$J5478*($G5478-$G5477)*60*24</f>
        <v>5.6847076000004333E-2</v>
      </c>
    </row>
    <row r="5479" spans="1:12">
      <c r="A5479" s="22">
        <v>40314.436805555553</v>
      </c>
      <c r="E5479" s="26">
        <v>155.72600800000001</v>
      </c>
      <c r="G5479" s="27">
        <v>0.4368055555555555</v>
      </c>
      <c r="J5479" s="30">
        <f>IF(G5479&lt;$H$10,$H$16,IF(G5479&gt;$I$10,$H$16,$H$11))*E5479/600</f>
        <v>5.7099536266666674E-2</v>
      </c>
      <c r="L5479" s="32">
        <f>$J5479*($G5479-$G5478)*60*24</f>
        <v>5.7099536266661914E-2</v>
      </c>
    </row>
    <row r="5480" spans="1:12">
      <c r="A5480" s="22">
        <v>40314.4375</v>
      </c>
      <c r="E5480" s="26">
        <v>154.57642200000001</v>
      </c>
      <c r="G5480" s="27">
        <v>0.4375</v>
      </c>
      <c r="J5480" s="30">
        <f>IF(G5480&lt;$H$10,$H$16,IF(G5480&gt;$I$10,$H$16,$H$11))*E5480/600</f>
        <v>5.66780214E-2</v>
      </c>
      <c r="L5480" s="32">
        <f>$J5480*($G5480-$G5479)*60*24</f>
        <v>5.6678021400004337E-2</v>
      </c>
    </row>
    <row r="5481" spans="1:12">
      <c r="A5481" s="22">
        <v>40314.438194444447</v>
      </c>
      <c r="E5481" s="26">
        <v>155.45644799999999</v>
      </c>
      <c r="G5481" s="27">
        <v>0.4381944444444445</v>
      </c>
      <c r="J5481" s="30">
        <f>IF(G5481&lt;$H$10,$H$16,IF(G5481&gt;$I$10,$H$16,$H$11))*E5481/600</f>
        <v>5.700069759999999E-2</v>
      </c>
      <c r="L5481" s="32">
        <f>$J5481*($G5481-$G5480)*60*24</f>
        <v>5.7000697600004341E-2</v>
      </c>
    </row>
    <row r="5482" spans="1:12">
      <c r="A5482" s="22">
        <v>40314.438888888886</v>
      </c>
      <c r="E5482" s="26">
        <v>156.88806</v>
      </c>
      <c r="G5482" s="27">
        <v>0.43888888888888888</v>
      </c>
      <c r="J5482" s="30">
        <f>IF(G5482&lt;$H$10,$H$16,IF(G5482&gt;$I$10,$H$16,$H$11))*E5482/600</f>
        <v>5.7525621999999998E-2</v>
      </c>
      <c r="L5482" s="32">
        <f>$J5482*($G5482-$G5481)*60*24</f>
        <v>5.752562199999519E-2</v>
      </c>
    </row>
    <row r="5483" spans="1:12">
      <c r="A5483" s="22">
        <v>40314.439583333333</v>
      </c>
      <c r="E5483" s="26">
        <v>160.00437600000001</v>
      </c>
      <c r="G5483" s="27">
        <v>0.43958333333333338</v>
      </c>
      <c r="J5483" s="30">
        <f>IF(G5483&lt;$H$10,$H$16,IF(G5483&gt;$I$10,$H$16,$H$11))*E5483/600</f>
        <v>5.8668271199999997E-2</v>
      </c>
      <c r="L5483" s="32">
        <f>$J5483*($G5483-$G5482)*60*24</f>
        <v>5.8668271200004479E-2</v>
      </c>
    </row>
    <row r="5484" spans="1:12">
      <c r="A5484" s="22">
        <v>40314.44027777778</v>
      </c>
      <c r="E5484" s="26">
        <v>157.322484</v>
      </c>
      <c r="G5484" s="27">
        <v>0.44027777777777777</v>
      </c>
      <c r="J5484" s="30">
        <f>IF(G5484&lt;$H$10,$H$16,IF(G5484&gt;$I$10,$H$16,$H$11))*E5484/600</f>
        <v>5.7684910800000003E-2</v>
      </c>
      <c r="L5484" s="32">
        <f>$J5484*($G5484-$G5483)*60*24</f>
        <v>5.768491079999518E-2</v>
      </c>
    </row>
    <row r="5485" spans="1:12">
      <c r="A5485" s="22">
        <v>40314.440972222219</v>
      </c>
      <c r="E5485" s="26">
        <v>159.62680800000001</v>
      </c>
      <c r="G5485" s="27">
        <v>0.44097222222222227</v>
      </c>
      <c r="J5485" s="30">
        <f>IF(G5485&lt;$H$10,$H$16,IF(G5485&gt;$I$10,$H$16,$H$11))*E5485/600</f>
        <v>5.8529829600000007E-2</v>
      </c>
      <c r="L5485" s="32">
        <f>$J5485*($G5485-$G5484)*60*24</f>
        <v>5.8529829600004482E-2</v>
      </c>
    </row>
    <row r="5486" spans="1:12">
      <c r="A5486" s="22">
        <v>40314.441666666666</v>
      </c>
      <c r="E5486" s="26">
        <v>171.58276799999999</v>
      </c>
      <c r="G5486" s="27">
        <v>0.44166666666666665</v>
      </c>
      <c r="J5486" s="30">
        <f>IF(G5486&lt;$H$10,$H$16,IF(G5486&gt;$I$10,$H$16,$H$11))*E5486/600</f>
        <v>6.2913681599999993E-2</v>
      </c>
      <c r="L5486" s="32">
        <f>$J5486*($G5486-$G5485)*60*24</f>
        <v>6.2913681599994747E-2</v>
      </c>
    </row>
    <row r="5487" spans="1:12">
      <c r="A5487" s="22">
        <v>40314.442361111112</v>
      </c>
      <c r="E5487" s="26">
        <v>171.85432800000001</v>
      </c>
      <c r="G5487" s="27">
        <v>0.44236111111111115</v>
      </c>
      <c r="J5487" s="30">
        <f>IF(G5487&lt;$H$10,$H$16,IF(G5487&gt;$I$10,$H$16,$H$11))*E5487/600</f>
        <v>6.3013253599999999E-2</v>
      </c>
      <c r="L5487" s="32">
        <f>$J5487*($G5487-$G5486)*60*24</f>
        <v>6.3013253600004815E-2</v>
      </c>
    </row>
    <row r="5488" spans="1:12">
      <c r="A5488" s="22">
        <v>40314.443055555559</v>
      </c>
      <c r="E5488" s="26">
        <v>171.692136</v>
      </c>
      <c r="G5488" s="27">
        <v>0.44305555555555554</v>
      </c>
      <c r="J5488" s="30">
        <f>IF(G5488&lt;$H$10,$H$16,IF(G5488&gt;$I$10,$H$16,$H$11))*E5488/600</f>
        <v>6.2953783200000002E-2</v>
      </c>
      <c r="L5488" s="32">
        <f>$J5488*($G5488-$G5487)*60*24</f>
        <v>6.2953783199994742E-2</v>
      </c>
    </row>
    <row r="5489" spans="1:12">
      <c r="A5489" s="22">
        <v>40314.443749999999</v>
      </c>
      <c r="E5489" s="26">
        <v>171.523899</v>
      </c>
      <c r="G5489" s="27">
        <v>0.44375000000000003</v>
      </c>
      <c r="J5489" s="30">
        <f>IF(G5489&lt;$H$10,$H$16,IF(G5489&gt;$I$10,$H$16,$H$11))*E5489/600</f>
        <v>6.2892096299999992E-2</v>
      </c>
      <c r="L5489" s="32">
        <f>$J5489*($G5489-$G5488)*60*24</f>
        <v>6.2892096300004793E-2</v>
      </c>
    </row>
    <row r="5490" spans="1:12">
      <c r="A5490" s="22">
        <v>40314.444444444445</v>
      </c>
      <c r="E5490" s="26">
        <v>170.48183399999999</v>
      </c>
      <c r="G5490" s="27">
        <v>0.44444444444444442</v>
      </c>
      <c r="J5490" s="30">
        <f>IF(G5490&lt;$H$10,$H$16,IF(G5490&gt;$I$10,$H$16,$H$11))*E5490/600</f>
        <v>6.251000579999999E-2</v>
      </c>
      <c r="L5490" s="32">
        <f>$J5490*($G5490-$G5489)*60*24</f>
        <v>6.2510005799994772E-2</v>
      </c>
    </row>
    <row r="5491" spans="1:12">
      <c r="A5491" s="22">
        <v>40314.445138888892</v>
      </c>
      <c r="E5491" s="26">
        <v>166.22475900000001</v>
      </c>
      <c r="G5491" s="27">
        <v>0.44513888888888892</v>
      </c>
      <c r="J5491" s="30">
        <f>IF(G5491&lt;$H$10,$H$16,IF(G5491&gt;$I$10,$H$16,$H$11))*E5491/600</f>
        <v>6.0949078300000001E-2</v>
      </c>
      <c r="L5491" s="32">
        <f>$J5491*($G5491-$G5490)*60*24</f>
        <v>6.094907830000465E-2</v>
      </c>
    </row>
    <row r="5492" spans="1:12">
      <c r="A5492" s="22">
        <v>40314.445833333331</v>
      </c>
      <c r="E5492" s="26">
        <v>160.18285599999999</v>
      </c>
      <c r="G5492" s="27">
        <v>0.4458333333333333</v>
      </c>
      <c r="J5492" s="30">
        <f>IF(G5492&lt;$H$10,$H$16,IF(G5492&gt;$I$10,$H$16,$H$11))*E5492/600</f>
        <v>5.8733713866666669E-2</v>
      </c>
      <c r="L5492" s="32">
        <f>$J5492*($G5492-$G5491)*60*24</f>
        <v>5.8733713866661777E-2</v>
      </c>
    </row>
    <row r="5493" spans="1:12">
      <c r="A5493" s="22">
        <v>40314.446527777778</v>
      </c>
      <c r="E5493" s="26">
        <v>156.34811199999999</v>
      </c>
      <c r="G5493" s="27">
        <v>0.4465277777777778</v>
      </c>
      <c r="J5493" s="30">
        <f>IF(G5493&lt;$H$10,$H$16,IF(G5493&gt;$I$10,$H$16,$H$11))*E5493/600</f>
        <v>5.7327641066666664E-2</v>
      </c>
      <c r="L5493" s="32">
        <f>$J5493*($G5493-$G5492)*60*24</f>
        <v>5.7327641066671042E-2</v>
      </c>
    </row>
    <row r="5494" spans="1:12">
      <c r="A5494" s="22">
        <v>40314.447222222225</v>
      </c>
      <c r="E5494" s="26">
        <v>163.97192699999999</v>
      </c>
      <c r="G5494" s="27">
        <v>0.44722222222222219</v>
      </c>
      <c r="J5494" s="30">
        <f>IF(G5494&lt;$H$10,$H$16,IF(G5494&gt;$I$10,$H$16,$H$11))*E5494/600</f>
        <v>6.0123039899999994E-2</v>
      </c>
      <c r="L5494" s="32">
        <f>$J5494*($G5494-$G5493)*60*24</f>
        <v>6.0123039899994971E-2</v>
      </c>
    </row>
    <row r="5495" spans="1:12">
      <c r="A5495" s="22">
        <v>40314.447916666664</v>
      </c>
      <c r="E5495" s="26">
        <v>163.35543000000001</v>
      </c>
      <c r="G5495" s="27">
        <v>0.44791666666666669</v>
      </c>
      <c r="J5495" s="30">
        <f>IF(G5495&lt;$H$10,$H$16,IF(G5495&gt;$I$10,$H$16,$H$11))*E5495/600</f>
        <v>5.9896991000000004E-2</v>
      </c>
      <c r="L5495" s="32">
        <f>$J5495*($G5495-$G5494)*60*24</f>
        <v>5.9896991000004583E-2</v>
      </c>
    </row>
    <row r="5496" spans="1:12">
      <c r="A5496" s="22">
        <v>40314.448611111111</v>
      </c>
      <c r="E5496" s="26">
        <v>173.560599</v>
      </c>
      <c r="G5496" s="27">
        <v>0.44861111111111113</v>
      </c>
      <c r="J5496" s="30">
        <f>IF(G5496&lt;$H$10,$H$16,IF(G5496&gt;$I$10,$H$16,$H$11))*E5496/600</f>
        <v>6.3638886299999989E-2</v>
      </c>
      <c r="L5496" s="32">
        <f>$J5496*($G5496-$G5495)*60*24</f>
        <v>6.3638886299999753E-2</v>
      </c>
    </row>
    <row r="5497" spans="1:12">
      <c r="A5497" s="22">
        <v>40314.449305555558</v>
      </c>
      <c r="E5497" s="26">
        <v>175.783478</v>
      </c>
      <c r="G5497" s="27">
        <v>0.44930555555555557</v>
      </c>
      <c r="J5497" s="30">
        <f>IF(G5497&lt;$H$10,$H$16,IF(G5497&gt;$I$10,$H$16,$H$11))*E5497/600</f>
        <v>6.4453941933333328E-2</v>
      </c>
      <c r="L5497" s="32">
        <f>$J5497*($G5497-$G5496)*60*24</f>
        <v>6.4453941933333092E-2</v>
      </c>
    </row>
    <row r="5498" spans="1:12">
      <c r="A5498" s="22">
        <v>40314.449999999997</v>
      </c>
      <c r="E5498" s="26">
        <v>156.11848000000001</v>
      </c>
      <c r="G5498" s="27">
        <v>0.45</v>
      </c>
      <c r="J5498" s="30">
        <f>IF(G5498&lt;$H$10,$H$16,IF(G5498&gt;$I$10,$H$16,$H$11))*E5498/600</f>
        <v>5.7243442666666672E-2</v>
      </c>
      <c r="L5498" s="32">
        <f>$J5498*($G5498-$G5497)*60*24</f>
        <v>5.7243442666666464E-2</v>
      </c>
    </row>
    <row r="5499" spans="1:12">
      <c r="A5499" s="22">
        <v>40314.450694444444</v>
      </c>
      <c r="E5499" s="26">
        <v>153.29499999999999</v>
      </c>
      <c r="G5499" s="27">
        <v>0.45069444444444445</v>
      </c>
      <c r="J5499" s="30">
        <f>IF(G5499&lt;$H$10,$H$16,IF(G5499&gt;$I$10,$H$16,$H$11))*E5499/600</f>
        <v>5.6208166666666663E-2</v>
      </c>
      <c r="L5499" s="32">
        <f>$J5499*($G5499-$G5498)*60*24</f>
        <v>5.6208166666666462E-2</v>
      </c>
    </row>
    <row r="5500" spans="1:12">
      <c r="A5500" s="22">
        <v>40314.451388888891</v>
      </c>
      <c r="E5500" s="26">
        <v>153.72280000000001</v>
      </c>
      <c r="G5500" s="27">
        <v>0.4513888888888889</v>
      </c>
      <c r="J5500" s="30">
        <f>IF(G5500&lt;$H$10,$H$16,IF(G5500&gt;$I$10,$H$16,$H$11))*E5500/600</f>
        <v>5.6365026666666672E-2</v>
      </c>
      <c r="L5500" s="32">
        <f>$J5500*($G5500-$G5499)*60*24</f>
        <v>5.6365026666666471E-2</v>
      </c>
    </row>
    <row r="5501" spans="1:12">
      <c r="A5501" s="22">
        <v>40314.45208333333</v>
      </c>
      <c r="E5501" s="26">
        <v>154.53515999999999</v>
      </c>
      <c r="G5501" s="27">
        <v>0.45208333333333334</v>
      </c>
      <c r="J5501" s="30">
        <f>IF(G5501&lt;$H$10,$H$16,IF(G5501&gt;$I$10,$H$16,$H$11))*E5501/600</f>
        <v>5.6662891999999999E-2</v>
      </c>
      <c r="L5501" s="32">
        <f>$J5501*($G5501-$G5500)*60*24</f>
        <v>5.6662891999999798E-2</v>
      </c>
    </row>
    <row r="5502" spans="1:12">
      <c r="A5502" s="22">
        <v>40314.452777777777</v>
      </c>
      <c r="E5502" s="26">
        <v>155.24981600000001</v>
      </c>
      <c r="G5502" s="27">
        <v>0.45277777777777778</v>
      </c>
      <c r="J5502" s="30">
        <f>IF(G5502&lt;$H$10,$H$16,IF(G5502&gt;$I$10,$H$16,$H$11))*E5502/600</f>
        <v>5.692493253333334E-2</v>
      </c>
      <c r="L5502" s="32">
        <f>$J5502*($G5502-$G5501)*60*24</f>
        <v>5.6924932533333139E-2</v>
      </c>
    </row>
    <row r="5503" spans="1:12">
      <c r="A5503" s="22">
        <v>40314.453472222223</v>
      </c>
      <c r="E5503" s="26">
        <v>157.167924</v>
      </c>
      <c r="G5503" s="27">
        <v>0.45347222222222222</v>
      </c>
      <c r="J5503" s="30">
        <f>IF(G5503&lt;$H$10,$H$16,IF(G5503&gt;$I$10,$H$16,$H$11))*E5503/600</f>
        <v>5.7628238800000002E-2</v>
      </c>
      <c r="L5503" s="32">
        <f>$J5503*($G5503-$G5502)*60*24</f>
        <v>5.7628238799999801E-2</v>
      </c>
    </row>
    <row r="5504" spans="1:12">
      <c r="A5504" s="22">
        <v>40314.45416666667</v>
      </c>
      <c r="E5504" s="26">
        <v>155.38192799999999</v>
      </c>
      <c r="G5504" s="27">
        <v>0.45416666666666666</v>
      </c>
      <c r="J5504" s="30">
        <f>IF(G5504&lt;$H$10,$H$16,IF(G5504&gt;$I$10,$H$16,$H$11))*E5504/600</f>
        <v>5.6973373600000002E-2</v>
      </c>
      <c r="L5504" s="32">
        <f>$J5504*($G5504-$G5503)*60*24</f>
        <v>5.6973373599999794E-2</v>
      </c>
    </row>
    <row r="5505" spans="1:12">
      <c r="A5505" s="22">
        <v>40314.454861111109</v>
      </c>
      <c r="E5505" s="26">
        <v>155.27760000000001</v>
      </c>
      <c r="G5505" s="27">
        <v>0.4548611111111111</v>
      </c>
      <c r="J5505" s="30">
        <f>IF(G5505&lt;$H$10,$H$16,IF(G5505&gt;$I$10,$H$16,$H$11))*E5505/600</f>
        <v>5.6935120000000006E-2</v>
      </c>
      <c r="L5505" s="32">
        <f>$J5505*($G5505-$G5504)*60*24</f>
        <v>5.6935119999999798E-2</v>
      </c>
    </row>
    <row r="5506" spans="1:12">
      <c r="A5506" s="22">
        <v>40314.455555555556</v>
      </c>
      <c r="E5506" s="26">
        <v>153.34081599999999</v>
      </c>
      <c r="G5506" s="27">
        <v>0.45555555555555555</v>
      </c>
      <c r="J5506" s="30">
        <f>IF(G5506&lt;$H$10,$H$16,IF(G5506&gt;$I$10,$H$16,$H$11))*E5506/600</f>
        <v>5.6224965866666657E-2</v>
      </c>
      <c r="L5506" s="32">
        <f>$J5506*($G5506-$G5505)*60*24</f>
        <v>5.6224965866666456E-2</v>
      </c>
    </row>
    <row r="5507" spans="1:12">
      <c r="A5507" s="22">
        <v>40314.456250000003</v>
      </c>
      <c r="E5507" s="26">
        <v>157.61670000000001</v>
      </c>
      <c r="G5507" s="27">
        <v>0.45624999999999999</v>
      </c>
      <c r="J5507" s="30">
        <f>IF(G5507&lt;$H$10,$H$16,IF(G5507&gt;$I$10,$H$16,$H$11))*E5507/600</f>
        <v>5.7792790000000004E-2</v>
      </c>
      <c r="L5507" s="32">
        <f>$J5507*($G5507-$G5506)*60*24</f>
        <v>5.7792789999999802E-2</v>
      </c>
    </row>
    <row r="5508" spans="1:12">
      <c r="A5508" s="22">
        <v>40314.456944444442</v>
      </c>
      <c r="E5508" s="26">
        <v>153.99696</v>
      </c>
      <c r="G5508" s="27">
        <v>0.45694444444444443</v>
      </c>
      <c r="J5508" s="30">
        <f>IF(G5508&lt;$H$10,$H$16,IF(G5508&gt;$I$10,$H$16,$H$11))*E5508/600</f>
        <v>5.6465552000000002E-2</v>
      </c>
      <c r="L5508" s="32">
        <f>$J5508*($G5508-$G5507)*60*24</f>
        <v>5.6465551999999808E-2</v>
      </c>
    </row>
    <row r="5509" spans="1:12">
      <c r="A5509" s="22">
        <v>40314.457638888889</v>
      </c>
      <c r="E5509" s="26">
        <v>153.52361999999999</v>
      </c>
      <c r="G5509" s="27">
        <v>0.45763888888888887</v>
      </c>
      <c r="J5509" s="30">
        <f>IF(G5509&lt;$H$10,$H$16,IF(G5509&gt;$I$10,$H$16,$H$11))*E5509/600</f>
        <v>5.6291993999999998E-2</v>
      </c>
      <c r="L5509" s="32">
        <f>$J5509*($G5509-$G5508)*60*24</f>
        <v>5.6291993999999804E-2</v>
      </c>
    </row>
    <row r="5510" spans="1:12">
      <c r="A5510" s="22">
        <v>40314.458333333336</v>
      </c>
      <c r="E5510" s="26">
        <v>153.590688</v>
      </c>
      <c r="G5510" s="27">
        <v>0.45833333333333331</v>
      </c>
      <c r="J5510" s="30">
        <f>IF(G5510&lt;$H$10,$H$16,IF(G5510&gt;$I$10,$H$16,$H$11))*E5510/600</f>
        <v>5.6316585600000003E-2</v>
      </c>
      <c r="L5510" s="32">
        <f>$J5510*($G5510-$G5509)*60*24</f>
        <v>5.6316585599999795E-2</v>
      </c>
    </row>
    <row r="5511" spans="1:12">
      <c r="A5511" s="22">
        <v>40314.459027777775</v>
      </c>
      <c r="E5511" s="26">
        <v>154.61740800000001</v>
      </c>
      <c r="G5511" s="27">
        <v>0.45902777777777781</v>
      </c>
      <c r="J5511" s="30">
        <f>IF(G5511&lt;$H$10,$H$16,IF(G5511&gt;$I$10,$H$16,$H$11))*E5511/600</f>
        <v>5.6693049600000003E-2</v>
      </c>
      <c r="L5511" s="32">
        <f>$J5511*($G5511-$G5510)*60*24</f>
        <v>5.6693049600004333E-2</v>
      </c>
    </row>
    <row r="5512" spans="1:12">
      <c r="A5512" s="22">
        <v>40314.459722222222</v>
      </c>
      <c r="E5512" s="26">
        <v>155.37355600000001</v>
      </c>
      <c r="G5512" s="27">
        <v>0.4597222222222222</v>
      </c>
      <c r="J5512" s="30">
        <f>IF(G5512&lt;$H$10,$H$16,IF(G5512&gt;$I$10,$H$16,$H$11))*E5512/600</f>
        <v>5.6970303866666669E-2</v>
      </c>
      <c r="L5512" s="32">
        <f>$J5512*($G5512-$G5511)*60*24</f>
        <v>5.6970303866661909E-2</v>
      </c>
    </row>
    <row r="5513" spans="1:12">
      <c r="A5513" s="22">
        <v>40314.460416666669</v>
      </c>
      <c r="E5513" s="26">
        <v>153.68415999999999</v>
      </c>
      <c r="G5513" s="27">
        <v>0.4604166666666667</v>
      </c>
      <c r="J5513" s="30">
        <f>IF(G5513&lt;$H$10,$H$16,IF(G5513&gt;$I$10,$H$16,$H$11))*E5513/600</f>
        <v>5.6350858666666663E-2</v>
      </c>
      <c r="L5513" s="32">
        <f>$J5513*($G5513-$G5512)*60*24</f>
        <v>5.6350858666670972E-2</v>
      </c>
    </row>
    <row r="5514" spans="1:12">
      <c r="A5514" s="22">
        <v>40314.461111111108</v>
      </c>
      <c r="E5514" s="26">
        <v>152.4348</v>
      </c>
      <c r="G5514" s="27">
        <v>0.46111111111111108</v>
      </c>
      <c r="J5514" s="30">
        <f>IF(G5514&lt;$H$10,$H$16,IF(G5514&gt;$I$10,$H$16,$H$11))*E5514/600</f>
        <v>5.5892759999999993E-2</v>
      </c>
      <c r="L5514" s="32">
        <f>$J5514*($G5514-$G5513)*60*24</f>
        <v>5.5892759999995337E-2</v>
      </c>
    </row>
    <row r="5515" spans="1:12">
      <c r="A5515" s="22">
        <v>40314.461805555555</v>
      </c>
      <c r="E5515" s="26">
        <v>152.48264</v>
      </c>
      <c r="G5515" s="27">
        <v>0.46180555555555558</v>
      </c>
      <c r="J5515" s="30">
        <f>IF(G5515&lt;$H$10,$H$16,IF(G5515&gt;$I$10,$H$16,$H$11))*E5515/600</f>
        <v>5.5910301333333336E-2</v>
      </c>
      <c r="L5515" s="32">
        <f>$J5515*($G5515-$G5514)*60*24</f>
        <v>5.5910301333337617E-2</v>
      </c>
    </row>
    <row r="5516" spans="1:12">
      <c r="A5516" s="22">
        <v>40314.462500000001</v>
      </c>
      <c r="E5516" s="26">
        <v>152.53158400000001</v>
      </c>
      <c r="G5516" s="27">
        <v>0.46249999999999997</v>
      </c>
      <c r="J5516" s="30">
        <f>IF(G5516&lt;$H$10,$H$16,IF(G5516&gt;$I$10,$H$16,$H$11))*E5516/600</f>
        <v>5.5928247466666671E-2</v>
      </c>
      <c r="L5516" s="32">
        <f>$J5516*($G5516-$G5515)*60*24</f>
        <v>5.5928247466662001E-2</v>
      </c>
    </row>
    <row r="5517" spans="1:12">
      <c r="A5517" s="22">
        <v>40314.463194444441</v>
      </c>
      <c r="E5517" s="26">
        <v>153.45323999999999</v>
      </c>
      <c r="G5517" s="27">
        <v>0.46319444444444446</v>
      </c>
      <c r="J5517" s="30">
        <f>IF(G5517&lt;$H$10,$H$16,IF(G5517&gt;$I$10,$H$16,$H$11))*E5517/600</f>
        <v>5.6266187999999995E-2</v>
      </c>
      <c r="L5517" s="32">
        <f>$J5517*($G5517-$G5516)*60*24</f>
        <v>5.626618800000429E-2</v>
      </c>
    </row>
    <row r="5518" spans="1:12">
      <c r="A5518" s="22">
        <v>40314.463888888888</v>
      </c>
      <c r="E5518" s="26">
        <v>153.05672000000001</v>
      </c>
      <c r="G5518" s="27">
        <v>0.46388888888888885</v>
      </c>
      <c r="J5518" s="30">
        <f>IF(G5518&lt;$H$10,$H$16,IF(G5518&gt;$I$10,$H$16,$H$11))*E5518/600</f>
        <v>5.612079733333334E-2</v>
      </c>
      <c r="L5518" s="32">
        <f>$J5518*($G5518-$G5517)*60*24</f>
        <v>5.6120797333328656E-2</v>
      </c>
    </row>
    <row r="5519" spans="1:12">
      <c r="A5519" s="22">
        <v>40314.464583333334</v>
      </c>
      <c r="E5519" s="26">
        <v>153.20612800000001</v>
      </c>
      <c r="G5519" s="27">
        <v>0.46458333333333335</v>
      </c>
      <c r="J5519" s="30">
        <f>IF(G5519&lt;$H$10,$H$16,IF(G5519&gt;$I$10,$H$16,$H$11))*E5519/600</f>
        <v>5.6175580266666664E-2</v>
      </c>
      <c r="L5519" s="32">
        <f>$J5519*($G5519-$G5518)*60*24</f>
        <v>5.6175580266670952E-2</v>
      </c>
    </row>
    <row r="5520" spans="1:12">
      <c r="A5520" s="22">
        <v>40314.465277777781</v>
      </c>
      <c r="E5520" s="26">
        <v>152.76130800000001</v>
      </c>
      <c r="G5520" s="27">
        <v>0.46527777777777773</v>
      </c>
      <c r="J5520" s="30">
        <f>IF(G5520&lt;$H$10,$H$16,IF(G5520&gt;$I$10,$H$16,$H$11))*E5520/600</f>
        <v>5.6012479600000005E-2</v>
      </c>
      <c r="L5520" s="32">
        <f>$J5520*($G5520-$G5519)*60*24</f>
        <v>5.6012479599995328E-2</v>
      </c>
    </row>
    <row r="5521" spans="1:12">
      <c r="A5521" s="22">
        <v>40314.46597222222</v>
      </c>
      <c r="E5521" s="26">
        <v>152.886336</v>
      </c>
      <c r="G5521" s="27">
        <v>0.46597222222222223</v>
      </c>
      <c r="J5521" s="30">
        <f>IF(G5521&lt;$H$10,$H$16,IF(G5521&gt;$I$10,$H$16,$H$11))*E5521/600</f>
        <v>5.6058323199999996E-2</v>
      </c>
      <c r="L5521" s="32">
        <f>$J5521*($G5521-$G5520)*60*24</f>
        <v>5.6058323200004284E-2</v>
      </c>
    </row>
    <row r="5522" spans="1:12">
      <c r="A5522" s="22">
        <v>40314.466666666667</v>
      </c>
      <c r="E5522" s="26">
        <v>153.56419199999999</v>
      </c>
      <c r="G5522" s="27">
        <v>0.46666666666666662</v>
      </c>
      <c r="J5522" s="30">
        <f>IF(G5522&lt;$H$10,$H$16,IF(G5522&gt;$I$10,$H$16,$H$11))*E5522/600</f>
        <v>5.6306870399999993E-2</v>
      </c>
      <c r="L5522" s="32">
        <f>$J5522*($G5522-$G5521)*60*24</f>
        <v>5.6306870399995296E-2</v>
      </c>
    </row>
    <row r="5523" spans="1:12">
      <c r="A5523" s="22">
        <v>40314.467361111114</v>
      </c>
      <c r="E5523" s="26">
        <v>157.988012</v>
      </c>
      <c r="G5523" s="27">
        <v>0.46736111111111112</v>
      </c>
      <c r="J5523" s="30">
        <f>IF(G5523&lt;$H$10,$H$16,IF(G5523&gt;$I$10,$H$16,$H$11))*E5523/600</f>
        <v>5.7928937733333324E-2</v>
      </c>
      <c r="L5523" s="32">
        <f>$J5523*($G5523-$G5522)*60*24</f>
        <v>5.7928937733337744E-2</v>
      </c>
    </row>
    <row r="5524" spans="1:12">
      <c r="A5524" s="22">
        <v>40314.468055555553</v>
      </c>
      <c r="E5524" s="26">
        <v>180.25186199999999</v>
      </c>
      <c r="G5524" s="27">
        <v>0.4680555555555555</v>
      </c>
      <c r="J5524" s="30">
        <f>IF(G5524&lt;$H$10,$H$16,IF(G5524&gt;$I$10,$H$16,$H$11))*E5524/600</f>
        <v>6.6092349399999986E-2</v>
      </c>
      <c r="L5524" s="32">
        <f>$J5524*($G5524-$G5523)*60*24</f>
        <v>6.6092349399994477E-2</v>
      </c>
    </row>
    <row r="5525" spans="1:12">
      <c r="A5525" s="22">
        <v>40314.46875</v>
      </c>
      <c r="E5525" s="26">
        <v>178.71355199999999</v>
      </c>
      <c r="G5525" s="27">
        <v>0.46875</v>
      </c>
      <c r="J5525" s="30">
        <f>IF(G5525&lt;$H$10,$H$16,IF(G5525&gt;$I$10,$H$16,$H$11))*E5525/600</f>
        <v>6.5528302400000002E-2</v>
      </c>
      <c r="L5525" s="32">
        <f>$J5525*($G5525-$G5524)*60*24</f>
        <v>6.5528302400005012E-2</v>
      </c>
    </row>
    <row r="5526" spans="1:12">
      <c r="A5526" s="22">
        <v>40314.469444444447</v>
      </c>
      <c r="E5526" s="26">
        <v>178.02848</v>
      </c>
      <c r="G5526" s="27">
        <v>0.4694444444444445</v>
      </c>
      <c r="J5526" s="30">
        <f>IF(G5526&lt;$H$10,$H$16,IF(G5526&gt;$I$10,$H$16,$H$11))*E5526/600</f>
        <v>6.5277109333333333E-2</v>
      </c>
      <c r="L5526" s="32">
        <f>$J5526*($G5526-$G5525)*60*24</f>
        <v>6.5277109333338329E-2</v>
      </c>
    </row>
    <row r="5527" spans="1:12">
      <c r="A5527" s="22">
        <v>40314.470138888886</v>
      </c>
      <c r="E5527" s="26">
        <v>178.144758</v>
      </c>
      <c r="G5527" s="27">
        <v>0.47013888888888888</v>
      </c>
      <c r="J5527" s="30">
        <f>IF(G5527&lt;$H$10,$H$16,IF(G5527&gt;$I$10,$H$16,$H$11))*E5527/600</f>
        <v>6.5319744599999993E-2</v>
      </c>
      <c r="L5527" s="32">
        <f>$J5527*($G5527-$G5526)*60*24</f>
        <v>6.5319744599994539E-2</v>
      </c>
    </row>
    <row r="5528" spans="1:12">
      <c r="A5528" s="22">
        <v>40314.470833333333</v>
      </c>
      <c r="E5528" s="26">
        <v>180.57400000000001</v>
      </c>
      <c r="G5528" s="27">
        <v>0.47083333333333338</v>
      </c>
      <c r="J5528" s="30">
        <f>IF(G5528&lt;$H$10,$H$16,IF(G5528&gt;$I$10,$H$16,$H$11))*E5528/600</f>
        <v>6.6210466666666676E-2</v>
      </c>
      <c r="L5528" s="32">
        <f>$J5528*($G5528-$G5527)*60*24</f>
        <v>6.6210466666671727E-2</v>
      </c>
    </row>
    <row r="5529" spans="1:12">
      <c r="A5529" s="22">
        <v>40314.47152777778</v>
      </c>
      <c r="E5529" s="26">
        <v>180.913904</v>
      </c>
      <c r="G5529" s="27">
        <v>0.47152777777777777</v>
      </c>
      <c r="J5529" s="30">
        <f>IF(G5529&lt;$H$10,$H$16,IF(G5529&gt;$I$10,$H$16,$H$11))*E5529/600</f>
        <v>6.6335098133333326E-2</v>
      </c>
      <c r="L5529" s="32">
        <f>$J5529*($G5529-$G5528)*60*24</f>
        <v>6.6335098133327774E-2</v>
      </c>
    </row>
    <row r="5530" spans="1:12">
      <c r="A5530" s="22">
        <v>40314.472222222219</v>
      </c>
      <c r="E5530" s="26">
        <v>181.09635800000001</v>
      </c>
      <c r="G5530" s="27">
        <v>0.47222222222222227</v>
      </c>
      <c r="J5530" s="30">
        <f>IF(G5530&lt;$H$10,$H$16,IF(G5530&gt;$I$10,$H$16,$H$11))*E5530/600</f>
        <v>6.6401997933333345E-2</v>
      </c>
      <c r="L5530" s="32">
        <f>$J5530*($G5530-$G5529)*60*24</f>
        <v>6.6401997933338411E-2</v>
      </c>
    </row>
    <row r="5531" spans="1:12">
      <c r="A5531" s="22">
        <v>40314.472916666666</v>
      </c>
      <c r="E5531" s="26">
        <v>181.48768000000001</v>
      </c>
      <c r="G5531" s="27">
        <v>0.47291666666666665</v>
      </c>
      <c r="J5531" s="30">
        <f>IF(G5531&lt;$H$10,$H$16,IF(G5531&gt;$I$10,$H$16,$H$11))*E5531/600</f>
        <v>6.6545482666666669E-2</v>
      </c>
      <c r="L5531" s="32">
        <f>$J5531*($G5531-$G5530)*60*24</f>
        <v>6.6545482666661118E-2</v>
      </c>
    </row>
    <row r="5532" spans="1:12">
      <c r="A5532" s="22">
        <v>40314.473611111112</v>
      </c>
      <c r="E5532" s="26">
        <v>181.4435</v>
      </c>
      <c r="G5532" s="27">
        <v>0.47361111111111115</v>
      </c>
      <c r="J5532" s="30">
        <f>IF(G5532&lt;$H$10,$H$16,IF(G5532&gt;$I$10,$H$16,$H$11))*E5532/600</f>
        <v>6.6529283333333328E-2</v>
      </c>
      <c r="L5532" s="32">
        <f>$J5532*($G5532-$G5531)*60*24</f>
        <v>6.6529283333338407E-2</v>
      </c>
    </row>
    <row r="5533" spans="1:12">
      <c r="A5533" s="22">
        <v>40314.474305555559</v>
      </c>
      <c r="E5533" s="26">
        <v>181.17005399999999</v>
      </c>
      <c r="G5533" s="27">
        <v>0.47430555555555554</v>
      </c>
      <c r="J5533" s="30">
        <f>IF(G5533&lt;$H$10,$H$16,IF(G5533&gt;$I$10,$H$16,$H$11))*E5533/600</f>
        <v>6.6429019800000003E-2</v>
      </c>
      <c r="L5533" s="32">
        <f>$J5533*($G5533-$G5532)*60*24</f>
        <v>6.6429019799994452E-2</v>
      </c>
    </row>
    <row r="5534" spans="1:12">
      <c r="A5534" s="22">
        <v>40314.474999999999</v>
      </c>
      <c r="E5534" s="26">
        <v>180.55407199999999</v>
      </c>
      <c r="G5534" s="27">
        <v>0.47500000000000003</v>
      </c>
      <c r="J5534" s="30">
        <f>IF(G5534&lt;$H$10,$H$16,IF(G5534&gt;$I$10,$H$16,$H$11))*E5534/600</f>
        <v>6.6203159733333322E-2</v>
      </c>
      <c r="L5534" s="32">
        <f>$J5534*($G5534-$G5533)*60*24</f>
        <v>6.6203159733338374E-2</v>
      </c>
    </row>
    <row r="5535" spans="1:12">
      <c r="A5535" s="22">
        <v>40314.475694444445</v>
      </c>
      <c r="E5535" s="26">
        <v>180.762564</v>
      </c>
      <c r="G5535" s="27">
        <v>0.47569444444444442</v>
      </c>
      <c r="J5535" s="30">
        <f>IF(G5535&lt;$H$10,$H$16,IF(G5535&gt;$I$10,$H$16,$H$11))*E5535/600</f>
        <v>6.6279606800000002E-2</v>
      </c>
      <c r="L5535" s="32">
        <f>$J5535*($G5535-$G5534)*60*24</f>
        <v>6.6279606799994478E-2</v>
      </c>
    </row>
    <row r="5536" spans="1:12">
      <c r="A5536" s="22">
        <v>40314.476388888892</v>
      </c>
      <c r="E5536" s="26">
        <v>179.95425800000001</v>
      </c>
      <c r="G5536" s="27">
        <v>0.47638888888888892</v>
      </c>
      <c r="J5536" s="30">
        <f>IF(G5536&lt;$H$10,$H$16,IF(G5536&gt;$I$10,$H$16,$H$11))*E5536/600</f>
        <v>6.5983227933333333E-2</v>
      </c>
      <c r="L5536" s="32">
        <f>$J5536*($G5536-$G5535)*60*24</f>
        <v>6.598322793333837E-2</v>
      </c>
    </row>
    <row r="5537" spans="1:12">
      <c r="A5537" s="22">
        <v>40314.477083333331</v>
      </c>
      <c r="E5537" s="26">
        <v>178.06890000000001</v>
      </c>
      <c r="G5537" s="27">
        <v>0.4770833333333333</v>
      </c>
      <c r="J5537" s="30">
        <f>IF(G5537&lt;$H$10,$H$16,IF(G5537&gt;$I$10,$H$16,$H$11))*E5537/600</f>
        <v>6.5291930000000012E-2</v>
      </c>
      <c r="L5537" s="32">
        <f>$J5537*($G5537-$G5536)*60*24</f>
        <v>6.5291929999994558E-2</v>
      </c>
    </row>
    <row r="5538" spans="1:12">
      <c r="A5538" s="22">
        <v>40314.477777777778</v>
      </c>
      <c r="E5538" s="26">
        <v>180.40667999999999</v>
      </c>
      <c r="G5538" s="27">
        <v>0.4777777777777778</v>
      </c>
      <c r="J5538" s="30">
        <f>IF(G5538&lt;$H$10,$H$16,IF(G5538&gt;$I$10,$H$16,$H$11))*E5538/600</f>
        <v>6.6149116000000008E-2</v>
      </c>
      <c r="L5538" s="32">
        <f>$J5538*($G5538-$G5537)*60*24</f>
        <v>6.6149116000005059E-2</v>
      </c>
    </row>
    <row r="5539" spans="1:12">
      <c r="A5539" s="22">
        <v>40314.478472222225</v>
      </c>
      <c r="E5539" s="26">
        <v>180.147052</v>
      </c>
      <c r="G5539" s="27">
        <v>0.47847222222222219</v>
      </c>
      <c r="J5539" s="30">
        <f>IF(G5539&lt;$H$10,$H$16,IF(G5539&gt;$I$10,$H$16,$H$11))*E5539/600</f>
        <v>6.6053919066666675E-2</v>
      </c>
      <c r="L5539" s="32">
        <f>$J5539*($G5539-$G5538)*60*24</f>
        <v>6.6053919066661165E-2</v>
      </c>
    </row>
    <row r="5540" spans="1:12">
      <c r="A5540" s="22">
        <v>40314.479166666664</v>
      </c>
      <c r="E5540" s="26">
        <v>180.06564800000001</v>
      </c>
      <c r="G5540" s="27">
        <v>0.47916666666666669</v>
      </c>
      <c r="J5540" s="30">
        <f>IF(G5540&lt;$H$10,$H$16,IF(G5540&gt;$I$10,$H$16,$H$11))*E5540/600</f>
        <v>6.6024070933333331E-2</v>
      </c>
      <c r="L5540" s="32">
        <f>$J5540*($G5540-$G5539)*60*24</f>
        <v>6.6024070933338383E-2</v>
      </c>
    </row>
    <row r="5541" spans="1:12">
      <c r="A5541" s="22">
        <v>40314.479861111111</v>
      </c>
      <c r="E5541" s="26">
        <v>179.97465600000001</v>
      </c>
      <c r="G5541" s="27">
        <v>0.47986111111111113</v>
      </c>
      <c r="J5541" s="30">
        <f>IF(G5541&lt;$H$10,$H$16,IF(G5541&gt;$I$10,$H$16,$H$11))*E5541/600</f>
        <v>6.5990707199999998E-2</v>
      </c>
      <c r="L5541" s="32">
        <f>$J5541*($G5541-$G5540)*60*24</f>
        <v>6.5990707199999762E-2</v>
      </c>
    </row>
    <row r="5542" spans="1:12">
      <c r="A5542" s="22">
        <v>40314.480555555558</v>
      </c>
      <c r="E5542" s="26">
        <v>157.35091199999999</v>
      </c>
      <c r="G5542" s="27">
        <v>0.48055555555555557</v>
      </c>
      <c r="J5542" s="30">
        <f>IF(G5542&lt;$H$10,$H$16,IF(G5542&gt;$I$10,$H$16,$H$11))*E5542/600</f>
        <v>5.7695334399999999E-2</v>
      </c>
      <c r="L5542" s="32">
        <f>$J5542*($G5542-$G5541)*60*24</f>
        <v>5.7695334399999798E-2</v>
      </c>
    </row>
    <row r="5543" spans="1:12">
      <c r="A5543" s="22">
        <v>40314.481249999997</v>
      </c>
      <c r="E5543" s="26">
        <v>153.42573200000001</v>
      </c>
      <c r="G5543" s="27">
        <v>0.48125000000000001</v>
      </c>
      <c r="J5543" s="30">
        <f>IF(G5543&lt;$H$10,$H$16,IF(G5543&gt;$I$10,$H$16,$H$11))*E5543/600</f>
        <v>5.6256101733333341E-2</v>
      </c>
      <c r="L5543" s="32">
        <f>$J5543*($G5543-$G5542)*60*24</f>
        <v>5.6256101733333133E-2</v>
      </c>
    </row>
    <row r="5544" spans="1:12">
      <c r="A5544" s="22">
        <v>40314.481944444444</v>
      </c>
      <c r="E5544" s="26">
        <v>153.389208</v>
      </c>
      <c r="G5544" s="27">
        <v>0.48194444444444445</v>
      </c>
      <c r="J5544" s="30">
        <f>IF(G5544&lt;$H$10,$H$16,IF(G5544&gt;$I$10,$H$16,$H$11))*E5544/600</f>
        <v>5.6242709600000003E-2</v>
      </c>
      <c r="L5544" s="32">
        <f>$J5544*($G5544-$G5543)*60*24</f>
        <v>5.6242709599999802E-2</v>
      </c>
    </row>
    <row r="5545" spans="1:12">
      <c r="A5545" s="22">
        <v>40314.482638888891</v>
      </c>
      <c r="E5545" s="26">
        <v>153.98288400000001</v>
      </c>
      <c r="G5545" s="27">
        <v>0.4826388888888889</v>
      </c>
      <c r="J5545" s="30">
        <f>IF(G5545&lt;$H$10,$H$16,IF(G5545&gt;$I$10,$H$16,$H$11))*E5545/600</f>
        <v>5.6460390800000003E-2</v>
      </c>
      <c r="L5545" s="32">
        <f>$J5545*($G5545-$G5544)*60*24</f>
        <v>5.6460390799999809E-2</v>
      </c>
    </row>
    <row r="5546" spans="1:12">
      <c r="A5546" s="22">
        <v>40314.48333333333</v>
      </c>
      <c r="E5546" s="26">
        <v>153.70624000000001</v>
      </c>
      <c r="G5546" s="27">
        <v>0.48333333333333334</v>
      </c>
      <c r="J5546" s="30">
        <f>IF(G5546&lt;$H$10,$H$16,IF(G5546&gt;$I$10,$H$16,$H$11))*E5546/600</f>
        <v>5.6358954666666662E-2</v>
      </c>
      <c r="L5546" s="32">
        <f>$J5546*($G5546-$G5545)*60*24</f>
        <v>5.6358954666666461E-2</v>
      </c>
    </row>
    <row r="5547" spans="1:12">
      <c r="A5547" s="22">
        <v>40314.484027777777</v>
      </c>
      <c r="E5547" s="26">
        <v>154.19181599999999</v>
      </c>
      <c r="G5547" s="27">
        <v>0.48402777777777778</v>
      </c>
      <c r="J5547" s="30">
        <f>IF(G5547&lt;$H$10,$H$16,IF(G5547&gt;$I$10,$H$16,$H$11))*E5547/600</f>
        <v>5.65369992E-2</v>
      </c>
      <c r="L5547" s="32">
        <f>$J5547*($G5547-$G5546)*60*24</f>
        <v>5.6536999199999799E-2</v>
      </c>
    </row>
    <row r="5548" spans="1:12">
      <c r="A5548" s="22">
        <v>40314.484722222223</v>
      </c>
      <c r="E5548" s="26">
        <v>153.98288400000001</v>
      </c>
      <c r="G5548" s="27">
        <v>0.48472222222222222</v>
      </c>
      <c r="J5548" s="30">
        <f>IF(G5548&lt;$H$10,$H$16,IF(G5548&gt;$I$10,$H$16,$H$11))*E5548/600</f>
        <v>5.6460390800000003E-2</v>
      </c>
      <c r="L5548" s="32">
        <f>$J5548*($G5548-$G5547)*60*24</f>
        <v>5.6460390799999809E-2</v>
      </c>
    </row>
    <row r="5549" spans="1:12">
      <c r="A5549" s="22">
        <v>40314.48541666667</v>
      </c>
      <c r="E5549" s="26">
        <v>154.098896</v>
      </c>
      <c r="G5549" s="27">
        <v>0.48541666666666666</v>
      </c>
      <c r="J5549" s="30">
        <f>IF(G5549&lt;$H$10,$H$16,IF(G5549&gt;$I$10,$H$16,$H$11))*E5549/600</f>
        <v>5.650292853333333E-2</v>
      </c>
      <c r="L5549" s="32">
        <f>$J5549*($G5549-$G5548)*60*24</f>
        <v>5.6502928533333129E-2</v>
      </c>
    </row>
    <row r="5550" spans="1:12">
      <c r="A5550" s="22">
        <v>40314.486111111109</v>
      </c>
      <c r="E5550" s="26">
        <v>153.98812799999999</v>
      </c>
      <c r="G5550" s="27">
        <v>0.4861111111111111</v>
      </c>
      <c r="J5550" s="30">
        <f>IF(G5550&lt;$H$10,$H$16,IF(G5550&gt;$I$10,$H$16,$H$11))*E5550/600</f>
        <v>5.6462313599999994E-2</v>
      </c>
      <c r="L5550" s="32">
        <f>$J5550*($G5550-$G5549)*60*24</f>
        <v>5.64623135999998E-2</v>
      </c>
    </row>
    <row r="5551" spans="1:12">
      <c r="A5551" s="22">
        <v>40314.486805555556</v>
      </c>
      <c r="E5551" s="26">
        <v>153.11357599999999</v>
      </c>
      <c r="G5551" s="27">
        <v>0.48680555555555555</v>
      </c>
      <c r="J5551" s="30">
        <f>IF(G5551&lt;$H$10,$H$16,IF(G5551&gt;$I$10,$H$16,$H$11))*E5551/600</f>
        <v>5.6141644533333326E-2</v>
      </c>
      <c r="L5551" s="32">
        <f>$J5551*($G5551-$G5550)*60*24</f>
        <v>5.6141644533333118E-2</v>
      </c>
    </row>
    <row r="5552" spans="1:12">
      <c r="A5552" s="22">
        <v>40314.487500000003</v>
      </c>
      <c r="E5552" s="26">
        <v>154.48253600000001</v>
      </c>
      <c r="G5552" s="27">
        <v>0.48749999999999999</v>
      </c>
      <c r="J5552" s="30">
        <f>IF(G5552&lt;$H$10,$H$16,IF(G5552&gt;$I$10,$H$16,$H$11))*E5552/600</f>
        <v>5.664359653333334E-2</v>
      </c>
      <c r="L5552" s="32">
        <f>$J5552*($G5552-$G5551)*60*24</f>
        <v>5.6643596533333146E-2</v>
      </c>
    </row>
    <row r="5553" spans="1:12">
      <c r="A5553" s="22">
        <v>40314.488194444442</v>
      </c>
      <c r="E5553" s="26">
        <v>155.1626</v>
      </c>
      <c r="G5553" s="27">
        <v>0.48819444444444443</v>
      </c>
      <c r="J5553" s="30">
        <f>IF(G5553&lt;$H$10,$H$16,IF(G5553&gt;$I$10,$H$16,$H$11))*E5553/600</f>
        <v>5.6892953333333336E-2</v>
      </c>
      <c r="L5553" s="32">
        <f>$J5553*($G5553-$G5552)*60*24</f>
        <v>5.6892953333333135E-2</v>
      </c>
    </row>
    <row r="5554" spans="1:12">
      <c r="A5554" s="22">
        <v>40314.488888888889</v>
      </c>
      <c r="E5554" s="26">
        <v>154.26928000000001</v>
      </c>
      <c r="G5554" s="27">
        <v>0.48888888888888887</v>
      </c>
      <c r="J5554" s="30">
        <f>IF(G5554&lt;$H$10,$H$16,IF(G5554&gt;$I$10,$H$16,$H$11))*E5554/600</f>
        <v>5.6565402666666674E-2</v>
      </c>
      <c r="L5554" s="32">
        <f>$J5554*($G5554-$G5553)*60*24</f>
        <v>5.6565402666666473E-2</v>
      </c>
    </row>
    <row r="5555" spans="1:12">
      <c r="A5555" s="22">
        <v>40314.489583333336</v>
      </c>
      <c r="E5555" s="26">
        <v>154.48713599999999</v>
      </c>
      <c r="G5555" s="27">
        <v>0.48958333333333331</v>
      </c>
      <c r="J5555" s="30">
        <f>IF(G5555&lt;$H$10,$H$16,IF(G5555&gt;$I$10,$H$16,$H$11))*E5555/600</f>
        <v>5.66452832E-2</v>
      </c>
      <c r="L5555" s="32">
        <f>$J5555*($G5555-$G5554)*60*24</f>
        <v>5.6645283199999799E-2</v>
      </c>
    </row>
    <row r="5556" spans="1:12">
      <c r="A5556" s="22">
        <v>40314.490277777775</v>
      </c>
      <c r="E5556" s="26">
        <v>153.73052799999999</v>
      </c>
      <c r="G5556" s="27">
        <v>0.49027777777777781</v>
      </c>
      <c r="J5556" s="30">
        <f>IF(G5556&lt;$H$10,$H$16,IF(G5556&gt;$I$10,$H$16,$H$11))*E5556/600</f>
        <v>5.636786026666666E-2</v>
      </c>
      <c r="L5556" s="32">
        <f>$J5556*($G5556-$G5555)*60*24</f>
        <v>5.6367860266670962E-2</v>
      </c>
    </row>
    <row r="5557" spans="1:12">
      <c r="A5557" s="22">
        <v>40314.490972222222</v>
      </c>
      <c r="E5557" s="26">
        <v>153.11707200000001</v>
      </c>
      <c r="G5557" s="27">
        <v>0.4909722222222222</v>
      </c>
      <c r="J5557" s="30">
        <f>IF(G5557&lt;$H$10,$H$16,IF(G5557&gt;$I$10,$H$16,$H$11))*E5557/600</f>
        <v>5.6142926400000001E-2</v>
      </c>
      <c r="L5557" s="32">
        <f>$J5557*($G5557-$G5556)*60*24</f>
        <v>5.614292639999531E-2</v>
      </c>
    </row>
    <row r="5558" spans="1:12">
      <c r="A5558" s="22">
        <v>40314.491666666669</v>
      </c>
      <c r="E5558" s="26">
        <v>153.25268</v>
      </c>
      <c r="G5558" s="27">
        <v>0.4916666666666667</v>
      </c>
      <c r="J5558" s="30">
        <f>IF(G5558&lt;$H$10,$H$16,IF(G5558&gt;$I$10,$H$16,$H$11))*E5558/600</f>
        <v>5.6192649333333337E-2</v>
      </c>
      <c r="L5558" s="32">
        <f>$J5558*($G5558-$G5557)*60*24</f>
        <v>5.6192649333337633E-2</v>
      </c>
    </row>
    <row r="5559" spans="1:12">
      <c r="A5559" s="22">
        <v>40314.492361111108</v>
      </c>
      <c r="E5559" s="26">
        <v>153.17337599999999</v>
      </c>
      <c r="G5559" s="27">
        <v>0.49236111111111108</v>
      </c>
      <c r="J5559" s="30">
        <f>IF(G5559&lt;$H$10,$H$16,IF(G5559&gt;$I$10,$H$16,$H$11))*E5559/600</f>
        <v>5.6163571199999998E-2</v>
      </c>
      <c r="L5559" s="32">
        <f>$J5559*($G5559-$G5558)*60*24</f>
        <v>5.6163571199995307E-2</v>
      </c>
    </row>
    <row r="5560" spans="1:12">
      <c r="A5560" s="22">
        <v>40314.493055555555</v>
      </c>
      <c r="E5560" s="26">
        <v>153.45231999999999</v>
      </c>
      <c r="G5560" s="27">
        <v>0.49305555555555558</v>
      </c>
      <c r="J5560" s="30">
        <f>IF(G5560&lt;$H$10,$H$16,IF(G5560&gt;$I$10,$H$16,$H$11))*E5560/600</f>
        <v>5.6265850666666659E-2</v>
      </c>
      <c r="L5560" s="32">
        <f>$J5560*($G5560-$G5559)*60*24</f>
        <v>5.6265850666670947E-2</v>
      </c>
    </row>
    <row r="5561" spans="1:12">
      <c r="A5561" s="22">
        <v>40314.493750000001</v>
      </c>
      <c r="E5561" s="26">
        <v>153.45231999999999</v>
      </c>
      <c r="G5561" s="27">
        <v>0.49374999999999997</v>
      </c>
      <c r="J5561" s="30">
        <f>IF(G5561&lt;$H$10,$H$16,IF(G5561&gt;$I$10,$H$16,$H$11))*E5561/600</f>
        <v>5.6265850666666659E-2</v>
      </c>
      <c r="L5561" s="32">
        <f>$J5561*($G5561-$G5560)*60*24</f>
        <v>5.6265850666661968E-2</v>
      </c>
    </row>
    <row r="5562" spans="1:12">
      <c r="A5562" s="22">
        <v>40314.494444444441</v>
      </c>
      <c r="E5562" s="26">
        <v>154.077</v>
      </c>
      <c r="G5562" s="27">
        <v>0.49444444444444446</v>
      </c>
      <c r="J5562" s="30">
        <f>IF(G5562&lt;$H$10,$H$16,IF(G5562&gt;$I$10,$H$16,$H$11))*E5562/600</f>
        <v>5.6494900000000001E-2</v>
      </c>
      <c r="L5562" s="32">
        <f>$J5562*($G5562-$G5561)*60*24</f>
        <v>5.649490000000431E-2</v>
      </c>
    </row>
    <row r="5563" spans="1:12">
      <c r="A5563" s="22">
        <v>40314.495138888888</v>
      </c>
      <c r="E5563" s="26">
        <v>153.046784</v>
      </c>
      <c r="G5563" s="27">
        <v>0.49513888888888885</v>
      </c>
      <c r="J5563" s="30">
        <f>IF(G5563&lt;$H$10,$H$16,IF(G5563&gt;$I$10,$H$16,$H$11))*E5563/600</f>
        <v>5.6117154133333333E-2</v>
      </c>
      <c r="L5563" s="32">
        <f>$J5563*($G5563-$G5562)*60*24</f>
        <v>5.6117154133328649E-2</v>
      </c>
    </row>
    <row r="5564" spans="1:12">
      <c r="A5564" s="22">
        <v>40314.495833333334</v>
      </c>
      <c r="E5564" s="26">
        <v>153.11743999999999</v>
      </c>
      <c r="G5564" s="27">
        <v>0.49583333333333335</v>
      </c>
      <c r="J5564" s="30">
        <f>IF(G5564&lt;$H$10,$H$16,IF(G5564&gt;$I$10,$H$16,$H$11))*E5564/600</f>
        <v>5.6143061333333327E-2</v>
      </c>
      <c r="L5564" s="32">
        <f>$J5564*($G5564-$G5563)*60*24</f>
        <v>5.6143061333337616E-2</v>
      </c>
    </row>
    <row r="5565" spans="1:12">
      <c r="A5565" s="22">
        <v>40314.496527777781</v>
      </c>
      <c r="E5565" s="26">
        <v>153.11817600000001</v>
      </c>
      <c r="G5565" s="27">
        <v>0.49652777777777773</v>
      </c>
      <c r="J5565" s="30">
        <f>IF(G5565&lt;$H$10,$H$16,IF(G5565&gt;$I$10,$H$16,$H$11))*E5565/600</f>
        <v>5.61433312E-2</v>
      </c>
      <c r="L5565" s="32">
        <f>$J5565*($G5565-$G5564)*60*24</f>
        <v>5.6143331199995317E-2</v>
      </c>
    </row>
    <row r="5566" spans="1:12">
      <c r="A5566" s="22">
        <v>40314.49722222222</v>
      </c>
      <c r="E5566" s="26">
        <v>157.65119999999999</v>
      </c>
      <c r="G5566" s="27">
        <v>0.49722222222222223</v>
      </c>
      <c r="J5566" s="30">
        <f>IF(G5566&lt;$H$10,$H$16,IF(G5566&gt;$I$10,$H$16,$H$11))*E5566/600</f>
        <v>5.780544E-2</v>
      </c>
      <c r="L5566" s="32">
        <f>$J5566*($G5566-$G5565)*60*24</f>
        <v>5.7805440000004413E-2</v>
      </c>
    </row>
    <row r="5567" spans="1:12">
      <c r="A5567" s="22">
        <v>40314.497916666667</v>
      </c>
      <c r="E5567" s="26">
        <v>180.87103999999999</v>
      </c>
      <c r="G5567" s="27">
        <v>0.49791666666666662</v>
      </c>
      <c r="J5567" s="30">
        <f>IF(G5567&lt;$H$10,$H$16,IF(G5567&gt;$I$10,$H$16,$H$11))*E5567/600</f>
        <v>6.631938133333333E-2</v>
      </c>
      <c r="L5567" s="32">
        <f>$J5567*($G5567-$G5566)*60*24</f>
        <v>6.6319381333327793E-2</v>
      </c>
    </row>
    <row r="5568" spans="1:12">
      <c r="A5568" s="22">
        <v>40314.498611111114</v>
      </c>
      <c r="E5568" s="26">
        <v>177.80558400000001</v>
      </c>
      <c r="G5568" s="27">
        <v>0.49861111111111112</v>
      </c>
      <c r="J5568" s="30">
        <f>IF(G5568&lt;$H$10,$H$16,IF(G5568&gt;$I$10,$H$16,$H$11))*E5568/600</f>
        <v>6.5195380800000008E-2</v>
      </c>
      <c r="L5568" s="32">
        <f>$J5568*($G5568-$G5567)*60*24</f>
        <v>6.519538080000499E-2</v>
      </c>
    </row>
    <row r="5569" spans="1:12">
      <c r="A5569" s="22">
        <v>40314.499305555553</v>
      </c>
      <c r="E5569" s="26">
        <v>155.38800000000001</v>
      </c>
      <c r="G5569" s="27">
        <v>0.4993055555555555</v>
      </c>
      <c r="J5569" s="30">
        <f>IF(G5569&lt;$H$10,$H$16,IF(G5569&gt;$I$10,$H$16,$H$11))*E5569/600</f>
        <v>5.6975600000000008E-2</v>
      </c>
      <c r="L5569" s="32">
        <f>$J5569*($G5569-$G5568)*60*24</f>
        <v>5.6975599999995255E-2</v>
      </c>
    </row>
    <row r="5570" spans="1:12">
      <c r="A5570" s="22">
        <v>40314.5</v>
      </c>
      <c r="E5570" s="26">
        <v>156.33192</v>
      </c>
      <c r="G5570" s="27">
        <v>0.5</v>
      </c>
      <c r="J5570" s="30">
        <f>IF(G5570&lt;$H$10,$H$16,IF(G5570&gt;$I$10,$H$16,$H$11))*E5570/600</f>
        <v>5.7321704000000001E-2</v>
      </c>
      <c r="L5570" s="32">
        <f>$J5570*($G5570-$G5569)*60*24</f>
        <v>5.7321704000004386E-2</v>
      </c>
    </row>
    <row r="5571" spans="1:12">
      <c r="A5571" s="22">
        <v>40314.500694444447</v>
      </c>
      <c r="E5571" s="26">
        <v>155.723984</v>
      </c>
      <c r="G5571" s="27">
        <v>0.50069444444444444</v>
      </c>
      <c r="J5571" s="30">
        <f>IF(G5571&lt;$H$10,$H$16,IF(G5571&gt;$I$10,$H$16,$H$11))*E5571/600</f>
        <v>5.7098794133333339E-2</v>
      </c>
      <c r="L5571" s="32">
        <f>$J5571*($G5571-$G5570)*60*24</f>
        <v>5.7098794133333131E-2</v>
      </c>
    </row>
    <row r="5572" spans="1:12">
      <c r="A5572" s="22">
        <v>40314.501388888886</v>
      </c>
      <c r="E5572" s="26">
        <v>155.44872000000001</v>
      </c>
      <c r="G5572" s="27">
        <v>0.50138888888888888</v>
      </c>
      <c r="J5572" s="30">
        <f>IF(G5572&lt;$H$10,$H$16,IF(G5572&gt;$I$10,$H$16,$H$11))*E5572/600</f>
        <v>5.6997864000000009E-2</v>
      </c>
      <c r="L5572" s="32">
        <f>$J5572*($G5572-$G5571)*60*24</f>
        <v>5.6997863999999815E-2</v>
      </c>
    </row>
    <row r="5573" spans="1:12">
      <c r="A5573" s="22">
        <v>40314.502083333333</v>
      </c>
      <c r="E5573" s="26">
        <v>154.42282800000001</v>
      </c>
      <c r="G5573" s="27">
        <v>0.50208333333333333</v>
      </c>
      <c r="J5573" s="30">
        <f>IF(G5573&lt;$H$10,$H$16,IF(G5573&gt;$I$10,$H$16,$H$11))*E5573/600</f>
        <v>5.6621703599999997E-2</v>
      </c>
      <c r="L5573" s="32">
        <f>$J5573*($G5573-$G5572)*60*24</f>
        <v>5.6621703599999795E-2</v>
      </c>
    </row>
    <row r="5574" spans="1:12">
      <c r="A5574" s="22">
        <v>40314.50277777778</v>
      </c>
      <c r="E5574" s="26">
        <v>156.07882799999999</v>
      </c>
      <c r="G5574" s="27">
        <v>0.50277777777777777</v>
      </c>
      <c r="J5574" s="30">
        <f>IF(G5574&lt;$H$10,$H$16,IF(G5574&gt;$I$10,$H$16,$H$11))*E5574/600</f>
        <v>5.7228903599999999E-2</v>
      </c>
      <c r="L5574" s="32">
        <f>$J5574*($G5574-$G5573)*60*24</f>
        <v>5.7228903599999791E-2</v>
      </c>
    </row>
    <row r="5575" spans="1:12">
      <c r="A5575" s="22">
        <v>40314.503472222219</v>
      </c>
      <c r="E5575" s="26">
        <v>153.42361600000001</v>
      </c>
      <c r="G5575" s="27">
        <v>0.50347222222222221</v>
      </c>
      <c r="J5575" s="30">
        <f>IF(G5575&lt;$H$10,$H$16,IF(G5575&gt;$I$10,$H$16,$H$11))*E5575/600</f>
        <v>5.6255325866666678E-2</v>
      </c>
      <c r="L5575" s="32">
        <f>$J5575*($G5575-$G5574)*60*24</f>
        <v>5.625532586666647E-2</v>
      </c>
    </row>
    <row r="5576" spans="1:12">
      <c r="A5576" s="22">
        <v>40314.504166666666</v>
      </c>
      <c r="E5576" s="26">
        <v>151.915491</v>
      </c>
      <c r="G5576" s="27">
        <v>0.50416666666666665</v>
      </c>
      <c r="J5576" s="30">
        <f>IF(G5576&lt;$H$10,$H$16,IF(G5576&gt;$I$10,$H$16,$H$11))*E5576/600</f>
        <v>5.5702346700000002E-2</v>
      </c>
      <c r="L5576" s="32">
        <f>$J5576*($G5576-$G5575)*60*24</f>
        <v>5.5702346699999794E-2</v>
      </c>
    </row>
    <row r="5577" spans="1:12">
      <c r="A5577" s="22">
        <v>40314.504861111112</v>
      </c>
      <c r="E5577" s="26">
        <v>152.25574</v>
      </c>
      <c r="G5577" s="27">
        <v>0.50486111111111109</v>
      </c>
      <c r="J5577" s="30">
        <f>IF(G5577&lt;$H$10,$H$16,IF(G5577&gt;$I$10,$H$16,$H$11))*E5577/600</f>
        <v>5.5827104666666676E-2</v>
      </c>
      <c r="L5577" s="32">
        <f>$J5577*($G5577-$G5576)*60*24</f>
        <v>5.5827104666666481E-2</v>
      </c>
    </row>
    <row r="5578" spans="1:12">
      <c r="A5578" s="22">
        <v>40314.505555555559</v>
      </c>
      <c r="E5578" s="26">
        <v>152.73121499999999</v>
      </c>
      <c r="G5578" s="27">
        <v>0.50555555555555554</v>
      </c>
      <c r="J5578" s="30">
        <f>IF(G5578&lt;$H$10,$H$16,IF(G5578&gt;$I$10,$H$16,$H$11))*E5578/600</f>
        <v>5.6001445499999997E-2</v>
      </c>
      <c r="L5578" s="32">
        <f>$J5578*($G5578-$G5577)*60*24</f>
        <v>5.6001445499999795E-2</v>
      </c>
    </row>
    <row r="5579" spans="1:12">
      <c r="A5579" s="22">
        <v>40314.506249999999</v>
      </c>
      <c r="E5579" s="26">
        <v>152.37622400000001</v>
      </c>
      <c r="G5579" s="27">
        <v>0.50624999999999998</v>
      </c>
      <c r="J5579" s="30">
        <f>IF(G5579&lt;$H$10,$H$16,IF(G5579&gt;$I$10,$H$16,$H$11))*E5579/600</f>
        <v>5.5871282133333332E-2</v>
      </c>
      <c r="L5579" s="32">
        <f>$J5579*($G5579-$G5578)*60*24</f>
        <v>5.5871282133333131E-2</v>
      </c>
    </row>
    <row r="5580" spans="1:12">
      <c r="A5580" s="22">
        <v>40314.506944444445</v>
      </c>
      <c r="E5580" s="26">
        <v>152.778626</v>
      </c>
      <c r="G5580" s="27">
        <v>0.50694444444444442</v>
      </c>
      <c r="J5580" s="30">
        <f>IF(G5580&lt;$H$10,$H$16,IF(G5580&gt;$I$10,$H$16,$H$11))*E5580/600</f>
        <v>5.6018829533333342E-2</v>
      </c>
      <c r="L5580" s="32">
        <f>$J5580*($G5580-$G5579)*60*24</f>
        <v>5.6018829533333141E-2</v>
      </c>
    </row>
    <row r="5581" spans="1:12">
      <c r="A5581" s="22">
        <v>40314.507638888892</v>
      </c>
      <c r="E5581" s="26">
        <v>153.93127200000001</v>
      </c>
      <c r="G5581" s="27">
        <v>0.50763888888888886</v>
      </c>
      <c r="J5581" s="30">
        <f>IF(G5581&lt;$H$10,$H$16,IF(G5581&gt;$I$10,$H$16,$H$11))*E5581/600</f>
        <v>5.6441466400000001E-2</v>
      </c>
      <c r="L5581" s="32">
        <f>$J5581*($G5581-$G5580)*60*24</f>
        <v>5.6441466399999807E-2</v>
      </c>
    </row>
    <row r="5582" spans="1:12">
      <c r="A5582" s="22">
        <v>40314.508333333331</v>
      </c>
      <c r="E5582" s="26">
        <v>154.31988000000001</v>
      </c>
      <c r="G5582" s="27">
        <v>0.5083333333333333</v>
      </c>
      <c r="J5582" s="30">
        <f>IF(G5582&lt;$H$10,$H$16,IF(G5582&gt;$I$10,$H$16,$H$11))*E5582/600</f>
        <v>5.6583956000000012E-2</v>
      </c>
      <c r="L5582" s="32">
        <f>$J5582*($G5582-$G5581)*60*24</f>
        <v>5.6583955999999817E-2</v>
      </c>
    </row>
    <row r="5583" spans="1:12">
      <c r="A5583" s="22">
        <v>40314.509027777778</v>
      </c>
      <c r="E5583" s="26">
        <v>153.723444</v>
      </c>
      <c r="G5583" s="27">
        <v>0.50902777777777775</v>
      </c>
      <c r="J5583" s="30">
        <f>IF(G5583&lt;$H$10,$H$16,IF(G5583&gt;$I$10,$H$16,$H$11))*E5583/600</f>
        <v>5.6365262800000003E-2</v>
      </c>
      <c r="L5583" s="32">
        <f>$J5583*($G5583-$G5582)*60*24</f>
        <v>5.6365262799999795E-2</v>
      </c>
    </row>
    <row r="5584" spans="1:12">
      <c r="A5584" s="22">
        <v>40314.509722222225</v>
      </c>
      <c r="E5584" s="26">
        <v>165.215709</v>
      </c>
      <c r="G5584" s="27">
        <v>0.50972222222222219</v>
      </c>
      <c r="J5584" s="30">
        <f>IF(G5584&lt;$H$10,$H$16,IF(G5584&gt;$I$10,$H$16,$H$11))*E5584/600</f>
        <v>6.0579093299999998E-2</v>
      </c>
      <c r="L5584" s="32">
        <f>$J5584*($G5584-$G5583)*60*24</f>
        <v>6.0579093299999776E-2</v>
      </c>
    </row>
    <row r="5585" spans="1:12">
      <c r="A5585" s="22">
        <v>40314.510416666664</v>
      </c>
      <c r="E5585" s="26">
        <v>181.72305600000001</v>
      </c>
      <c r="G5585" s="27">
        <v>0.51041666666666663</v>
      </c>
      <c r="J5585" s="30">
        <f>IF(G5585&lt;$H$10,$H$16,IF(G5585&gt;$I$10,$H$16,$H$11))*E5585/600</f>
        <v>6.6631787200000001E-2</v>
      </c>
      <c r="L5585" s="32">
        <f>$J5585*($G5585-$G5584)*60*24</f>
        <v>6.6631787199999765E-2</v>
      </c>
    </row>
    <row r="5586" spans="1:12">
      <c r="A5586" s="22">
        <v>40314.511111111111</v>
      </c>
      <c r="E5586" s="26">
        <v>180.31832</v>
      </c>
      <c r="G5586" s="27">
        <v>0.51111111111111118</v>
      </c>
      <c r="J5586" s="30">
        <f>IF(G5586&lt;$H$10,$H$16,IF(G5586&gt;$I$10,$H$16,$H$11))*E5586/600</f>
        <v>6.6116717333333339E-2</v>
      </c>
      <c r="L5586" s="32">
        <f>$J5586*($G5586-$G5585)*60*24</f>
        <v>6.6116717333343678E-2</v>
      </c>
    </row>
    <row r="5587" spans="1:12">
      <c r="A5587" s="22">
        <v>40314.511805555558</v>
      </c>
      <c r="E5587" s="26">
        <v>179.76635200000001</v>
      </c>
      <c r="G5587" s="27">
        <v>0.51180555555555551</v>
      </c>
      <c r="J5587" s="30">
        <f>IF(G5587&lt;$H$10,$H$16,IF(G5587&gt;$I$10,$H$16,$H$11))*E5587/600</f>
        <v>6.5914329066666666E-2</v>
      </c>
      <c r="L5587" s="32">
        <f>$J5587*($G5587-$G5586)*60*24</f>
        <v>6.5914329066655897E-2</v>
      </c>
    </row>
    <row r="5588" spans="1:12">
      <c r="A5588" s="22">
        <v>40314.512499999997</v>
      </c>
      <c r="E5588" s="26">
        <v>180.806556</v>
      </c>
      <c r="G5588" s="27">
        <v>0.51250000000000007</v>
      </c>
      <c r="J5588" s="30">
        <f>IF(G5588&lt;$H$10,$H$16,IF(G5588&gt;$I$10,$H$16,$H$11))*E5588/600</f>
        <v>6.6295737199999996E-2</v>
      </c>
      <c r="L5588" s="32">
        <f>$J5588*($G5588-$G5587)*60*24</f>
        <v>6.6295737200010363E-2</v>
      </c>
    </row>
    <row r="5589" spans="1:12">
      <c r="A5589" s="22">
        <v>40314.513194444444</v>
      </c>
      <c r="E5589" s="26">
        <v>178.65653399999999</v>
      </c>
      <c r="G5589" s="27">
        <v>0.5131944444444444</v>
      </c>
      <c r="J5589" s="30">
        <f>IF(G5589&lt;$H$10,$H$16,IF(G5589&gt;$I$10,$H$16,$H$11))*E5589/600</f>
        <v>6.5507395799999993E-2</v>
      </c>
      <c r="L5589" s="32">
        <f>$J5589*($G5589-$G5588)*60*24</f>
        <v>6.5507395799989293E-2</v>
      </c>
    </row>
    <row r="5590" spans="1:12">
      <c r="A5590" s="22">
        <v>40314.513888888891</v>
      </c>
      <c r="E5590" s="26">
        <v>178.73856000000001</v>
      </c>
      <c r="G5590" s="27">
        <v>0.51388888888888895</v>
      </c>
      <c r="J5590" s="30">
        <f>IF(G5590&lt;$H$10,$H$16,IF(G5590&gt;$I$10,$H$16,$H$11))*E5590/600</f>
        <v>6.5537471999999999E-2</v>
      </c>
      <c r="L5590" s="32">
        <f>$J5590*($G5590-$G5589)*60*24</f>
        <v>6.5537472000010255E-2</v>
      </c>
    </row>
    <row r="5591" spans="1:12">
      <c r="A5591" s="22">
        <v>40314.51458333333</v>
      </c>
      <c r="E5591" s="26">
        <v>177.95456999999999</v>
      </c>
      <c r="G5591" s="27">
        <v>0.51458333333333328</v>
      </c>
      <c r="J5591" s="30">
        <f>IF(G5591&lt;$H$10,$H$16,IF(G5591&gt;$I$10,$H$16,$H$11))*E5591/600</f>
        <v>6.5250008999999998E-2</v>
      </c>
      <c r="L5591" s="32">
        <f>$J5591*($G5591-$G5590)*60*24</f>
        <v>6.525000899998934E-2</v>
      </c>
    </row>
    <row r="5592" spans="1:12">
      <c r="A5592" s="22">
        <v>40314.515277777777</v>
      </c>
      <c r="E5592" s="26">
        <v>178.06812300000001</v>
      </c>
      <c r="G5592" s="27">
        <v>0.51527777777777783</v>
      </c>
      <c r="J5592" s="30">
        <f>IF(G5592&lt;$H$10,$H$16,IF(G5592&gt;$I$10,$H$16,$H$11))*E5592/600</f>
        <v>6.5291645100000018E-2</v>
      </c>
      <c r="L5592" s="32">
        <f>$J5592*($G5592-$G5591)*60*24</f>
        <v>6.5291645100010232E-2</v>
      </c>
    </row>
    <row r="5593" spans="1:12">
      <c r="A5593" s="22">
        <v>40314.515972222223</v>
      </c>
      <c r="E5593" s="26">
        <v>178.10020800000001</v>
      </c>
      <c r="G5593" s="27">
        <v>0.51597222222222217</v>
      </c>
      <c r="J5593" s="30">
        <f>IF(G5593&lt;$H$10,$H$16,IF(G5593&gt;$I$10,$H$16,$H$11))*E5593/600</f>
        <v>6.5303409600000001E-2</v>
      </c>
      <c r="L5593" s="32">
        <f>$J5593*($G5593-$G5592)*60*24</f>
        <v>6.5303409599989329E-2</v>
      </c>
    </row>
    <row r="5594" spans="1:12">
      <c r="A5594" s="22">
        <v>40314.51666666667</v>
      </c>
      <c r="E5594" s="26">
        <v>179.68522999999999</v>
      </c>
      <c r="G5594" s="27">
        <v>0.51666666666666672</v>
      </c>
      <c r="J5594" s="30">
        <f>IF(G5594&lt;$H$10,$H$16,IF(G5594&gt;$I$10,$H$16,$H$11))*E5594/600</f>
        <v>6.5884584333333329E-2</v>
      </c>
      <c r="L5594" s="32">
        <f>$J5594*($G5594-$G5593)*60*24</f>
        <v>6.588458433334364E-2</v>
      </c>
    </row>
    <row r="5595" spans="1:12">
      <c r="A5595" s="22">
        <v>40314.517361111109</v>
      </c>
      <c r="E5595" s="26">
        <v>179.55804800000001</v>
      </c>
      <c r="G5595" s="27">
        <v>0.51736111111111105</v>
      </c>
      <c r="J5595" s="30">
        <f>IF(G5595&lt;$H$10,$H$16,IF(G5595&gt;$I$10,$H$16,$H$11))*E5595/600</f>
        <v>6.5837950933333333E-2</v>
      </c>
      <c r="L5595" s="32">
        <f>$J5595*($G5595-$G5594)*60*24</f>
        <v>6.5837950933322564E-2</v>
      </c>
    </row>
    <row r="5596" spans="1:12">
      <c r="A5596" s="22">
        <v>40314.518055555556</v>
      </c>
      <c r="E5596" s="26">
        <v>179.42080799999999</v>
      </c>
      <c r="G5596" s="27">
        <v>0.5180555555555556</v>
      </c>
      <c r="J5596" s="30">
        <f>IF(G5596&lt;$H$10,$H$16,IF(G5596&gt;$I$10,$H$16,$H$11))*E5596/600</f>
        <v>6.5787629599999994E-2</v>
      </c>
      <c r="L5596" s="32">
        <f>$J5596*($G5596-$G5595)*60*24</f>
        <v>6.5787629600010278E-2</v>
      </c>
    </row>
    <row r="5597" spans="1:12">
      <c r="A5597" s="22">
        <v>40314.518750000003</v>
      </c>
      <c r="E5597" s="26">
        <v>180.07955999999999</v>
      </c>
      <c r="G5597" s="27">
        <v>0.51874999999999993</v>
      </c>
      <c r="J5597" s="30">
        <f>IF(G5597&lt;$H$10,$H$16,IF(G5597&gt;$I$10,$H$16,$H$11))*E5597/600</f>
        <v>6.6029171999999997E-2</v>
      </c>
      <c r="L5597" s="32">
        <f>$J5597*($G5597-$G5596)*60*24</f>
        <v>6.6029171999989214E-2</v>
      </c>
    </row>
    <row r="5598" spans="1:12">
      <c r="A5598" s="22">
        <v>40314.519444444442</v>
      </c>
      <c r="E5598" s="26">
        <v>178.43538000000001</v>
      </c>
      <c r="G5598" s="27">
        <v>0.51944444444444449</v>
      </c>
      <c r="J5598" s="30">
        <f>IF(G5598&lt;$H$10,$H$16,IF(G5598&gt;$I$10,$H$16,$H$11))*E5598/600</f>
        <v>6.5426306000000004E-2</v>
      </c>
      <c r="L5598" s="32">
        <f>$J5598*($G5598-$G5597)*60*24</f>
        <v>6.5426306000010231E-2</v>
      </c>
    </row>
    <row r="5599" spans="1:12">
      <c r="A5599" s="22">
        <v>40314.520138888889</v>
      </c>
      <c r="E5599" s="26">
        <v>177.984702</v>
      </c>
      <c r="G5599" s="27">
        <v>0.52013888888888882</v>
      </c>
      <c r="J5599" s="30">
        <f>IF(G5599&lt;$H$10,$H$16,IF(G5599&gt;$I$10,$H$16,$H$11))*E5599/600</f>
        <v>6.5261057400000003E-2</v>
      </c>
      <c r="L5599" s="32">
        <f>$J5599*($G5599-$G5598)*60*24</f>
        <v>6.5261057399989331E-2</v>
      </c>
    </row>
    <row r="5600" spans="1:12">
      <c r="A5600" s="22">
        <v>40314.520833333336</v>
      </c>
      <c r="E5600" s="26">
        <v>177.48864</v>
      </c>
      <c r="G5600" s="27">
        <v>0.52083333333333337</v>
      </c>
      <c r="J5600" s="30">
        <f>IF(G5600&lt;$H$10,$H$16,IF(G5600&gt;$I$10,$H$16,$H$11))*E5600/600</f>
        <v>6.5079168000000007E-2</v>
      </c>
      <c r="L5600" s="32">
        <f>$J5600*($G5600-$G5599)*60*24</f>
        <v>6.5079168000010179E-2</v>
      </c>
    </row>
    <row r="5601" spans="1:12">
      <c r="A5601" s="22">
        <v>40314.521527777775</v>
      </c>
      <c r="E5601" s="26">
        <v>175.32174000000001</v>
      </c>
      <c r="G5601" s="27">
        <v>0.52152777777777781</v>
      </c>
      <c r="J5601" s="30">
        <f>IF(G5601&lt;$H$10,$H$16,IF(G5601&gt;$I$10,$H$16,$H$11))*E5601/600</f>
        <v>6.4284638000000005E-2</v>
      </c>
      <c r="L5601" s="32">
        <f>$J5601*($G5601-$G5600)*60*24</f>
        <v>6.4284637999999783E-2</v>
      </c>
    </row>
    <row r="5602" spans="1:12">
      <c r="A5602" s="22">
        <v>40314.522222222222</v>
      </c>
      <c r="E5602" s="26">
        <v>175.02451199999999</v>
      </c>
      <c r="G5602" s="27">
        <v>0.52222222222222225</v>
      </c>
      <c r="J5602" s="30">
        <f>IF(G5602&lt;$H$10,$H$16,IF(G5602&gt;$I$10,$H$16,$H$11))*E5602/600</f>
        <v>6.417565439999999E-2</v>
      </c>
      <c r="L5602" s="32">
        <f>$J5602*($G5602-$G5601)*60*24</f>
        <v>6.4175654399999754E-2</v>
      </c>
    </row>
    <row r="5603" spans="1:12">
      <c r="A5603" s="22">
        <v>40314.522916666669</v>
      </c>
      <c r="E5603" s="26">
        <v>174.847533</v>
      </c>
      <c r="G5603" s="27">
        <v>0.5229166666666667</v>
      </c>
      <c r="J5603" s="30">
        <f>IF(G5603&lt;$H$10,$H$16,IF(G5603&gt;$I$10,$H$16,$H$11))*E5603/600</f>
        <v>6.4110762099999996E-2</v>
      </c>
      <c r="L5603" s="32">
        <f>$J5603*($G5603-$G5602)*60*24</f>
        <v>6.4110762099999774E-2</v>
      </c>
    </row>
    <row r="5604" spans="1:12">
      <c r="A5604" s="22">
        <v>40314.523611111108</v>
      </c>
      <c r="E5604" s="26">
        <v>176.32021800000001</v>
      </c>
      <c r="G5604" s="27">
        <v>0.52361111111111114</v>
      </c>
      <c r="J5604" s="30">
        <f>IF(G5604&lt;$H$10,$H$16,IF(G5604&gt;$I$10,$H$16,$H$11))*E5604/600</f>
        <v>6.4650746600000003E-2</v>
      </c>
      <c r="L5604" s="32">
        <f>$J5604*($G5604-$G5603)*60*24</f>
        <v>6.4650746599999767E-2</v>
      </c>
    </row>
    <row r="5605" spans="1:12">
      <c r="A5605" s="22">
        <v>40314.524305555555</v>
      </c>
      <c r="E5605" s="26">
        <v>174.6447</v>
      </c>
      <c r="G5605" s="27">
        <v>0.52430555555555558</v>
      </c>
      <c r="J5605" s="30">
        <f>IF(G5605&lt;$H$10,$H$16,IF(G5605&gt;$I$10,$H$16,$H$11))*E5605/600</f>
        <v>6.4036389999999999E-2</v>
      </c>
      <c r="L5605" s="32">
        <f>$J5605*($G5605-$G5604)*60*24</f>
        <v>6.4036389999999763E-2</v>
      </c>
    </row>
    <row r="5606" spans="1:12">
      <c r="A5606" s="22">
        <v>40314.525000000001</v>
      </c>
      <c r="E5606" s="26">
        <v>176.9785</v>
      </c>
      <c r="G5606" s="27">
        <v>0.52500000000000002</v>
      </c>
      <c r="J5606" s="30">
        <f>IF(G5606&lt;$H$10,$H$16,IF(G5606&gt;$I$10,$H$16,$H$11))*E5606/600</f>
        <v>6.4892116666666666E-2</v>
      </c>
      <c r="L5606" s="32">
        <f>$J5606*($G5606-$G5605)*60*24</f>
        <v>6.4892116666666444E-2</v>
      </c>
    </row>
    <row r="5607" spans="1:12">
      <c r="A5607" s="22">
        <v>40314.525694444441</v>
      </c>
      <c r="E5607" s="26">
        <v>176.65325999999999</v>
      </c>
      <c r="G5607" s="27">
        <v>0.52569444444444446</v>
      </c>
      <c r="J5607" s="30">
        <f>IF(G5607&lt;$H$10,$H$16,IF(G5607&gt;$I$10,$H$16,$H$11))*E5607/600</f>
        <v>6.4772862E-2</v>
      </c>
      <c r="L5607" s="32">
        <f>$J5607*($G5607-$G5606)*60*24</f>
        <v>6.4772861999999765E-2</v>
      </c>
    </row>
    <row r="5608" spans="1:12">
      <c r="A5608" s="22">
        <v>40314.526388888888</v>
      </c>
      <c r="E5608" s="26">
        <v>176.47371999999999</v>
      </c>
      <c r="G5608" s="27">
        <v>0.52638888888888891</v>
      </c>
      <c r="J5608" s="30">
        <f>IF(G5608&lt;$H$10,$H$16,IF(G5608&gt;$I$10,$H$16,$H$11))*E5608/600</f>
        <v>6.4707030666666665E-2</v>
      </c>
      <c r="L5608" s="32">
        <f>$J5608*($G5608-$G5607)*60*24</f>
        <v>6.4707030666666429E-2</v>
      </c>
    </row>
    <row r="5609" spans="1:12">
      <c r="A5609" s="22">
        <v>40314.527083333334</v>
      </c>
      <c r="E5609" s="26">
        <v>176.31204</v>
      </c>
      <c r="G5609" s="27">
        <v>0.52708333333333335</v>
      </c>
      <c r="J5609" s="30">
        <f>IF(G5609&lt;$H$10,$H$16,IF(G5609&gt;$I$10,$H$16,$H$11))*E5609/600</f>
        <v>6.4647747999999991E-2</v>
      </c>
      <c r="L5609" s="32">
        <f>$J5609*($G5609-$G5608)*60*24</f>
        <v>6.4647747999999755E-2</v>
      </c>
    </row>
    <row r="5610" spans="1:12">
      <c r="A5610" s="22">
        <v>40314.527777777781</v>
      </c>
      <c r="E5610" s="26">
        <v>176.47371999999999</v>
      </c>
      <c r="G5610" s="27">
        <v>0.52777777777777779</v>
      </c>
      <c r="J5610" s="30">
        <f>IF(G5610&lt;$H$10,$H$16,IF(G5610&gt;$I$10,$H$16,$H$11))*E5610/600</f>
        <v>6.4707030666666665E-2</v>
      </c>
      <c r="L5610" s="32">
        <f>$J5610*($G5610-$G5609)*60*24</f>
        <v>6.4707030666666429E-2</v>
      </c>
    </row>
    <row r="5611" spans="1:12">
      <c r="A5611" s="22">
        <v>40314.52847222222</v>
      </c>
      <c r="E5611" s="26">
        <v>176.61848000000001</v>
      </c>
      <c r="G5611" s="27">
        <v>0.52847222222222223</v>
      </c>
      <c r="J5611" s="30">
        <f>IF(G5611&lt;$H$10,$H$16,IF(G5611&gt;$I$10,$H$16,$H$11))*E5611/600</f>
        <v>6.4760109333333329E-2</v>
      </c>
      <c r="L5611" s="32">
        <f>$J5611*($G5611-$G5610)*60*24</f>
        <v>6.4760109333333093E-2</v>
      </c>
    </row>
    <row r="5612" spans="1:12">
      <c r="A5612" s="22">
        <v>40314.529166666667</v>
      </c>
      <c r="E5612" s="26">
        <v>176.64094600000001</v>
      </c>
      <c r="G5612" s="27">
        <v>0.52916666666666667</v>
      </c>
      <c r="J5612" s="30">
        <f>IF(G5612&lt;$H$10,$H$16,IF(G5612&gt;$I$10,$H$16,$H$11))*E5612/600</f>
        <v>6.4768346866666673E-2</v>
      </c>
      <c r="L5612" s="32">
        <f>$J5612*($G5612-$G5611)*60*24</f>
        <v>6.4768346866666451E-2</v>
      </c>
    </row>
    <row r="5613" spans="1:12">
      <c r="A5613" s="22">
        <v>40314.529861111114</v>
      </c>
      <c r="E5613" s="26">
        <v>174.76262399999999</v>
      </c>
      <c r="G5613" s="27">
        <v>0.52986111111111112</v>
      </c>
      <c r="J5613" s="30">
        <f>IF(G5613&lt;$H$10,$H$16,IF(G5613&gt;$I$10,$H$16,$H$11))*E5613/600</f>
        <v>6.4079628799999996E-2</v>
      </c>
      <c r="L5613" s="32">
        <f>$J5613*($G5613-$G5612)*60*24</f>
        <v>6.407962879999976E-2</v>
      </c>
    </row>
    <row r="5614" spans="1:12">
      <c r="A5614" s="22">
        <v>40314.530555555553</v>
      </c>
      <c r="E5614" s="26">
        <v>174.54407399999999</v>
      </c>
      <c r="G5614" s="27">
        <v>0.53055555555555556</v>
      </c>
      <c r="J5614" s="30">
        <f>IF(G5614&lt;$H$10,$H$16,IF(G5614&gt;$I$10,$H$16,$H$11))*E5614/600</f>
        <v>6.3999493800000001E-2</v>
      </c>
      <c r="L5614" s="32">
        <f>$J5614*($G5614-$G5613)*60*24</f>
        <v>6.3999493799999779E-2</v>
      </c>
    </row>
    <row r="5615" spans="1:12">
      <c r="A5615" s="22">
        <v>40314.53125</v>
      </c>
      <c r="E5615" s="26">
        <v>174.67520400000001</v>
      </c>
      <c r="G5615" s="27">
        <v>0.53125</v>
      </c>
      <c r="J5615" s="30">
        <f>IF(G5615&lt;$H$10,$H$16,IF(G5615&gt;$I$10,$H$16,$H$11))*E5615/600</f>
        <v>6.4047574800000007E-2</v>
      </c>
      <c r="L5615" s="32">
        <f>$J5615*($G5615-$G5614)*60*24</f>
        <v>6.4047574799999785E-2</v>
      </c>
    </row>
    <row r="5616" spans="1:12">
      <c r="A5616" s="22">
        <v>40314.531944444447</v>
      </c>
      <c r="E5616" s="26">
        <v>176.22086400000001</v>
      </c>
      <c r="G5616" s="27">
        <v>0.53194444444444444</v>
      </c>
      <c r="J5616" s="30">
        <f>IF(G5616&lt;$H$10,$H$16,IF(G5616&gt;$I$10,$H$16,$H$11))*E5616/600</f>
        <v>6.4614316800000002E-2</v>
      </c>
      <c r="L5616" s="32">
        <f>$J5616*($G5616-$G5615)*60*24</f>
        <v>6.461431679999978E-2</v>
      </c>
    </row>
    <row r="5617" spans="1:12">
      <c r="A5617" s="22">
        <v>40314.532638888886</v>
      </c>
      <c r="E5617" s="26">
        <v>180.27357599999999</v>
      </c>
      <c r="G5617" s="27">
        <v>0.53263888888888888</v>
      </c>
      <c r="J5617" s="30">
        <f>IF(G5617&lt;$H$10,$H$16,IF(G5617&gt;$I$10,$H$16,$H$11))*E5617/600</f>
        <v>6.6100311199999998E-2</v>
      </c>
      <c r="L5617" s="32">
        <f>$J5617*($G5617-$G5616)*60*24</f>
        <v>6.6100311199999762E-2</v>
      </c>
    </row>
    <row r="5618" spans="1:12">
      <c r="A5618" s="22">
        <v>40314.533333333333</v>
      </c>
      <c r="E5618" s="26">
        <v>181.893384</v>
      </c>
      <c r="G5618" s="27">
        <v>0.53333333333333333</v>
      </c>
      <c r="J5618" s="30">
        <f>IF(G5618&lt;$H$10,$H$16,IF(G5618&gt;$I$10,$H$16,$H$11))*E5618/600</f>
        <v>6.6694240799999999E-2</v>
      </c>
      <c r="L5618" s="32">
        <f>$J5618*($G5618-$G5617)*60*24</f>
        <v>6.6694240799999763E-2</v>
      </c>
    </row>
    <row r="5619" spans="1:12">
      <c r="A5619" s="22">
        <v>40314.53402777778</v>
      </c>
      <c r="E5619" s="26">
        <v>181.65293199999999</v>
      </c>
      <c r="G5619" s="27">
        <v>0.53402777777777777</v>
      </c>
      <c r="J5619" s="30">
        <f>IF(G5619&lt;$H$10,$H$16,IF(G5619&gt;$I$10,$H$16,$H$11))*E5619/600</f>
        <v>6.6606075066666659E-2</v>
      </c>
      <c r="L5619" s="32">
        <f>$J5619*($G5619-$G5618)*60*24</f>
        <v>6.6606075066666423E-2</v>
      </c>
    </row>
    <row r="5620" spans="1:12">
      <c r="A5620" s="22">
        <v>40314.534722222219</v>
      </c>
      <c r="E5620" s="26">
        <v>176.928304</v>
      </c>
      <c r="G5620" s="27">
        <v>0.53472222222222221</v>
      </c>
      <c r="J5620" s="30">
        <f>IF(G5620&lt;$H$10,$H$16,IF(G5620&gt;$I$10,$H$16,$H$11))*E5620/600</f>
        <v>6.4873711466666664E-2</v>
      </c>
      <c r="L5620" s="32">
        <f>$J5620*($G5620-$G5619)*60*24</f>
        <v>6.4873711466666428E-2</v>
      </c>
    </row>
    <row r="5621" spans="1:12">
      <c r="A5621" s="22">
        <v>40314.535416666666</v>
      </c>
      <c r="E5621" s="26">
        <v>175.26547500000001</v>
      </c>
      <c r="G5621" s="27">
        <v>0.53541666666666665</v>
      </c>
      <c r="J5621" s="30">
        <f>IF(G5621&lt;$H$10,$H$16,IF(G5621&gt;$I$10,$H$16,$H$11))*E5621/600</f>
        <v>6.4264007499999998E-2</v>
      </c>
      <c r="L5621" s="32">
        <f>$J5621*($G5621-$G5620)*60*24</f>
        <v>6.4264007499999776E-2</v>
      </c>
    </row>
    <row r="5622" spans="1:12">
      <c r="A5622" s="22">
        <v>40314.536111111112</v>
      </c>
      <c r="E5622" s="26">
        <v>175.974414</v>
      </c>
      <c r="G5622" s="27">
        <v>0.53611111111111109</v>
      </c>
      <c r="J5622" s="30">
        <f>IF(G5622&lt;$H$10,$H$16,IF(G5622&gt;$I$10,$H$16,$H$11))*E5622/600</f>
        <v>6.4523951799999993E-2</v>
      </c>
      <c r="L5622" s="32">
        <f>$J5622*($G5622-$G5621)*60*24</f>
        <v>6.4523951799999771E-2</v>
      </c>
    </row>
    <row r="5623" spans="1:12">
      <c r="A5623" s="22">
        <v>40314.536805555559</v>
      </c>
      <c r="E5623" s="26">
        <v>175.67290800000001</v>
      </c>
      <c r="G5623" s="27">
        <v>0.53680555555555554</v>
      </c>
      <c r="J5623" s="30">
        <f>IF(G5623&lt;$H$10,$H$16,IF(G5623&gt;$I$10,$H$16,$H$11))*E5623/600</f>
        <v>6.4413399600000004E-2</v>
      </c>
      <c r="L5623" s="32">
        <f>$J5623*($G5623-$G5622)*60*24</f>
        <v>6.4413399599999782E-2</v>
      </c>
    </row>
    <row r="5624" spans="1:12">
      <c r="A5624" s="22">
        <v>40314.537499999999</v>
      </c>
      <c r="E5624" s="26">
        <v>175.212558</v>
      </c>
      <c r="G5624" s="27">
        <v>0.53749999999999998</v>
      </c>
      <c r="J5624" s="30">
        <f>IF(G5624&lt;$H$10,$H$16,IF(G5624&gt;$I$10,$H$16,$H$11))*E5624/600</f>
        <v>6.4244604600000005E-2</v>
      </c>
      <c r="L5624" s="32">
        <f>$J5624*($G5624-$G5623)*60*24</f>
        <v>6.4244604599999783E-2</v>
      </c>
    </row>
    <row r="5625" spans="1:12">
      <c r="A5625" s="22">
        <v>40314.538194444445</v>
      </c>
      <c r="E5625" s="26">
        <v>175.55498399999999</v>
      </c>
      <c r="G5625" s="27">
        <v>0.53819444444444442</v>
      </c>
      <c r="J5625" s="30">
        <f>IF(G5625&lt;$H$10,$H$16,IF(G5625&gt;$I$10,$H$16,$H$11))*E5625/600</f>
        <v>6.4370160799999993E-2</v>
      </c>
      <c r="L5625" s="32">
        <f>$J5625*($G5625-$G5624)*60*24</f>
        <v>6.4370160799999757E-2</v>
      </c>
    </row>
    <row r="5626" spans="1:12">
      <c r="A5626" s="22">
        <v>40314.538888888892</v>
      </c>
      <c r="E5626" s="26">
        <v>175.08645000000001</v>
      </c>
      <c r="G5626" s="27">
        <v>0.53888888888888886</v>
      </c>
      <c r="J5626" s="30">
        <f>IF(G5626&lt;$H$10,$H$16,IF(G5626&gt;$I$10,$H$16,$H$11))*E5626/600</f>
        <v>6.4198364999999993E-2</v>
      </c>
      <c r="L5626" s="32">
        <f>$J5626*($G5626-$G5625)*60*24</f>
        <v>6.4198364999999757E-2</v>
      </c>
    </row>
    <row r="5627" spans="1:12">
      <c r="A5627" s="22">
        <v>40314.539583333331</v>
      </c>
      <c r="E5627" s="26">
        <v>158.998356</v>
      </c>
      <c r="G5627" s="27">
        <v>0.5395833333333333</v>
      </c>
      <c r="J5627" s="30">
        <f>IF(G5627&lt;$H$10,$H$16,IF(G5627&gt;$I$10,$H$16,$H$11))*E5627/600</f>
        <v>5.8299397199999999E-2</v>
      </c>
      <c r="L5627" s="32">
        <f>$J5627*($G5627-$G5626)*60*24</f>
        <v>5.8299397199999797E-2</v>
      </c>
    </row>
    <row r="5628" spans="1:12">
      <c r="A5628" s="22">
        <v>40314.540277777778</v>
      </c>
      <c r="E5628" s="26">
        <v>155.914976</v>
      </c>
      <c r="G5628" s="27">
        <v>0.54027777777777775</v>
      </c>
      <c r="J5628" s="30">
        <f>IF(G5628&lt;$H$10,$H$16,IF(G5628&gt;$I$10,$H$16,$H$11))*E5628/600</f>
        <v>5.7168824533333336E-2</v>
      </c>
      <c r="L5628" s="32">
        <f>$J5628*($G5628-$G5627)*60*24</f>
        <v>5.7168824533333135E-2</v>
      </c>
    </row>
    <row r="5629" spans="1:12">
      <c r="A5629" s="22">
        <v>40314.540972222225</v>
      </c>
      <c r="E5629" s="26">
        <v>152.31142800000001</v>
      </c>
      <c r="G5629" s="27">
        <v>0.54097222222222219</v>
      </c>
      <c r="J5629" s="30">
        <f>IF(G5629&lt;$H$10,$H$16,IF(G5629&gt;$I$10,$H$16,$H$11))*E5629/600</f>
        <v>5.5847523600000004E-2</v>
      </c>
      <c r="L5629" s="32">
        <f>$J5629*($G5629-$G5628)*60*24</f>
        <v>5.5847523599999803E-2</v>
      </c>
    </row>
    <row r="5630" spans="1:12">
      <c r="A5630" s="22">
        <v>40314.541666666664</v>
      </c>
      <c r="E5630" s="26">
        <v>154.66708800000001</v>
      </c>
      <c r="G5630" s="27">
        <v>0.54166666666666663</v>
      </c>
      <c r="J5630" s="30">
        <f>IF(G5630&lt;$H$10,$H$16,IF(G5630&gt;$I$10,$H$16,$H$11))*E5630/600</f>
        <v>5.6711265599999998E-2</v>
      </c>
      <c r="L5630" s="32">
        <f>$J5630*($G5630-$G5629)*60*24</f>
        <v>5.6711265599999797E-2</v>
      </c>
    </row>
    <row r="5631" spans="1:12">
      <c r="A5631" s="22">
        <v>40314.542361111111</v>
      </c>
      <c r="E5631" s="26">
        <v>152.931048</v>
      </c>
      <c r="G5631" s="27">
        <v>0.54236111111111118</v>
      </c>
      <c r="J5631" s="30">
        <f>IF(G5631&lt;$H$10,$H$16,IF(G5631&gt;$I$10,$H$16,$H$11))*E5631/600</f>
        <v>5.6074717600000004E-2</v>
      </c>
      <c r="L5631" s="32">
        <f>$J5631*($G5631-$G5630)*60*24</f>
        <v>5.6074717600008775E-2</v>
      </c>
    </row>
    <row r="5632" spans="1:12">
      <c r="A5632" s="22">
        <v>40314.543055555558</v>
      </c>
      <c r="E5632" s="26">
        <v>153.98812799999999</v>
      </c>
      <c r="G5632" s="27">
        <v>0.54305555555555551</v>
      </c>
      <c r="J5632" s="30">
        <f>IF(G5632&lt;$H$10,$H$16,IF(G5632&gt;$I$10,$H$16,$H$11))*E5632/600</f>
        <v>5.6462313599999994E-2</v>
      </c>
      <c r="L5632" s="32">
        <f>$J5632*($G5632-$G5631)*60*24</f>
        <v>5.6462313599990779E-2</v>
      </c>
    </row>
    <row r="5633" spans="1:12">
      <c r="A5633" s="22">
        <v>40314.543749999997</v>
      </c>
      <c r="E5633" s="26">
        <v>156.76974799999999</v>
      </c>
      <c r="G5633" s="27">
        <v>0.54375000000000007</v>
      </c>
      <c r="J5633" s="30">
        <f>IF(G5633&lt;$H$10,$H$16,IF(G5633&gt;$I$10,$H$16,$H$11))*E5633/600</f>
        <v>5.7482240933333331E-2</v>
      </c>
      <c r="L5633" s="32">
        <f>$J5633*($G5633-$G5632)*60*24</f>
        <v>5.7482240933342317E-2</v>
      </c>
    </row>
    <row r="5634" spans="1:12">
      <c r="A5634" s="22">
        <v>40314.544444444444</v>
      </c>
      <c r="E5634" s="26">
        <v>156.97886399999999</v>
      </c>
      <c r="G5634" s="27">
        <v>0.5444444444444444</v>
      </c>
      <c r="J5634" s="30">
        <f>IF(G5634&lt;$H$10,$H$16,IF(G5634&gt;$I$10,$H$16,$H$11))*E5634/600</f>
        <v>5.7558916799999998E-2</v>
      </c>
      <c r="L5634" s="32">
        <f>$J5634*($G5634-$G5633)*60*24</f>
        <v>5.7558916799990596E-2</v>
      </c>
    </row>
    <row r="5635" spans="1:12">
      <c r="A5635" s="22">
        <v>40314.545138888891</v>
      </c>
      <c r="E5635" s="26">
        <v>165.07537199999999</v>
      </c>
      <c r="G5635" s="27">
        <v>0.54513888888888895</v>
      </c>
      <c r="J5635" s="30">
        <f>IF(G5635&lt;$H$10,$H$16,IF(G5635&gt;$I$10,$H$16,$H$11))*E5635/600</f>
        <v>6.0527636399999994E-2</v>
      </c>
      <c r="L5635" s="32">
        <f>$J5635*($G5635-$G5634)*60*24</f>
        <v>6.0527636400009452E-2</v>
      </c>
    </row>
    <row r="5636" spans="1:12">
      <c r="A5636" s="22">
        <v>40314.54583333333</v>
      </c>
      <c r="E5636" s="26">
        <v>154.42062000000001</v>
      </c>
      <c r="G5636" s="27">
        <v>0.54583333333333328</v>
      </c>
      <c r="J5636" s="30">
        <f>IF(G5636&lt;$H$10,$H$16,IF(G5636&gt;$I$10,$H$16,$H$11))*E5636/600</f>
        <v>5.6620894000000005E-2</v>
      </c>
      <c r="L5636" s="32">
        <f>$J5636*($G5636-$G5635)*60*24</f>
        <v>5.6620893999990748E-2</v>
      </c>
    </row>
    <row r="5637" spans="1:12">
      <c r="A5637" s="22">
        <v>40314.546527777777</v>
      </c>
      <c r="E5637" s="26">
        <v>156.00863200000001</v>
      </c>
      <c r="G5637" s="27">
        <v>0.54652777777777783</v>
      </c>
      <c r="J5637" s="30">
        <f>IF(G5637&lt;$H$10,$H$16,IF(G5637&gt;$I$10,$H$16,$H$11))*E5637/600</f>
        <v>5.7203165066666666E-2</v>
      </c>
      <c r="L5637" s="32">
        <f>$J5637*($G5637-$G5636)*60*24</f>
        <v>5.720316506667561E-2</v>
      </c>
    </row>
    <row r="5638" spans="1:12">
      <c r="A5638" s="22">
        <v>40314.547222222223</v>
      </c>
      <c r="E5638" s="26">
        <v>154.24793600000001</v>
      </c>
      <c r="G5638" s="27">
        <v>0.54722222222222217</v>
      </c>
      <c r="J5638" s="30">
        <f>IF(G5638&lt;$H$10,$H$16,IF(G5638&gt;$I$10,$H$16,$H$11))*E5638/600</f>
        <v>5.6557576533333341E-2</v>
      </c>
      <c r="L5638" s="32">
        <f>$J5638*($G5638-$G5637)*60*24</f>
        <v>5.6557576533324098E-2</v>
      </c>
    </row>
    <row r="5639" spans="1:12">
      <c r="A5639" s="22">
        <v>40314.54791666667</v>
      </c>
      <c r="E5639" s="26">
        <v>160.53816</v>
      </c>
      <c r="G5639" s="27">
        <v>0.54791666666666672</v>
      </c>
      <c r="J5639" s="30">
        <f>IF(G5639&lt;$H$10,$H$16,IF(G5639&gt;$I$10,$H$16,$H$11))*E5639/600</f>
        <v>5.8863992000000011E-2</v>
      </c>
      <c r="L5639" s="32">
        <f>$J5639*($G5639-$G5638)*60*24</f>
        <v>5.8863992000009219E-2</v>
      </c>
    </row>
    <row r="5640" spans="1:12">
      <c r="A5640" s="22">
        <v>40314.548611111109</v>
      </c>
      <c r="E5640" s="26">
        <v>155.48855599999999</v>
      </c>
      <c r="G5640" s="27">
        <v>0.54861111111111105</v>
      </c>
      <c r="J5640" s="30">
        <f>IF(G5640&lt;$H$10,$H$16,IF(G5640&gt;$I$10,$H$16,$H$11))*E5640/600</f>
        <v>5.7012470533333331E-2</v>
      </c>
      <c r="L5640" s="32">
        <f>$J5640*($G5640-$G5639)*60*24</f>
        <v>5.7012470533324013E-2</v>
      </c>
    </row>
    <row r="5641" spans="1:12">
      <c r="A5641" s="22">
        <v>40314.549305555556</v>
      </c>
      <c r="E5641" s="26">
        <v>160.74479199999999</v>
      </c>
      <c r="G5641" s="27">
        <v>0.5493055555555556</v>
      </c>
      <c r="J5641" s="30">
        <f>IF(G5641&lt;$H$10,$H$16,IF(G5641&gt;$I$10,$H$16,$H$11))*E5641/600</f>
        <v>5.8939757066666661E-2</v>
      </c>
      <c r="L5641" s="32">
        <f>$J5641*($G5641-$G5640)*60*24</f>
        <v>5.8939757066675875E-2</v>
      </c>
    </row>
    <row r="5642" spans="1:12">
      <c r="A5642" s="22">
        <v>40314.550000000003</v>
      </c>
      <c r="E5642" s="26">
        <v>165.65606399999999</v>
      </c>
      <c r="G5642" s="27">
        <v>0.54999999999999993</v>
      </c>
      <c r="J5642" s="30">
        <f>IF(G5642&lt;$H$10,$H$16,IF(G5642&gt;$I$10,$H$16,$H$11))*E5642/600</f>
        <v>6.0740556799999998E-2</v>
      </c>
      <c r="L5642" s="32">
        <f>$J5642*($G5642-$G5641)*60*24</f>
        <v>6.0740556799990075E-2</v>
      </c>
    </row>
    <row r="5643" spans="1:12">
      <c r="A5643" s="22">
        <v>40314.550694444442</v>
      </c>
      <c r="E5643" s="26">
        <v>163.259704</v>
      </c>
      <c r="G5643" s="27">
        <v>0.55069444444444449</v>
      </c>
      <c r="J5643" s="30">
        <f>IF(G5643&lt;$H$10,$H$16,IF(G5643&gt;$I$10,$H$16,$H$11))*E5643/600</f>
        <v>5.9861891466666664E-2</v>
      </c>
      <c r="L5643" s="32">
        <f>$J5643*($G5643-$G5642)*60*24</f>
        <v>5.9861891466676025E-2</v>
      </c>
    </row>
    <row r="5644" spans="1:12">
      <c r="A5644" s="22">
        <v>40314.551388888889</v>
      </c>
      <c r="E5644" s="26">
        <v>164.37271999999999</v>
      </c>
      <c r="G5644" s="27">
        <v>0.55138888888888882</v>
      </c>
      <c r="J5644" s="30">
        <f>IF(G5644&lt;$H$10,$H$16,IF(G5644&gt;$I$10,$H$16,$H$11))*E5644/600</f>
        <v>6.0269997333333325E-2</v>
      </c>
      <c r="L5644" s="32">
        <f>$J5644*($G5644-$G5643)*60*24</f>
        <v>6.0269997333323472E-2</v>
      </c>
    </row>
    <row r="5645" spans="1:12">
      <c r="A5645" s="22">
        <v>40314.552083333336</v>
      </c>
      <c r="E5645" s="26">
        <v>158.57718</v>
      </c>
      <c r="G5645" s="27">
        <v>0.55208333333333337</v>
      </c>
      <c r="J5645" s="30">
        <f>IF(G5645&lt;$H$10,$H$16,IF(G5645&gt;$I$10,$H$16,$H$11))*E5645/600</f>
        <v>5.8144965999999992E-2</v>
      </c>
      <c r="L5645" s="32">
        <f>$J5645*($G5645-$G5644)*60*24</f>
        <v>5.8144966000009082E-2</v>
      </c>
    </row>
    <row r="5646" spans="1:12">
      <c r="A5646" s="22">
        <v>40314.552777777775</v>
      </c>
      <c r="E5646" s="26">
        <v>157.39359999999999</v>
      </c>
      <c r="G5646" s="27">
        <v>0.55277777777777781</v>
      </c>
      <c r="J5646" s="30">
        <f>IF(G5646&lt;$H$10,$H$16,IF(G5646&gt;$I$10,$H$16,$H$11))*E5646/600</f>
        <v>5.7710986666666658E-2</v>
      </c>
      <c r="L5646" s="32">
        <f>$J5646*($G5646-$G5645)*60*24</f>
        <v>5.771098666666645E-2</v>
      </c>
    </row>
    <row r="5647" spans="1:12">
      <c r="A5647" s="22">
        <v>40314.553472222222</v>
      </c>
      <c r="E5647" s="26">
        <v>160.74847199999999</v>
      </c>
      <c r="G5647" s="27">
        <v>0.55347222222222225</v>
      </c>
      <c r="J5647" s="30">
        <f>IF(G5647&lt;$H$10,$H$16,IF(G5647&gt;$I$10,$H$16,$H$11))*E5647/600</f>
        <v>5.8941106399999998E-2</v>
      </c>
      <c r="L5647" s="32">
        <f>$J5647*($G5647-$G5646)*60*24</f>
        <v>5.894110639999979E-2</v>
      </c>
    </row>
    <row r="5648" spans="1:12">
      <c r="A5648" s="22">
        <v>40314.554166666669</v>
      </c>
      <c r="E5648" s="26">
        <v>161.93775600000001</v>
      </c>
      <c r="G5648" s="27">
        <v>0.5541666666666667</v>
      </c>
      <c r="J5648" s="30">
        <f>IF(G5648&lt;$H$10,$H$16,IF(G5648&gt;$I$10,$H$16,$H$11))*E5648/600</f>
        <v>5.9377177200000006E-2</v>
      </c>
      <c r="L5648" s="32">
        <f>$J5648*($G5648-$G5647)*60*24</f>
        <v>5.9377177199999798E-2</v>
      </c>
    </row>
    <row r="5649" spans="1:12">
      <c r="A5649" s="22">
        <v>40314.554861111108</v>
      </c>
      <c r="E5649" s="26">
        <v>157.464348</v>
      </c>
      <c r="G5649" s="27">
        <v>0.55486111111111114</v>
      </c>
      <c r="J5649" s="30">
        <f>IF(G5649&lt;$H$10,$H$16,IF(G5649&gt;$I$10,$H$16,$H$11))*E5649/600</f>
        <v>5.7736927600000008E-2</v>
      </c>
      <c r="L5649" s="32">
        <f>$J5649*($G5649-$G5648)*60*24</f>
        <v>5.7736927599999807E-2</v>
      </c>
    </row>
    <row r="5650" spans="1:12">
      <c r="A5650" s="22">
        <v>40314.555555555555</v>
      </c>
      <c r="E5650" s="26">
        <v>154.40074799999999</v>
      </c>
      <c r="G5650" s="27">
        <v>0.55555555555555558</v>
      </c>
      <c r="J5650" s="30">
        <f>IF(G5650&lt;$H$10,$H$16,IF(G5650&gt;$I$10,$H$16,$H$11))*E5650/600</f>
        <v>5.6613607599999997E-2</v>
      </c>
      <c r="L5650" s="32">
        <f>$J5650*($G5650-$G5649)*60*24</f>
        <v>5.6613607599999796E-2</v>
      </c>
    </row>
    <row r="5651" spans="1:12">
      <c r="A5651" s="22">
        <v>40314.556250000001</v>
      </c>
      <c r="E5651" s="26">
        <v>159.404076</v>
      </c>
      <c r="G5651" s="27">
        <v>0.55625000000000002</v>
      </c>
      <c r="J5651" s="30">
        <f>IF(G5651&lt;$H$10,$H$16,IF(G5651&gt;$I$10,$H$16,$H$11))*E5651/600</f>
        <v>5.8448161199999994E-2</v>
      </c>
      <c r="L5651" s="32">
        <f>$J5651*($G5651-$G5650)*60*24</f>
        <v>5.8448161199999793E-2</v>
      </c>
    </row>
    <row r="5652" spans="1:12">
      <c r="A5652" s="22">
        <v>40314.556944444441</v>
      </c>
      <c r="E5652" s="26">
        <v>178.180002</v>
      </c>
      <c r="G5652" s="27">
        <v>0.55694444444444446</v>
      </c>
      <c r="J5652" s="30">
        <f>IF(G5652&lt;$H$10,$H$16,IF(G5652&gt;$I$10,$H$16,$H$11))*E5652/600</f>
        <v>6.5332667400000002E-2</v>
      </c>
      <c r="L5652" s="32">
        <f>$J5652*($G5652-$G5651)*60*24</f>
        <v>6.5332667399999766E-2</v>
      </c>
    </row>
    <row r="5653" spans="1:12">
      <c r="A5653" s="22">
        <v>40314.557638888888</v>
      </c>
      <c r="E5653" s="26">
        <v>177.83785499999999</v>
      </c>
      <c r="G5653" s="27">
        <v>0.55763888888888891</v>
      </c>
      <c r="J5653" s="30">
        <f>IF(G5653&lt;$H$10,$H$16,IF(G5653&gt;$I$10,$H$16,$H$11))*E5653/600</f>
        <v>6.52072135E-2</v>
      </c>
      <c r="L5653" s="32">
        <f>$J5653*($G5653-$G5652)*60*24</f>
        <v>6.5207213499999764E-2</v>
      </c>
    </row>
    <row r="5654" spans="1:12">
      <c r="A5654" s="22">
        <v>40314.558333333334</v>
      </c>
      <c r="E5654" s="26">
        <v>177.67603500000001</v>
      </c>
      <c r="G5654" s="27">
        <v>0.55833333333333335</v>
      </c>
      <c r="J5654" s="30">
        <f>IF(G5654&lt;$H$10,$H$16,IF(G5654&gt;$I$10,$H$16,$H$11))*E5654/600</f>
        <v>6.5147879500000005E-2</v>
      </c>
      <c r="L5654" s="32">
        <f>$J5654*($G5654-$G5653)*60*24</f>
        <v>6.514787949999977E-2</v>
      </c>
    </row>
    <row r="5655" spans="1:12">
      <c r="A5655" s="22">
        <v>40314.559027777781</v>
      </c>
      <c r="E5655" s="26">
        <v>177.40940399999999</v>
      </c>
      <c r="G5655" s="27">
        <v>0.55902777777777779</v>
      </c>
      <c r="J5655" s="30">
        <f>IF(G5655&lt;$H$10,$H$16,IF(G5655&gt;$I$10,$H$16,$H$11))*E5655/600</f>
        <v>6.5050114800000003E-2</v>
      </c>
      <c r="L5655" s="32">
        <f>$J5655*($G5655-$G5654)*60*24</f>
        <v>6.5050114799999781E-2</v>
      </c>
    </row>
    <row r="5656" spans="1:12">
      <c r="A5656" s="22">
        <v>40314.55972222222</v>
      </c>
      <c r="E5656" s="26">
        <v>179.40614400000001</v>
      </c>
      <c r="G5656" s="27">
        <v>0.55972222222222223</v>
      </c>
      <c r="J5656" s="30">
        <f>IF(G5656&lt;$H$10,$H$16,IF(G5656&gt;$I$10,$H$16,$H$11))*E5656/600</f>
        <v>6.578225280000001E-2</v>
      </c>
      <c r="L5656" s="32">
        <f>$J5656*($G5656-$G5655)*60*24</f>
        <v>6.5782252799999774E-2</v>
      </c>
    </row>
    <row r="5657" spans="1:12">
      <c r="A5657" s="22">
        <v>40314.560416666667</v>
      </c>
      <c r="E5657" s="26">
        <v>179.61378999999999</v>
      </c>
      <c r="G5657" s="27">
        <v>0.56041666666666667</v>
      </c>
      <c r="J5657" s="30">
        <f>IF(G5657&lt;$H$10,$H$16,IF(G5657&gt;$I$10,$H$16,$H$11))*E5657/600</f>
        <v>6.585838966666667E-2</v>
      </c>
      <c r="L5657" s="32">
        <f>$J5657*($G5657-$G5656)*60*24</f>
        <v>6.5858389666666434E-2</v>
      </c>
    </row>
    <row r="5658" spans="1:12">
      <c r="A5658" s="22">
        <v>40314.561111111114</v>
      </c>
      <c r="E5658" s="26">
        <v>179.33921599999999</v>
      </c>
      <c r="G5658" s="27">
        <v>0.56111111111111112</v>
      </c>
      <c r="J5658" s="30">
        <f>IF(G5658&lt;$H$10,$H$16,IF(G5658&gt;$I$10,$H$16,$H$11))*E5658/600</f>
        <v>6.5757712533333332E-2</v>
      </c>
      <c r="L5658" s="32">
        <f>$J5658*($G5658-$G5657)*60*24</f>
        <v>6.5757712533333096E-2</v>
      </c>
    </row>
    <row r="5659" spans="1:12">
      <c r="A5659" s="22">
        <v>40314.561805555553</v>
      </c>
      <c r="E5659" s="26">
        <v>178.935768</v>
      </c>
      <c r="G5659" s="27">
        <v>0.56180555555555556</v>
      </c>
      <c r="J5659" s="30">
        <f>IF(G5659&lt;$H$10,$H$16,IF(G5659&gt;$I$10,$H$16,$H$11))*E5659/600</f>
        <v>6.56097816E-2</v>
      </c>
      <c r="L5659" s="32">
        <f>$J5659*($G5659-$G5658)*60*24</f>
        <v>6.5609781599999778E-2</v>
      </c>
    </row>
    <row r="5660" spans="1:12">
      <c r="A5660" s="22">
        <v>40314.5625</v>
      </c>
      <c r="E5660" s="26">
        <v>179.09443999999999</v>
      </c>
      <c r="G5660" s="27">
        <v>0.5625</v>
      </c>
      <c r="J5660" s="30">
        <f>IF(G5660&lt;$H$10,$H$16,IF(G5660&gt;$I$10,$H$16,$H$11))*E5660/600</f>
        <v>6.566796133333333E-2</v>
      </c>
      <c r="L5660" s="32">
        <f>$J5660*($G5660-$G5659)*60*24</f>
        <v>6.5667961333333094E-2</v>
      </c>
    </row>
    <row r="5661" spans="1:12">
      <c r="A5661" s="22">
        <v>40314.563194444447</v>
      </c>
      <c r="E5661" s="26">
        <v>178.93351200000001</v>
      </c>
      <c r="G5661" s="27">
        <v>0.56319444444444444</v>
      </c>
      <c r="J5661" s="30">
        <f>IF(G5661&lt;$H$10,$H$16,IF(G5661&gt;$I$10,$H$16,$H$11))*E5661/600</f>
        <v>6.5608954400000002E-2</v>
      </c>
      <c r="L5661" s="32">
        <f>$J5661*($G5661-$G5660)*60*24</f>
        <v>6.560895439999978E-2</v>
      </c>
    </row>
    <row r="5662" spans="1:12">
      <c r="A5662" s="22">
        <v>40314.563888888886</v>
      </c>
      <c r="E5662" s="26">
        <v>181.03140400000001</v>
      </c>
      <c r="G5662" s="27">
        <v>0.56388888888888888</v>
      </c>
      <c r="J5662" s="30">
        <f>IF(G5662&lt;$H$10,$H$16,IF(G5662&gt;$I$10,$H$16,$H$11))*E5662/600</f>
        <v>6.6378181466666672E-2</v>
      </c>
      <c r="L5662" s="32">
        <f>$J5662*($G5662-$G5661)*60*24</f>
        <v>6.6378181466666436E-2</v>
      </c>
    </row>
    <row r="5663" spans="1:12">
      <c r="A5663" s="22">
        <v>40314.564583333333</v>
      </c>
      <c r="E5663" s="26">
        <v>179.63371799999999</v>
      </c>
      <c r="G5663" s="27">
        <v>0.56458333333333333</v>
      </c>
      <c r="J5663" s="30">
        <f>IF(G5663&lt;$H$10,$H$16,IF(G5663&gt;$I$10,$H$16,$H$11))*E5663/600</f>
        <v>6.5865696599999995E-2</v>
      </c>
      <c r="L5663" s="32">
        <f>$J5663*($G5663-$G5662)*60*24</f>
        <v>6.586569659999976E-2</v>
      </c>
    </row>
    <row r="5664" spans="1:12">
      <c r="A5664" s="22">
        <v>40314.56527777778</v>
      </c>
      <c r="E5664" s="26">
        <v>179.24371199999999</v>
      </c>
      <c r="G5664" s="27">
        <v>0.56527777777777777</v>
      </c>
      <c r="J5664" s="30">
        <f>IF(G5664&lt;$H$10,$H$16,IF(G5664&gt;$I$10,$H$16,$H$11))*E5664/600</f>
        <v>6.572269439999999E-2</v>
      </c>
      <c r="L5664" s="32">
        <f>$J5664*($G5664-$G5663)*60*24</f>
        <v>6.5722694399999768E-2</v>
      </c>
    </row>
    <row r="5665" spans="1:12">
      <c r="A5665" s="22">
        <v>40314.565972222219</v>
      </c>
      <c r="E5665" s="26">
        <v>179.251608</v>
      </c>
      <c r="G5665" s="27">
        <v>0.56597222222222221</v>
      </c>
      <c r="J5665" s="30">
        <f>IF(G5665&lt;$H$10,$H$16,IF(G5665&gt;$I$10,$H$16,$H$11))*E5665/600</f>
        <v>6.5725589599999995E-2</v>
      </c>
      <c r="L5665" s="32">
        <f>$J5665*($G5665-$G5664)*60*24</f>
        <v>6.5725589599999773E-2</v>
      </c>
    </row>
    <row r="5666" spans="1:12">
      <c r="A5666" s="22">
        <v>40314.566666666666</v>
      </c>
      <c r="E5666" s="26">
        <v>179.757328</v>
      </c>
      <c r="G5666" s="27">
        <v>0.56666666666666665</v>
      </c>
      <c r="J5666" s="30">
        <f>IF(G5666&lt;$H$10,$H$16,IF(G5666&gt;$I$10,$H$16,$H$11))*E5666/600</f>
        <v>6.5911020266666676E-2</v>
      </c>
      <c r="L5666" s="32">
        <f>$J5666*($G5666-$G5665)*60*24</f>
        <v>6.591102026666644E-2</v>
      </c>
    </row>
    <row r="5667" spans="1:12">
      <c r="A5667" s="22">
        <v>40314.567361111112</v>
      </c>
      <c r="E5667" s="26">
        <v>179.55165600000001</v>
      </c>
      <c r="G5667" s="27">
        <v>0.56736111111111109</v>
      </c>
      <c r="J5667" s="30">
        <f>IF(G5667&lt;$H$10,$H$16,IF(G5667&gt;$I$10,$H$16,$H$11))*E5667/600</f>
        <v>6.5835607200000007E-2</v>
      </c>
      <c r="L5667" s="32">
        <f>$J5667*($G5667-$G5666)*60*24</f>
        <v>6.5835607199999785E-2</v>
      </c>
    </row>
    <row r="5668" spans="1:12">
      <c r="A5668" s="22">
        <v>40314.568055555559</v>
      </c>
      <c r="E5668" s="26">
        <v>179.42532</v>
      </c>
      <c r="G5668" s="27">
        <v>0.56805555555555554</v>
      </c>
      <c r="J5668" s="30">
        <f>IF(G5668&lt;$H$10,$H$16,IF(G5668&gt;$I$10,$H$16,$H$11))*E5668/600</f>
        <v>6.5789284000000003E-2</v>
      </c>
      <c r="L5668" s="32">
        <f>$J5668*($G5668-$G5667)*60*24</f>
        <v>6.5789283999999768E-2</v>
      </c>
    </row>
    <row r="5669" spans="1:12">
      <c r="A5669" s="22">
        <v>40314.568749999999</v>
      </c>
      <c r="E5669" s="26">
        <v>180.02908199999999</v>
      </c>
      <c r="G5669" s="27">
        <v>0.56874999999999998</v>
      </c>
      <c r="J5669" s="30">
        <f>IF(G5669&lt;$H$10,$H$16,IF(G5669&gt;$I$10,$H$16,$H$11))*E5669/600</f>
        <v>6.6010663399999989E-2</v>
      </c>
      <c r="L5669" s="32">
        <f>$J5669*($G5669-$G5668)*60*24</f>
        <v>6.6010663399999753E-2</v>
      </c>
    </row>
    <row r="5670" spans="1:12">
      <c r="A5670" s="22">
        <v>40314.569444444445</v>
      </c>
      <c r="E5670" s="26">
        <v>179.866086</v>
      </c>
      <c r="G5670" s="27">
        <v>0.56944444444444442</v>
      </c>
      <c r="J5670" s="30">
        <f>IF(G5670&lt;$H$10,$H$16,IF(G5670&gt;$I$10,$H$16,$H$11))*E5670/600</f>
        <v>6.5950898199999997E-2</v>
      </c>
      <c r="L5670" s="32">
        <f>$J5670*($G5670-$G5669)*60*24</f>
        <v>6.5950898199999761E-2</v>
      </c>
    </row>
    <row r="5671" spans="1:12">
      <c r="A5671" s="22">
        <v>40314.570138888892</v>
      </c>
      <c r="E5671" s="26">
        <v>179.09819999999999</v>
      </c>
      <c r="G5671" s="27">
        <v>0.57013888888888886</v>
      </c>
      <c r="J5671" s="30">
        <f>IF(G5671&lt;$H$10,$H$16,IF(G5671&gt;$I$10,$H$16,$H$11))*E5671/600</f>
        <v>6.5669339999999993E-2</v>
      </c>
      <c r="L5671" s="32">
        <f>$J5671*($G5671-$G5670)*60*24</f>
        <v>6.5669339999999771E-2</v>
      </c>
    </row>
    <row r="5672" spans="1:12">
      <c r="A5672" s="22">
        <v>40314.570833333331</v>
      </c>
      <c r="E5672" s="26">
        <v>179.50239999999999</v>
      </c>
      <c r="G5672" s="27">
        <v>0.5708333333333333</v>
      </c>
      <c r="J5672" s="30">
        <f>IF(G5672&lt;$H$10,$H$16,IF(G5672&gt;$I$10,$H$16,$H$11))*E5672/600</f>
        <v>6.5817546666666657E-2</v>
      </c>
      <c r="L5672" s="32">
        <f>$J5672*($G5672-$G5671)*60*24</f>
        <v>6.5817546666666421E-2</v>
      </c>
    </row>
    <row r="5673" spans="1:12">
      <c r="A5673" s="22">
        <v>40314.571527777778</v>
      </c>
      <c r="E5673" s="26">
        <v>179.88216</v>
      </c>
      <c r="G5673" s="27">
        <v>0.57152777777777775</v>
      </c>
      <c r="J5673" s="30">
        <f>IF(G5673&lt;$H$10,$H$16,IF(G5673&gt;$I$10,$H$16,$H$11))*E5673/600</f>
        <v>6.5956792E-2</v>
      </c>
      <c r="L5673" s="32">
        <f>$J5673*($G5673-$G5672)*60*24</f>
        <v>6.5956791999999764E-2</v>
      </c>
    </row>
    <row r="5674" spans="1:12">
      <c r="A5674" s="22">
        <v>40314.572222222225</v>
      </c>
      <c r="E5674" s="26">
        <v>179.14473000000001</v>
      </c>
      <c r="G5674" s="27">
        <v>0.57222222222222219</v>
      </c>
      <c r="J5674" s="30">
        <f>IF(G5674&lt;$H$10,$H$16,IF(G5674&gt;$I$10,$H$16,$H$11))*E5674/600</f>
        <v>6.5686401000000005E-2</v>
      </c>
      <c r="L5674" s="32">
        <f>$J5674*($G5674-$G5673)*60*24</f>
        <v>6.5686400999999769E-2</v>
      </c>
    </row>
    <row r="5675" spans="1:12">
      <c r="A5675" s="22">
        <v>40314.572916666664</v>
      </c>
      <c r="E5675" s="26">
        <v>181.32130000000001</v>
      </c>
      <c r="G5675" s="27">
        <v>0.57291666666666663</v>
      </c>
      <c r="J5675" s="30">
        <f>IF(G5675&lt;$H$10,$H$16,IF(G5675&gt;$I$10,$H$16,$H$11))*E5675/600</f>
        <v>6.6484476666666667E-2</v>
      </c>
      <c r="L5675" s="32">
        <f>$J5675*($G5675-$G5674)*60*24</f>
        <v>6.6484476666666431E-2</v>
      </c>
    </row>
    <row r="5676" spans="1:12">
      <c r="A5676" s="22">
        <v>40314.573611111111</v>
      </c>
      <c r="E5676" s="26">
        <v>181.91472200000001</v>
      </c>
      <c r="G5676" s="27">
        <v>0.57361111111111118</v>
      </c>
      <c r="J5676" s="30">
        <f>IF(G5676&lt;$H$10,$H$16,IF(G5676&gt;$I$10,$H$16,$H$11))*E5676/600</f>
        <v>6.6702064733333344E-2</v>
      </c>
      <c r="L5676" s="32">
        <f>$J5676*($G5676-$G5675)*60*24</f>
        <v>6.6702064733343766E-2</v>
      </c>
    </row>
    <row r="5677" spans="1:12">
      <c r="A5677" s="22">
        <v>40314.574305555558</v>
      </c>
      <c r="E5677" s="26">
        <v>181.33605800000001</v>
      </c>
      <c r="G5677" s="27">
        <v>0.57430555555555551</v>
      </c>
      <c r="J5677" s="30">
        <f>IF(G5677&lt;$H$10,$H$16,IF(G5677&gt;$I$10,$H$16,$H$11))*E5677/600</f>
        <v>6.6489887933333339E-2</v>
      </c>
      <c r="L5677" s="32">
        <f>$J5677*($G5677-$G5676)*60*24</f>
        <v>6.6489887933322472E-2</v>
      </c>
    </row>
    <row r="5678" spans="1:12">
      <c r="A5678" s="22">
        <v>40314.574999999997</v>
      </c>
      <c r="E5678" s="26">
        <v>181.55103600000001</v>
      </c>
      <c r="G5678" s="27">
        <v>0.57500000000000007</v>
      </c>
      <c r="J5678" s="30">
        <f>IF(G5678&lt;$H$10,$H$16,IF(G5678&gt;$I$10,$H$16,$H$11))*E5678/600</f>
        <v>6.6568713200000004E-2</v>
      </c>
      <c r="L5678" s="32">
        <f>$J5678*($G5678-$G5677)*60*24</f>
        <v>6.6568713200010413E-2</v>
      </c>
    </row>
    <row r="5679" spans="1:12">
      <c r="A5679" s="22">
        <v>40314.575694444444</v>
      </c>
      <c r="E5679" s="26">
        <v>182.53296</v>
      </c>
      <c r="G5679" s="27">
        <v>0.5756944444444444</v>
      </c>
      <c r="J5679" s="30">
        <f>IF(G5679&lt;$H$10,$H$16,IF(G5679&gt;$I$10,$H$16,$H$11))*E5679/600</f>
        <v>6.6928751999999994E-2</v>
      </c>
      <c r="L5679" s="32">
        <f>$J5679*($G5679-$G5678)*60*24</f>
        <v>6.6928751999989058E-2</v>
      </c>
    </row>
    <row r="5680" spans="1:12">
      <c r="A5680" s="22">
        <v>40314.576388888891</v>
      </c>
      <c r="E5680" s="26">
        <v>182.52083400000001</v>
      </c>
      <c r="G5680" s="27">
        <v>0.57638888888888895</v>
      </c>
      <c r="J5680" s="30">
        <f>IF(G5680&lt;$H$10,$H$16,IF(G5680&gt;$I$10,$H$16,$H$11))*E5680/600</f>
        <v>6.69243058E-2</v>
      </c>
      <c r="L5680" s="32">
        <f>$J5680*($G5680-$G5679)*60*24</f>
        <v>6.692430580001045E-2</v>
      </c>
    </row>
    <row r="5681" spans="1:12">
      <c r="A5681" s="22">
        <v>40314.57708333333</v>
      </c>
      <c r="E5681" s="26">
        <v>182.81214</v>
      </c>
      <c r="G5681" s="27">
        <v>0.57708333333333328</v>
      </c>
      <c r="J5681" s="30">
        <f>IF(G5681&lt;$H$10,$H$16,IF(G5681&gt;$I$10,$H$16,$H$11))*E5681/600</f>
        <v>6.7031118000000001E-2</v>
      </c>
      <c r="L5681" s="32">
        <f>$J5681*($G5681-$G5680)*60*24</f>
        <v>6.7031117999989037E-2</v>
      </c>
    </row>
    <row r="5682" spans="1:12">
      <c r="A5682" s="22">
        <v>40314.577777777777</v>
      </c>
      <c r="E5682" s="26">
        <v>182.14944</v>
      </c>
      <c r="G5682" s="27">
        <v>0.57777777777777783</v>
      </c>
      <c r="J5682" s="30">
        <f>IF(G5682&lt;$H$10,$H$16,IF(G5682&gt;$I$10,$H$16,$H$11))*E5682/600</f>
        <v>6.6788128000000002E-2</v>
      </c>
      <c r="L5682" s="32">
        <f>$J5682*($G5682-$G5681)*60*24</f>
        <v>6.6788128000010438E-2</v>
      </c>
    </row>
    <row r="5683" spans="1:12">
      <c r="A5683" s="22">
        <v>40314.578472222223</v>
      </c>
      <c r="E5683" s="26">
        <v>181.77438000000001</v>
      </c>
      <c r="G5683" s="27">
        <v>0.57847222222222217</v>
      </c>
      <c r="J5683" s="30">
        <f>IF(G5683&lt;$H$10,$H$16,IF(G5683&gt;$I$10,$H$16,$H$11))*E5683/600</f>
        <v>6.6650606000000001E-2</v>
      </c>
      <c r="L5683" s="32">
        <f>$J5683*($G5683-$G5682)*60*24</f>
        <v>6.6650605999989121E-2</v>
      </c>
    </row>
    <row r="5684" spans="1:12">
      <c r="A5684" s="22">
        <v>40314.57916666667</v>
      </c>
      <c r="E5684" s="26">
        <v>182.80838</v>
      </c>
      <c r="G5684" s="27">
        <v>0.57916666666666672</v>
      </c>
      <c r="J5684" s="30">
        <f>IF(G5684&lt;$H$10,$H$16,IF(G5684&gt;$I$10,$H$16,$H$11))*E5684/600</f>
        <v>6.7029739333333338E-2</v>
      </c>
      <c r="L5684" s="32">
        <f>$J5684*($G5684-$G5683)*60*24</f>
        <v>6.7029739333343816E-2</v>
      </c>
    </row>
    <row r="5685" spans="1:12">
      <c r="A5685" s="22">
        <v>40314.579861111109</v>
      </c>
      <c r="E5685" s="26">
        <v>183.04356799999999</v>
      </c>
      <c r="G5685" s="27">
        <v>0.57986111111111105</v>
      </c>
      <c r="J5685" s="30">
        <f>IF(G5685&lt;$H$10,$H$16,IF(G5685&gt;$I$10,$H$16,$H$11))*E5685/600</f>
        <v>6.7115974933333322E-2</v>
      </c>
      <c r="L5685" s="32">
        <f>$J5685*($G5685-$G5684)*60*24</f>
        <v>6.7115974933322345E-2</v>
      </c>
    </row>
    <row r="5686" spans="1:12">
      <c r="A5686" s="22">
        <v>40314.580555555556</v>
      </c>
      <c r="E5686" s="26">
        <v>182.84174999999999</v>
      </c>
      <c r="G5686" s="27">
        <v>0.5805555555555556</v>
      </c>
      <c r="J5686" s="30">
        <f>IF(G5686&lt;$H$10,$H$16,IF(G5686&gt;$I$10,$H$16,$H$11))*E5686/600</f>
        <v>6.704197499999999E-2</v>
      </c>
      <c r="L5686" s="32">
        <f>$J5686*($G5686-$G5685)*60*24</f>
        <v>6.7041975000010468E-2</v>
      </c>
    </row>
    <row r="5687" spans="1:12">
      <c r="A5687" s="22">
        <v>40314.581250000003</v>
      </c>
      <c r="E5687" s="26">
        <v>182.18375</v>
      </c>
      <c r="G5687" s="27">
        <v>0.58124999999999993</v>
      </c>
      <c r="J5687" s="30">
        <f>IF(G5687&lt;$H$10,$H$16,IF(G5687&gt;$I$10,$H$16,$H$11))*E5687/600</f>
        <v>6.6800708333333333E-2</v>
      </c>
      <c r="L5687" s="32">
        <f>$J5687*($G5687-$G5686)*60*24</f>
        <v>6.6800708333322412E-2</v>
      </c>
    </row>
    <row r="5688" spans="1:12">
      <c r="A5688" s="22">
        <v>40314.581944444442</v>
      </c>
      <c r="E5688" s="26">
        <v>183.589426</v>
      </c>
      <c r="G5688" s="27">
        <v>0.58194444444444449</v>
      </c>
      <c r="J5688" s="30">
        <f>IF(G5688&lt;$H$10,$H$16,IF(G5688&gt;$I$10,$H$16,$H$11))*E5688/600</f>
        <v>6.7316122866666661E-2</v>
      </c>
      <c r="L5688" s="32">
        <f>$J5688*($G5688-$G5687)*60*24</f>
        <v>6.731612286667718E-2</v>
      </c>
    </row>
    <row r="5689" spans="1:12">
      <c r="A5689" s="22">
        <v>40314.582638888889</v>
      </c>
      <c r="E5689" s="26">
        <v>183.13305600000001</v>
      </c>
      <c r="G5689" s="27">
        <v>0.58263888888888882</v>
      </c>
      <c r="J5689" s="30">
        <f>IF(G5689&lt;$H$10,$H$16,IF(G5689&gt;$I$10,$H$16,$H$11))*E5689/600</f>
        <v>6.7148787200000004E-2</v>
      </c>
      <c r="L5689" s="32">
        <f>$J5689*($G5689-$G5688)*60*24</f>
        <v>6.7148787199989027E-2</v>
      </c>
    </row>
    <row r="5690" spans="1:12">
      <c r="A5690" s="22">
        <v>40314.583333333336</v>
      </c>
      <c r="E5690" s="26">
        <v>183.68173400000001</v>
      </c>
      <c r="G5690" s="27">
        <v>0.58333333333333337</v>
      </c>
      <c r="J5690" s="30">
        <f>IF(G5690&lt;$H$10,$H$16,IF(G5690&gt;$I$10,$H$16,$H$11))*E5690/600</f>
        <v>6.7349969133333326E-2</v>
      </c>
      <c r="L5690" s="32">
        <f>$J5690*($G5690-$G5689)*60*24</f>
        <v>6.7349969133343845E-2</v>
      </c>
    </row>
    <row r="5691" spans="1:12">
      <c r="A5691" s="22">
        <v>40314.584027777775</v>
      </c>
      <c r="E5691" s="26">
        <v>182.88574199999999</v>
      </c>
      <c r="G5691" s="27">
        <v>0.58402777777777781</v>
      </c>
      <c r="J5691" s="30">
        <f>IF(G5691&lt;$H$10,$H$16,IF(G5691&gt;$I$10,$H$16,$H$11))*E5691/600</f>
        <v>6.7058105399999998E-2</v>
      </c>
      <c r="L5691" s="32">
        <f>$J5691*($G5691-$G5690)*60*24</f>
        <v>6.7058105399999762E-2</v>
      </c>
    </row>
    <row r="5692" spans="1:12">
      <c r="A5692" s="22">
        <v>40314.584722222222</v>
      </c>
      <c r="E5692" s="26">
        <v>182.322024</v>
      </c>
      <c r="G5692" s="27">
        <v>0.58472222222222225</v>
      </c>
      <c r="J5692" s="30">
        <f>IF(G5692&lt;$H$10,$H$16,IF(G5692&gt;$I$10,$H$16,$H$11))*E5692/600</f>
        <v>6.6851408799999998E-2</v>
      </c>
      <c r="L5692" s="32">
        <f>$J5692*($G5692-$G5691)*60*24</f>
        <v>6.6851408799999762E-2</v>
      </c>
    </row>
    <row r="5693" spans="1:12">
      <c r="A5693" s="22">
        <v>40314.585416666669</v>
      </c>
      <c r="E5693" s="26">
        <v>183.21944199999999</v>
      </c>
      <c r="G5693" s="27">
        <v>0.5854166666666667</v>
      </c>
      <c r="J5693" s="30">
        <f>IF(G5693&lt;$H$10,$H$16,IF(G5693&gt;$I$10,$H$16,$H$11))*E5693/600</f>
        <v>6.7180462066666655E-2</v>
      </c>
      <c r="L5693" s="32">
        <f>$J5693*($G5693-$G5692)*60*24</f>
        <v>6.7180462066666419E-2</v>
      </c>
    </row>
    <row r="5694" spans="1:12">
      <c r="A5694" s="22">
        <v>40314.586111111108</v>
      </c>
      <c r="E5694" s="26">
        <v>183.99654000000001</v>
      </c>
      <c r="G5694" s="27">
        <v>0.58611111111111114</v>
      </c>
      <c r="J5694" s="30">
        <f>IF(G5694&lt;$H$10,$H$16,IF(G5694&gt;$I$10,$H$16,$H$11))*E5694/600</f>
        <v>6.746539800000001E-2</v>
      </c>
      <c r="L5694" s="32">
        <f>$J5694*($G5694-$G5693)*60*24</f>
        <v>6.746539799999976E-2</v>
      </c>
    </row>
    <row r="5695" spans="1:12">
      <c r="A5695" s="22">
        <v>40314.586805555555</v>
      </c>
      <c r="E5695" s="26">
        <v>183.65438</v>
      </c>
      <c r="G5695" s="27">
        <v>0.58680555555555558</v>
      </c>
      <c r="J5695" s="30">
        <f>IF(G5695&lt;$H$10,$H$16,IF(G5695&gt;$I$10,$H$16,$H$11))*E5695/600</f>
        <v>6.7339939333333335E-2</v>
      </c>
      <c r="L5695" s="32">
        <f>$J5695*($G5695-$G5694)*60*24</f>
        <v>6.7339939333333099E-2</v>
      </c>
    </row>
    <row r="5696" spans="1:12">
      <c r="A5696" s="22">
        <v>40314.587500000001</v>
      </c>
      <c r="E5696" s="26">
        <v>183.83627000000001</v>
      </c>
      <c r="G5696" s="27">
        <v>0.58750000000000002</v>
      </c>
      <c r="J5696" s="30">
        <f>IF(G5696&lt;$H$10,$H$16,IF(G5696&gt;$I$10,$H$16,$H$11))*E5696/600</f>
        <v>6.7406632333333341E-2</v>
      </c>
      <c r="L5696" s="32">
        <f>$J5696*($G5696-$G5695)*60*24</f>
        <v>6.7406632333333105E-2</v>
      </c>
    </row>
    <row r="5697" spans="1:12">
      <c r="A5697" s="22">
        <v>40314.588194444441</v>
      </c>
      <c r="E5697" s="26">
        <v>183.93374800000001</v>
      </c>
      <c r="G5697" s="27">
        <v>0.58819444444444446</v>
      </c>
      <c r="J5697" s="30">
        <f>IF(G5697&lt;$H$10,$H$16,IF(G5697&gt;$I$10,$H$16,$H$11))*E5697/600</f>
        <v>6.7442374266666674E-2</v>
      </c>
      <c r="L5697" s="32">
        <f>$J5697*($G5697-$G5696)*60*24</f>
        <v>6.7442374266666424E-2</v>
      </c>
    </row>
    <row r="5698" spans="1:12">
      <c r="A5698" s="22">
        <v>40314.588888888888</v>
      </c>
      <c r="E5698" s="26">
        <v>183.776768</v>
      </c>
      <c r="G5698" s="27">
        <v>0.58888888888888891</v>
      </c>
      <c r="J5698" s="30">
        <f>IF(G5698&lt;$H$10,$H$16,IF(G5698&gt;$I$10,$H$16,$H$11))*E5698/600</f>
        <v>6.7384814933333342E-2</v>
      </c>
      <c r="L5698" s="32">
        <f>$J5698*($G5698-$G5697)*60*24</f>
        <v>6.7384814933333106E-2</v>
      </c>
    </row>
    <row r="5699" spans="1:12">
      <c r="A5699" s="22">
        <v>40314.589583333334</v>
      </c>
      <c r="E5699" s="26">
        <v>182.35812000000001</v>
      </c>
      <c r="G5699" s="27">
        <v>0.58958333333333335</v>
      </c>
      <c r="J5699" s="30">
        <f>IF(G5699&lt;$H$10,$H$16,IF(G5699&gt;$I$10,$H$16,$H$11))*E5699/600</f>
        <v>6.6864644000000015E-2</v>
      </c>
      <c r="L5699" s="32">
        <f>$J5699*($G5699-$G5698)*60*24</f>
        <v>6.6864643999999779E-2</v>
      </c>
    </row>
    <row r="5700" spans="1:12">
      <c r="A5700" s="22">
        <v>40314.590277777781</v>
      </c>
      <c r="E5700" s="26">
        <v>182.27408399999999</v>
      </c>
      <c r="G5700" s="27">
        <v>0.59027777777777779</v>
      </c>
      <c r="J5700" s="30">
        <f>IF(G5700&lt;$H$10,$H$16,IF(G5700&gt;$I$10,$H$16,$H$11))*E5700/600</f>
        <v>6.6833830799999994E-2</v>
      </c>
      <c r="L5700" s="32">
        <f>$J5700*($G5700-$G5699)*60*24</f>
        <v>6.6833830799999758E-2</v>
      </c>
    </row>
    <row r="5701" spans="1:12">
      <c r="A5701" s="22">
        <v>40314.59097222222</v>
      </c>
      <c r="E5701" s="26">
        <v>181.75604999999999</v>
      </c>
      <c r="G5701" s="27">
        <v>0.59097222222222223</v>
      </c>
      <c r="J5701" s="30">
        <f>IF(G5701&lt;$H$10,$H$16,IF(G5701&gt;$I$10,$H$16,$H$11))*E5701/600</f>
        <v>6.6643885E-2</v>
      </c>
      <c r="L5701" s="32">
        <f>$J5701*($G5701-$G5700)*60*24</f>
        <v>6.6643884999999764E-2</v>
      </c>
    </row>
    <row r="5702" spans="1:12">
      <c r="A5702" s="22">
        <v>40314.591666666667</v>
      </c>
      <c r="E5702" s="26">
        <v>182.59171000000001</v>
      </c>
      <c r="G5702" s="27">
        <v>0.59166666666666667</v>
      </c>
      <c r="J5702" s="30">
        <f>IF(G5702&lt;$H$10,$H$16,IF(G5702&gt;$I$10,$H$16,$H$11))*E5702/600</f>
        <v>6.695029366666666E-2</v>
      </c>
      <c r="L5702" s="32">
        <f>$J5702*($G5702-$G5701)*60*24</f>
        <v>6.6950293666666411E-2</v>
      </c>
    </row>
    <row r="5703" spans="1:12">
      <c r="A5703" s="22">
        <v>40314.592361111114</v>
      </c>
      <c r="E5703" s="26">
        <v>182.84240800000001</v>
      </c>
      <c r="G5703" s="27">
        <v>0.59236111111111112</v>
      </c>
      <c r="J5703" s="30">
        <f>IF(G5703&lt;$H$10,$H$16,IF(G5703&gt;$I$10,$H$16,$H$11))*E5703/600</f>
        <v>6.7042216266666663E-2</v>
      </c>
      <c r="L5703" s="32">
        <f>$J5703*($G5703-$G5702)*60*24</f>
        <v>6.7042216266666427E-2</v>
      </c>
    </row>
    <row r="5704" spans="1:12">
      <c r="A5704" s="22">
        <v>40314.593055555553</v>
      </c>
      <c r="E5704" s="26">
        <v>182.60204999999999</v>
      </c>
      <c r="G5704" s="27">
        <v>0.59305555555555556</v>
      </c>
      <c r="J5704" s="30">
        <f>IF(G5704&lt;$H$10,$H$16,IF(G5704&gt;$I$10,$H$16,$H$11))*E5704/600</f>
        <v>6.6954084999999997E-2</v>
      </c>
      <c r="L5704" s="32">
        <f>$J5704*($G5704-$G5703)*60*24</f>
        <v>6.6954084999999761E-2</v>
      </c>
    </row>
    <row r="5705" spans="1:12">
      <c r="A5705" s="22">
        <v>40314.59375</v>
      </c>
      <c r="E5705" s="26">
        <v>182.64576</v>
      </c>
      <c r="G5705" s="27">
        <v>0.59375</v>
      </c>
      <c r="J5705" s="30">
        <f>IF(G5705&lt;$H$10,$H$16,IF(G5705&gt;$I$10,$H$16,$H$11))*E5705/600</f>
        <v>6.6970111999999998E-2</v>
      </c>
      <c r="L5705" s="32">
        <f>$J5705*($G5705-$G5704)*60*24</f>
        <v>6.6970111999999749E-2</v>
      </c>
    </row>
    <row r="5706" spans="1:12">
      <c r="A5706" s="22">
        <v>40314.594444444447</v>
      </c>
      <c r="E5706" s="26">
        <v>182.85331199999999</v>
      </c>
      <c r="G5706" s="27">
        <v>0.59444444444444444</v>
      </c>
      <c r="J5706" s="30">
        <f>IF(G5706&lt;$H$10,$H$16,IF(G5706&gt;$I$10,$H$16,$H$11))*E5706/600</f>
        <v>6.7046214399999998E-2</v>
      </c>
      <c r="L5706" s="32">
        <f>$J5706*($G5706-$G5705)*60*24</f>
        <v>6.7046214399999762E-2</v>
      </c>
    </row>
    <row r="5707" spans="1:12">
      <c r="A5707" s="22">
        <v>40314.595138888886</v>
      </c>
      <c r="E5707" s="26">
        <v>182.60204999999999</v>
      </c>
      <c r="G5707" s="27">
        <v>0.59513888888888888</v>
      </c>
      <c r="J5707" s="30">
        <f>IF(G5707&lt;$H$10,$H$16,IF(G5707&gt;$I$10,$H$16,$H$11))*E5707/600</f>
        <v>6.6954084999999997E-2</v>
      </c>
      <c r="L5707" s="32">
        <f>$J5707*($G5707-$G5706)*60*24</f>
        <v>6.6954084999999761E-2</v>
      </c>
    </row>
    <row r="5708" spans="1:12">
      <c r="A5708" s="22">
        <v>40314.595833333333</v>
      </c>
      <c r="E5708" s="26">
        <v>182.59171000000001</v>
      </c>
      <c r="G5708" s="27">
        <v>0.59583333333333333</v>
      </c>
      <c r="J5708" s="30">
        <f>IF(G5708&lt;$H$10,$H$16,IF(G5708&gt;$I$10,$H$16,$H$11))*E5708/600</f>
        <v>6.695029366666666E-2</v>
      </c>
      <c r="L5708" s="32">
        <f>$J5708*($G5708-$G5707)*60*24</f>
        <v>6.6950293666666411E-2</v>
      </c>
    </row>
    <row r="5709" spans="1:12">
      <c r="A5709" s="22">
        <v>40314.59652777778</v>
      </c>
      <c r="E5709" s="26">
        <v>182.56191200000001</v>
      </c>
      <c r="G5709" s="27">
        <v>0.59652777777777777</v>
      </c>
      <c r="J5709" s="30">
        <f>IF(G5709&lt;$H$10,$H$16,IF(G5709&gt;$I$10,$H$16,$H$11))*E5709/600</f>
        <v>6.6939367733333338E-2</v>
      </c>
      <c r="L5709" s="32">
        <f>$J5709*($G5709-$G5708)*60*24</f>
        <v>6.6939367733333088E-2</v>
      </c>
    </row>
    <row r="5710" spans="1:12">
      <c r="A5710" s="22">
        <v>40314.597222222219</v>
      </c>
      <c r="E5710" s="26">
        <v>182.638992</v>
      </c>
      <c r="G5710" s="27">
        <v>0.59722222222222221</v>
      </c>
      <c r="J5710" s="30">
        <f>IF(G5710&lt;$H$10,$H$16,IF(G5710&gt;$I$10,$H$16,$H$11))*E5710/600</f>
        <v>6.6967630400000006E-2</v>
      </c>
      <c r="L5710" s="32">
        <f>$J5710*($G5710-$G5709)*60*24</f>
        <v>6.6967630399999756E-2</v>
      </c>
    </row>
    <row r="5711" spans="1:12">
      <c r="A5711" s="22">
        <v>40314.597916666666</v>
      </c>
      <c r="E5711" s="26">
        <v>182.27652800000001</v>
      </c>
      <c r="G5711" s="27">
        <v>0.59791666666666665</v>
      </c>
      <c r="J5711" s="30">
        <f>IF(G5711&lt;$H$10,$H$16,IF(G5711&gt;$I$10,$H$16,$H$11))*E5711/600</f>
        <v>6.6834726933333338E-2</v>
      </c>
      <c r="L5711" s="32">
        <f>$J5711*($G5711-$G5710)*60*24</f>
        <v>6.6834726933333102E-2</v>
      </c>
    </row>
    <row r="5712" spans="1:12">
      <c r="A5712" s="22">
        <v>40314.598611111112</v>
      </c>
      <c r="E5712" s="26">
        <v>182.88019600000001</v>
      </c>
      <c r="G5712" s="27">
        <v>0.59861111111111109</v>
      </c>
      <c r="J5712" s="30">
        <f>IF(G5712&lt;$H$10,$H$16,IF(G5712&gt;$I$10,$H$16,$H$11))*E5712/600</f>
        <v>6.7056071866666678E-2</v>
      </c>
      <c r="L5712" s="32">
        <f>$J5712*($G5712-$G5711)*60*24</f>
        <v>6.7056071866666442E-2</v>
      </c>
    </row>
    <row r="5713" spans="1:12">
      <c r="A5713" s="22">
        <v>40314.599305555559</v>
      </c>
      <c r="E5713" s="26">
        <v>182.83808400000001</v>
      </c>
      <c r="G5713" s="27">
        <v>0.59930555555555554</v>
      </c>
      <c r="J5713" s="30">
        <f>IF(G5713&lt;$H$10,$H$16,IF(G5713&gt;$I$10,$H$16,$H$11))*E5713/600</f>
        <v>6.7040630800000015E-2</v>
      </c>
      <c r="L5713" s="32">
        <f>$J5713*($G5713-$G5712)*60*24</f>
        <v>6.7040630799999779E-2</v>
      </c>
    </row>
    <row r="5714" spans="1:12">
      <c r="A5714" s="22">
        <v>40314.6</v>
      </c>
      <c r="E5714" s="26">
        <v>183.13079999999999</v>
      </c>
      <c r="G5714" s="27">
        <v>0.6</v>
      </c>
      <c r="J5714" s="30">
        <f>IF(G5714&lt;$H$10,$H$16,IF(G5714&gt;$I$10,$H$16,$H$11))*E5714/600</f>
        <v>6.7147959999999993E-2</v>
      </c>
      <c r="L5714" s="32">
        <f>$J5714*($G5714-$G5713)*60*24</f>
        <v>6.7147959999999757E-2</v>
      </c>
    </row>
    <row r="5715" spans="1:12">
      <c r="A5715" s="22">
        <v>40314.600694444445</v>
      </c>
      <c r="E5715" s="26">
        <v>181.493685</v>
      </c>
      <c r="G5715" s="27">
        <v>0.60069444444444442</v>
      </c>
      <c r="J5715" s="30">
        <f>IF(G5715&lt;$H$10,$H$16,IF(G5715&gt;$I$10,$H$16,$H$11))*E5715/600</f>
        <v>6.6547684499999996E-2</v>
      </c>
      <c r="L5715" s="32">
        <f>$J5715*($G5715-$G5714)*60*24</f>
        <v>6.654768449999976E-2</v>
      </c>
    </row>
    <row r="5716" spans="1:12">
      <c r="A5716" s="22">
        <v>40314.601388888892</v>
      </c>
      <c r="E5716" s="26">
        <v>181.62899999999999</v>
      </c>
      <c r="G5716" s="27">
        <v>0.60138888888888886</v>
      </c>
      <c r="J5716" s="30">
        <f>IF(G5716&lt;$H$10,$H$16,IF(G5716&gt;$I$10,$H$16,$H$11))*E5716/600</f>
        <v>6.6597299999999998E-2</v>
      </c>
      <c r="L5716" s="32">
        <f>$J5716*($G5716-$G5715)*60*24</f>
        <v>6.6597299999999762E-2</v>
      </c>
    </row>
    <row r="5717" spans="1:12">
      <c r="A5717" s="22">
        <v>40314.602083333331</v>
      </c>
      <c r="E5717" s="26">
        <v>182.99017599999999</v>
      </c>
      <c r="G5717" s="27">
        <v>0.6020833333333333</v>
      </c>
      <c r="J5717" s="30">
        <f>IF(G5717&lt;$H$10,$H$16,IF(G5717&gt;$I$10,$H$16,$H$11))*E5717/600</f>
        <v>6.7096397866666657E-2</v>
      </c>
      <c r="L5717" s="32">
        <f>$J5717*($G5717-$G5716)*60*24</f>
        <v>6.7096397866666421E-2</v>
      </c>
    </row>
    <row r="5718" spans="1:12">
      <c r="A5718" s="22">
        <v>40314.602777777778</v>
      </c>
      <c r="E5718" s="26">
        <v>182.53013999999999</v>
      </c>
      <c r="G5718" s="27">
        <v>0.60277777777777775</v>
      </c>
      <c r="J5718" s="30">
        <f>IF(G5718&lt;$H$10,$H$16,IF(G5718&gt;$I$10,$H$16,$H$11))*E5718/600</f>
        <v>6.6927717999999997E-2</v>
      </c>
      <c r="L5718" s="32">
        <f>$J5718*($G5718-$G5717)*60*24</f>
        <v>6.6927717999999747E-2</v>
      </c>
    </row>
    <row r="5719" spans="1:12">
      <c r="A5719" s="22">
        <v>40314.603472222225</v>
      </c>
      <c r="E5719" s="26">
        <v>183.6901</v>
      </c>
      <c r="G5719" s="27">
        <v>0.60347222222222219</v>
      </c>
      <c r="J5719" s="30">
        <f>IF(G5719&lt;$H$10,$H$16,IF(G5719&gt;$I$10,$H$16,$H$11))*E5719/600</f>
        <v>6.7353036666666671E-2</v>
      </c>
      <c r="L5719" s="32">
        <f>$J5719*($G5719-$G5718)*60*24</f>
        <v>6.7353036666666422E-2</v>
      </c>
    </row>
    <row r="5720" spans="1:12">
      <c r="A5720" s="22">
        <v>40314.604166666664</v>
      </c>
      <c r="E5720" s="26">
        <v>184.02013400000001</v>
      </c>
      <c r="G5720" s="27">
        <v>0.60416666666666663</v>
      </c>
      <c r="J5720" s="30">
        <f>IF(G5720&lt;$H$10,$H$16,IF(G5720&gt;$I$10,$H$16,$H$11))*E5720/600</f>
        <v>6.7474049133333339E-2</v>
      </c>
      <c r="L5720" s="32">
        <f>$J5720*($G5720-$G5719)*60*24</f>
        <v>6.7474049133333103E-2</v>
      </c>
    </row>
    <row r="5721" spans="1:12">
      <c r="A5721" s="22">
        <v>40314.604861111111</v>
      </c>
      <c r="E5721" s="26">
        <v>183.87302399999999</v>
      </c>
      <c r="G5721" s="27">
        <v>0.60486111111111118</v>
      </c>
      <c r="J5721" s="30">
        <f>IF(G5721&lt;$H$10,$H$16,IF(G5721&gt;$I$10,$H$16,$H$11))*E5721/600</f>
        <v>6.7420108800000003E-2</v>
      </c>
      <c r="L5721" s="32">
        <f>$J5721*($G5721-$G5720)*60*24</f>
        <v>6.742010880001055E-2</v>
      </c>
    </row>
    <row r="5722" spans="1:12">
      <c r="A5722" s="22">
        <v>40314.605555555558</v>
      </c>
      <c r="E5722" s="26">
        <v>183.859488</v>
      </c>
      <c r="G5722" s="27">
        <v>0.60555555555555551</v>
      </c>
      <c r="J5722" s="30">
        <f>IF(G5722&lt;$H$10,$H$16,IF(G5722&gt;$I$10,$H$16,$H$11))*E5722/600</f>
        <v>6.7415145600000004E-2</v>
      </c>
      <c r="L5722" s="32">
        <f>$J5722*($G5722-$G5721)*60*24</f>
        <v>6.7415145599988985E-2</v>
      </c>
    </row>
    <row r="5723" spans="1:12">
      <c r="A5723" s="22">
        <v>40314.606249999997</v>
      </c>
      <c r="E5723" s="26">
        <v>183.57908599999999</v>
      </c>
      <c r="G5723" s="27">
        <v>0.60625000000000007</v>
      </c>
      <c r="J5723" s="30">
        <f>IF(G5723&lt;$H$10,$H$16,IF(G5723&gt;$I$10,$H$16,$H$11))*E5723/600</f>
        <v>6.7312331533333325E-2</v>
      </c>
      <c r="L5723" s="32">
        <f>$J5723*($G5723-$G5722)*60*24</f>
        <v>6.7312331533343844E-2</v>
      </c>
    </row>
    <row r="5724" spans="1:12">
      <c r="A5724" s="22">
        <v>40314.606944444444</v>
      </c>
      <c r="E5724" s="26">
        <v>183.51667</v>
      </c>
      <c r="G5724" s="27">
        <v>0.6069444444444444</v>
      </c>
      <c r="J5724" s="30">
        <f>IF(G5724&lt;$H$10,$H$16,IF(G5724&gt;$I$10,$H$16,$H$11))*E5724/600</f>
        <v>6.728944566666667E-2</v>
      </c>
      <c r="L5724" s="32">
        <f>$J5724*($G5724-$G5723)*60*24</f>
        <v>6.7289445666655678E-2</v>
      </c>
    </row>
    <row r="5725" spans="1:12">
      <c r="A5725" s="22">
        <v>40314.607638888891</v>
      </c>
      <c r="E5725" s="26">
        <v>183.49063200000001</v>
      </c>
      <c r="G5725" s="27">
        <v>0.60763888888888895</v>
      </c>
      <c r="J5725" s="30">
        <f>IF(G5725&lt;$H$10,$H$16,IF(G5725&gt;$I$10,$H$16,$H$11))*E5725/600</f>
        <v>6.727989840000001E-2</v>
      </c>
      <c r="L5725" s="32">
        <f>$J5725*($G5725-$G5724)*60*24</f>
        <v>6.7279898400010529E-2</v>
      </c>
    </row>
    <row r="5726" spans="1:12">
      <c r="A5726" s="22">
        <v>40314.60833333333</v>
      </c>
      <c r="E5726" s="26">
        <v>183.25299999999999</v>
      </c>
      <c r="G5726" s="27">
        <v>0.60833333333333328</v>
      </c>
      <c r="J5726" s="30">
        <f>IF(G5726&lt;$H$10,$H$16,IF(G5726&gt;$I$10,$H$16,$H$11))*E5726/600</f>
        <v>6.7192766666666653E-2</v>
      </c>
      <c r="L5726" s="32">
        <f>$J5726*($G5726-$G5725)*60*24</f>
        <v>6.7192766666655676E-2</v>
      </c>
    </row>
    <row r="5727" spans="1:12">
      <c r="A5727" s="22">
        <v>40314.609027777777</v>
      </c>
      <c r="E5727" s="26">
        <v>183.589426</v>
      </c>
      <c r="G5727" s="27">
        <v>0.60902777777777783</v>
      </c>
      <c r="J5727" s="30">
        <f>IF(G5727&lt;$H$10,$H$16,IF(G5727&gt;$I$10,$H$16,$H$11))*E5727/600</f>
        <v>6.7316122866666661E-2</v>
      </c>
      <c r="L5727" s="32">
        <f>$J5727*($G5727-$G5726)*60*24</f>
        <v>6.731612286667718E-2</v>
      </c>
    </row>
    <row r="5728" spans="1:12">
      <c r="A5728" s="22">
        <v>40314.609722222223</v>
      </c>
      <c r="E5728" s="26">
        <v>183.67759799999999</v>
      </c>
      <c r="G5728" s="27">
        <v>0.60972222222222217</v>
      </c>
      <c r="J5728" s="30">
        <f>IF(G5728&lt;$H$10,$H$16,IF(G5728&gt;$I$10,$H$16,$H$11))*E5728/600</f>
        <v>6.7348452599999997E-2</v>
      </c>
      <c r="L5728" s="32">
        <f>$J5728*($G5728-$G5727)*60*24</f>
        <v>6.7348452599988992E-2</v>
      </c>
    </row>
    <row r="5729" spans="1:12">
      <c r="A5729" s="22">
        <v>40314.61041666667</v>
      </c>
      <c r="E5729" s="26">
        <v>183.55568</v>
      </c>
      <c r="G5729" s="27">
        <v>0.61041666666666672</v>
      </c>
      <c r="J5729" s="30">
        <f>IF(G5729&lt;$H$10,$H$16,IF(G5729&gt;$I$10,$H$16,$H$11))*E5729/600</f>
        <v>6.7303749333333329E-2</v>
      </c>
      <c r="L5729" s="32">
        <f>$J5729*($G5729-$G5728)*60*24</f>
        <v>6.7303749333343849E-2</v>
      </c>
    </row>
    <row r="5730" spans="1:12">
      <c r="A5730" s="22">
        <v>40314.611111111109</v>
      </c>
      <c r="E5730" s="26">
        <v>183.76022399999999</v>
      </c>
      <c r="G5730" s="27">
        <v>0.61111111111111105</v>
      </c>
      <c r="J5730" s="30">
        <f>IF(G5730&lt;$H$10,$H$16,IF(G5730&gt;$I$10,$H$16,$H$11))*E5730/600</f>
        <v>6.7378748799999999E-2</v>
      </c>
      <c r="L5730" s="32">
        <f>$J5730*($G5730-$G5729)*60*24</f>
        <v>6.737874879998898E-2</v>
      </c>
    </row>
    <row r="5731" spans="1:12">
      <c r="A5731" s="22">
        <v>40314.611805555556</v>
      </c>
      <c r="E5731" s="26">
        <v>184.43044399999999</v>
      </c>
      <c r="G5731" s="27">
        <v>0.6118055555555556</v>
      </c>
      <c r="J5731" s="30">
        <f>IF(G5731&lt;$H$10,$H$16,IF(G5731&gt;$I$10,$H$16,$H$11))*E5731/600</f>
        <v>6.7624496133333337E-2</v>
      </c>
      <c r="L5731" s="32">
        <f>$J5731*($G5731-$G5730)*60*24</f>
        <v>6.7624496133343912E-2</v>
      </c>
    </row>
    <row r="5732" spans="1:12">
      <c r="A5732" s="22">
        <v>40314.612500000003</v>
      </c>
      <c r="E5732" s="26">
        <v>183.776768</v>
      </c>
      <c r="G5732" s="27">
        <v>0.61249999999999993</v>
      </c>
      <c r="J5732" s="30">
        <f>IF(G5732&lt;$H$10,$H$16,IF(G5732&gt;$I$10,$H$16,$H$11))*E5732/600</f>
        <v>6.7384814933333342E-2</v>
      </c>
      <c r="L5732" s="32">
        <f>$J5732*($G5732-$G5731)*60*24</f>
        <v>6.7384814933322323E-2</v>
      </c>
    </row>
    <row r="5733" spans="1:12">
      <c r="A5733" s="22">
        <v>40314.613194444442</v>
      </c>
      <c r="E5733" s="26">
        <v>183.803088</v>
      </c>
      <c r="G5733" s="27">
        <v>0.61319444444444449</v>
      </c>
      <c r="J5733" s="30">
        <f>IF(G5733&lt;$H$10,$H$16,IF(G5733&gt;$I$10,$H$16,$H$11))*E5733/600</f>
        <v>6.7394465599999995E-2</v>
      </c>
      <c r="L5733" s="32">
        <f>$J5733*($G5733-$G5732)*60*24</f>
        <v>6.7394465600010528E-2</v>
      </c>
    </row>
    <row r="5734" spans="1:12">
      <c r="A5734" s="22">
        <v>40314.613888888889</v>
      </c>
      <c r="E5734" s="26">
        <v>182.19004799999999</v>
      </c>
      <c r="G5734" s="27">
        <v>0.61388888888888882</v>
      </c>
      <c r="J5734" s="30">
        <f>IF(G5734&lt;$H$10,$H$16,IF(G5734&gt;$I$10,$H$16,$H$11))*E5734/600</f>
        <v>6.68030176E-2</v>
      </c>
      <c r="L5734" s="32">
        <f>$J5734*($G5734-$G5733)*60*24</f>
        <v>6.6803017599989079E-2</v>
      </c>
    </row>
    <row r="5735" spans="1:12">
      <c r="A5735" s="22">
        <v>40314.614583333336</v>
      </c>
      <c r="E5735" s="26">
        <v>182.75198</v>
      </c>
      <c r="G5735" s="27">
        <v>0.61458333333333337</v>
      </c>
      <c r="J5735" s="30">
        <f>IF(G5735&lt;$H$10,$H$16,IF(G5735&gt;$I$10,$H$16,$H$11))*E5735/600</f>
        <v>6.7009059333333329E-2</v>
      </c>
      <c r="L5735" s="32">
        <f>$J5735*($G5735-$G5734)*60*24</f>
        <v>6.7009059333343807E-2</v>
      </c>
    </row>
    <row r="5736" spans="1:12">
      <c r="A5736" s="22">
        <v>40314.615277777775</v>
      </c>
      <c r="E5736" s="26">
        <v>182.37880000000001</v>
      </c>
      <c r="G5736" s="27">
        <v>0.61527777777777781</v>
      </c>
      <c r="J5736" s="30">
        <f>IF(G5736&lt;$H$10,$H$16,IF(G5736&gt;$I$10,$H$16,$H$11))*E5736/600</f>
        <v>6.6872226666666673E-2</v>
      </c>
      <c r="L5736" s="32">
        <f>$J5736*($G5736-$G5735)*60*24</f>
        <v>6.6872226666666437E-2</v>
      </c>
    </row>
    <row r="5737" spans="1:12">
      <c r="A5737" s="22">
        <v>40314.615972222222</v>
      </c>
      <c r="E5737" s="26">
        <v>182.42382599999999</v>
      </c>
      <c r="G5737" s="27">
        <v>0.61597222222222225</v>
      </c>
      <c r="J5737" s="30">
        <f>IF(G5737&lt;$H$10,$H$16,IF(G5737&gt;$I$10,$H$16,$H$11))*E5737/600</f>
        <v>6.6888736200000007E-2</v>
      </c>
      <c r="L5737" s="32">
        <f>$J5737*($G5737-$G5736)*60*24</f>
        <v>6.6888736199999771E-2</v>
      </c>
    </row>
    <row r="5738" spans="1:12">
      <c r="A5738" s="22">
        <v>40314.616666666669</v>
      </c>
      <c r="E5738" s="26">
        <v>182.259702</v>
      </c>
      <c r="G5738" s="27">
        <v>0.6166666666666667</v>
      </c>
      <c r="J5738" s="30">
        <f>IF(G5738&lt;$H$10,$H$16,IF(G5738&gt;$I$10,$H$16,$H$11))*E5738/600</f>
        <v>6.6828557400000002E-2</v>
      </c>
      <c r="L5738" s="32">
        <f>$J5738*($G5738-$G5737)*60*24</f>
        <v>6.6828557399999766E-2</v>
      </c>
    </row>
    <row r="5739" spans="1:12">
      <c r="A5739" s="22">
        <v>40314.617361111108</v>
      </c>
      <c r="E5739" s="26">
        <v>178.355412</v>
      </c>
      <c r="G5739" s="27">
        <v>0.61736111111111114</v>
      </c>
      <c r="J5739" s="30">
        <f>IF(G5739&lt;$H$10,$H$16,IF(G5739&gt;$I$10,$H$16,$H$11))*E5739/600</f>
        <v>6.5396984399999997E-2</v>
      </c>
      <c r="L5739" s="32">
        <f>$J5739*($G5739-$G5738)*60*24</f>
        <v>6.5396984399999775E-2</v>
      </c>
    </row>
    <row r="5740" spans="1:12">
      <c r="A5740" s="22">
        <v>40314.618055555555</v>
      </c>
      <c r="E5740" s="26">
        <v>178.79100800000001</v>
      </c>
      <c r="G5740" s="27">
        <v>0.61805555555555558</v>
      </c>
      <c r="J5740" s="30">
        <f>IF(G5740&lt;$H$10,$H$16,IF(G5740&gt;$I$10,$H$16,$H$11))*E5740/600</f>
        <v>6.5556702933333336E-2</v>
      </c>
      <c r="L5740" s="32">
        <f>$J5740*($G5740-$G5739)*60*24</f>
        <v>6.55567029333331E-2</v>
      </c>
    </row>
    <row r="5741" spans="1:12">
      <c r="A5741" s="22">
        <v>40314.618750000001</v>
      </c>
      <c r="E5741" s="26">
        <v>179.692656</v>
      </c>
      <c r="G5741" s="27">
        <v>0.61875000000000002</v>
      </c>
      <c r="J5741" s="30">
        <f>IF(G5741&lt;$H$10,$H$16,IF(G5741&gt;$I$10,$H$16,$H$11))*E5741/600</f>
        <v>6.5887307199999995E-2</v>
      </c>
      <c r="L5741" s="32">
        <f>$J5741*($G5741-$G5740)*60*24</f>
        <v>6.5887307199999759E-2</v>
      </c>
    </row>
    <row r="5742" spans="1:12">
      <c r="A5742" s="22">
        <v>40314.619444444441</v>
      </c>
      <c r="E5742" s="26">
        <v>179.40614400000001</v>
      </c>
      <c r="G5742" s="27">
        <v>0.61944444444444446</v>
      </c>
      <c r="J5742" s="30">
        <f>IF(G5742&lt;$H$10,$H$16,IF(G5742&gt;$I$10,$H$16,$H$11))*E5742/600</f>
        <v>6.578225280000001E-2</v>
      </c>
      <c r="L5742" s="32">
        <f>$J5742*($G5742-$G5741)*60*24</f>
        <v>6.5782252799999774E-2</v>
      </c>
    </row>
    <row r="5743" spans="1:12">
      <c r="A5743" s="22">
        <v>40314.620138888888</v>
      </c>
      <c r="E5743" s="26">
        <v>179.41686000000001</v>
      </c>
      <c r="G5743" s="27">
        <v>0.62013888888888891</v>
      </c>
      <c r="J5743" s="30">
        <f>IF(G5743&lt;$H$10,$H$16,IF(G5743&gt;$I$10,$H$16,$H$11))*E5743/600</f>
        <v>6.5786182000000012E-2</v>
      </c>
      <c r="L5743" s="32">
        <f>$J5743*($G5743-$G5742)*60*24</f>
        <v>6.5786181999999777E-2</v>
      </c>
    </row>
    <row r="5744" spans="1:12">
      <c r="A5744" s="22">
        <v>40314.620833333334</v>
      </c>
      <c r="E5744" s="26">
        <v>178.62660199999999</v>
      </c>
      <c r="G5744" s="27">
        <v>0.62083333333333335</v>
      </c>
      <c r="J5744" s="30">
        <f>IF(G5744&lt;$H$10,$H$16,IF(G5744&gt;$I$10,$H$16,$H$11))*E5744/600</f>
        <v>6.5496420733333338E-2</v>
      </c>
      <c r="L5744" s="32">
        <f>$J5744*($G5744-$G5743)*60*24</f>
        <v>6.5496420733333102E-2</v>
      </c>
    </row>
    <row r="5745" spans="1:12">
      <c r="A5745" s="22">
        <v>40314.621527777781</v>
      </c>
      <c r="E5745" s="26">
        <v>178.74241000000001</v>
      </c>
      <c r="G5745" s="27">
        <v>0.62152777777777779</v>
      </c>
      <c r="J5745" s="30">
        <f>IF(G5745&lt;$H$10,$H$16,IF(G5745&gt;$I$10,$H$16,$H$11))*E5745/600</f>
        <v>6.5538883666666672E-2</v>
      </c>
      <c r="L5745" s="32">
        <f>$J5745*($G5745-$G5744)*60*24</f>
        <v>6.553888366666645E-2</v>
      </c>
    </row>
    <row r="5746" spans="1:12">
      <c r="A5746" s="22">
        <v>40314.62222222222</v>
      </c>
      <c r="E5746" s="26">
        <v>179.061352</v>
      </c>
      <c r="G5746" s="27">
        <v>0.62222222222222223</v>
      </c>
      <c r="J5746" s="30">
        <f>IF(G5746&lt;$H$10,$H$16,IF(G5746&gt;$I$10,$H$16,$H$11))*E5746/600</f>
        <v>6.5655829066666657E-2</v>
      </c>
      <c r="L5746" s="32">
        <f>$J5746*($G5746-$G5745)*60*24</f>
        <v>6.5655829066666421E-2</v>
      </c>
    </row>
    <row r="5747" spans="1:12">
      <c r="A5747" s="22">
        <v>40314.622916666667</v>
      </c>
      <c r="E5747" s="26">
        <v>178.503556</v>
      </c>
      <c r="G5747" s="27">
        <v>0.62291666666666667</v>
      </c>
      <c r="J5747" s="30">
        <f>IF(G5747&lt;$H$10,$H$16,IF(G5747&gt;$I$10,$H$16,$H$11))*E5747/600</f>
        <v>6.5451303866666671E-2</v>
      </c>
      <c r="L5747" s="32">
        <f>$J5747*($G5747-$G5746)*60*24</f>
        <v>6.5451303866666449E-2</v>
      </c>
    </row>
    <row r="5748" spans="1:12">
      <c r="A5748" s="22">
        <v>40314.623611111114</v>
      </c>
      <c r="E5748" s="26">
        <v>179.126588</v>
      </c>
      <c r="G5748" s="27">
        <v>0.62361111111111112</v>
      </c>
      <c r="J5748" s="30">
        <f>IF(G5748&lt;$H$10,$H$16,IF(G5748&gt;$I$10,$H$16,$H$11))*E5748/600</f>
        <v>6.5679748933333337E-2</v>
      </c>
      <c r="L5748" s="32">
        <f>$J5748*($G5748-$G5747)*60*24</f>
        <v>6.5679748933333115E-2</v>
      </c>
    </row>
    <row r="5749" spans="1:12">
      <c r="A5749" s="22">
        <v>40314.624305555553</v>
      </c>
      <c r="E5749" s="26">
        <v>180.82093800000001</v>
      </c>
      <c r="G5749" s="27">
        <v>0.62430555555555556</v>
      </c>
      <c r="J5749" s="30">
        <f>IF(G5749&lt;$H$10,$H$16,IF(G5749&gt;$I$10,$H$16,$H$11))*E5749/600</f>
        <v>6.6301010600000002E-2</v>
      </c>
      <c r="L5749" s="32">
        <f>$J5749*($G5749-$G5748)*60*24</f>
        <v>6.6301010599999766E-2</v>
      </c>
    </row>
    <row r="5750" spans="1:12">
      <c r="A5750" s="22">
        <v>40314.625</v>
      </c>
      <c r="E5750" s="26">
        <v>181.35091</v>
      </c>
      <c r="G5750" s="27">
        <v>0.625</v>
      </c>
      <c r="J5750" s="30">
        <f>IF(G5750&lt;$H$10,$H$16,IF(G5750&gt;$I$10,$H$16,$H$11))*E5750/600</f>
        <v>6.649533366666667E-2</v>
      </c>
      <c r="L5750" s="32">
        <f>$J5750*($G5750-$G5749)*60*24</f>
        <v>6.6495333666666434E-2</v>
      </c>
    </row>
    <row r="5751" spans="1:12">
      <c r="A5751" s="22">
        <v>40314.625694444447</v>
      </c>
      <c r="E5751" s="26">
        <v>181.06430399999999</v>
      </c>
      <c r="G5751" s="27">
        <v>0.62569444444444444</v>
      </c>
      <c r="J5751" s="30">
        <f>IF(G5751&lt;$H$10,$H$16,IF(G5751&gt;$I$10,$H$16,$H$11))*E5751/600</f>
        <v>6.6390244799999998E-2</v>
      </c>
      <c r="L5751" s="32">
        <f>$J5751*($G5751-$G5750)*60*24</f>
        <v>6.6390244799999762E-2</v>
      </c>
    </row>
    <row r="5752" spans="1:12">
      <c r="A5752" s="22">
        <v>40314.626388888886</v>
      </c>
      <c r="E5752" s="26">
        <v>180.42688999999999</v>
      </c>
      <c r="G5752" s="27">
        <v>0.62638888888888888</v>
      </c>
      <c r="J5752" s="30">
        <f>IF(G5752&lt;$H$10,$H$16,IF(G5752&gt;$I$10,$H$16,$H$11))*E5752/600</f>
        <v>6.6156526333333326E-2</v>
      </c>
      <c r="L5752" s="32">
        <f>$J5752*($G5752-$G5751)*60*24</f>
        <v>6.6156526333333091E-2</v>
      </c>
    </row>
    <row r="5753" spans="1:12">
      <c r="A5753" s="22">
        <v>40314.627083333333</v>
      </c>
      <c r="E5753" s="26">
        <v>180.281002</v>
      </c>
      <c r="G5753" s="27">
        <v>0.62708333333333333</v>
      </c>
      <c r="J5753" s="30">
        <f>IF(G5753&lt;$H$10,$H$16,IF(G5753&gt;$I$10,$H$16,$H$11))*E5753/600</f>
        <v>6.6103034066666663E-2</v>
      </c>
      <c r="L5753" s="32">
        <f>$J5753*($G5753-$G5752)*60*24</f>
        <v>6.6103034066666427E-2</v>
      </c>
    </row>
    <row r="5754" spans="1:12">
      <c r="A5754" s="22">
        <v>40314.62777777778</v>
      </c>
      <c r="E5754" s="26">
        <v>182.46847600000001</v>
      </c>
      <c r="G5754" s="27">
        <v>0.62777777777777777</v>
      </c>
      <c r="J5754" s="30">
        <f>IF(G5754&lt;$H$10,$H$16,IF(G5754&gt;$I$10,$H$16,$H$11))*E5754/600</f>
        <v>6.6905107866666674E-2</v>
      </c>
      <c r="L5754" s="32">
        <f>$J5754*($G5754-$G5753)*60*24</f>
        <v>6.6905107866666452E-2</v>
      </c>
    </row>
    <row r="5755" spans="1:12">
      <c r="A5755" s="22">
        <v>40314.628472222219</v>
      </c>
      <c r="E5755" s="26">
        <v>182.01313999999999</v>
      </c>
      <c r="G5755" s="27">
        <v>0.62847222222222221</v>
      </c>
      <c r="J5755" s="30">
        <f>IF(G5755&lt;$H$10,$H$16,IF(G5755&gt;$I$10,$H$16,$H$11))*E5755/600</f>
        <v>6.6738151333333343E-2</v>
      </c>
      <c r="L5755" s="32">
        <f>$J5755*($G5755-$G5754)*60*24</f>
        <v>6.6738151333333107E-2</v>
      </c>
    </row>
    <row r="5756" spans="1:12">
      <c r="A5756" s="22">
        <v>40314.629166666666</v>
      </c>
      <c r="E5756" s="26">
        <v>181.93295800000001</v>
      </c>
      <c r="G5756" s="27">
        <v>0.62916666666666665</v>
      </c>
      <c r="J5756" s="30">
        <f>IF(G5756&lt;$H$10,$H$16,IF(G5756&gt;$I$10,$H$16,$H$11))*E5756/600</f>
        <v>6.6708751266666672E-2</v>
      </c>
      <c r="L5756" s="32">
        <f>$J5756*($G5756-$G5755)*60*24</f>
        <v>6.6708751266666436E-2</v>
      </c>
    </row>
    <row r="5757" spans="1:12">
      <c r="A5757" s="22">
        <v>40314.629861111112</v>
      </c>
      <c r="E5757" s="26">
        <v>182.60064</v>
      </c>
      <c r="G5757" s="27">
        <v>0.62986111111111109</v>
      </c>
      <c r="J5757" s="30">
        <f>IF(G5757&lt;$H$10,$H$16,IF(G5757&gt;$I$10,$H$16,$H$11))*E5757/600</f>
        <v>6.6953568000000005E-2</v>
      </c>
      <c r="L5757" s="32">
        <f>$J5757*($G5757-$G5756)*60*24</f>
        <v>6.6953567999999769E-2</v>
      </c>
    </row>
    <row r="5758" spans="1:12">
      <c r="A5758" s="22">
        <v>40314.630555555559</v>
      </c>
      <c r="E5758" s="26">
        <v>182.62226000000001</v>
      </c>
      <c r="G5758" s="27">
        <v>0.63055555555555554</v>
      </c>
      <c r="J5758" s="30">
        <f>IF(G5758&lt;$H$10,$H$16,IF(G5758&gt;$I$10,$H$16,$H$11))*E5758/600</f>
        <v>6.6961495333333343E-2</v>
      </c>
      <c r="L5758" s="32">
        <f>$J5758*($G5758-$G5757)*60*24</f>
        <v>6.6961495333333107E-2</v>
      </c>
    </row>
    <row r="5759" spans="1:12">
      <c r="A5759" s="22">
        <v>40314.631249999999</v>
      </c>
      <c r="E5759" s="26">
        <v>182.706672</v>
      </c>
      <c r="G5759" s="27">
        <v>0.63124999999999998</v>
      </c>
      <c r="J5759" s="30">
        <f>IF(G5759&lt;$H$10,$H$16,IF(G5759&gt;$I$10,$H$16,$H$11))*E5759/600</f>
        <v>6.6992446400000003E-2</v>
      </c>
      <c r="L5759" s="32">
        <f>$J5759*($G5759-$G5758)*60*24</f>
        <v>6.6992446399999767E-2</v>
      </c>
    </row>
    <row r="5760" spans="1:12">
      <c r="A5760" s="22">
        <v>40314.631944444445</v>
      </c>
      <c r="E5760" s="26">
        <v>182.241466</v>
      </c>
      <c r="G5760" s="27">
        <v>0.63194444444444442</v>
      </c>
      <c r="J5760" s="30">
        <f>IF(G5760&lt;$H$10,$H$16,IF(G5760&gt;$I$10,$H$16,$H$11))*E5760/600</f>
        <v>6.6821870866666674E-2</v>
      </c>
      <c r="L5760" s="32">
        <f>$J5760*($G5760-$G5759)*60*24</f>
        <v>6.6821870866666438E-2</v>
      </c>
    </row>
    <row r="5761" spans="1:12">
      <c r="A5761" s="22">
        <v>40314.632638888892</v>
      </c>
      <c r="E5761" s="26">
        <v>181.64653999999999</v>
      </c>
      <c r="G5761" s="27">
        <v>0.63263888888888886</v>
      </c>
      <c r="J5761" s="30">
        <f>IF(G5761&lt;$H$10,$H$16,IF(G5761&gt;$I$10,$H$16,$H$11))*E5761/600</f>
        <v>6.6603731333333319E-2</v>
      </c>
      <c r="L5761" s="32">
        <f>$J5761*($G5761-$G5760)*60*24</f>
        <v>6.6603731333333083E-2</v>
      </c>
    </row>
    <row r="5762" spans="1:12">
      <c r="A5762" s="22">
        <v>40314.633333333331</v>
      </c>
      <c r="E5762" s="26">
        <v>184.121184</v>
      </c>
      <c r="G5762" s="27">
        <v>0.6333333333333333</v>
      </c>
      <c r="J5762" s="30">
        <f>IF(G5762&lt;$H$10,$H$16,IF(G5762&gt;$I$10,$H$16,$H$11))*E5762/600</f>
        <v>6.7511100800000001E-2</v>
      </c>
      <c r="L5762" s="32">
        <f>$J5762*($G5762-$G5761)*60*24</f>
        <v>6.7511100799999751E-2</v>
      </c>
    </row>
    <row r="5763" spans="1:12">
      <c r="A5763" s="22">
        <v>40314.634027777778</v>
      </c>
      <c r="E5763" s="26">
        <v>184.60453200000001</v>
      </c>
      <c r="G5763" s="27">
        <v>0.63402777777777775</v>
      </c>
      <c r="J5763" s="30">
        <f>IF(G5763&lt;$H$10,$H$16,IF(G5763&gt;$I$10,$H$16,$H$11))*E5763/600</f>
        <v>6.7688328400000011E-2</v>
      </c>
      <c r="L5763" s="32">
        <f>$J5763*($G5763-$G5762)*60*24</f>
        <v>6.7688328399999775E-2</v>
      </c>
    </row>
    <row r="5764" spans="1:12">
      <c r="A5764" s="22">
        <v>40314.634722222225</v>
      </c>
      <c r="E5764" s="26">
        <v>184.34904</v>
      </c>
      <c r="G5764" s="27">
        <v>0.63472222222222219</v>
      </c>
      <c r="J5764" s="30">
        <f>IF(G5764&lt;$H$10,$H$16,IF(G5764&gt;$I$10,$H$16,$H$11))*E5764/600</f>
        <v>6.7594647999999993E-2</v>
      </c>
      <c r="L5764" s="32">
        <f>$J5764*($G5764-$G5763)*60*24</f>
        <v>6.7594647999999757E-2</v>
      </c>
    </row>
    <row r="5765" spans="1:12">
      <c r="A5765" s="22">
        <v>40314.635416666664</v>
      </c>
      <c r="E5765" s="26">
        <v>184.49624399999999</v>
      </c>
      <c r="G5765" s="27">
        <v>0.63541666666666663</v>
      </c>
      <c r="J5765" s="30">
        <f>IF(G5765&lt;$H$10,$H$16,IF(G5765&gt;$I$10,$H$16,$H$11))*E5765/600</f>
        <v>6.7648622799999988E-2</v>
      </c>
      <c r="L5765" s="32">
        <f>$J5765*($G5765-$G5764)*60*24</f>
        <v>6.7648622799999739E-2</v>
      </c>
    </row>
    <row r="5766" spans="1:12">
      <c r="A5766" s="22">
        <v>40314.636111111111</v>
      </c>
      <c r="E5766" s="26">
        <v>184.642696</v>
      </c>
      <c r="G5766" s="27">
        <v>0.63611111111111118</v>
      </c>
      <c r="J5766" s="30">
        <f>IF(G5766&lt;$H$10,$H$16,IF(G5766&gt;$I$10,$H$16,$H$11))*E5766/600</f>
        <v>6.7702321866666665E-2</v>
      </c>
      <c r="L5766" s="32">
        <f>$J5766*($G5766-$G5765)*60*24</f>
        <v>6.7702321866677254E-2</v>
      </c>
    </row>
    <row r="5767" spans="1:12">
      <c r="A5767" s="22">
        <v>40314.636805555558</v>
      </c>
      <c r="E5767" s="26">
        <v>184.34847600000001</v>
      </c>
      <c r="G5767" s="27">
        <v>0.63680555555555551</v>
      </c>
      <c r="J5767" s="30">
        <f>IF(G5767&lt;$H$10,$H$16,IF(G5767&gt;$I$10,$H$16,$H$11))*E5767/600</f>
        <v>6.7594441200000008E-2</v>
      </c>
      <c r="L5767" s="32">
        <f>$J5767*($G5767-$G5766)*60*24</f>
        <v>6.7594441199988961E-2</v>
      </c>
    </row>
    <row r="5768" spans="1:12">
      <c r="A5768" s="22">
        <v>40314.637499999997</v>
      </c>
      <c r="E5768" s="26">
        <v>184.28587200000001</v>
      </c>
      <c r="G5768" s="27">
        <v>0.63750000000000007</v>
      </c>
      <c r="J5768" s="30">
        <f>IF(G5768&lt;$H$10,$H$16,IF(G5768&gt;$I$10,$H$16,$H$11))*E5768/600</f>
        <v>6.7571486400000005E-2</v>
      </c>
      <c r="L5768" s="32">
        <f>$J5768*($G5768-$G5767)*60*24</f>
        <v>6.7571486400010566E-2</v>
      </c>
    </row>
    <row r="5769" spans="1:12">
      <c r="A5769" s="22">
        <v>40314.638194444444</v>
      </c>
      <c r="E5769" s="26">
        <v>184.04635999999999</v>
      </c>
      <c r="G5769" s="27">
        <v>0.6381944444444444</v>
      </c>
      <c r="J5769" s="30">
        <f>IF(G5769&lt;$H$10,$H$16,IF(G5769&gt;$I$10,$H$16,$H$11))*E5769/600</f>
        <v>6.7483665333333331E-2</v>
      </c>
      <c r="L5769" s="32">
        <f>$J5769*($G5769-$G5768)*60*24</f>
        <v>6.7483665333322299E-2</v>
      </c>
    </row>
    <row r="5770" spans="1:12">
      <c r="A5770" s="22">
        <v>40314.638888888891</v>
      </c>
      <c r="E5770" s="26">
        <v>184.30016000000001</v>
      </c>
      <c r="G5770" s="27">
        <v>0.63888888888888895</v>
      </c>
      <c r="J5770" s="30">
        <f>IF(G5770&lt;$H$10,$H$16,IF(G5770&gt;$I$10,$H$16,$H$11))*E5770/600</f>
        <v>6.7576725333333337E-2</v>
      </c>
      <c r="L5770" s="32">
        <f>$J5770*($G5770-$G5769)*60*24</f>
        <v>6.7576725333343898E-2</v>
      </c>
    </row>
    <row r="5771" spans="1:12">
      <c r="A5771" s="22">
        <v>40314.63958333333</v>
      </c>
      <c r="E5771" s="26">
        <v>184.098624</v>
      </c>
      <c r="G5771" s="27">
        <v>0.63958333333333328</v>
      </c>
      <c r="J5771" s="30">
        <f>IF(G5771&lt;$H$10,$H$16,IF(G5771&gt;$I$10,$H$16,$H$11))*E5771/600</f>
        <v>6.7502828799999998E-2</v>
      </c>
      <c r="L5771" s="32">
        <f>$J5771*($G5771-$G5770)*60*24</f>
        <v>6.7502828799988965E-2</v>
      </c>
    </row>
    <row r="5772" spans="1:12">
      <c r="A5772" s="22">
        <v>40314.640277777777</v>
      </c>
      <c r="E5772" s="26">
        <v>184.140736</v>
      </c>
      <c r="G5772" s="27">
        <v>0.64027777777777783</v>
      </c>
      <c r="J5772" s="30">
        <f>IF(G5772&lt;$H$10,$H$16,IF(G5772&gt;$I$10,$H$16,$H$11))*E5772/600</f>
        <v>6.7518269866666661E-2</v>
      </c>
      <c r="L5772" s="32">
        <f>$J5772*($G5772-$G5771)*60*24</f>
        <v>6.7518269866677222E-2</v>
      </c>
    </row>
    <row r="5773" spans="1:12">
      <c r="A5773" s="22">
        <v>40314.640972222223</v>
      </c>
      <c r="E5773" s="26">
        <v>183.97454400000001</v>
      </c>
      <c r="G5773" s="27">
        <v>0.64097222222222217</v>
      </c>
      <c r="J5773" s="30">
        <f>IF(G5773&lt;$H$10,$H$16,IF(G5773&gt;$I$10,$H$16,$H$11))*E5773/600</f>
        <v>6.7457332800000006E-2</v>
      </c>
      <c r="L5773" s="32">
        <f>$J5773*($G5773-$G5772)*60*24</f>
        <v>6.7457332799988987E-2</v>
      </c>
    </row>
    <row r="5774" spans="1:12">
      <c r="A5774" s="22">
        <v>40314.64166666667</v>
      </c>
      <c r="E5774" s="26">
        <v>183.891448</v>
      </c>
      <c r="G5774" s="27">
        <v>0.64166666666666672</v>
      </c>
      <c r="J5774" s="30">
        <f>IF(G5774&lt;$H$10,$H$16,IF(G5774&gt;$I$10,$H$16,$H$11))*E5774/600</f>
        <v>6.7426864266666664E-2</v>
      </c>
      <c r="L5774" s="32">
        <f>$J5774*($G5774-$G5773)*60*24</f>
        <v>6.7426864266677211E-2</v>
      </c>
    </row>
    <row r="5775" spans="1:12">
      <c r="A5775" s="22">
        <v>40314.642361111109</v>
      </c>
      <c r="E5775" s="26">
        <v>182.76871199999999</v>
      </c>
      <c r="G5775" s="27">
        <v>0.64236111111111105</v>
      </c>
      <c r="J5775" s="30">
        <f>IF(G5775&lt;$H$10,$H$16,IF(G5775&gt;$I$10,$H$16,$H$11))*E5775/600</f>
        <v>6.7015194399999992E-2</v>
      </c>
      <c r="L5775" s="32">
        <f>$J5775*($G5775-$G5774)*60*24</f>
        <v>6.7015194399989042E-2</v>
      </c>
    </row>
    <row r="5776" spans="1:12">
      <c r="A5776" s="22">
        <v>40314.643055555556</v>
      </c>
      <c r="E5776" s="26">
        <v>182.43049999999999</v>
      </c>
      <c r="G5776" s="27">
        <v>0.6430555555555556</v>
      </c>
      <c r="J5776" s="30">
        <f>IF(G5776&lt;$H$10,$H$16,IF(G5776&gt;$I$10,$H$16,$H$11))*E5776/600</f>
        <v>6.6891183333333326E-2</v>
      </c>
      <c r="L5776" s="32">
        <f>$J5776*($G5776-$G5775)*60*24</f>
        <v>6.689118333334379E-2</v>
      </c>
    </row>
    <row r="5777" spans="1:12">
      <c r="A5777" s="22">
        <v>40314.643750000003</v>
      </c>
      <c r="E5777" s="26">
        <v>182.30961600000001</v>
      </c>
      <c r="G5777" s="27">
        <v>0.64374999999999993</v>
      </c>
      <c r="J5777" s="30">
        <f>IF(G5777&lt;$H$10,$H$16,IF(G5777&gt;$I$10,$H$16,$H$11))*E5777/600</f>
        <v>6.6846859199999997E-2</v>
      </c>
      <c r="L5777" s="32">
        <f>$J5777*($G5777-$G5776)*60*24</f>
        <v>6.6846859199989075E-2</v>
      </c>
    </row>
    <row r="5778" spans="1:12">
      <c r="A5778" s="22">
        <v>40314.644444444442</v>
      </c>
      <c r="E5778" s="26">
        <v>182.61474000000001</v>
      </c>
      <c r="G5778" s="27">
        <v>0.64444444444444449</v>
      </c>
      <c r="J5778" s="30">
        <f>IF(G5778&lt;$H$10,$H$16,IF(G5778&gt;$I$10,$H$16,$H$11))*E5778/600</f>
        <v>6.6958738000000004E-2</v>
      </c>
      <c r="L5778" s="32">
        <f>$J5778*($G5778-$G5777)*60*24</f>
        <v>6.6958738000010468E-2</v>
      </c>
    </row>
    <row r="5779" spans="1:12">
      <c r="A5779" s="22">
        <v>40314.645138888889</v>
      </c>
      <c r="E5779" s="26">
        <v>183.02176</v>
      </c>
      <c r="G5779" s="27">
        <v>0.64513888888888882</v>
      </c>
      <c r="J5779" s="30">
        <f>IF(G5779&lt;$H$10,$H$16,IF(G5779&gt;$I$10,$H$16,$H$11))*E5779/600</f>
        <v>6.7107978666666665E-2</v>
      </c>
      <c r="L5779" s="32">
        <f>$J5779*($G5779-$G5778)*60*24</f>
        <v>6.7107978666655688E-2</v>
      </c>
    </row>
    <row r="5780" spans="1:12">
      <c r="A5780" s="22">
        <v>40314.645833333336</v>
      </c>
      <c r="E5780" s="26">
        <v>183.45641599999999</v>
      </c>
      <c r="G5780" s="27">
        <v>0.64583333333333337</v>
      </c>
      <c r="J5780" s="30">
        <f>IF(G5780&lt;$H$10,$H$16,IF(G5780&gt;$I$10,$H$16,$H$11))*E5780/600</f>
        <v>6.7267352533333338E-2</v>
      </c>
      <c r="L5780" s="32">
        <f>$J5780*($G5780-$G5779)*60*24</f>
        <v>6.7267352533343858E-2</v>
      </c>
    </row>
    <row r="5781" spans="1:12">
      <c r="A5781" s="22">
        <v>40314.646527777775</v>
      </c>
      <c r="E5781" s="26">
        <v>180.95460600000001</v>
      </c>
      <c r="G5781" s="27">
        <v>0.64652777777777781</v>
      </c>
      <c r="J5781" s="30">
        <f>IF(G5781&lt;$H$10,$H$16,IF(G5781&gt;$I$10,$H$16,$H$11))*E5781/600</f>
        <v>6.6350022200000011E-2</v>
      </c>
      <c r="L5781" s="32">
        <f>$J5781*($G5781-$G5780)*60*24</f>
        <v>6.6350022199999775E-2</v>
      </c>
    </row>
    <row r="5782" spans="1:12">
      <c r="A5782" s="22">
        <v>40314.647222222222</v>
      </c>
      <c r="E5782" s="26">
        <v>182.82567599999999</v>
      </c>
      <c r="G5782" s="27">
        <v>0.64722222222222225</v>
      </c>
      <c r="J5782" s="30">
        <f>IF(G5782&lt;$H$10,$H$16,IF(G5782&gt;$I$10,$H$16,$H$11))*E5782/600</f>
        <v>6.70360812E-2</v>
      </c>
      <c r="L5782" s="32">
        <f>$J5782*($G5782-$G5781)*60*24</f>
        <v>6.7036081199999764E-2</v>
      </c>
    </row>
    <row r="5783" spans="1:12">
      <c r="A5783" s="22">
        <v>40314.647916666669</v>
      </c>
      <c r="E5783" s="26">
        <v>183.40152</v>
      </c>
      <c r="G5783" s="27">
        <v>0.6479166666666667</v>
      </c>
      <c r="J5783" s="30">
        <f>IF(G5783&lt;$H$10,$H$16,IF(G5783&gt;$I$10,$H$16,$H$11))*E5783/600</f>
        <v>6.7247223999999994E-2</v>
      </c>
      <c r="L5783" s="32">
        <f>$J5783*($G5783-$G5782)*60*24</f>
        <v>6.7247223999999745E-2</v>
      </c>
    </row>
    <row r="5784" spans="1:12">
      <c r="A5784" s="22">
        <v>40314.648611111108</v>
      </c>
      <c r="E5784" s="26">
        <v>179.85790800000001</v>
      </c>
      <c r="G5784" s="27">
        <v>0.64861111111111114</v>
      </c>
      <c r="J5784" s="30">
        <f>IF(G5784&lt;$H$10,$H$16,IF(G5784&gt;$I$10,$H$16,$H$11))*E5784/600</f>
        <v>6.5947899599999998E-2</v>
      </c>
      <c r="L5784" s="32">
        <f>$J5784*($G5784-$G5783)*60*24</f>
        <v>6.5947899599999762E-2</v>
      </c>
    </row>
    <row r="5785" spans="1:12">
      <c r="A5785" s="22">
        <v>40314.649305555555</v>
      </c>
      <c r="E5785" s="26">
        <v>184.12485000000001</v>
      </c>
      <c r="G5785" s="27">
        <v>0.64930555555555558</v>
      </c>
      <c r="J5785" s="30">
        <f>IF(G5785&lt;$H$10,$H$16,IF(G5785&gt;$I$10,$H$16,$H$11))*E5785/600</f>
        <v>6.7512445000000004E-2</v>
      </c>
      <c r="L5785" s="32">
        <f>$J5785*($G5785-$G5784)*60*24</f>
        <v>6.7512444999999768E-2</v>
      </c>
    </row>
    <row r="5786" spans="1:12">
      <c r="A5786" s="22">
        <v>40314.65</v>
      </c>
      <c r="E5786" s="26">
        <v>184.73632000000001</v>
      </c>
      <c r="G5786" s="27">
        <v>0.65</v>
      </c>
      <c r="J5786" s="30">
        <f>IF(G5786&lt;$H$10,$H$16,IF(G5786&gt;$I$10,$H$16,$H$11))*E5786/600</f>
        <v>6.7736650666666676E-2</v>
      </c>
      <c r="L5786" s="32">
        <f>$J5786*($G5786-$G5785)*60*24</f>
        <v>6.7736650666666426E-2</v>
      </c>
    </row>
    <row r="5787" spans="1:12">
      <c r="A5787" s="22">
        <v>40314.650694444441</v>
      </c>
      <c r="E5787" s="26">
        <v>184.28361599999999</v>
      </c>
      <c r="G5787" s="27">
        <v>0.65069444444444446</v>
      </c>
      <c r="J5787" s="30">
        <f>IF(G5787&lt;$H$10,$H$16,IF(G5787&gt;$I$10,$H$16,$H$11))*E5787/600</f>
        <v>6.7570659199999994E-2</v>
      </c>
      <c r="L5787" s="32">
        <f>$J5787*($G5787-$G5786)*60*24</f>
        <v>6.7570659199999758E-2</v>
      </c>
    </row>
    <row r="5788" spans="1:12">
      <c r="A5788" s="22">
        <v>40314.651388888888</v>
      </c>
      <c r="E5788" s="26">
        <v>184.55771999999999</v>
      </c>
      <c r="G5788" s="27">
        <v>0.65138888888888891</v>
      </c>
      <c r="J5788" s="30">
        <f>IF(G5788&lt;$H$10,$H$16,IF(G5788&gt;$I$10,$H$16,$H$11))*E5788/600</f>
        <v>6.7671164000000006E-2</v>
      </c>
      <c r="L5788" s="32">
        <f>$J5788*($G5788-$G5787)*60*24</f>
        <v>6.7671163999999756E-2</v>
      </c>
    </row>
    <row r="5789" spans="1:12">
      <c r="A5789" s="22">
        <v>40314.652083333334</v>
      </c>
      <c r="E5789" s="26">
        <v>184.446988</v>
      </c>
      <c r="G5789" s="27">
        <v>0.65208333333333335</v>
      </c>
      <c r="J5789" s="30">
        <f>IF(G5789&lt;$H$10,$H$16,IF(G5789&gt;$I$10,$H$16,$H$11))*E5789/600</f>
        <v>6.7630562266666666E-2</v>
      </c>
      <c r="L5789" s="32">
        <f>$J5789*($G5789-$G5788)*60*24</f>
        <v>6.763056226666643E-2</v>
      </c>
    </row>
    <row r="5790" spans="1:12">
      <c r="A5790" s="22">
        <v>40314.652777777781</v>
      </c>
      <c r="E5790" s="26">
        <v>185.49537000000001</v>
      </c>
      <c r="G5790" s="27">
        <v>0.65277777777777779</v>
      </c>
      <c r="J5790" s="30">
        <f>IF(G5790&lt;$H$10,$H$16,IF(G5790&gt;$I$10,$H$16,$H$11))*E5790/600</f>
        <v>6.8014968999999995E-2</v>
      </c>
      <c r="L5790" s="32">
        <f>$J5790*($G5790-$G5789)*60*24</f>
        <v>6.8014968999999759E-2</v>
      </c>
    </row>
    <row r="5791" spans="1:12">
      <c r="A5791" s="22">
        <v>40314.65347222222</v>
      </c>
      <c r="E5791" s="26">
        <v>185.2928</v>
      </c>
      <c r="G5791" s="27">
        <v>0.65347222222222223</v>
      </c>
      <c r="J5791" s="30">
        <f>IF(G5791&lt;$H$10,$H$16,IF(G5791&gt;$I$10,$H$16,$H$11))*E5791/600</f>
        <v>6.794069333333333E-2</v>
      </c>
      <c r="L5791" s="32">
        <f>$J5791*($G5791-$G5790)*60*24</f>
        <v>6.794069333333308E-2</v>
      </c>
    </row>
    <row r="5792" spans="1:12">
      <c r="A5792" s="22">
        <v>40314.654166666667</v>
      </c>
      <c r="E5792" s="26">
        <v>184.82505599999999</v>
      </c>
      <c r="G5792" s="27">
        <v>0.65416666666666667</v>
      </c>
      <c r="J5792" s="30">
        <f>IF(G5792&lt;$H$10,$H$16,IF(G5792&gt;$I$10,$H$16,$H$11))*E5792/600</f>
        <v>6.7769187199999997E-2</v>
      </c>
      <c r="L5792" s="32">
        <f>$J5792*($G5792-$G5791)*60*24</f>
        <v>6.7769187199999747E-2</v>
      </c>
    </row>
    <row r="5793" spans="1:12">
      <c r="A5793" s="22">
        <v>40314.654861111114</v>
      </c>
      <c r="E5793" s="26">
        <v>186.47977499999999</v>
      </c>
      <c r="G5793" s="27">
        <v>0.65486111111111112</v>
      </c>
      <c r="J5793" s="30">
        <f>IF(G5793&lt;$H$10,$H$16,IF(G5793&gt;$I$10,$H$16,$H$11))*E5793/600</f>
        <v>6.8375917500000008E-2</v>
      </c>
      <c r="L5793" s="32">
        <f>$J5793*($G5793-$G5792)*60*24</f>
        <v>6.8375917499999758E-2</v>
      </c>
    </row>
    <row r="5794" spans="1:12">
      <c r="A5794" s="22">
        <v>40314.655555555553</v>
      </c>
      <c r="E5794" s="26">
        <v>186.920005</v>
      </c>
      <c r="G5794" s="27">
        <v>0.65555555555555556</v>
      </c>
      <c r="J5794" s="30">
        <f>IF(G5794&lt;$H$10,$H$16,IF(G5794&gt;$I$10,$H$16,$H$11))*E5794/600</f>
        <v>6.8537335166666657E-2</v>
      </c>
      <c r="L5794" s="32">
        <f>$J5794*($G5794-$G5793)*60*24</f>
        <v>6.8537335166666408E-2</v>
      </c>
    </row>
    <row r="5795" spans="1:12">
      <c r="A5795" s="22">
        <v>40314.65625</v>
      </c>
      <c r="E5795" s="26">
        <v>187.08739499999999</v>
      </c>
      <c r="G5795" s="27">
        <v>0.65625</v>
      </c>
      <c r="J5795" s="30">
        <f>IF(G5795&lt;$H$10,$H$16,IF(G5795&gt;$I$10,$H$16,$H$11))*E5795/600</f>
        <v>6.8598711500000006E-2</v>
      </c>
      <c r="L5795" s="32">
        <f>$J5795*($G5795-$G5794)*60*24</f>
        <v>6.859871149999977E-2</v>
      </c>
    </row>
    <row r="5796" spans="1:12">
      <c r="A5796" s="22">
        <v>40314.656944444447</v>
      </c>
      <c r="E5796" s="26">
        <v>186.96912</v>
      </c>
      <c r="G5796" s="27">
        <v>0.65694444444444444</v>
      </c>
      <c r="J5796" s="30">
        <f>IF(G5796&lt;$H$10,$H$16,IF(G5796&gt;$I$10,$H$16,$H$11))*E5796/600</f>
        <v>6.8555344000000004E-2</v>
      </c>
      <c r="L5796" s="32">
        <f>$J5796*($G5796-$G5795)*60*24</f>
        <v>6.8555343999999768E-2</v>
      </c>
    </row>
    <row r="5797" spans="1:12">
      <c r="A5797" s="22">
        <v>40314.657638888886</v>
      </c>
      <c r="E5797" s="26">
        <v>184.3152</v>
      </c>
      <c r="G5797" s="27">
        <v>0.65763888888888888</v>
      </c>
      <c r="J5797" s="30">
        <f>IF(G5797&lt;$H$10,$H$16,IF(G5797&gt;$I$10,$H$16,$H$11))*E5797/600</f>
        <v>6.7582240000000002E-2</v>
      </c>
      <c r="L5797" s="32">
        <f>$J5797*($G5797-$G5796)*60*24</f>
        <v>6.7582239999999766E-2</v>
      </c>
    </row>
    <row r="5798" spans="1:12">
      <c r="A5798" s="22">
        <v>40314.658333333333</v>
      </c>
      <c r="E5798" s="26">
        <v>184.00236799999999</v>
      </c>
      <c r="G5798" s="27">
        <v>0.65833333333333333</v>
      </c>
      <c r="J5798" s="30">
        <f>IF(G5798&lt;$H$10,$H$16,IF(G5798&gt;$I$10,$H$16,$H$11))*E5798/600</f>
        <v>6.7467534933333337E-2</v>
      </c>
      <c r="L5798" s="32">
        <f>$J5798*($G5798-$G5797)*60*24</f>
        <v>6.7467534933333101E-2</v>
      </c>
    </row>
    <row r="5799" spans="1:12">
      <c r="A5799" s="22">
        <v>40314.65902777778</v>
      </c>
      <c r="E5799" s="26">
        <v>183.83580000000001</v>
      </c>
      <c r="G5799" s="27">
        <v>0.65902777777777777</v>
      </c>
      <c r="J5799" s="30">
        <f>IF(G5799&lt;$H$10,$H$16,IF(G5799&gt;$I$10,$H$16,$H$11))*E5799/600</f>
        <v>6.7406460000000001E-2</v>
      </c>
      <c r="L5799" s="32">
        <f>$J5799*($G5799-$G5798)*60*24</f>
        <v>6.7406459999999765E-2</v>
      </c>
    </row>
    <row r="5800" spans="1:12">
      <c r="A5800" s="22">
        <v>40314.659722222219</v>
      </c>
      <c r="E5800" s="26">
        <v>183.90817999999999</v>
      </c>
      <c r="G5800" s="27">
        <v>0.65972222222222221</v>
      </c>
      <c r="J5800" s="30">
        <f>IF(G5800&lt;$H$10,$H$16,IF(G5800&gt;$I$10,$H$16,$H$11))*E5800/600</f>
        <v>6.7432999333333327E-2</v>
      </c>
      <c r="L5800" s="32">
        <f>$J5800*($G5800-$G5799)*60*24</f>
        <v>6.7432999333333077E-2</v>
      </c>
    </row>
    <row r="5801" spans="1:12">
      <c r="A5801" s="22">
        <v>40314.660416666666</v>
      </c>
      <c r="E5801" s="26">
        <v>184.16874799999999</v>
      </c>
      <c r="G5801" s="27">
        <v>0.66041666666666665</v>
      </c>
      <c r="J5801" s="30">
        <f>IF(G5801&lt;$H$10,$H$16,IF(G5801&gt;$I$10,$H$16,$H$11))*E5801/600</f>
        <v>6.7528540933333325E-2</v>
      </c>
      <c r="L5801" s="32">
        <f>$J5801*($G5801-$G5800)*60*24</f>
        <v>6.7528540933333089E-2</v>
      </c>
    </row>
    <row r="5802" spans="1:12">
      <c r="A5802" s="22">
        <v>40314.661111111112</v>
      </c>
      <c r="E5802" s="26">
        <v>184.13020800000001</v>
      </c>
      <c r="G5802" s="27">
        <v>0.66111111111111109</v>
      </c>
      <c r="J5802" s="30">
        <f>IF(G5802&lt;$H$10,$H$16,IF(G5802&gt;$I$10,$H$16,$H$11))*E5802/600</f>
        <v>6.7514409600000005E-2</v>
      </c>
      <c r="L5802" s="32">
        <f>$J5802*($G5802-$G5801)*60*24</f>
        <v>6.7514409599999756E-2</v>
      </c>
    </row>
    <row r="5803" spans="1:12">
      <c r="A5803" s="22">
        <v>40314.661805555559</v>
      </c>
      <c r="E5803" s="26">
        <v>183.88468</v>
      </c>
      <c r="G5803" s="27">
        <v>0.66180555555555554</v>
      </c>
      <c r="J5803" s="30">
        <f>IF(G5803&lt;$H$10,$H$16,IF(G5803&gt;$I$10,$H$16,$H$11))*E5803/600</f>
        <v>6.7424382666666671E-2</v>
      </c>
      <c r="L5803" s="32">
        <f>$J5803*($G5803-$G5802)*60*24</f>
        <v>6.7424382666666435E-2</v>
      </c>
    </row>
    <row r="5804" spans="1:12">
      <c r="A5804" s="22">
        <v>40314.662499999999</v>
      </c>
      <c r="E5804" s="26">
        <v>184.17504600000001</v>
      </c>
      <c r="G5804" s="27">
        <v>0.66249999999999998</v>
      </c>
      <c r="J5804" s="30">
        <f>IF(G5804&lt;$H$10,$H$16,IF(G5804&gt;$I$10,$H$16,$H$11))*E5804/600</f>
        <v>6.7530850200000006E-2</v>
      </c>
      <c r="L5804" s="32">
        <f>$J5804*($G5804-$G5803)*60*24</f>
        <v>6.753085019999977E-2</v>
      </c>
    </row>
    <row r="5805" spans="1:12">
      <c r="A5805" s="22">
        <v>40314.663194444445</v>
      </c>
      <c r="E5805" s="26">
        <v>183.143584</v>
      </c>
      <c r="G5805" s="27">
        <v>0.66319444444444442</v>
      </c>
      <c r="J5805" s="30">
        <f>IF(G5805&lt;$H$10,$H$16,IF(G5805&gt;$I$10,$H$16,$H$11))*E5805/600</f>
        <v>6.7152647466666673E-2</v>
      </c>
      <c r="L5805" s="32">
        <f>$J5805*($G5805-$G5804)*60*24</f>
        <v>6.7152647466666437E-2</v>
      </c>
    </row>
    <row r="5806" spans="1:12">
      <c r="A5806" s="22">
        <v>40314.663888888892</v>
      </c>
      <c r="E5806" s="26">
        <v>180.16867199999999</v>
      </c>
      <c r="G5806" s="27">
        <v>0.66388888888888886</v>
      </c>
      <c r="J5806" s="30">
        <f>IF(G5806&lt;$H$10,$H$16,IF(G5806&gt;$I$10,$H$16,$H$11))*E5806/600</f>
        <v>6.6061846399999999E-2</v>
      </c>
      <c r="L5806" s="32">
        <f>$J5806*($G5806-$G5805)*60*24</f>
        <v>6.6061846399999763E-2</v>
      </c>
    </row>
    <row r="5807" spans="1:12">
      <c r="A5807" s="22">
        <v>40314.664583333331</v>
      </c>
      <c r="E5807" s="26">
        <v>180.484512</v>
      </c>
      <c r="G5807" s="27">
        <v>0.6645833333333333</v>
      </c>
      <c r="J5807" s="30">
        <f>IF(G5807&lt;$H$10,$H$16,IF(G5807&gt;$I$10,$H$16,$H$11))*E5807/600</f>
        <v>6.6177654399999994E-2</v>
      </c>
      <c r="L5807" s="32">
        <f>$J5807*($G5807-$G5806)*60*24</f>
        <v>6.6177654399999758E-2</v>
      </c>
    </row>
    <row r="5808" spans="1:12">
      <c r="A5808" s="22">
        <v>40314.665277777778</v>
      </c>
      <c r="E5808" s="26">
        <v>180.633408</v>
      </c>
      <c r="G5808" s="27">
        <v>0.66527777777777775</v>
      </c>
      <c r="J5808" s="30">
        <f>IF(G5808&lt;$H$10,$H$16,IF(G5808&gt;$I$10,$H$16,$H$11))*E5808/600</f>
        <v>6.6232249600000001E-2</v>
      </c>
      <c r="L5808" s="32">
        <f>$J5808*($G5808-$G5807)*60*24</f>
        <v>6.6232249599999765E-2</v>
      </c>
    </row>
    <row r="5809" spans="1:12">
      <c r="A5809" s="22">
        <v>40314.665972222225</v>
      </c>
      <c r="E5809" s="26">
        <v>176.78354400000001</v>
      </c>
      <c r="G5809" s="27">
        <v>0.66597222222222219</v>
      </c>
      <c r="J5809" s="30">
        <f>IF(G5809&lt;$H$10,$H$16,IF(G5809&gt;$I$10,$H$16,$H$11))*E5809/600</f>
        <v>6.4820632800000014E-2</v>
      </c>
      <c r="L5809" s="32">
        <f>$J5809*($G5809-$G5808)*60*24</f>
        <v>6.4820632799999778E-2</v>
      </c>
    </row>
    <row r="5810" spans="1:12">
      <c r="A5810" s="22">
        <v>40314.666666666664</v>
      </c>
      <c r="E5810" s="26">
        <v>176.11238399999999</v>
      </c>
      <c r="G5810" s="27">
        <v>0.66666666666666663</v>
      </c>
      <c r="J5810" s="30">
        <f>IF(G5810&lt;$H$10,$H$16,IF(G5810&gt;$I$10,$H$16,$H$11))*E5810/600</f>
        <v>6.4574540799999997E-2</v>
      </c>
      <c r="L5810" s="32">
        <f>$J5810*($G5810-$G5809)*60*24</f>
        <v>6.4574540799999774E-2</v>
      </c>
    </row>
    <row r="5811" spans="1:12">
      <c r="A5811" s="22">
        <v>40314.667361111111</v>
      </c>
      <c r="E5811" s="26">
        <v>175.98661200000001</v>
      </c>
      <c r="G5811" s="27">
        <v>0.66736111111111107</v>
      </c>
      <c r="J5811" s="30">
        <f>IF(G5811&lt;$H$10,$H$16,IF(G5811&gt;$I$10,$H$16,$H$11))*E5811/600</f>
        <v>6.4528424400000006E-2</v>
      </c>
      <c r="L5811" s="32">
        <f>$J5811*($G5811-$G5810)*60*24</f>
        <v>6.4528424399999784E-2</v>
      </c>
    </row>
    <row r="5812" spans="1:12">
      <c r="A5812" s="22">
        <v>40314.668055555558</v>
      </c>
      <c r="E5812" s="26">
        <v>174.934752</v>
      </c>
      <c r="G5812" s="27">
        <v>0.66805555555555562</v>
      </c>
      <c r="J5812" s="30">
        <f>IF(G5812&lt;$H$10,$H$16,IF(G5812&gt;$I$10,$H$16,$H$11))*E5812/600</f>
        <v>6.4142742399999994E-2</v>
      </c>
      <c r="L5812" s="32">
        <f>$J5812*($G5812-$G5811)*60*24</f>
        <v>6.4142742400010014E-2</v>
      </c>
    </row>
    <row r="5813" spans="1:12">
      <c r="A5813" s="22">
        <v>40314.668749999997</v>
      </c>
      <c r="E5813" s="26">
        <v>174.96784</v>
      </c>
      <c r="G5813" s="27">
        <v>0.66875000000000007</v>
      </c>
      <c r="J5813" s="30">
        <f>IF(G5813&lt;$H$10,$H$16,IF(G5813&gt;$I$10,$H$16,$H$11))*E5813/600</f>
        <v>6.4154874666666667E-2</v>
      </c>
      <c r="L5813" s="32">
        <f>$J5813*($G5813-$G5812)*60*24</f>
        <v>6.4154874666666445E-2</v>
      </c>
    </row>
    <row r="5814" spans="1:12">
      <c r="A5814" s="22">
        <v>40314.669444444444</v>
      </c>
      <c r="E5814" s="26">
        <v>175.441788</v>
      </c>
      <c r="G5814" s="27">
        <v>0.6694444444444444</v>
      </c>
      <c r="J5814" s="30">
        <f>IF(G5814&lt;$H$10,$H$16,IF(G5814&gt;$I$10,$H$16,$H$11))*E5814/600</f>
        <v>6.4328655599999993E-2</v>
      </c>
      <c r="L5814" s="32">
        <f>$J5814*($G5814-$G5813)*60*24</f>
        <v>6.4328655599989487E-2</v>
      </c>
    </row>
    <row r="5815" spans="1:12">
      <c r="A5815" s="22">
        <v>40314.670138888891</v>
      </c>
      <c r="E5815" s="26">
        <v>175.64520400000001</v>
      </c>
      <c r="G5815" s="27">
        <v>0.67013888888888884</v>
      </c>
      <c r="J5815" s="30">
        <f>IF(G5815&lt;$H$10,$H$16,IF(G5815&gt;$I$10,$H$16,$H$11))*E5815/600</f>
        <v>6.4403241466666677E-2</v>
      </c>
      <c r="L5815" s="32">
        <f>$J5815*($G5815-$G5814)*60*24</f>
        <v>6.4403241466666455E-2</v>
      </c>
    </row>
    <row r="5816" spans="1:12">
      <c r="A5816" s="22">
        <v>40314.67083333333</v>
      </c>
      <c r="E5816" s="26">
        <v>171.386064</v>
      </c>
      <c r="G5816" s="27">
        <v>0.67083333333333339</v>
      </c>
      <c r="J5816" s="30">
        <f>IF(G5816&lt;$H$10,$H$16,IF(G5816&gt;$I$10,$H$16,$H$11))*E5816/600</f>
        <v>6.2841556800000004E-2</v>
      </c>
      <c r="L5816" s="32">
        <f>$J5816*($G5816-$G5815)*60*24</f>
        <v>6.2841556800009829E-2</v>
      </c>
    </row>
    <row r="5817" spans="1:12">
      <c r="A5817" s="22">
        <v>40314.671527777777</v>
      </c>
      <c r="E5817" s="26">
        <v>156.06916799999999</v>
      </c>
      <c r="G5817" s="27">
        <v>0.67152777777777783</v>
      </c>
      <c r="J5817" s="30">
        <f>IF(G5817&lt;$H$10,$H$16,IF(G5817&gt;$I$10,$H$16,$H$11))*E5817/600</f>
        <v>5.7225361599999996E-2</v>
      </c>
      <c r="L5817" s="32">
        <f>$J5817*($G5817-$G5816)*60*24</f>
        <v>5.7225361599999788E-2</v>
      </c>
    </row>
    <row r="5818" spans="1:12">
      <c r="A5818" s="22">
        <v>40314.672222222223</v>
      </c>
      <c r="E5818" s="26">
        <v>160.02072899999999</v>
      </c>
      <c r="G5818" s="27">
        <v>0.67222222222222217</v>
      </c>
      <c r="J5818" s="30">
        <f>IF(G5818&lt;$H$10,$H$16,IF(G5818&gt;$I$10,$H$16,$H$11))*E5818/600</f>
        <v>5.8674267299999992E-2</v>
      </c>
      <c r="L5818" s="32">
        <f>$J5818*($G5818-$G5817)*60*24</f>
        <v>5.8674267299990396E-2</v>
      </c>
    </row>
    <row r="5819" spans="1:12">
      <c r="A5819" s="22">
        <v>40314.67291666667</v>
      </c>
      <c r="E5819" s="26">
        <v>154.07184799999999</v>
      </c>
      <c r="G5819" s="27">
        <v>0.67291666666666661</v>
      </c>
      <c r="J5819" s="30">
        <f>IF(G5819&lt;$H$10,$H$16,IF(G5819&gt;$I$10,$H$16,$H$11))*E5819/600</f>
        <v>5.6493010933333331E-2</v>
      </c>
      <c r="L5819" s="32">
        <f>$J5819*($G5819-$G5818)*60*24</f>
        <v>5.6493010933333129E-2</v>
      </c>
    </row>
    <row r="5820" spans="1:12">
      <c r="A5820" s="22">
        <v>40314.673611111109</v>
      </c>
      <c r="E5820" s="26">
        <v>153.322508</v>
      </c>
      <c r="G5820" s="27">
        <v>0.67361111111111116</v>
      </c>
      <c r="J5820" s="30">
        <f>IF(G5820&lt;$H$10,$H$16,IF(G5820&gt;$I$10,$H$16,$H$11))*E5820/600</f>
        <v>5.6218252933333338E-2</v>
      </c>
      <c r="L5820" s="32">
        <f>$J5820*($G5820-$G5819)*60*24</f>
        <v>5.6218252933342122E-2</v>
      </c>
    </row>
    <row r="5821" spans="1:12">
      <c r="A5821" s="22">
        <v>40314.674305555556</v>
      </c>
      <c r="E5821" s="26">
        <v>154.97262000000001</v>
      </c>
      <c r="G5821" s="27">
        <v>0.6743055555555556</v>
      </c>
      <c r="J5821" s="30">
        <f>IF(G5821&lt;$H$10,$H$16,IF(G5821&gt;$I$10,$H$16,$H$11))*E5821/600</f>
        <v>5.6823294000000003E-2</v>
      </c>
      <c r="L5821" s="32">
        <f>$J5821*($G5821-$G5820)*60*24</f>
        <v>5.6823293999999802E-2</v>
      </c>
    </row>
    <row r="5822" spans="1:12">
      <c r="A5822" s="22">
        <v>40314.675000000003</v>
      </c>
      <c r="E5822" s="26">
        <v>155.38800000000001</v>
      </c>
      <c r="G5822" s="27">
        <v>0.67499999999999993</v>
      </c>
      <c r="J5822" s="30">
        <f>IF(G5822&lt;$H$10,$H$16,IF(G5822&gt;$I$10,$H$16,$H$11))*E5822/600</f>
        <v>5.6975600000000008E-2</v>
      </c>
      <c r="L5822" s="32">
        <f>$J5822*($G5822-$G5821)*60*24</f>
        <v>5.6975599999990689E-2</v>
      </c>
    </row>
    <row r="5823" spans="1:12">
      <c r="A5823" s="22">
        <v>40314.675694444442</v>
      </c>
      <c r="E5823" s="26">
        <v>161.68459200000001</v>
      </c>
      <c r="G5823" s="27">
        <v>0.67569444444444438</v>
      </c>
      <c r="J5823" s="30">
        <f>IF(G5823&lt;$H$10,$H$16,IF(G5823&gt;$I$10,$H$16,$H$11))*E5823/600</f>
        <v>5.9284350399999998E-2</v>
      </c>
      <c r="L5823" s="32">
        <f>$J5823*($G5823-$G5822)*60*24</f>
        <v>5.9284350399999783E-2</v>
      </c>
    </row>
    <row r="5824" spans="1:12">
      <c r="A5824" s="22">
        <v>40314.676388888889</v>
      </c>
      <c r="E5824" s="26">
        <v>158.15533500000001</v>
      </c>
      <c r="G5824" s="27">
        <v>0.67638888888888893</v>
      </c>
      <c r="J5824" s="30">
        <f>IF(G5824&lt;$H$10,$H$16,IF(G5824&gt;$I$10,$H$16,$H$11))*E5824/600</f>
        <v>5.79902895E-2</v>
      </c>
      <c r="L5824" s="32">
        <f>$J5824*($G5824-$G5823)*60*24</f>
        <v>5.7990289500009069E-2</v>
      </c>
    </row>
    <row r="5825" spans="1:12">
      <c r="A5825" s="22">
        <v>40314.677083333336</v>
      </c>
      <c r="E5825" s="26">
        <v>153.22875999999999</v>
      </c>
      <c r="G5825" s="27">
        <v>0.67708333333333337</v>
      </c>
      <c r="J5825" s="30">
        <f>IF(G5825&lt;$H$10,$H$16,IF(G5825&gt;$I$10,$H$16,$H$11))*E5825/600</f>
        <v>5.6183878666666673E-2</v>
      </c>
      <c r="L5825" s="32">
        <f>$J5825*($G5825-$G5824)*60*24</f>
        <v>5.6183878666666479E-2</v>
      </c>
    </row>
    <row r="5826" spans="1:12">
      <c r="A5826" s="22">
        <v>40314.677777777775</v>
      </c>
      <c r="E5826" s="26">
        <v>160.15065000000001</v>
      </c>
      <c r="G5826" s="27">
        <v>0.6777777777777777</v>
      </c>
      <c r="J5826" s="30">
        <f>IF(G5826&lt;$H$10,$H$16,IF(G5826&gt;$I$10,$H$16,$H$11))*E5826/600</f>
        <v>5.8721905000000012E-2</v>
      </c>
      <c r="L5826" s="32">
        <f>$J5826*($G5826-$G5825)*60*24</f>
        <v>5.8721904999990415E-2</v>
      </c>
    </row>
    <row r="5827" spans="1:12">
      <c r="A5827" s="22">
        <v>40314.678472222222</v>
      </c>
      <c r="E5827" s="26">
        <v>160.347159</v>
      </c>
      <c r="G5827" s="27">
        <v>0.67847222222222225</v>
      </c>
      <c r="J5827" s="30">
        <f>IF(G5827&lt;$H$10,$H$16,IF(G5827&gt;$I$10,$H$16,$H$11))*E5827/600</f>
        <v>5.8793958299999997E-2</v>
      </c>
      <c r="L5827" s="32">
        <f>$J5827*($G5827-$G5826)*60*24</f>
        <v>5.8793958300009191E-2</v>
      </c>
    </row>
    <row r="5828" spans="1:12">
      <c r="A5828" s="22">
        <v>40314.679166666669</v>
      </c>
      <c r="E5828" s="26">
        <v>152.775936</v>
      </c>
      <c r="G5828" s="27">
        <v>0.6791666666666667</v>
      </c>
      <c r="J5828" s="30">
        <f>IF(G5828&lt;$H$10,$H$16,IF(G5828&gt;$I$10,$H$16,$H$11))*E5828/600</f>
        <v>5.60178432E-2</v>
      </c>
      <c r="L5828" s="32">
        <f>$J5828*($G5828-$G5827)*60*24</f>
        <v>5.6017843199999799E-2</v>
      </c>
    </row>
    <row r="5829" spans="1:12">
      <c r="A5829" s="22">
        <v>40314.679861111108</v>
      </c>
      <c r="E5829" s="26">
        <v>153.93899999999999</v>
      </c>
      <c r="G5829" s="27">
        <v>0.67986111111111114</v>
      </c>
      <c r="J5829" s="30">
        <f>IF(G5829&lt;$H$10,$H$16,IF(G5829&gt;$I$10,$H$16,$H$11))*E5829/600</f>
        <v>5.6444299999999996E-2</v>
      </c>
      <c r="L5829" s="32">
        <f>$J5829*($G5829-$G5828)*60*24</f>
        <v>5.6444299999999795E-2</v>
      </c>
    </row>
    <row r="5830" spans="1:12">
      <c r="A5830" s="22">
        <v>40314.680555555555</v>
      </c>
      <c r="E5830" s="26">
        <v>153.10787199999999</v>
      </c>
      <c r="G5830" s="27">
        <v>0.68055555555555547</v>
      </c>
      <c r="J5830" s="30">
        <f>IF(G5830&lt;$H$10,$H$16,IF(G5830&gt;$I$10,$H$16,$H$11))*E5830/600</f>
        <v>5.6139553066666667E-2</v>
      </c>
      <c r="L5830" s="32">
        <f>$J5830*($G5830-$G5829)*60*24</f>
        <v>5.613955306665748E-2</v>
      </c>
    </row>
    <row r="5831" spans="1:12">
      <c r="A5831" s="22">
        <v>40314.681250000001</v>
      </c>
      <c r="E5831" s="26">
        <v>151.95318</v>
      </c>
      <c r="G5831" s="27">
        <v>0.68125000000000002</v>
      </c>
      <c r="J5831" s="30">
        <f>IF(G5831&lt;$H$10,$H$16,IF(G5831&gt;$I$10,$H$16,$H$11))*E5831/600</f>
        <v>5.5716165999999998E-2</v>
      </c>
      <c r="L5831" s="32">
        <f>$J5831*($G5831-$G5830)*60*24</f>
        <v>5.5716166000008713E-2</v>
      </c>
    </row>
    <row r="5832" spans="1:12">
      <c r="A5832" s="22">
        <v>40314.681944444441</v>
      </c>
      <c r="E5832" s="26">
        <v>152.63388800000001</v>
      </c>
      <c r="G5832" s="27">
        <v>0.68194444444444446</v>
      </c>
      <c r="J5832" s="30">
        <f>IF(G5832&lt;$H$10,$H$16,IF(G5832&gt;$I$10,$H$16,$H$11))*E5832/600</f>
        <v>5.5965758933333339E-2</v>
      </c>
      <c r="L5832" s="32">
        <f>$J5832*($G5832-$G5831)*60*24</f>
        <v>5.5965758933333137E-2</v>
      </c>
    </row>
    <row r="5833" spans="1:12">
      <c r="A5833" s="22">
        <v>40314.682638888888</v>
      </c>
      <c r="E5833" s="26">
        <v>153.042</v>
      </c>
      <c r="G5833" s="27">
        <v>0.68263888888888891</v>
      </c>
      <c r="J5833" s="30">
        <f>IF(G5833&lt;$H$10,$H$16,IF(G5833&gt;$I$10,$H$16,$H$11))*E5833/600</f>
        <v>5.6115400000000003E-2</v>
      </c>
      <c r="L5833" s="32">
        <f>$J5833*($G5833-$G5832)*60*24</f>
        <v>5.6115399999999808E-2</v>
      </c>
    </row>
    <row r="5834" spans="1:12">
      <c r="A5834" s="22">
        <v>40314.683333333334</v>
      </c>
      <c r="E5834" s="26">
        <v>152.49625599999999</v>
      </c>
      <c r="G5834" s="27">
        <v>0.68333333333333324</v>
      </c>
      <c r="J5834" s="30">
        <f>IF(G5834&lt;$H$10,$H$16,IF(G5834&gt;$I$10,$H$16,$H$11))*E5834/600</f>
        <v>5.5915293866666667E-2</v>
      </c>
      <c r="L5834" s="32">
        <f>$J5834*($G5834-$G5833)*60*24</f>
        <v>5.5915293866657528E-2</v>
      </c>
    </row>
    <row r="5835" spans="1:12">
      <c r="A5835" s="22">
        <v>40314.684027777781</v>
      </c>
      <c r="E5835" s="26">
        <v>152.292384</v>
      </c>
      <c r="G5835" s="27">
        <v>0.68402777777777779</v>
      </c>
      <c r="J5835" s="30">
        <f>IF(G5835&lt;$H$10,$H$16,IF(G5835&gt;$I$10,$H$16,$H$11))*E5835/600</f>
        <v>5.5840540800000005E-2</v>
      </c>
      <c r="L5835" s="32">
        <f>$J5835*($G5835-$G5834)*60*24</f>
        <v>5.5840540800008741E-2</v>
      </c>
    </row>
    <row r="5836" spans="1:12">
      <c r="A5836" s="22">
        <v>40314.68472222222</v>
      </c>
      <c r="E5836" s="26">
        <v>152.225132</v>
      </c>
      <c r="G5836" s="27">
        <v>0.68472222222222223</v>
      </c>
      <c r="J5836" s="30">
        <f>IF(G5836&lt;$H$10,$H$16,IF(G5836&gt;$I$10,$H$16,$H$11))*E5836/600</f>
        <v>5.5815881733333336E-2</v>
      </c>
      <c r="L5836" s="32">
        <f>$J5836*($G5836-$G5835)*60*24</f>
        <v>5.5815881733333142E-2</v>
      </c>
    </row>
    <row r="5837" spans="1:12">
      <c r="A5837" s="22">
        <v>40314.685416666667</v>
      </c>
      <c r="E5837" s="26">
        <v>152.89369600000001</v>
      </c>
      <c r="G5837" s="27">
        <v>0.68541666666666667</v>
      </c>
      <c r="J5837" s="30">
        <f>IF(G5837&lt;$H$10,$H$16,IF(G5837&gt;$I$10,$H$16,$H$11))*E5837/600</f>
        <v>5.6061021866666665E-2</v>
      </c>
      <c r="L5837" s="32">
        <f>$J5837*($G5837-$G5836)*60*24</f>
        <v>5.6061021866666463E-2</v>
      </c>
    </row>
    <row r="5838" spans="1:12">
      <c r="A5838" s="22">
        <v>40314.686111111114</v>
      </c>
      <c r="E5838" s="26">
        <v>152.29624799999999</v>
      </c>
      <c r="G5838" s="27">
        <v>0.68611111111111101</v>
      </c>
      <c r="J5838" s="30">
        <f>IF(G5838&lt;$H$10,$H$16,IF(G5838&gt;$I$10,$H$16,$H$11))*E5838/600</f>
        <v>5.5841957599999999E-2</v>
      </c>
      <c r="L5838" s="32">
        <f>$J5838*($G5838-$G5837)*60*24</f>
        <v>5.5841957599990874E-2</v>
      </c>
    </row>
    <row r="5839" spans="1:12">
      <c r="A5839" s="22">
        <v>40314.686805555553</v>
      </c>
      <c r="E5839" s="26">
        <v>152.56507199999999</v>
      </c>
      <c r="G5839" s="27">
        <v>0.68680555555555556</v>
      </c>
      <c r="J5839" s="30">
        <f>IF(G5839&lt;$H$10,$H$16,IF(G5839&gt;$I$10,$H$16,$H$11))*E5839/600</f>
        <v>5.5940526399999996E-2</v>
      </c>
      <c r="L5839" s="32">
        <f>$J5839*($G5839-$G5838)*60*24</f>
        <v>5.5940526400008739E-2</v>
      </c>
    </row>
    <row r="5840" spans="1:12">
      <c r="A5840" s="22">
        <v>40314.6875</v>
      </c>
      <c r="E5840" s="26">
        <v>154.55926400000001</v>
      </c>
      <c r="G5840" s="27">
        <v>0.6875</v>
      </c>
      <c r="J5840" s="30">
        <f>IF(G5840&lt;$H$10,$H$16,IF(G5840&gt;$I$10,$H$16,$H$11))*E5840/600</f>
        <v>5.6671730133333341E-2</v>
      </c>
      <c r="L5840" s="32">
        <f>$J5840*($G5840-$G5839)*60*24</f>
        <v>5.6671730133333133E-2</v>
      </c>
    </row>
    <row r="5841" spans="1:12">
      <c r="A5841" s="22">
        <v>40314.688194444447</v>
      </c>
      <c r="E5841" s="26">
        <v>153.29454000000001</v>
      </c>
      <c r="G5841" s="27">
        <v>0.68819444444444444</v>
      </c>
      <c r="J5841" s="30">
        <f>IF(G5841&lt;$H$10,$H$16,IF(G5841&gt;$I$10,$H$16,$H$11))*E5841/600</f>
        <v>5.6207998000000002E-2</v>
      </c>
      <c r="L5841" s="32">
        <f>$J5841*($G5841-$G5840)*60*24</f>
        <v>5.6207997999999801E-2</v>
      </c>
    </row>
    <row r="5842" spans="1:12">
      <c r="A5842" s="22">
        <v>40314.688888888886</v>
      </c>
      <c r="E5842" s="26">
        <v>159.08542800000001</v>
      </c>
      <c r="G5842" s="27">
        <v>0.68888888888888899</v>
      </c>
      <c r="J5842" s="30">
        <f>IF(G5842&lt;$H$10,$H$16,IF(G5842&gt;$I$10,$H$16,$H$11))*E5842/600</f>
        <v>5.8331323600000005E-2</v>
      </c>
      <c r="L5842" s="32">
        <f>$J5842*($G5842-$G5841)*60*24</f>
        <v>5.833132360000913E-2</v>
      </c>
    </row>
    <row r="5843" spans="1:12">
      <c r="A5843" s="22">
        <v>40314.689583333333</v>
      </c>
      <c r="E5843" s="26">
        <v>158.65334999999999</v>
      </c>
      <c r="G5843" s="27">
        <v>0.68958333333333333</v>
      </c>
      <c r="J5843" s="30">
        <f>IF(G5843&lt;$H$10,$H$16,IF(G5843&gt;$I$10,$H$16,$H$11))*E5843/600</f>
        <v>5.8172895000000002E-2</v>
      </c>
      <c r="L5843" s="32">
        <f>$J5843*($G5843-$G5842)*60*24</f>
        <v>5.8172894999990496E-2</v>
      </c>
    </row>
    <row r="5844" spans="1:12">
      <c r="A5844" s="22">
        <v>40314.69027777778</v>
      </c>
      <c r="E5844" s="26">
        <v>156.20523600000001</v>
      </c>
      <c r="G5844" s="27">
        <v>0.69027777777777777</v>
      </c>
      <c r="J5844" s="30">
        <f>IF(G5844&lt;$H$10,$H$16,IF(G5844&gt;$I$10,$H$16,$H$11))*E5844/600</f>
        <v>5.7275253200000001E-2</v>
      </c>
      <c r="L5844" s="32">
        <f>$J5844*($G5844-$G5843)*60*24</f>
        <v>5.72752531999998E-2</v>
      </c>
    </row>
    <row r="5845" spans="1:12">
      <c r="A5845" s="22">
        <v>40314.690972222219</v>
      </c>
      <c r="E5845" s="26">
        <v>155.85996</v>
      </c>
      <c r="G5845" s="27">
        <v>0.69097222222222221</v>
      </c>
      <c r="J5845" s="30">
        <f>IF(G5845&lt;$H$10,$H$16,IF(G5845&gt;$I$10,$H$16,$H$11))*E5845/600</f>
        <v>5.7148651999999994E-2</v>
      </c>
      <c r="L5845" s="32">
        <f>$J5845*($G5845-$G5844)*60*24</f>
        <v>5.7148651999999786E-2</v>
      </c>
    </row>
    <row r="5846" spans="1:12">
      <c r="A5846" s="22">
        <v>40314.691666666666</v>
      </c>
      <c r="E5846" s="26">
        <v>158.23857000000001</v>
      </c>
      <c r="G5846" s="27">
        <v>0.69166666666666676</v>
      </c>
      <c r="J5846" s="30">
        <f>IF(G5846&lt;$H$10,$H$16,IF(G5846&gt;$I$10,$H$16,$H$11))*E5846/600</f>
        <v>5.8020809E-2</v>
      </c>
      <c r="L5846" s="32">
        <f>$J5846*($G5846-$G5845)*60*24</f>
        <v>5.8020809000009076E-2</v>
      </c>
    </row>
    <row r="5847" spans="1:12">
      <c r="A5847" s="22">
        <v>40314.692361111112</v>
      </c>
      <c r="E5847" s="26">
        <v>153.45921999999999</v>
      </c>
      <c r="G5847" s="27">
        <v>0.69236111111111109</v>
      </c>
      <c r="J5847" s="30">
        <f>IF(G5847&lt;$H$10,$H$16,IF(G5847&gt;$I$10,$H$16,$H$11))*E5847/600</f>
        <v>5.6268380666666666E-2</v>
      </c>
      <c r="L5847" s="32">
        <f>$J5847*($G5847-$G5846)*60*24</f>
        <v>5.6268380666657472E-2</v>
      </c>
    </row>
    <row r="5848" spans="1:12">
      <c r="A5848" s="22">
        <v>40314.693055555559</v>
      </c>
      <c r="E5848" s="26">
        <v>155.52094</v>
      </c>
      <c r="G5848" s="27">
        <v>0.69305555555555554</v>
      </c>
      <c r="J5848" s="30">
        <f>IF(G5848&lt;$H$10,$H$16,IF(G5848&gt;$I$10,$H$16,$H$11))*E5848/600</f>
        <v>5.7024344666666664E-2</v>
      </c>
      <c r="L5848" s="32">
        <f>$J5848*($G5848-$G5847)*60*24</f>
        <v>5.7024344666666463E-2</v>
      </c>
    </row>
    <row r="5849" spans="1:12">
      <c r="A5849" s="22">
        <v>40314.693749999999</v>
      </c>
      <c r="E5849" s="26">
        <v>159.52662000000001</v>
      </c>
      <c r="G5849" s="27">
        <v>0.69374999999999998</v>
      </c>
      <c r="J5849" s="30">
        <f>IF(G5849&lt;$H$10,$H$16,IF(G5849&gt;$I$10,$H$16,$H$11))*E5849/600</f>
        <v>5.8493094000000002E-2</v>
      </c>
      <c r="L5849" s="32">
        <f>$J5849*($G5849-$G5848)*60*24</f>
        <v>5.8493093999999794E-2</v>
      </c>
    </row>
    <row r="5850" spans="1:12">
      <c r="A5850" s="22">
        <v>40314.694444444445</v>
      </c>
      <c r="E5850" s="26">
        <v>154.766448</v>
      </c>
      <c r="G5850" s="27">
        <v>0.69444444444444453</v>
      </c>
      <c r="J5850" s="30">
        <f>IF(G5850&lt;$H$10,$H$16,IF(G5850&gt;$I$10,$H$16,$H$11))*E5850/600</f>
        <v>5.6747697600000001E-2</v>
      </c>
      <c r="L5850" s="32">
        <f>$J5850*($G5850-$G5849)*60*24</f>
        <v>5.6747697600008862E-2</v>
      </c>
    </row>
    <row r="5851" spans="1:12">
      <c r="A5851" s="22">
        <v>40314.695138888892</v>
      </c>
      <c r="E5851" s="26">
        <v>154.963052</v>
      </c>
      <c r="G5851" s="27">
        <v>0.69513888888888886</v>
      </c>
      <c r="J5851" s="30">
        <f>IF(G5851&lt;$H$10,$H$16,IF(G5851&gt;$I$10,$H$16,$H$11))*E5851/600</f>
        <v>5.6819785733333329E-2</v>
      </c>
      <c r="L5851" s="32">
        <f>$J5851*($G5851-$G5850)*60*24</f>
        <v>5.6819785733324052E-2</v>
      </c>
    </row>
    <row r="5852" spans="1:12">
      <c r="A5852" s="22">
        <v>40314.695833333331</v>
      </c>
      <c r="E5852" s="26">
        <v>154.762584</v>
      </c>
      <c r="G5852" s="27">
        <v>0.6958333333333333</v>
      </c>
      <c r="J5852" s="30">
        <f>IF(G5852&lt;$H$10,$H$16,IF(G5852&gt;$I$10,$H$16,$H$11))*E5852/600</f>
        <v>5.67462808E-2</v>
      </c>
      <c r="L5852" s="32">
        <f>$J5852*($G5852-$G5851)*60*24</f>
        <v>5.6746280799999799E-2</v>
      </c>
    </row>
    <row r="5853" spans="1:12">
      <c r="A5853" s="22">
        <v>40314.696527777778</v>
      </c>
      <c r="E5853" s="26">
        <v>155.03968800000001</v>
      </c>
      <c r="G5853" s="27">
        <v>0.69652777777777775</v>
      </c>
      <c r="J5853" s="30">
        <f>IF(G5853&lt;$H$10,$H$16,IF(G5853&gt;$I$10,$H$16,$H$11))*E5853/600</f>
        <v>5.6847885600000002E-2</v>
      </c>
      <c r="L5853" s="32">
        <f>$J5853*($G5853-$G5852)*60*24</f>
        <v>5.6847885599999794E-2</v>
      </c>
    </row>
    <row r="5854" spans="1:12">
      <c r="A5854" s="22">
        <v>40314.697222222225</v>
      </c>
      <c r="E5854" s="26">
        <v>155.59039999999999</v>
      </c>
      <c r="G5854" s="27">
        <v>0.6972222222222223</v>
      </c>
      <c r="J5854" s="30">
        <f>IF(G5854&lt;$H$10,$H$16,IF(G5854&gt;$I$10,$H$16,$H$11))*E5854/600</f>
        <v>5.7049813333333324E-2</v>
      </c>
      <c r="L5854" s="32">
        <f>$J5854*($G5854-$G5853)*60*24</f>
        <v>5.7049813333342247E-2</v>
      </c>
    </row>
    <row r="5855" spans="1:12">
      <c r="A5855" s="22">
        <v>40314.697916666664</v>
      </c>
      <c r="E5855" s="26">
        <v>154.97216</v>
      </c>
      <c r="G5855" s="27">
        <v>0.69791666666666663</v>
      </c>
      <c r="J5855" s="30">
        <f>IF(G5855&lt;$H$10,$H$16,IF(G5855&gt;$I$10,$H$16,$H$11))*E5855/600</f>
        <v>5.6823125333333335E-2</v>
      </c>
      <c r="L5855" s="32">
        <f>$J5855*($G5855-$G5854)*60*24</f>
        <v>5.6823125333324037E-2</v>
      </c>
    </row>
    <row r="5856" spans="1:12">
      <c r="A5856" s="22">
        <v>40314.698611111111</v>
      </c>
      <c r="E5856" s="26">
        <v>155.24558400000001</v>
      </c>
      <c r="G5856" s="27">
        <v>0.69861111111111107</v>
      </c>
      <c r="J5856" s="30">
        <f>IF(G5856&lt;$H$10,$H$16,IF(G5856&gt;$I$10,$H$16,$H$11))*E5856/600</f>
        <v>5.6923380799999999E-2</v>
      </c>
      <c r="L5856" s="32">
        <f>$J5856*($G5856-$G5855)*60*24</f>
        <v>5.6923380799999798E-2</v>
      </c>
    </row>
    <row r="5857" spans="1:12">
      <c r="A5857" s="22">
        <v>40314.699305555558</v>
      </c>
      <c r="E5857" s="26">
        <v>155.94064399999999</v>
      </c>
      <c r="G5857" s="27">
        <v>0.69930555555555562</v>
      </c>
      <c r="J5857" s="30">
        <f>IF(G5857&lt;$H$10,$H$16,IF(G5857&gt;$I$10,$H$16,$H$11))*E5857/600</f>
        <v>5.7178236133333338E-2</v>
      </c>
      <c r="L5857" s="32">
        <f>$J5857*($G5857-$G5856)*60*24</f>
        <v>5.7178236133342275E-2</v>
      </c>
    </row>
    <row r="5858" spans="1:12">
      <c r="A5858" s="22">
        <v>40314.699999999997</v>
      </c>
      <c r="E5858" s="26">
        <v>156.07882799999999</v>
      </c>
      <c r="G5858" s="27">
        <v>0.70000000000000007</v>
      </c>
      <c r="J5858" s="30">
        <f>IF(G5858&lt;$H$10,$H$16,IF(G5858&gt;$I$10,$H$16,$H$11))*E5858/600</f>
        <v>5.7228903599999999E-2</v>
      </c>
      <c r="L5858" s="32">
        <f>$J5858*($G5858-$G5857)*60*24</f>
        <v>5.7228903599999791E-2</v>
      </c>
    </row>
    <row r="5859" spans="1:12">
      <c r="A5859" s="22">
        <v>40314.700694444444</v>
      </c>
      <c r="E5859" s="26">
        <v>155.802368</v>
      </c>
      <c r="G5859" s="27">
        <v>0.7006944444444444</v>
      </c>
      <c r="J5859" s="30">
        <f>IF(G5859&lt;$H$10,$H$16,IF(G5859&gt;$I$10,$H$16,$H$11))*E5859/600</f>
        <v>5.7127534933333335E-2</v>
      </c>
      <c r="L5859" s="32">
        <f>$J5859*($G5859-$G5858)*60*24</f>
        <v>5.7127534933323995E-2</v>
      </c>
    </row>
    <row r="5860" spans="1:12">
      <c r="A5860" s="22">
        <v>40314.701388888891</v>
      </c>
      <c r="E5860" s="26">
        <v>155.733</v>
      </c>
      <c r="G5860" s="27">
        <v>0.70138888888888884</v>
      </c>
      <c r="J5860" s="30">
        <f>IF(G5860&lt;$H$10,$H$16,IF(G5860&gt;$I$10,$H$16,$H$11))*E5860/600</f>
        <v>5.7102100000000003E-2</v>
      </c>
      <c r="L5860" s="32">
        <f>$J5860*($G5860-$G5859)*60*24</f>
        <v>5.7102099999999795E-2</v>
      </c>
    </row>
    <row r="5861" spans="1:12">
      <c r="A5861" s="22">
        <v>40314.70208333333</v>
      </c>
      <c r="E5861" s="26">
        <v>156.58151599999999</v>
      </c>
      <c r="G5861" s="27">
        <v>0.70208333333333339</v>
      </c>
      <c r="J5861" s="30">
        <f>IF(G5861&lt;$H$10,$H$16,IF(G5861&gt;$I$10,$H$16,$H$11))*E5861/600</f>
        <v>5.7413222533333336E-2</v>
      </c>
      <c r="L5861" s="32">
        <f>$J5861*($G5861-$G5860)*60*24</f>
        <v>5.7413222533342308E-2</v>
      </c>
    </row>
    <row r="5862" spans="1:12">
      <c r="A5862" s="22">
        <v>40314.702777777777</v>
      </c>
      <c r="E5862" s="26">
        <v>155.78175999999999</v>
      </c>
      <c r="G5862" s="27">
        <v>0.70277777777777783</v>
      </c>
      <c r="J5862" s="30">
        <f>IF(G5862&lt;$H$10,$H$16,IF(G5862&gt;$I$10,$H$16,$H$11))*E5862/600</f>
        <v>5.7119978666666661E-2</v>
      </c>
      <c r="L5862" s="32">
        <f>$J5862*($G5862-$G5861)*60*24</f>
        <v>5.711997866666646E-2</v>
      </c>
    </row>
    <row r="5863" spans="1:12">
      <c r="A5863" s="22">
        <v>40314.703472222223</v>
      </c>
      <c r="E5863" s="26">
        <v>156.087568</v>
      </c>
      <c r="G5863" s="27">
        <v>0.70347222222222217</v>
      </c>
      <c r="J5863" s="30">
        <f>IF(G5863&lt;$H$10,$H$16,IF(G5863&gt;$I$10,$H$16,$H$11))*E5863/600</f>
        <v>5.7232108266666672E-2</v>
      </c>
      <c r="L5863" s="32">
        <f>$J5863*($G5863-$G5862)*60*24</f>
        <v>5.7232108266657311E-2</v>
      </c>
    </row>
    <row r="5864" spans="1:12">
      <c r="A5864" s="22">
        <v>40314.70416666667</v>
      </c>
      <c r="E5864" s="26">
        <v>155.84119200000001</v>
      </c>
      <c r="G5864" s="27">
        <v>0.70416666666666661</v>
      </c>
      <c r="J5864" s="30">
        <f>IF(G5864&lt;$H$10,$H$16,IF(G5864&gt;$I$10,$H$16,$H$11))*E5864/600</f>
        <v>5.7141770400000007E-2</v>
      </c>
      <c r="L5864" s="32">
        <f>$J5864*($G5864-$G5863)*60*24</f>
        <v>5.7141770399999806E-2</v>
      </c>
    </row>
    <row r="5865" spans="1:12">
      <c r="A5865" s="22">
        <v>40314.704861111109</v>
      </c>
      <c r="E5865" s="26">
        <v>154.85237599999999</v>
      </c>
      <c r="G5865" s="27">
        <v>0.70486111111111116</v>
      </c>
      <c r="J5865" s="30">
        <f>IF(G5865&lt;$H$10,$H$16,IF(G5865&gt;$I$10,$H$16,$H$11))*E5865/600</f>
        <v>5.6779204533333336E-2</v>
      </c>
      <c r="L5865" s="32">
        <f>$J5865*($G5865-$G5864)*60*24</f>
        <v>5.677920453334221E-2</v>
      </c>
    </row>
    <row r="5866" spans="1:12">
      <c r="A5866" s="22">
        <v>40314.705555555556</v>
      </c>
      <c r="E5866" s="26">
        <v>154.87850399999999</v>
      </c>
      <c r="G5866" s="27">
        <v>0.7055555555555556</v>
      </c>
      <c r="J5866" s="30">
        <f>IF(G5866&lt;$H$10,$H$16,IF(G5866&gt;$I$10,$H$16,$H$11))*E5866/600</f>
        <v>5.6788784799999992E-2</v>
      </c>
      <c r="L5866" s="32">
        <f>$J5866*($G5866-$G5865)*60*24</f>
        <v>5.6788784799999784E-2</v>
      </c>
    </row>
    <row r="5867" spans="1:12">
      <c r="A5867" s="22">
        <v>40314.706250000003</v>
      </c>
      <c r="E5867" s="26">
        <v>154.829376</v>
      </c>
      <c r="G5867" s="27">
        <v>0.70624999999999993</v>
      </c>
      <c r="J5867" s="30">
        <f>IF(G5867&lt;$H$10,$H$16,IF(G5867&gt;$I$10,$H$16,$H$11))*E5867/600</f>
        <v>5.67707712E-2</v>
      </c>
      <c r="L5867" s="32">
        <f>$J5867*($G5867-$G5866)*60*24</f>
        <v>5.6770771199990723E-2</v>
      </c>
    </row>
    <row r="5868" spans="1:12">
      <c r="A5868" s="22">
        <v>40314.706944444442</v>
      </c>
      <c r="E5868" s="26">
        <v>153.52849599999999</v>
      </c>
      <c r="G5868" s="27">
        <v>0.70694444444444438</v>
      </c>
      <c r="J5868" s="30">
        <f>IF(G5868&lt;$H$10,$H$16,IF(G5868&gt;$I$10,$H$16,$H$11))*E5868/600</f>
        <v>5.6293781866666656E-2</v>
      </c>
      <c r="L5868" s="32">
        <f>$J5868*($G5868-$G5867)*60*24</f>
        <v>5.6293781866666455E-2</v>
      </c>
    </row>
    <row r="5869" spans="1:12">
      <c r="A5869" s="22">
        <v>40314.707638888889</v>
      </c>
      <c r="E5869" s="26">
        <v>154.42282800000001</v>
      </c>
      <c r="G5869" s="27">
        <v>0.70763888888888893</v>
      </c>
      <c r="J5869" s="30">
        <f>IF(G5869&lt;$H$10,$H$16,IF(G5869&gt;$I$10,$H$16,$H$11))*E5869/600</f>
        <v>5.6621703599999997E-2</v>
      </c>
      <c r="L5869" s="32">
        <f>$J5869*($G5869-$G5868)*60*24</f>
        <v>5.6621703600008844E-2</v>
      </c>
    </row>
    <row r="5870" spans="1:12">
      <c r="A5870" s="22">
        <v>40314.708333333336</v>
      </c>
      <c r="E5870" s="26">
        <v>153.52978400000001</v>
      </c>
      <c r="G5870" s="27">
        <v>0.70833333333333337</v>
      </c>
      <c r="J5870" s="30">
        <f>IF(G5870&lt;$H$10,$H$16,IF(G5870&gt;$I$10,$H$16,$H$11))*E5870/600</f>
        <v>5.6294254133333332E-2</v>
      </c>
      <c r="L5870" s="32">
        <f>$J5870*($G5870-$G5869)*60*24</f>
        <v>5.6294254133333138E-2</v>
      </c>
    </row>
    <row r="5871" spans="1:12">
      <c r="A5871" s="22">
        <v>40314.709027777775</v>
      </c>
      <c r="E5871" s="26">
        <v>158.15904</v>
      </c>
      <c r="G5871" s="27">
        <v>0.7090277777777777</v>
      </c>
      <c r="J5871" s="30">
        <f>IF(G5871&lt;$H$10,$H$16,IF(G5871&gt;$I$10,$H$16,$H$11))*E5871/600</f>
        <v>5.7991648E-2</v>
      </c>
      <c r="L5871" s="32">
        <f>$J5871*($G5871-$G5870)*60*24</f>
        <v>5.7991647999990528E-2</v>
      </c>
    </row>
    <row r="5872" spans="1:12">
      <c r="A5872" s="22">
        <v>40314.709722222222</v>
      </c>
      <c r="E5872" s="26">
        <v>153.72463999999999</v>
      </c>
      <c r="G5872" s="27">
        <v>0.70972222222222225</v>
      </c>
      <c r="J5872" s="30">
        <f>IF(G5872&lt;$H$10,$H$16,IF(G5872&gt;$I$10,$H$16,$H$11))*E5872/600</f>
        <v>5.6365701333333323E-2</v>
      </c>
      <c r="L5872" s="32">
        <f>$J5872*($G5872-$G5871)*60*24</f>
        <v>5.6365701333342136E-2</v>
      </c>
    </row>
    <row r="5873" spans="1:12">
      <c r="A5873" s="22">
        <v>40314.710416666669</v>
      </c>
      <c r="E5873" s="26">
        <v>158.50864000000001</v>
      </c>
      <c r="G5873" s="27">
        <v>0.7104166666666667</v>
      </c>
      <c r="J5873" s="30">
        <f>IF(G5873&lt;$H$10,$H$16,IF(G5873&gt;$I$10,$H$16,$H$11))*E5873/600</f>
        <v>5.8119834666666675E-2</v>
      </c>
      <c r="L5873" s="32">
        <f>$J5873*($G5873-$G5872)*60*24</f>
        <v>5.8119834666666474E-2</v>
      </c>
    </row>
    <row r="5874" spans="1:12">
      <c r="A5874" s="22">
        <v>40314.711111111108</v>
      </c>
      <c r="E5874" s="26">
        <v>155.25</v>
      </c>
      <c r="G5874" s="27">
        <v>0.71111111111111114</v>
      </c>
      <c r="J5874" s="30">
        <f>IF(G5874&lt;$H$10,$H$16,IF(G5874&gt;$I$10,$H$16,$H$11))*E5874/600</f>
        <v>5.6925000000000003E-2</v>
      </c>
      <c r="L5874" s="32">
        <f>$J5874*($G5874-$G5873)*60*24</f>
        <v>5.6924999999999795E-2</v>
      </c>
    </row>
    <row r="5875" spans="1:12">
      <c r="A5875" s="22">
        <v>40314.711805555555</v>
      </c>
      <c r="E5875" s="26">
        <v>156.216736</v>
      </c>
      <c r="G5875" s="27">
        <v>0.71180555555555547</v>
      </c>
      <c r="J5875" s="30">
        <f>IF(G5875&lt;$H$10,$H$16,IF(G5875&gt;$I$10,$H$16,$H$11))*E5875/600</f>
        <v>5.7279469866666669E-2</v>
      </c>
      <c r="L5875" s="32">
        <f>$J5875*($G5875-$G5874)*60*24</f>
        <v>5.7279469866657308E-2</v>
      </c>
    </row>
    <row r="5876" spans="1:12">
      <c r="A5876" s="22">
        <v>40314.712500000001</v>
      </c>
      <c r="E5876" s="26">
        <v>154.90039999999999</v>
      </c>
      <c r="G5876" s="27">
        <v>0.71250000000000002</v>
      </c>
      <c r="J5876" s="30">
        <f>IF(G5876&lt;$H$10,$H$16,IF(G5876&gt;$I$10,$H$16,$H$11))*E5876/600</f>
        <v>5.6796813333333335E-2</v>
      </c>
      <c r="L5876" s="32">
        <f>$J5876*($G5876-$G5875)*60*24</f>
        <v>5.6796813333342216E-2</v>
      </c>
    </row>
    <row r="5877" spans="1:12">
      <c r="A5877" s="22">
        <v>40314.713194444441</v>
      </c>
      <c r="E5877" s="26">
        <v>154.13689199999999</v>
      </c>
      <c r="G5877" s="27">
        <v>0.71319444444444446</v>
      </c>
      <c r="J5877" s="30">
        <f>IF(G5877&lt;$H$10,$H$16,IF(G5877&gt;$I$10,$H$16,$H$11))*E5877/600</f>
        <v>5.65168604E-2</v>
      </c>
      <c r="L5877" s="32">
        <f>$J5877*($G5877-$G5876)*60*24</f>
        <v>5.6516860399999799E-2</v>
      </c>
    </row>
    <row r="5878" spans="1:12">
      <c r="A5878" s="22">
        <v>40314.713888888888</v>
      </c>
      <c r="E5878" s="26">
        <v>154.55770000000001</v>
      </c>
      <c r="G5878" s="27">
        <v>0.71388888888888891</v>
      </c>
      <c r="J5878" s="30">
        <f>IF(G5878&lt;$H$10,$H$16,IF(G5878&gt;$I$10,$H$16,$H$11))*E5878/600</f>
        <v>5.6671156666666674E-2</v>
      </c>
      <c r="L5878" s="32">
        <f>$J5878*($G5878-$G5877)*60*24</f>
        <v>5.6671156666666479E-2</v>
      </c>
    </row>
    <row r="5879" spans="1:12">
      <c r="A5879" s="22">
        <v>40314.714583333334</v>
      </c>
      <c r="E5879" s="26">
        <v>154.69247999999999</v>
      </c>
      <c r="G5879" s="27">
        <v>0.71458333333333324</v>
      </c>
      <c r="J5879" s="30">
        <f>IF(G5879&lt;$H$10,$H$16,IF(G5879&gt;$I$10,$H$16,$H$11))*E5879/600</f>
        <v>5.6720576000000002E-2</v>
      </c>
      <c r="L5879" s="32">
        <f>$J5879*($G5879-$G5878)*60*24</f>
        <v>5.6720575999990731E-2</v>
      </c>
    </row>
    <row r="5880" spans="1:12">
      <c r="A5880" s="22">
        <v>40314.715277777781</v>
      </c>
      <c r="E5880" s="26">
        <v>155.11052799999999</v>
      </c>
      <c r="G5880" s="27">
        <v>0.71527777777777779</v>
      </c>
      <c r="J5880" s="30">
        <f>IF(G5880&lt;$H$10,$H$16,IF(G5880&gt;$I$10,$H$16,$H$11))*E5880/600</f>
        <v>5.6873860266666666E-2</v>
      </c>
      <c r="L5880" s="32">
        <f>$J5880*($G5880-$G5879)*60*24</f>
        <v>5.6873860266675569E-2</v>
      </c>
    </row>
    <row r="5881" spans="1:12">
      <c r="A5881" s="22">
        <v>40314.71597222222</v>
      </c>
      <c r="E5881" s="26">
        <v>156.056748</v>
      </c>
      <c r="G5881" s="27">
        <v>0.71597222222222223</v>
      </c>
      <c r="J5881" s="30">
        <f>IF(G5881&lt;$H$10,$H$16,IF(G5881&gt;$I$10,$H$16,$H$11))*E5881/600</f>
        <v>5.7220807599999993E-2</v>
      </c>
      <c r="L5881" s="32">
        <f>$J5881*($G5881-$G5880)*60*24</f>
        <v>5.7220807599999798E-2</v>
      </c>
    </row>
    <row r="5882" spans="1:12">
      <c r="A5882" s="22">
        <v>40314.716666666667</v>
      </c>
      <c r="E5882" s="26">
        <v>155.1626</v>
      </c>
      <c r="G5882" s="27">
        <v>0.71666666666666667</v>
      </c>
      <c r="J5882" s="30">
        <f>IF(G5882&lt;$H$10,$H$16,IF(G5882&gt;$I$10,$H$16,$H$11))*E5882/600</f>
        <v>5.6892953333333336E-2</v>
      </c>
      <c r="L5882" s="32">
        <f>$J5882*($G5882-$G5881)*60*24</f>
        <v>5.6892953333333135E-2</v>
      </c>
    </row>
    <row r="5883" spans="1:12">
      <c r="A5883" s="22">
        <v>40314.717361111114</v>
      </c>
      <c r="E5883" s="26">
        <v>154.818612</v>
      </c>
      <c r="G5883" s="27">
        <v>0.71736111111111101</v>
      </c>
      <c r="J5883" s="30">
        <f>IF(G5883&lt;$H$10,$H$16,IF(G5883&gt;$I$10,$H$16,$H$11))*E5883/600</f>
        <v>5.6766824400000006E-2</v>
      </c>
      <c r="L5883" s="32">
        <f>$J5883*($G5883-$G5882)*60*24</f>
        <v>5.6766824399990728E-2</v>
      </c>
    </row>
    <row r="5884" spans="1:12">
      <c r="A5884" s="22">
        <v>40314.718055555553</v>
      </c>
      <c r="E5884" s="26">
        <v>153.87257600000001</v>
      </c>
      <c r="G5884" s="27">
        <v>0.71805555555555556</v>
      </c>
      <c r="J5884" s="30">
        <f>IF(G5884&lt;$H$10,$H$16,IF(G5884&gt;$I$10,$H$16,$H$11))*E5884/600</f>
        <v>5.6419944533333335E-2</v>
      </c>
      <c r="L5884" s="32">
        <f>$J5884*($G5884-$G5883)*60*24</f>
        <v>5.6419944533342162E-2</v>
      </c>
    </row>
    <row r="5885" spans="1:12">
      <c r="A5885" s="22">
        <v>40314.71875</v>
      </c>
      <c r="E5885" s="26">
        <v>153.116152</v>
      </c>
      <c r="G5885" s="27">
        <v>0.71875</v>
      </c>
      <c r="J5885" s="30">
        <f>IF(G5885&lt;$H$10,$H$16,IF(G5885&gt;$I$10,$H$16,$H$11))*E5885/600</f>
        <v>5.6142589066666665E-2</v>
      </c>
      <c r="L5885" s="32">
        <f>$J5885*($G5885-$G5884)*60*24</f>
        <v>5.6142589066666471E-2</v>
      </c>
    </row>
    <row r="5886" spans="1:12">
      <c r="A5886" s="22">
        <v>40314.719444444447</v>
      </c>
      <c r="E5886" s="26">
        <v>153.255256</v>
      </c>
      <c r="G5886" s="27">
        <v>0.71944444444444444</v>
      </c>
      <c r="J5886" s="30">
        <f>IF(G5886&lt;$H$10,$H$16,IF(G5886&gt;$I$10,$H$16,$H$11))*E5886/600</f>
        <v>5.6193593866666669E-2</v>
      </c>
      <c r="L5886" s="32">
        <f>$J5886*($G5886-$G5885)*60*24</f>
        <v>5.6193593866666461E-2</v>
      </c>
    </row>
    <row r="5887" spans="1:12">
      <c r="A5887" s="22">
        <v>40314.720138888886</v>
      </c>
      <c r="E5887" s="26">
        <v>152.638948</v>
      </c>
      <c r="G5887" s="27">
        <v>0.72013888888888899</v>
      </c>
      <c r="J5887" s="30">
        <f>IF(G5887&lt;$H$10,$H$16,IF(G5887&gt;$I$10,$H$16,$H$11))*E5887/600</f>
        <v>5.5967614266666674E-2</v>
      </c>
      <c r="L5887" s="32">
        <f>$J5887*($G5887-$G5886)*60*24</f>
        <v>5.5967614266675424E-2</v>
      </c>
    </row>
    <row r="5888" spans="1:12">
      <c r="A5888" s="22">
        <v>40314.720833333333</v>
      </c>
      <c r="E5888" s="26">
        <v>152.50223600000001</v>
      </c>
      <c r="G5888" s="27">
        <v>0.72083333333333333</v>
      </c>
      <c r="J5888" s="30">
        <f>IF(G5888&lt;$H$10,$H$16,IF(G5888&gt;$I$10,$H$16,$H$11))*E5888/600</f>
        <v>5.5917486533333345E-2</v>
      </c>
      <c r="L5888" s="32">
        <f>$J5888*($G5888-$G5887)*60*24</f>
        <v>5.59174865333242E-2</v>
      </c>
    </row>
    <row r="5889" spans="1:12">
      <c r="A5889" s="22">
        <v>40314.72152777778</v>
      </c>
      <c r="E5889" s="26">
        <v>156.09548000000001</v>
      </c>
      <c r="G5889" s="27">
        <v>0.72152777777777777</v>
      </c>
      <c r="J5889" s="30">
        <f>IF(G5889&lt;$H$10,$H$16,IF(G5889&gt;$I$10,$H$16,$H$11))*E5889/600</f>
        <v>5.7235009333333337E-2</v>
      </c>
      <c r="L5889" s="32">
        <f>$J5889*($G5889-$G5888)*60*24</f>
        <v>5.7235009333333135E-2</v>
      </c>
    </row>
    <row r="5890" spans="1:12">
      <c r="A5890" s="22">
        <v>40314.722222222219</v>
      </c>
      <c r="E5890" s="26">
        <v>153.39086399999999</v>
      </c>
      <c r="G5890" s="27">
        <v>0.72222222222222221</v>
      </c>
      <c r="J5890" s="30">
        <f>IF(G5890&lt;$H$10,$H$16,IF(G5890&gt;$I$10,$H$16,$H$11))*E5890/600</f>
        <v>5.6243316799999998E-2</v>
      </c>
      <c r="L5890" s="32">
        <f>$J5890*($G5890-$G5889)*60*24</f>
        <v>5.6243316799999804E-2</v>
      </c>
    </row>
    <row r="5891" spans="1:12">
      <c r="A5891" s="22">
        <v>40314.722916666666</v>
      </c>
      <c r="E5891" s="26">
        <v>152.91209599999999</v>
      </c>
      <c r="G5891" s="27">
        <v>0.72291666666666676</v>
      </c>
      <c r="J5891" s="30">
        <f>IF(G5891&lt;$H$10,$H$16,IF(G5891&gt;$I$10,$H$16,$H$11))*E5891/600</f>
        <v>5.6067768533333326E-2</v>
      </c>
      <c r="L5891" s="32">
        <f>$J5891*($G5891-$G5890)*60*24</f>
        <v>5.6067768533342083E-2</v>
      </c>
    </row>
    <row r="5892" spans="1:12">
      <c r="A5892" s="22">
        <v>40314.723611111112</v>
      </c>
      <c r="E5892" s="26">
        <v>154.42062000000001</v>
      </c>
      <c r="G5892" s="27">
        <v>0.72361111111111109</v>
      </c>
      <c r="J5892" s="30">
        <f>IF(G5892&lt;$H$10,$H$16,IF(G5892&gt;$I$10,$H$16,$H$11))*E5892/600</f>
        <v>5.6620894000000005E-2</v>
      </c>
      <c r="L5892" s="32">
        <f>$J5892*($G5892-$G5891)*60*24</f>
        <v>5.6620893999990748E-2</v>
      </c>
    </row>
    <row r="5893" spans="1:12">
      <c r="A5893" s="22">
        <v>40314.724305555559</v>
      </c>
      <c r="E5893" s="26">
        <v>156.00863200000001</v>
      </c>
      <c r="G5893" s="27">
        <v>0.72430555555555554</v>
      </c>
      <c r="J5893" s="30">
        <f>IF(G5893&lt;$H$10,$H$16,IF(G5893&gt;$I$10,$H$16,$H$11))*E5893/600</f>
        <v>5.7203165066666666E-2</v>
      </c>
      <c r="L5893" s="32">
        <f>$J5893*($G5893-$G5892)*60*24</f>
        <v>5.7203165066666464E-2</v>
      </c>
    </row>
    <row r="5894" spans="1:12">
      <c r="A5894" s="22">
        <v>40314.724999999999</v>
      </c>
      <c r="E5894" s="26">
        <v>160.29331199999999</v>
      </c>
      <c r="G5894" s="27">
        <v>0.72499999999999998</v>
      </c>
      <c r="J5894" s="30">
        <f>IF(G5894&lt;$H$10,$H$16,IF(G5894&gt;$I$10,$H$16,$H$11))*E5894/600</f>
        <v>5.877421439999999E-2</v>
      </c>
      <c r="L5894" s="32">
        <f>$J5894*($G5894-$G5893)*60*24</f>
        <v>5.8774214399999782E-2</v>
      </c>
    </row>
    <row r="5895" spans="1:12">
      <c r="A5895" s="22">
        <v>40314.725694444445</v>
      </c>
      <c r="E5895" s="26">
        <v>166.167936</v>
      </c>
      <c r="G5895" s="27">
        <v>0.72569444444444453</v>
      </c>
      <c r="J5895" s="30">
        <f>IF(G5895&lt;$H$10,$H$16,IF(G5895&gt;$I$10,$H$16,$H$11))*E5895/600</f>
        <v>6.0928243199999996E-2</v>
      </c>
      <c r="L5895" s="32">
        <f>$J5895*($G5895-$G5894)*60*24</f>
        <v>6.0928243200009516E-2</v>
      </c>
    </row>
    <row r="5896" spans="1:12">
      <c r="A5896" s="22">
        <v>40314.726388888892</v>
      </c>
      <c r="E5896" s="26">
        <v>164.878119</v>
      </c>
      <c r="G5896" s="27">
        <v>0.72638888888888886</v>
      </c>
      <c r="J5896" s="30">
        <f>IF(G5896&lt;$H$10,$H$16,IF(G5896&gt;$I$10,$H$16,$H$11))*E5896/600</f>
        <v>6.0455310300000002E-2</v>
      </c>
      <c r="L5896" s="32">
        <f>$J5896*($G5896-$G5895)*60*24</f>
        <v>6.0455310299990128E-2</v>
      </c>
    </row>
    <row r="5897" spans="1:12">
      <c r="A5897" s="22">
        <v>40314.727083333331</v>
      </c>
      <c r="E5897" s="26">
        <v>159.17140800000001</v>
      </c>
      <c r="G5897" s="27">
        <v>0.7270833333333333</v>
      </c>
      <c r="J5897" s="30">
        <f>IF(G5897&lt;$H$10,$H$16,IF(G5897&gt;$I$10,$H$16,$H$11))*E5897/600</f>
        <v>5.8362849600000002E-2</v>
      </c>
      <c r="L5897" s="32">
        <f>$J5897*($G5897-$G5896)*60*24</f>
        <v>5.8362849599999794E-2</v>
      </c>
    </row>
    <row r="5898" spans="1:12">
      <c r="A5898" s="22">
        <v>40314.727777777778</v>
      </c>
      <c r="E5898" s="26">
        <v>169.553415</v>
      </c>
      <c r="G5898" s="27">
        <v>0.72777777777777775</v>
      </c>
      <c r="J5898" s="30">
        <f>IF(G5898&lt;$H$10,$H$16,IF(G5898&gt;$I$10,$H$16,$H$11))*E5898/600</f>
        <v>6.2169585499999999E-2</v>
      </c>
      <c r="L5898" s="32">
        <f>$J5898*($G5898-$G5897)*60*24</f>
        <v>6.2169585499999777E-2</v>
      </c>
    </row>
    <row r="5899" spans="1:12">
      <c r="A5899" s="22">
        <v>40314.728472222225</v>
      </c>
      <c r="E5899" s="26">
        <v>176.81757200000001</v>
      </c>
      <c r="G5899" s="27">
        <v>0.7284722222222223</v>
      </c>
      <c r="J5899" s="30">
        <f>IF(G5899&lt;$H$10,$H$16,IF(G5899&gt;$I$10,$H$16,$H$11))*E5899/600</f>
        <v>6.4833109733333338E-2</v>
      </c>
      <c r="L5899" s="32">
        <f>$J5899*($G5899-$G5898)*60*24</f>
        <v>6.4833109733343469E-2</v>
      </c>
    </row>
    <row r="5900" spans="1:12">
      <c r="A5900" s="22">
        <v>40314.729166666664</v>
      </c>
      <c r="E5900" s="26">
        <v>156.072204</v>
      </c>
      <c r="G5900" s="27">
        <v>0.72916666666666663</v>
      </c>
      <c r="J5900" s="30">
        <f>IF(G5900&lt;$H$10,$H$16,IF(G5900&gt;$I$10,$H$16,$H$11))*E5900/600</f>
        <v>5.7226474800000003E-2</v>
      </c>
      <c r="L5900" s="32">
        <f>$J5900*($G5900-$G5899)*60*24</f>
        <v>5.7226474799990656E-2</v>
      </c>
    </row>
    <row r="5901" spans="1:12">
      <c r="A5901" s="22">
        <v>40314.729861111111</v>
      </c>
      <c r="E5901" s="26">
        <v>156.94739999999999</v>
      </c>
      <c r="G5901" s="27">
        <v>0.72986111111111107</v>
      </c>
      <c r="J5901" s="30">
        <f>IF(G5901&lt;$H$10,$H$16,IF(G5901&gt;$I$10,$H$16,$H$11))*E5901/600</f>
        <v>5.7547379999999995E-2</v>
      </c>
      <c r="L5901" s="32">
        <f>$J5901*($G5901-$G5900)*60*24</f>
        <v>5.7547379999999801E-2</v>
      </c>
    </row>
    <row r="5902" spans="1:12">
      <c r="A5902" s="22">
        <v>40314.730555555558</v>
      </c>
      <c r="E5902" s="26">
        <v>156.90158400000001</v>
      </c>
      <c r="G5902" s="27">
        <v>0.73055555555555562</v>
      </c>
      <c r="J5902" s="30">
        <f>IF(G5902&lt;$H$10,$H$16,IF(G5902&gt;$I$10,$H$16,$H$11))*E5902/600</f>
        <v>5.7530580800000002E-2</v>
      </c>
      <c r="L5902" s="32">
        <f>$J5902*($G5902-$G5901)*60*24</f>
        <v>5.7530580800009001E-2</v>
      </c>
    </row>
    <row r="5903" spans="1:12">
      <c r="A5903" s="22">
        <v>40314.731249999997</v>
      </c>
      <c r="E5903" s="26">
        <v>160.501632</v>
      </c>
      <c r="G5903" s="27">
        <v>0.73125000000000007</v>
      </c>
      <c r="J5903" s="30">
        <f>IF(G5903&lt;$H$10,$H$16,IF(G5903&gt;$I$10,$H$16,$H$11))*E5903/600</f>
        <v>5.8850598400000002E-2</v>
      </c>
      <c r="L5903" s="32">
        <f>$J5903*($G5903-$G5902)*60*24</f>
        <v>5.8850598399999794E-2</v>
      </c>
    </row>
    <row r="5904" spans="1:12">
      <c r="A5904" s="22">
        <v>40314.731944444444</v>
      </c>
      <c r="E5904" s="26">
        <v>160.71813599999999</v>
      </c>
      <c r="G5904" s="27">
        <v>0.7319444444444444</v>
      </c>
      <c r="J5904" s="30">
        <f>IF(G5904&lt;$H$10,$H$16,IF(G5904&gt;$I$10,$H$16,$H$11))*E5904/600</f>
        <v>5.8929983199999987E-2</v>
      </c>
      <c r="L5904" s="32">
        <f>$J5904*($G5904-$G5903)*60*24</f>
        <v>5.8929983199990349E-2</v>
      </c>
    </row>
    <row r="5905" spans="1:12">
      <c r="A5905" s="22">
        <v>40314.732638888891</v>
      </c>
      <c r="E5905" s="26">
        <v>160.35729599999999</v>
      </c>
      <c r="G5905" s="27">
        <v>0.73263888888888884</v>
      </c>
      <c r="J5905" s="30">
        <f>IF(G5905&lt;$H$10,$H$16,IF(G5905&gt;$I$10,$H$16,$H$11))*E5905/600</f>
        <v>5.8797675200000003E-2</v>
      </c>
      <c r="L5905" s="32">
        <f>$J5905*($G5905-$G5904)*60*24</f>
        <v>5.8797675199999802E-2</v>
      </c>
    </row>
    <row r="5906" spans="1:12">
      <c r="A5906" s="22">
        <v>40314.73333333333</v>
      </c>
      <c r="E5906" s="26">
        <v>162.97031699999999</v>
      </c>
      <c r="G5906" s="27">
        <v>0.73333333333333339</v>
      </c>
      <c r="J5906" s="30">
        <f>IF(G5906&lt;$H$10,$H$16,IF(G5906&gt;$I$10,$H$16,$H$11))*E5906/600</f>
        <v>5.9755782900000005E-2</v>
      </c>
      <c r="L5906" s="32">
        <f>$J5906*($G5906-$G5905)*60*24</f>
        <v>5.9755782900009338E-2</v>
      </c>
    </row>
    <row r="5907" spans="1:12">
      <c r="A5907" s="22">
        <v>40314.734027777777</v>
      </c>
      <c r="E5907" s="26">
        <v>161.60842500000001</v>
      </c>
      <c r="G5907" s="27">
        <v>0.73402777777777783</v>
      </c>
      <c r="J5907" s="30">
        <f>IF(G5907&lt;$H$10,$H$16,IF(G5907&gt;$I$10,$H$16,$H$11))*E5907/600</f>
        <v>5.9256422500000003E-2</v>
      </c>
      <c r="L5907" s="32">
        <f>$J5907*($G5907-$G5906)*60*24</f>
        <v>5.9256422499999795E-2</v>
      </c>
    </row>
    <row r="5908" spans="1:12">
      <c r="A5908" s="22">
        <v>40314.734722222223</v>
      </c>
      <c r="E5908" s="26">
        <v>153.048348</v>
      </c>
      <c r="G5908" s="27">
        <v>0.73472222222222217</v>
      </c>
      <c r="J5908" s="30">
        <f>IF(G5908&lt;$H$10,$H$16,IF(G5908&gt;$I$10,$H$16,$H$11))*E5908/600</f>
        <v>5.61177276E-2</v>
      </c>
      <c r="L5908" s="32">
        <f>$J5908*($G5908-$G5907)*60*24</f>
        <v>5.6117727599990827E-2</v>
      </c>
    </row>
    <row r="5909" spans="1:12">
      <c r="A5909" s="22">
        <v>40314.73541666667</v>
      </c>
      <c r="E5909" s="26">
        <v>154.99276800000001</v>
      </c>
      <c r="G5909" s="27">
        <v>0.73541666666666661</v>
      </c>
      <c r="J5909" s="30">
        <f>IF(G5909&lt;$H$10,$H$16,IF(G5909&gt;$I$10,$H$16,$H$11))*E5909/600</f>
        <v>5.6830681600000002E-2</v>
      </c>
      <c r="L5909" s="32">
        <f>$J5909*($G5909-$G5908)*60*24</f>
        <v>5.6830681599999808E-2</v>
      </c>
    </row>
    <row r="5910" spans="1:12">
      <c r="A5910" s="22">
        <v>40314.736111111109</v>
      </c>
      <c r="E5910" s="26">
        <v>159.974694</v>
      </c>
      <c r="G5910" s="27">
        <v>0.73611111111111116</v>
      </c>
      <c r="J5910" s="30">
        <f>IF(G5910&lt;$H$10,$H$16,IF(G5910&gt;$I$10,$H$16,$H$11))*E5910/600</f>
        <v>5.8657387799999995E-2</v>
      </c>
      <c r="L5910" s="32">
        <f>$J5910*($G5910-$G5909)*60*24</f>
        <v>5.8657387800009175E-2</v>
      </c>
    </row>
    <row r="5911" spans="1:12">
      <c r="A5911" s="22">
        <v>40314.736805555556</v>
      </c>
      <c r="E5911" s="26">
        <v>158.124087</v>
      </c>
      <c r="G5911" s="27">
        <v>0.7368055555555556</v>
      </c>
      <c r="J5911" s="30">
        <f>IF(G5911&lt;$H$10,$H$16,IF(G5911&gt;$I$10,$H$16,$H$11))*E5911/600</f>
        <v>5.79788319E-2</v>
      </c>
      <c r="L5911" s="32">
        <f>$J5911*($G5911-$G5910)*60*24</f>
        <v>5.7978831899999791E-2</v>
      </c>
    </row>
    <row r="5912" spans="1:12">
      <c r="A5912" s="22">
        <v>40314.737500000003</v>
      </c>
      <c r="E5912" s="26">
        <v>152.19339199999999</v>
      </c>
      <c r="G5912" s="27">
        <v>0.73749999999999993</v>
      </c>
      <c r="J5912" s="30">
        <f>IF(G5912&lt;$H$10,$H$16,IF(G5912&gt;$I$10,$H$16,$H$11))*E5912/600</f>
        <v>5.5804243733333328E-2</v>
      </c>
      <c r="L5912" s="32">
        <f>$J5912*($G5912-$G5911)*60*24</f>
        <v>5.580424373332421E-2</v>
      </c>
    </row>
    <row r="5913" spans="1:12">
      <c r="A5913" s="22">
        <v>40314.738194444442</v>
      </c>
      <c r="E5913" s="26">
        <v>152.93822399999999</v>
      </c>
      <c r="G5913" s="27">
        <v>0.73819444444444438</v>
      </c>
      <c r="J5913" s="30">
        <f>IF(G5913&lt;$H$10,$H$16,IF(G5913&gt;$I$10,$H$16,$H$11))*E5913/600</f>
        <v>5.6077348800000003E-2</v>
      </c>
      <c r="L5913" s="32">
        <f>$J5913*($G5913-$G5912)*60*24</f>
        <v>5.6077348799999802E-2</v>
      </c>
    </row>
    <row r="5914" spans="1:12">
      <c r="A5914" s="22">
        <v>40314.738888888889</v>
      </c>
      <c r="E5914" s="26">
        <v>153.457472</v>
      </c>
      <c r="G5914" s="27">
        <v>0.73888888888888893</v>
      </c>
      <c r="J5914" s="30">
        <f>IF(G5914&lt;$H$10,$H$16,IF(G5914&gt;$I$10,$H$16,$H$11))*E5914/600</f>
        <v>5.6267739733333336E-2</v>
      </c>
      <c r="L5914" s="32">
        <f>$J5914*($G5914-$G5913)*60*24</f>
        <v>5.626773973334212E-2</v>
      </c>
    </row>
    <row r="5915" spans="1:12">
      <c r="A5915" s="22">
        <v>40314.739583333336</v>
      </c>
      <c r="E5915" s="26">
        <v>153.36215999999999</v>
      </c>
      <c r="G5915" s="27">
        <v>0.73958333333333337</v>
      </c>
      <c r="J5915" s="30">
        <f>IF(G5915&lt;$H$10,$H$16,IF(G5915&gt;$I$10,$H$16,$H$11))*E5915/600</f>
        <v>5.6232792000000004E-2</v>
      </c>
      <c r="L5915" s="32">
        <f>$J5915*($G5915-$G5914)*60*24</f>
        <v>5.6232791999999802E-2</v>
      </c>
    </row>
    <row r="5916" spans="1:12">
      <c r="A5916" s="22">
        <v>40314.740277777775</v>
      </c>
      <c r="E5916" s="26">
        <v>153.64864800000001</v>
      </c>
      <c r="G5916" s="27">
        <v>0.7402777777777777</v>
      </c>
      <c r="J5916" s="30">
        <f>IF(G5916&lt;$H$10,$H$16,IF(G5916&gt;$I$10,$H$16,$H$11))*E5916/600</f>
        <v>5.6337837600000003E-2</v>
      </c>
      <c r="L5916" s="32">
        <f>$J5916*($G5916-$G5915)*60*24</f>
        <v>5.6337837599990795E-2</v>
      </c>
    </row>
    <row r="5917" spans="1:12">
      <c r="A5917" s="22">
        <v>40314.740972222222</v>
      </c>
      <c r="E5917" s="26">
        <v>154.54969600000001</v>
      </c>
      <c r="G5917" s="27">
        <v>0.74097222222222225</v>
      </c>
      <c r="J5917" s="30">
        <f>IF(G5917&lt;$H$10,$H$16,IF(G5917&gt;$I$10,$H$16,$H$11))*E5917/600</f>
        <v>5.6668221866666674E-2</v>
      </c>
      <c r="L5917" s="32">
        <f>$J5917*($G5917-$G5916)*60*24</f>
        <v>5.6668221866675535E-2</v>
      </c>
    </row>
    <row r="5918" spans="1:12">
      <c r="A5918" s="22">
        <v>40314.741666666669</v>
      </c>
      <c r="E5918" s="26">
        <v>164.01308</v>
      </c>
      <c r="G5918" s="27">
        <v>0.7416666666666667</v>
      </c>
      <c r="J5918" s="30">
        <f>IF(G5918&lt;$H$10,$H$16,IF(G5918&gt;$I$10,$H$16,$H$11))*E5918/600</f>
        <v>6.0138129333333339E-2</v>
      </c>
      <c r="L5918" s="32">
        <f>$J5918*($G5918-$G5917)*60*24</f>
        <v>6.0138129333333123E-2</v>
      </c>
    </row>
    <row r="5919" spans="1:12">
      <c r="A5919" s="22">
        <v>40314.742361111108</v>
      </c>
      <c r="E5919" s="26">
        <v>168.59088</v>
      </c>
      <c r="G5919" s="27">
        <v>0.74236111111111114</v>
      </c>
      <c r="J5919" s="30">
        <f>IF(G5919&lt;$H$10,$H$16,IF(G5919&gt;$I$10,$H$16,$H$11))*E5919/600</f>
        <v>6.1816655999999998E-2</v>
      </c>
      <c r="L5919" s="32">
        <f>$J5919*($G5919-$G5918)*60*24</f>
        <v>6.1816655999999776E-2</v>
      </c>
    </row>
    <row r="5920" spans="1:12">
      <c r="A5920" s="22">
        <v>40314.743055555555</v>
      </c>
      <c r="E5920" s="26">
        <v>160.49475000000001</v>
      </c>
      <c r="G5920" s="27">
        <v>0.74305555555555547</v>
      </c>
      <c r="J5920" s="30">
        <f>IF(G5920&lt;$H$10,$H$16,IF(G5920&gt;$I$10,$H$16,$H$11))*E5920/600</f>
        <v>5.8848075000000007E-2</v>
      </c>
      <c r="L5920" s="32">
        <f>$J5920*($G5920-$G5919)*60*24</f>
        <v>5.8848074999990389E-2</v>
      </c>
    </row>
    <row r="5921" spans="1:12">
      <c r="A5921" s="22">
        <v>40314.743750000001</v>
      </c>
      <c r="E5921" s="26">
        <v>163.00575000000001</v>
      </c>
      <c r="G5921" s="27">
        <v>0.74375000000000002</v>
      </c>
      <c r="J5921" s="30">
        <f>IF(G5921&lt;$H$10,$H$16,IF(G5921&gt;$I$10,$H$16,$H$11))*E5921/600</f>
        <v>5.9768775000000003E-2</v>
      </c>
      <c r="L5921" s="32">
        <f>$J5921*($G5921-$G5920)*60*24</f>
        <v>5.9768775000009336E-2</v>
      </c>
    </row>
    <row r="5922" spans="1:12">
      <c r="A5922" s="22">
        <v>40314.744444444441</v>
      </c>
      <c r="E5922" s="26">
        <v>166.07065800000001</v>
      </c>
      <c r="G5922" s="27">
        <v>0.74444444444444446</v>
      </c>
      <c r="J5922" s="30">
        <f>IF(G5922&lt;$H$10,$H$16,IF(G5922&gt;$I$10,$H$16,$H$11))*E5922/600</f>
        <v>6.0892574599999999E-2</v>
      </c>
      <c r="L5922" s="32">
        <f>$J5922*($G5922-$G5921)*60*24</f>
        <v>6.0892574599999791E-2</v>
      </c>
    </row>
    <row r="5923" spans="1:12">
      <c r="A5923" s="22">
        <v>40314.745138888888</v>
      </c>
      <c r="E5923" s="26">
        <v>172.85798399999999</v>
      </c>
      <c r="G5923" s="27">
        <v>0.74513888888888891</v>
      </c>
      <c r="J5923" s="30">
        <f>IF(G5923&lt;$H$10,$H$16,IF(G5923&gt;$I$10,$H$16,$H$11))*E5923/600</f>
        <v>6.3381260799999992E-2</v>
      </c>
      <c r="L5923" s="32">
        <f>$J5923*($G5923-$G5922)*60*24</f>
        <v>6.338126079999977E-2</v>
      </c>
    </row>
    <row r="5924" spans="1:12">
      <c r="A5924" s="22">
        <v>40314.745833333334</v>
      </c>
      <c r="E5924" s="26">
        <v>154.55190400000001</v>
      </c>
      <c r="G5924" s="27">
        <v>0.74583333333333324</v>
      </c>
      <c r="J5924" s="30">
        <f>IF(G5924&lt;$H$10,$H$16,IF(G5924&gt;$I$10,$H$16,$H$11))*E5924/600</f>
        <v>5.6669031466666672E-2</v>
      </c>
      <c r="L5924" s="32">
        <f>$J5924*($G5924-$G5923)*60*24</f>
        <v>5.6669031466657416E-2</v>
      </c>
    </row>
    <row r="5925" spans="1:12">
      <c r="A5925" s="22">
        <v>40314.746527777781</v>
      </c>
      <c r="E5925" s="26">
        <v>153.529416</v>
      </c>
      <c r="G5925" s="27">
        <v>0.74652777777777779</v>
      </c>
      <c r="J5925" s="30">
        <f>IF(G5925&lt;$H$10,$H$16,IF(G5925&gt;$I$10,$H$16,$H$11))*E5925/600</f>
        <v>5.6294119199999999E-2</v>
      </c>
      <c r="L5925" s="32">
        <f>$J5925*($G5925-$G5924)*60*24</f>
        <v>5.6294119200008798E-2</v>
      </c>
    </row>
    <row r="5926" spans="1:12">
      <c r="A5926" s="22">
        <v>40314.74722222222</v>
      </c>
      <c r="E5926" s="26">
        <v>152.89663999999999</v>
      </c>
      <c r="G5926" s="27">
        <v>0.74722222222222223</v>
      </c>
      <c r="J5926" s="30">
        <f>IF(G5926&lt;$H$10,$H$16,IF(G5926&gt;$I$10,$H$16,$H$11))*E5926/600</f>
        <v>5.6062101333333336E-2</v>
      </c>
      <c r="L5926" s="32">
        <f>$J5926*($G5926-$G5925)*60*24</f>
        <v>5.6062101333333128E-2</v>
      </c>
    </row>
    <row r="5927" spans="1:12">
      <c r="A5927" s="22">
        <v>40314.747916666667</v>
      </c>
      <c r="E5927" s="26">
        <v>152.38843199999999</v>
      </c>
      <c r="G5927" s="27">
        <v>0.74791666666666667</v>
      </c>
      <c r="J5927" s="30">
        <f>IF(G5927&lt;$H$10,$H$16,IF(G5927&gt;$I$10,$H$16,$H$11))*E5927/600</f>
        <v>5.5875758399999996E-2</v>
      </c>
      <c r="L5927" s="32">
        <f>$J5927*($G5927-$G5926)*60*24</f>
        <v>5.5875758399999795E-2</v>
      </c>
    </row>
    <row r="5928" spans="1:12">
      <c r="A5928" s="22">
        <v>40314.748611111114</v>
      </c>
      <c r="E5928" s="26">
        <v>152.40149600000001</v>
      </c>
      <c r="G5928" s="27">
        <v>0.74861111111111101</v>
      </c>
      <c r="J5928" s="30">
        <f>IF(G5928&lt;$H$10,$H$16,IF(G5928&gt;$I$10,$H$16,$H$11))*E5928/600</f>
        <v>5.5880548533333338E-2</v>
      </c>
      <c r="L5928" s="32">
        <f>$J5928*($G5928-$G5927)*60*24</f>
        <v>5.5880548533324206E-2</v>
      </c>
    </row>
    <row r="5929" spans="1:12">
      <c r="A5929" s="22">
        <v>40314.749305555553</v>
      </c>
      <c r="E5929" s="26">
        <v>152.512632</v>
      </c>
      <c r="G5929" s="27">
        <v>0.74930555555555556</v>
      </c>
      <c r="J5929" s="30">
        <f>IF(G5929&lt;$H$10,$H$16,IF(G5929&gt;$I$10,$H$16,$H$11))*E5929/600</f>
        <v>5.5921298399999993E-2</v>
      </c>
      <c r="L5929" s="32">
        <f>$J5929*($G5929-$G5928)*60*24</f>
        <v>5.5921298400008729E-2</v>
      </c>
    </row>
    <row r="5930" spans="1:12">
      <c r="A5930" s="22">
        <v>40314.75</v>
      </c>
      <c r="E5930" s="26">
        <v>153.704308</v>
      </c>
      <c r="G5930" s="27">
        <v>0.75</v>
      </c>
      <c r="J5930" s="30">
        <f>IF(G5930&lt;$H$10,$H$16,IF(G5930&gt;$I$10,$H$16,$H$11))*E5930/600</f>
        <v>5.6358246266666669E-2</v>
      </c>
      <c r="L5930" s="32">
        <f>$J5930*($G5930-$G5929)*60*24</f>
        <v>5.6358246266666467E-2</v>
      </c>
    </row>
    <row r="5931" spans="1:12">
      <c r="A5931" s="22">
        <v>40314.750694444447</v>
      </c>
      <c r="E5931" s="26">
        <v>152.74253999999999</v>
      </c>
      <c r="G5931" s="27">
        <v>0.75069444444444444</v>
      </c>
      <c r="J5931" s="30">
        <f>IF(G5931&lt;$H$10,$H$16,IF(G5931&gt;$I$10,$H$16,$H$11))*E5931/600</f>
        <v>5.0914179999999996E-2</v>
      </c>
      <c r="L5931" s="32">
        <f>$J5931*($G5931-$G5930)*60*24</f>
        <v>5.0914179999999816E-2</v>
      </c>
    </row>
    <row r="5932" spans="1:12">
      <c r="A5932" s="22">
        <v>40314.751388888886</v>
      </c>
      <c r="E5932" s="26">
        <v>152.53416000000001</v>
      </c>
      <c r="G5932" s="27">
        <v>0.75138888888888899</v>
      </c>
      <c r="J5932" s="30">
        <f>IF(G5932&lt;$H$10,$H$16,IF(G5932&gt;$I$10,$H$16,$H$11))*E5932/600</f>
        <v>5.0844720000000003E-2</v>
      </c>
      <c r="L5932" s="32">
        <f>$J5932*($G5932-$G5931)*60*24</f>
        <v>5.0844720000007948E-2</v>
      </c>
    </row>
    <row r="5933" spans="1:12">
      <c r="A5933" s="22">
        <v>40314.752083333333</v>
      </c>
      <c r="E5933" s="26">
        <v>170.20785599999999</v>
      </c>
      <c r="G5933" s="27">
        <v>0.75208333333333333</v>
      </c>
      <c r="J5933" s="30">
        <f>IF(G5933&lt;$H$10,$H$16,IF(G5933&gt;$I$10,$H$16,$H$11))*E5933/600</f>
        <v>5.6735951999999999E-2</v>
      </c>
      <c r="L5933" s="32">
        <f>$J5933*($G5933-$G5932)*60*24</f>
        <v>5.6735951999990722E-2</v>
      </c>
    </row>
    <row r="5934" spans="1:12">
      <c r="A5934" s="22">
        <v>40314.75277777778</v>
      </c>
      <c r="E5934" s="26">
        <v>179.41968</v>
      </c>
      <c r="G5934" s="27">
        <v>0.75277777777777777</v>
      </c>
      <c r="J5934" s="30">
        <f>IF(G5934&lt;$H$10,$H$16,IF(G5934&gt;$I$10,$H$16,$H$11))*E5934/600</f>
        <v>5.9806559999999995E-2</v>
      </c>
      <c r="L5934" s="32">
        <f>$J5934*($G5934-$G5933)*60*24</f>
        <v>5.9806559999999773E-2</v>
      </c>
    </row>
    <row r="5935" spans="1:12">
      <c r="A5935" s="22">
        <v>40314.753472222219</v>
      </c>
      <c r="E5935" s="26">
        <v>178.80266399999999</v>
      </c>
      <c r="G5935" s="27">
        <v>0.75347222222222221</v>
      </c>
      <c r="J5935" s="30">
        <f>IF(G5935&lt;$H$10,$H$16,IF(G5935&gt;$I$10,$H$16,$H$11))*E5935/600</f>
        <v>5.9600887999999998E-2</v>
      </c>
      <c r="L5935" s="32">
        <f>$J5935*($G5935-$G5934)*60*24</f>
        <v>5.9600887999999783E-2</v>
      </c>
    </row>
    <row r="5936" spans="1:12">
      <c r="A5936" s="22">
        <v>40314.754166666666</v>
      </c>
      <c r="E5936" s="26">
        <v>179.29841999999999</v>
      </c>
      <c r="G5936" s="27">
        <v>0.75416666666666676</v>
      </c>
      <c r="J5936" s="30">
        <f>IF(G5936&lt;$H$10,$H$16,IF(G5936&gt;$I$10,$H$16,$H$11))*E5936/600</f>
        <v>5.9766140000000002E-2</v>
      </c>
      <c r="L5936" s="32">
        <f>$J5936*($G5936-$G5935)*60*24</f>
        <v>5.9766140000009342E-2</v>
      </c>
    </row>
    <row r="5937" spans="1:12">
      <c r="A5937" s="22">
        <v>40314.754861111112</v>
      </c>
      <c r="E5937" s="26">
        <v>179.74454399999999</v>
      </c>
      <c r="G5937" s="27">
        <v>0.75486111111111109</v>
      </c>
      <c r="J5937" s="30">
        <f>IF(G5937&lt;$H$10,$H$16,IF(G5937&gt;$I$10,$H$16,$H$11))*E5937/600</f>
        <v>5.9914848E-2</v>
      </c>
      <c r="L5937" s="32">
        <f>$J5937*($G5937-$G5936)*60*24</f>
        <v>5.9914847999990209E-2</v>
      </c>
    </row>
    <row r="5938" spans="1:12">
      <c r="A5938" s="22">
        <v>40314.755555555559</v>
      </c>
      <c r="E5938" s="26">
        <v>179.83328</v>
      </c>
      <c r="G5938" s="27">
        <v>0.75555555555555554</v>
      </c>
      <c r="J5938" s="30">
        <f>IF(G5938&lt;$H$10,$H$16,IF(G5938&gt;$I$10,$H$16,$H$11))*E5938/600</f>
        <v>5.9944426666666668E-2</v>
      </c>
      <c r="L5938" s="32">
        <f>$J5938*($G5938-$G5937)*60*24</f>
        <v>5.9944426666666453E-2</v>
      </c>
    </row>
    <row r="5939" spans="1:12">
      <c r="A5939" s="22">
        <v>40314.756249999999</v>
      </c>
      <c r="E5939" s="26">
        <v>177.8245</v>
      </c>
      <c r="G5939" s="27">
        <v>0.75624999999999998</v>
      </c>
      <c r="J5939" s="30">
        <f>IF(G5939&lt;$H$10,$H$16,IF(G5939&gt;$I$10,$H$16,$H$11))*E5939/600</f>
        <v>5.9274833333333339E-2</v>
      </c>
      <c r="L5939" s="32">
        <f>$J5939*($G5939-$G5938)*60*24</f>
        <v>5.9274833333333124E-2</v>
      </c>
    </row>
    <row r="5940" spans="1:12">
      <c r="A5940" s="22">
        <v>40314.756944444445</v>
      </c>
      <c r="E5940" s="26">
        <v>177.41804400000001</v>
      </c>
      <c r="G5940" s="27">
        <v>0.75694444444444453</v>
      </c>
      <c r="J5940" s="30">
        <f>IF(G5940&lt;$H$10,$H$16,IF(G5940&gt;$I$10,$H$16,$H$11))*E5940/600</f>
        <v>5.9139348000000008E-2</v>
      </c>
      <c r="L5940" s="32">
        <f>$J5940*($G5940-$G5939)*60*24</f>
        <v>5.9139348000009265E-2</v>
      </c>
    </row>
    <row r="5941" spans="1:12">
      <c r="A5941" s="22">
        <v>40314.757638888892</v>
      </c>
      <c r="E5941" s="26">
        <v>177.91220200000001</v>
      </c>
      <c r="G5941" s="27">
        <v>0.75763888888888886</v>
      </c>
      <c r="J5941" s="30">
        <f>IF(G5941&lt;$H$10,$H$16,IF(G5941&gt;$I$10,$H$16,$H$11))*E5941/600</f>
        <v>5.9304067333333335E-2</v>
      </c>
      <c r="L5941" s="32">
        <f>$J5941*($G5941-$G5940)*60*24</f>
        <v>5.9304067333323648E-2</v>
      </c>
    </row>
    <row r="5942" spans="1:12">
      <c r="A5942" s="22">
        <v>40314.758333333331</v>
      </c>
      <c r="E5942" s="26">
        <v>177.542688</v>
      </c>
      <c r="G5942" s="27">
        <v>0.7583333333333333</v>
      </c>
      <c r="J5942" s="30">
        <f>IF(G5942&lt;$H$10,$H$16,IF(G5942&gt;$I$10,$H$16,$H$11))*E5942/600</f>
        <v>5.9180896000000004E-2</v>
      </c>
      <c r="L5942" s="32">
        <f>$J5942*($G5942-$G5941)*60*24</f>
        <v>5.9180895999999789E-2</v>
      </c>
    </row>
    <row r="5943" spans="1:12">
      <c r="A5943" s="22">
        <v>40314.759027777778</v>
      </c>
      <c r="E5943" s="26">
        <v>178.15350000000001</v>
      </c>
      <c r="G5943" s="27">
        <v>0.75902777777777775</v>
      </c>
      <c r="J5943" s="30">
        <f>IF(G5943&lt;$H$10,$H$16,IF(G5943&gt;$I$10,$H$16,$H$11))*E5943/600</f>
        <v>5.9384500000000007E-2</v>
      </c>
      <c r="L5943" s="32">
        <f>$J5943*($G5943-$G5942)*60*24</f>
        <v>5.9384499999999799E-2</v>
      </c>
    </row>
    <row r="5944" spans="1:12">
      <c r="A5944" s="22">
        <v>40314.759722222225</v>
      </c>
      <c r="E5944" s="26">
        <v>180.761436</v>
      </c>
      <c r="G5944" s="27">
        <v>0.7597222222222223</v>
      </c>
      <c r="J5944" s="30">
        <f>IF(G5944&lt;$H$10,$H$16,IF(G5944&gt;$I$10,$H$16,$H$11))*E5944/600</f>
        <v>6.0253812000000004E-2</v>
      </c>
      <c r="L5944" s="32">
        <f>$J5944*($G5944-$G5943)*60*24</f>
        <v>6.0253812000009427E-2</v>
      </c>
    </row>
    <row r="5945" spans="1:12">
      <c r="A5945" s="22">
        <v>40314.760416666664</v>
      </c>
      <c r="E5945" s="26">
        <v>179.35764</v>
      </c>
      <c r="G5945" s="27">
        <v>0.76041666666666663</v>
      </c>
      <c r="J5945" s="30">
        <f>IF(G5945&lt;$H$10,$H$16,IF(G5945&gt;$I$10,$H$16,$H$11))*E5945/600</f>
        <v>5.9785880000000007E-2</v>
      </c>
      <c r="L5945" s="32">
        <f>$J5945*($G5945-$G5944)*60*24</f>
        <v>5.9785879999990243E-2</v>
      </c>
    </row>
    <row r="5946" spans="1:12">
      <c r="A5946" s="22">
        <v>40314.761111111111</v>
      </c>
      <c r="E5946" s="26">
        <v>179.66784000000001</v>
      </c>
      <c r="G5946" s="27">
        <v>0.76111111111111107</v>
      </c>
      <c r="J5946" s="30">
        <f>IF(G5946&lt;$H$10,$H$16,IF(G5946&gt;$I$10,$H$16,$H$11))*E5946/600</f>
        <v>5.9889280000000003E-2</v>
      </c>
      <c r="L5946" s="32">
        <f>$J5946*($G5946-$G5945)*60*24</f>
        <v>5.9889279999999795E-2</v>
      </c>
    </row>
    <row r="5947" spans="1:12">
      <c r="A5947" s="22">
        <v>40314.761805555558</v>
      </c>
      <c r="E5947" s="26">
        <v>178.854176</v>
      </c>
      <c r="G5947" s="27">
        <v>0.76180555555555562</v>
      </c>
      <c r="J5947" s="30">
        <f>IF(G5947&lt;$H$10,$H$16,IF(G5947&gt;$I$10,$H$16,$H$11))*E5947/600</f>
        <v>5.9618058666666668E-2</v>
      </c>
      <c r="L5947" s="32">
        <f>$J5947*($G5947-$G5946)*60*24</f>
        <v>5.9618058666675987E-2</v>
      </c>
    </row>
    <row r="5948" spans="1:12">
      <c r="A5948" s="22">
        <v>40314.762499999997</v>
      </c>
      <c r="E5948" s="26">
        <v>178.806612</v>
      </c>
      <c r="G5948" s="27">
        <v>0.76250000000000007</v>
      </c>
      <c r="J5948" s="30">
        <f>IF(G5948&lt;$H$10,$H$16,IF(G5948&gt;$I$10,$H$16,$H$11))*E5948/600</f>
        <v>5.9602204000000006E-2</v>
      </c>
      <c r="L5948" s="32">
        <f>$J5948*($G5948-$G5947)*60*24</f>
        <v>5.9602203999999791E-2</v>
      </c>
    </row>
    <row r="5949" spans="1:12">
      <c r="A5949" s="22">
        <v>40314.763194444444</v>
      </c>
      <c r="E5949" s="26">
        <v>178.27475999999999</v>
      </c>
      <c r="G5949" s="27">
        <v>0.7631944444444444</v>
      </c>
      <c r="J5949" s="30">
        <f>IF(G5949&lt;$H$10,$H$16,IF(G5949&gt;$I$10,$H$16,$H$11))*E5949/600</f>
        <v>5.9424919999999999E-2</v>
      </c>
      <c r="L5949" s="32">
        <f>$J5949*($G5949-$G5948)*60*24</f>
        <v>5.9424919999990278E-2</v>
      </c>
    </row>
    <row r="5950" spans="1:12">
      <c r="A5950" s="22">
        <v>40314.763888888891</v>
      </c>
      <c r="E5950" s="26">
        <v>177.70662400000001</v>
      </c>
      <c r="G5950" s="27">
        <v>0.76388888888888884</v>
      </c>
      <c r="J5950" s="30">
        <f>IF(G5950&lt;$H$10,$H$16,IF(G5950&gt;$I$10,$H$16,$H$11))*E5950/600</f>
        <v>5.9235541333333343E-2</v>
      </c>
      <c r="L5950" s="32">
        <f>$J5950*($G5950-$G5949)*60*24</f>
        <v>5.9235541333333135E-2</v>
      </c>
    </row>
    <row r="5951" spans="1:12">
      <c r="A5951" s="22">
        <v>40314.76458333333</v>
      </c>
      <c r="E5951" s="26">
        <v>178.77108000000001</v>
      </c>
      <c r="G5951" s="27">
        <v>0.76458333333333339</v>
      </c>
      <c r="J5951" s="30">
        <f>IF(G5951&lt;$H$10,$H$16,IF(G5951&gt;$I$10,$H$16,$H$11))*E5951/600</f>
        <v>5.9590360000000009E-2</v>
      </c>
      <c r="L5951" s="32">
        <f>$J5951*($G5951-$G5950)*60*24</f>
        <v>5.9590360000009321E-2</v>
      </c>
    </row>
    <row r="5952" spans="1:12">
      <c r="A5952" s="22">
        <v>40314.765277777777</v>
      </c>
      <c r="E5952" s="26">
        <v>179.01792399999999</v>
      </c>
      <c r="G5952" s="27">
        <v>0.76527777777777783</v>
      </c>
      <c r="J5952" s="30">
        <f>IF(G5952&lt;$H$10,$H$16,IF(G5952&gt;$I$10,$H$16,$H$11))*E5952/600</f>
        <v>5.9672641333333339E-2</v>
      </c>
      <c r="L5952" s="32">
        <f>$J5952*($G5952-$G5951)*60*24</f>
        <v>5.9672641333333123E-2</v>
      </c>
    </row>
    <row r="5953" spans="1:12">
      <c r="A5953" s="22">
        <v>40314.765972222223</v>
      </c>
      <c r="E5953" s="26">
        <v>179.22274999999999</v>
      </c>
      <c r="G5953" s="27">
        <v>0.76597222222222217</v>
      </c>
      <c r="J5953" s="30">
        <f>IF(G5953&lt;$H$10,$H$16,IF(G5953&gt;$I$10,$H$16,$H$11))*E5953/600</f>
        <v>5.9740916666666664E-2</v>
      </c>
      <c r="L5953" s="32">
        <f>$J5953*($G5953-$G5952)*60*24</f>
        <v>5.9740916666656901E-2</v>
      </c>
    </row>
    <row r="5954" spans="1:12">
      <c r="A5954" s="22">
        <v>40314.76666666667</v>
      </c>
      <c r="E5954" s="26">
        <v>180.152128</v>
      </c>
      <c r="G5954" s="27">
        <v>0.76666666666666661</v>
      </c>
      <c r="J5954" s="30">
        <f>IF(G5954&lt;$H$10,$H$16,IF(G5954&gt;$I$10,$H$16,$H$11))*E5954/600</f>
        <v>6.0050709333333334E-2</v>
      </c>
      <c r="L5954" s="32">
        <f>$J5954*($G5954-$G5953)*60*24</f>
        <v>6.0050709333333119E-2</v>
      </c>
    </row>
    <row r="5955" spans="1:12">
      <c r="A5955" s="22">
        <v>40314.767361111109</v>
      </c>
      <c r="E5955" s="26">
        <v>180.16416000000001</v>
      </c>
      <c r="G5955" s="27">
        <v>0.76736111111111116</v>
      </c>
      <c r="J5955" s="30">
        <f>IF(G5955&lt;$H$10,$H$16,IF(G5955&gt;$I$10,$H$16,$H$11))*E5955/600</f>
        <v>6.0054720000000013E-2</v>
      </c>
      <c r="L5955" s="32">
        <f>$J5955*($G5955-$G5954)*60*24</f>
        <v>6.0054720000009401E-2</v>
      </c>
    </row>
    <row r="5956" spans="1:12">
      <c r="A5956" s="22">
        <v>40314.768055555556</v>
      </c>
      <c r="E5956" s="26">
        <v>179.95905200000001</v>
      </c>
      <c r="G5956" s="27">
        <v>0.7680555555555556</v>
      </c>
      <c r="J5956" s="30">
        <f>IF(G5956&lt;$H$10,$H$16,IF(G5956&gt;$I$10,$H$16,$H$11))*E5956/600</f>
        <v>5.9986350666666674E-2</v>
      </c>
      <c r="L5956" s="32">
        <f>$J5956*($G5956-$G5955)*60*24</f>
        <v>5.9986350666666452E-2</v>
      </c>
    </row>
    <row r="5957" spans="1:12">
      <c r="A5957" s="22">
        <v>40314.768750000003</v>
      </c>
      <c r="E5957" s="26">
        <v>179.916282</v>
      </c>
      <c r="G5957" s="27">
        <v>0.76874999999999993</v>
      </c>
      <c r="J5957" s="30">
        <f>IF(G5957&lt;$H$10,$H$16,IF(G5957&gt;$I$10,$H$16,$H$11))*E5957/600</f>
        <v>5.9972094000000004E-2</v>
      </c>
      <c r="L5957" s="32">
        <f>$J5957*($G5957-$G5956)*60*24</f>
        <v>5.9972093999990199E-2</v>
      </c>
    </row>
    <row r="5958" spans="1:12">
      <c r="A5958" s="22">
        <v>40314.769444444442</v>
      </c>
      <c r="E5958" s="26">
        <v>181.09757999999999</v>
      </c>
      <c r="G5958" s="27">
        <v>0.76944444444444438</v>
      </c>
      <c r="J5958" s="30">
        <f>IF(G5958&lt;$H$10,$H$16,IF(G5958&gt;$I$10,$H$16,$H$11))*E5958/600</f>
        <v>6.036586E-2</v>
      </c>
      <c r="L5958" s="32">
        <f>$J5958*($G5958-$G5957)*60*24</f>
        <v>6.0365859999999785E-2</v>
      </c>
    </row>
    <row r="5959" spans="1:12">
      <c r="A5959" s="22">
        <v>40314.770138888889</v>
      </c>
      <c r="E5959" s="26">
        <v>181.54220000000001</v>
      </c>
      <c r="G5959" s="27">
        <v>0.77013888888888893</v>
      </c>
      <c r="J5959" s="30">
        <f>IF(G5959&lt;$H$10,$H$16,IF(G5959&gt;$I$10,$H$16,$H$11))*E5959/600</f>
        <v>6.0514066666666672E-2</v>
      </c>
      <c r="L5959" s="32">
        <f>$J5959*($G5959-$G5958)*60*24</f>
        <v>6.0514066666676136E-2</v>
      </c>
    </row>
    <row r="5960" spans="1:12">
      <c r="A5960" s="22">
        <v>40314.770833333336</v>
      </c>
      <c r="E5960" s="26">
        <v>181.85653600000001</v>
      </c>
      <c r="G5960" s="27">
        <v>0.77083333333333337</v>
      </c>
      <c r="J5960" s="30">
        <f>IF(G5960&lt;$H$10,$H$16,IF(G5960&gt;$I$10,$H$16,$H$11))*E5960/600</f>
        <v>6.0618845333333338E-2</v>
      </c>
      <c r="L5960" s="32">
        <f>$J5960*($G5960-$G5959)*60*24</f>
        <v>6.061884533333313E-2</v>
      </c>
    </row>
    <row r="5961" spans="1:12">
      <c r="A5961" s="22">
        <v>40314.771527777775</v>
      </c>
      <c r="E5961" s="26">
        <v>181.54220000000001</v>
      </c>
      <c r="G5961" s="27">
        <v>0.7715277777777777</v>
      </c>
      <c r="J5961" s="30">
        <f>IF(G5961&lt;$H$10,$H$16,IF(G5961&gt;$I$10,$H$16,$H$11))*E5961/600</f>
        <v>6.0514066666666672E-2</v>
      </c>
      <c r="L5961" s="32">
        <f>$J5961*($G5961-$G5960)*60*24</f>
        <v>6.0514066666656791E-2</v>
      </c>
    </row>
    <row r="5962" spans="1:12">
      <c r="A5962" s="22">
        <v>40314.772222222222</v>
      </c>
      <c r="E5962" s="26">
        <v>181.56523000000001</v>
      </c>
      <c r="G5962" s="27">
        <v>0.77222222222222225</v>
      </c>
      <c r="J5962" s="30">
        <f>IF(G5962&lt;$H$10,$H$16,IF(G5962&gt;$I$10,$H$16,$H$11))*E5962/600</f>
        <v>6.0521743333333343E-2</v>
      </c>
      <c r="L5962" s="32">
        <f>$J5962*($G5962-$G5961)*60*24</f>
        <v>6.0521743333342801E-2</v>
      </c>
    </row>
    <row r="5963" spans="1:12">
      <c r="A5963" s="22">
        <v>40314.772916666669</v>
      </c>
      <c r="E5963" s="26">
        <v>181.29216</v>
      </c>
      <c r="G5963" s="27">
        <v>0.7729166666666667</v>
      </c>
      <c r="J5963" s="30">
        <f>IF(G5963&lt;$H$10,$H$16,IF(G5963&gt;$I$10,$H$16,$H$11))*E5963/600</f>
        <v>6.043072E-2</v>
      </c>
      <c r="L5963" s="32">
        <f>$J5963*($G5963-$G5962)*60*24</f>
        <v>6.0430719999999785E-2</v>
      </c>
    </row>
    <row r="5964" spans="1:12">
      <c r="A5964" s="22">
        <v>40314.773611111108</v>
      </c>
      <c r="E5964" s="26">
        <v>181.45402799999999</v>
      </c>
      <c r="G5964" s="27">
        <v>0.77361111111111114</v>
      </c>
      <c r="J5964" s="30">
        <f>IF(G5964&lt;$H$10,$H$16,IF(G5964&gt;$I$10,$H$16,$H$11))*E5964/600</f>
        <v>6.0484676000000001E-2</v>
      </c>
      <c r="L5964" s="32">
        <f>$J5964*($G5964-$G5963)*60*24</f>
        <v>6.0484675999999793E-2</v>
      </c>
    </row>
    <row r="5965" spans="1:12">
      <c r="A5965" s="22">
        <v>40314.774305555555</v>
      </c>
      <c r="E5965" s="26">
        <v>180.18953999999999</v>
      </c>
      <c r="G5965" s="27">
        <v>0.77430555555555547</v>
      </c>
      <c r="J5965" s="30">
        <f>IF(G5965&lt;$H$10,$H$16,IF(G5965&gt;$I$10,$H$16,$H$11))*E5965/600</f>
        <v>6.0063180000000001E-2</v>
      </c>
      <c r="L5965" s="32">
        <f>$J5965*($G5965-$G5964)*60*24</f>
        <v>6.0063179999990182E-2</v>
      </c>
    </row>
    <row r="5966" spans="1:12">
      <c r="A5966" s="22">
        <v>40314.775000000001</v>
      </c>
      <c r="E5966" s="26">
        <v>178.83876000000001</v>
      </c>
      <c r="G5966" s="27">
        <v>0.77500000000000002</v>
      </c>
      <c r="J5966" s="30">
        <f>IF(G5966&lt;$H$10,$H$16,IF(G5966&gt;$I$10,$H$16,$H$11))*E5966/600</f>
        <v>5.961292E-2</v>
      </c>
      <c r="L5966" s="32">
        <f>$J5966*($G5966-$G5965)*60*24</f>
        <v>5.9612920000009312E-2</v>
      </c>
    </row>
    <row r="5967" spans="1:12">
      <c r="A5967" s="22">
        <v>40314.775694444441</v>
      </c>
      <c r="E5967" s="26">
        <v>177.7775</v>
      </c>
      <c r="G5967" s="27">
        <v>0.77569444444444446</v>
      </c>
      <c r="J5967" s="30">
        <f>IF(G5967&lt;$H$10,$H$16,IF(G5967&gt;$I$10,$H$16,$H$11))*E5967/600</f>
        <v>5.9259166666666668E-2</v>
      </c>
      <c r="L5967" s="32">
        <f>$J5967*($G5967-$G5966)*60*24</f>
        <v>5.9259166666666467E-2</v>
      </c>
    </row>
    <row r="5968" spans="1:12">
      <c r="A5968" s="22">
        <v>40314.776388888888</v>
      </c>
      <c r="E5968" s="26">
        <v>176.53087199999999</v>
      </c>
      <c r="G5968" s="27">
        <v>0.77638888888888891</v>
      </c>
      <c r="J5968" s="30">
        <f>IF(G5968&lt;$H$10,$H$16,IF(G5968&gt;$I$10,$H$16,$H$11))*E5968/600</f>
        <v>5.884362399999999E-2</v>
      </c>
      <c r="L5968" s="32">
        <f>$J5968*($G5968-$G5967)*60*24</f>
        <v>5.8843623999999775E-2</v>
      </c>
    </row>
    <row r="5969" spans="1:12">
      <c r="A5969" s="22">
        <v>40314.777083333334</v>
      </c>
      <c r="E5969" s="26">
        <v>176.98592600000001</v>
      </c>
      <c r="G5969" s="27">
        <v>0.77708333333333324</v>
      </c>
      <c r="J5969" s="30">
        <f>IF(G5969&lt;$H$10,$H$16,IF(G5969&gt;$I$10,$H$16,$H$11))*E5969/600</f>
        <v>5.899530866666667E-2</v>
      </c>
      <c r="L5969" s="32">
        <f>$J5969*($G5969-$G5968)*60*24</f>
        <v>5.8995308666657018E-2</v>
      </c>
    </row>
    <row r="5970" spans="1:12">
      <c r="A5970" s="22">
        <v>40314.777777777781</v>
      </c>
      <c r="E5970" s="26">
        <v>176.20581999999999</v>
      </c>
      <c r="G5970" s="27">
        <v>0.77777777777777779</v>
      </c>
      <c r="J5970" s="30">
        <f>IF(G5970&lt;$H$10,$H$16,IF(G5970&gt;$I$10,$H$16,$H$11))*E5970/600</f>
        <v>5.8735273333333331E-2</v>
      </c>
      <c r="L5970" s="32">
        <f>$J5970*($G5970-$G5969)*60*24</f>
        <v>5.8735273333342511E-2</v>
      </c>
    </row>
    <row r="5971" spans="1:12">
      <c r="A5971" s="22">
        <v>40314.77847222222</v>
      </c>
      <c r="E5971" s="26">
        <v>175.92993000000001</v>
      </c>
      <c r="G5971" s="27">
        <v>0.77847222222222223</v>
      </c>
      <c r="J5971" s="30">
        <f>IF(G5971&lt;$H$10,$H$16,IF(G5971&gt;$I$10,$H$16,$H$11))*E5971/600</f>
        <v>5.8643310000000011E-2</v>
      </c>
      <c r="L5971" s="32">
        <f>$J5971*($G5971-$G5970)*60*24</f>
        <v>5.8643309999999796E-2</v>
      </c>
    </row>
    <row r="5972" spans="1:12">
      <c r="A5972" s="22">
        <v>40314.779166666667</v>
      </c>
      <c r="E5972" s="26">
        <v>176.76794000000001</v>
      </c>
      <c r="G5972" s="27">
        <v>0.77916666666666667</v>
      </c>
      <c r="J5972" s="30">
        <f>IF(G5972&lt;$H$10,$H$16,IF(G5972&gt;$I$10,$H$16,$H$11))*E5972/600</f>
        <v>5.8922646666666668E-2</v>
      </c>
      <c r="L5972" s="32">
        <f>$J5972*($G5972-$G5971)*60*24</f>
        <v>5.8922646666666467E-2</v>
      </c>
    </row>
    <row r="5973" spans="1:12">
      <c r="A5973" s="22">
        <v>40314.779861111114</v>
      </c>
      <c r="E5973" s="26">
        <v>175.95164399999999</v>
      </c>
      <c r="G5973" s="27">
        <v>0.77986111111111101</v>
      </c>
      <c r="J5973" s="30">
        <f>IF(G5973&lt;$H$10,$H$16,IF(G5973&gt;$I$10,$H$16,$H$11))*E5973/600</f>
        <v>5.8650547999999997E-2</v>
      </c>
      <c r="L5973" s="32">
        <f>$J5973*($G5973-$G5972)*60*24</f>
        <v>5.8650547999990407E-2</v>
      </c>
    </row>
    <row r="5974" spans="1:12">
      <c r="A5974" s="22">
        <v>40314.780555555553</v>
      </c>
      <c r="E5974" s="26">
        <v>175.858114</v>
      </c>
      <c r="G5974" s="27">
        <v>0.78055555555555556</v>
      </c>
      <c r="J5974" s="30">
        <f>IF(G5974&lt;$H$10,$H$16,IF(G5974&gt;$I$10,$H$16,$H$11))*E5974/600</f>
        <v>5.8619371333333337E-2</v>
      </c>
      <c r="L5974" s="32">
        <f>$J5974*($G5974-$G5973)*60*24</f>
        <v>5.8619371333342496E-2</v>
      </c>
    </row>
    <row r="5975" spans="1:12">
      <c r="A5975" s="22">
        <v>40314.78125</v>
      </c>
      <c r="E5975" s="26">
        <v>177.91220200000001</v>
      </c>
      <c r="G5975" s="27">
        <v>0.78125</v>
      </c>
      <c r="J5975" s="30">
        <f>IF(G5975&lt;$H$10,$H$16,IF(G5975&gt;$I$10,$H$16,$H$11))*E5975/600</f>
        <v>5.9304067333333335E-2</v>
      </c>
      <c r="L5975" s="32">
        <f>$J5975*($G5975-$G5974)*60*24</f>
        <v>5.930406733333312E-2</v>
      </c>
    </row>
    <row r="5976" spans="1:12">
      <c r="A5976" s="22">
        <v>40314.781944444447</v>
      </c>
      <c r="E5976" s="26">
        <v>178.47545</v>
      </c>
      <c r="G5976" s="27">
        <v>0.78194444444444444</v>
      </c>
      <c r="J5976" s="30">
        <f>IF(G5976&lt;$H$10,$H$16,IF(G5976&gt;$I$10,$H$16,$H$11))*E5976/600</f>
        <v>5.9491816666666669E-2</v>
      </c>
      <c r="L5976" s="32">
        <f>$J5976*($G5976-$G5975)*60*24</f>
        <v>5.9491816666666454E-2</v>
      </c>
    </row>
    <row r="5977" spans="1:12">
      <c r="A5977" s="22">
        <v>40314.782638888886</v>
      </c>
      <c r="E5977" s="26">
        <v>177.45132000000001</v>
      </c>
      <c r="G5977" s="27">
        <v>0.78263888888888899</v>
      </c>
      <c r="J5977" s="30">
        <f>IF(G5977&lt;$H$10,$H$16,IF(G5977&gt;$I$10,$H$16,$H$11))*E5977/600</f>
        <v>5.9150440000000006E-2</v>
      </c>
      <c r="L5977" s="32">
        <f>$J5977*($G5977-$G5976)*60*24</f>
        <v>5.9150440000009255E-2</v>
      </c>
    </row>
    <row r="5978" spans="1:12">
      <c r="A5978" s="22">
        <v>40314.783333333333</v>
      </c>
      <c r="E5978" s="26">
        <v>176.85066</v>
      </c>
      <c r="G5978" s="27">
        <v>0.78333333333333333</v>
      </c>
      <c r="J5978" s="30">
        <f>IF(G5978&lt;$H$10,$H$16,IF(G5978&gt;$I$10,$H$16,$H$11))*E5978/600</f>
        <v>5.8950220000000011E-2</v>
      </c>
      <c r="L5978" s="32">
        <f>$J5978*($G5978-$G5977)*60*24</f>
        <v>5.895021999999038E-2</v>
      </c>
    </row>
    <row r="5979" spans="1:12">
      <c r="A5979" s="22">
        <v>40314.78402777778</v>
      </c>
      <c r="E5979" s="26">
        <v>177.41804400000001</v>
      </c>
      <c r="G5979" s="27">
        <v>0.78402777777777777</v>
      </c>
      <c r="J5979" s="30">
        <f>IF(G5979&lt;$H$10,$H$16,IF(G5979&gt;$I$10,$H$16,$H$11))*E5979/600</f>
        <v>5.9139348000000008E-2</v>
      </c>
      <c r="L5979" s="32">
        <f>$J5979*($G5979-$G5978)*60*24</f>
        <v>5.91393479999998E-2</v>
      </c>
    </row>
    <row r="5980" spans="1:12">
      <c r="A5980" s="22">
        <v>40314.784722222219</v>
      </c>
      <c r="E5980" s="26">
        <v>178.11420799999999</v>
      </c>
      <c r="G5980" s="27">
        <v>0.78472222222222221</v>
      </c>
      <c r="J5980" s="30">
        <f>IF(G5980&lt;$H$10,$H$16,IF(G5980&gt;$I$10,$H$16,$H$11))*E5980/600</f>
        <v>5.937140266666667E-2</v>
      </c>
      <c r="L5980" s="32">
        <f>$J5980*($G5980-$G5979)*60*24</f>
        <v>5.9371402666666462E-2</v>
      </c>
    </row>
    <row r="5981" spans="1:12">
      <c r="A5981" s="22">
        <v>40314.785416666666</v>
      </c>
      <c r="E5981" s="26">
        <v>177.90628000000001</v>
      </c>
      <c r="G5981" s="27">
        <v>0.78541666666666676</v>
      </c>
      <c r="J5981" s="30">
        <f>IF(G5981&lt;$H$10,$H$16,IF(G5981&gt;$I$10,$H$16,$H$11))*E5981/600</f>
        <v>5.930209333333334E-2</v>
      </c>
      <c r="L5981" s="32">
        <f>$J5981*($G5981-$G5980)*60*24</f>
        <v>5.9302093333342611E-2</v>
      </c>
    </row>
    <row r="5982" spans="1:12">
      <c r="A5982" s="22">
        <v>40314.786111111112</v>
      </c>
      <c r="E5982" s="26">
        <v>177.830422</v>
      </c>
      <c r="G5982" s="27">
        <v>0.78611111111111109</v>
      </c>
      <c r="J5982" s="30">
        <f>IF(G5982&lt;$H$10,$H$16,IF(G5982&gt;$I$10,$H$16,$H$11))*E5982/600</f>
        <v>5.9276807333333334E-2</v>
      </c>
      <c r="L5982" s="32">
        <f>$J5982*($G5982-$G5981)*60*24</f>
        <v>5.9276807333323647E-2</v>
      </c>
    </row>
    <row r="5983" spans="1:12">
      <c r="A5983" s="22">
        <v>40314.786805555559</v>
      </c>
      <c r="E5983" s="26">
        <v>177.78971999999999</v>
      </c>
      <c r="G5983" s="27">
        <v>0.78680555555555554</v>
      </c>
      <c r="J5983" s="30">
        <f>IF(G5983&lt;$H$10,$H$16,IF(G5983&gt;$I$10,$H$16,$H$11))*E5983/600</f>
        <v>5.9263240000000002E-2</v>
      </c>
      <c r="L5983" s="32">
        <f>$J5983*($G5983-$G5982)*60*24</f>
        <v>5.9263239999999787E-2</v>
      </c>
    </row>
    <row r="5984" spans="1:12">
      <c r="A5984" s="22">
        <v>40314.787499999999</v>
      </c>
      <c r="E5984" s="26">
        <v>177.62578400000001</v>
      </c>
      <c r="G5984" s="27">
        <v>0.78749999999999998</v>
      </c>
      <c r="J5984" s="30">
        <f>IF(G5984&lt;$H$10,$H$16,IF(G5984&gt;$I$10,$H$16,$H$11))*E5984/600</f>
        <v>5.9208594666666677E-2</v>
      </c>
      <c r="L5984" s="32">
        <f>$J5984*($G5984-$G5983)*60*24</f>
        <v>5.9208594666666461E-2</v>
      </c>
    </row>
    <row r="5985" spans="1:12">
      <c r="A5985" s="22">
        <v>40314.788194444445</v>
      </c>
      <c r="E5985" s="26">
        <v>177.66704999999999</v>
      </c>
      <c r="G5985" s="27">
        <v>0.78819444444444453</v>
      </c>
      <c r="J5985" s="30">
        <f>IF(G5985&lt;$H$10,$H$16,IF(G5985&gt;$I$10,$H$16,$H$11))*E5985/600</f>
        <v>5.9222349999999993E-2</v>
      </c>
      <c r="L5985" s="32">
        <f>$J5985*($G5985-$G5984)*60*24</f>
        <v>5.9222350000009256E-2</v>
      </c>
    </row>
    <row r="5986" spans="1:12">
      <c r="A5986" s="22">
        <v>40314.788888888892</v>
      </c>
      <c r="E5986" s="26">
        <v>174.97658200000001</v>
      </c>
      <c r="G5986" s="27">
        <v>0.78888888888888886</v>
      </c>
      <c r="J5986" s="30">
        <f>IF(G5986&lt;$H$10,$H$16,IF(G5986&gt;$I$10,$H$16,$H$11))*E5986/600</f>
        <v>5.8325527333333335E-2</v>
      </c>
      <c r="L5986" s="32">
        <f>$J5986*($G5986-$G5985)*60*24</f>
        <v>5.8325527333323808E-2</v>
      </c>
    </row>
    <row r="5987" spans="1:12">
      <c r="A5987" s="22">
        <v>40314.789583333331</v>
      </c>
      <c r="E5987" s="26">
        <v>174.61552800000001</v>
      </c>
      <c r="G5987" s="27">
        <v>0.7895833333333333</v>
      </c>
      <c r="J5987" s="30">
        <f>IF(G5987&lt;$H$10,$H$16,IF(G5987&gt;$I$10,$H$16,$H$11))*E5987/600</f>
        <v>5.8205176000000011E-2</v>
      </c>
      <c r="L5987" s="32">
        <f>$J5987*($G5987-$G5986)*60*24</f>
        <v>5.8205175999999796E-2</v>
      </c>
    </row>
    <row r="5988" spans="1:12">
      <c r="A5988" s="22">
        <v>40314.790277777778</v>
      </c>
      <c r="E5988" s="26">
        <v>174.48956799999999</v>
      </c>
      <c r="G5988" s="27">
        <v>0.79027777777777775</v>
      </c>
      <c r="J5988" s="30">
        <f>IF(G5988&lt;$H$10,$H$16,IF(G5988&gt;$I$10,$H$16,$H$11))*E5988/600</f>
        <v>5.8163189333333337E-2</v>
      </c>
      <c r="L5988" s="32">
        <f>$J5988*($G5988-$G5987)*60*24</f>
        <v>5.8163189333333129E-2</v>
      </c>
    </row>
    <row r="5989" spans="1:12">
      <c r="A5989" s="22">
        <v>40314.790972222225</v>
      </c>
      <c r="E5989" s="26">
        <v>174.90486000000001</v>
      </c>
      <c r="G5989" s="27">
        <v>0.7909722222222223</v>
      </c>
      <c r="J5989" s="30">
        <f>IF(G5989&lt;$H$10,$H$16,IF(G5989&gt;$I$10,$H$16,$H$11))*E5989/600</f>
        <v>5.8301620000000005E-2</v>
      </c>
      <c r="L5989" s="32">
        <f>$J5989*($G5989-$G5988)*60*24</f>
        <v>5.8301620000009109E-2</v>
      </c>
    </row>
    <row r="5990" spans="1:12">
      <c r="A5990" s="22">
        <v>40314.791666666664</v>
      </c>
      <c r="E5990" s="26">
        <v>174.63028600000001</v>
      </c>
      <c r="G5990" s="27">
        <v>0.79166666666666663</v>
      </c>
      <c r="J5990" s="30">
        <f>IF(G5990&lt;$H$10,$H$16,IF(G5990&gt;$I$10,$H$16,$H$11))*E5990/600</f>
        <v>5.8210095333333337E-2</v>
      </c>
      <c r="L5990" s="32">
        <f>$J5990*($G5990-$G5989)*60*24</f>
        <v>5.8210095333323823E-2</v>
      </c>
    </row>
    <row r="5991" spans="1:12">
      <c r="A5991" s="22">
        <v>40314.792361111111</v>
      </c>
      <c r="E5991" s="26">
        <v>174.67963599999999</v>
      </c>
      <c r="G5991" s="27">
        <v>0.79236111111111107</v>
      </c>
      <c r="J5991" s="30">
        <f>IF(G5991&lt;$H$10,$H$16,IF(G5991&gt;$I$10,$H$16,$H$11))*E5991/600</f>
        <v>5.8226545333333338E-2</v>
      </c>
      <c r="L5991" s="32">
        <f>$J5991*($G5991-$G5990)*60*24</f>
        <v>5.822654533333313E-2</v>
      </c>
    </row>
    <row r="5992" spans="1:12">
      <c r="A5992" s="22">
        <v>40314.793055555558</v>
      </c>
      <c r="E5992" s="26">
        <v>174.53919999999999</v>
      </c>
      <c r="G5992" s="27">
        <v>0.79305555555555562</v>
      </c>
      <c r="J5992" s="30">
        <f>IF(G5992&lt;$H$10,$H$16,IF(G5992&gt;$I$10,$H$16,$H$11))*E5992/600</f>
        <v>5.8179733333333331E-2</v>
      </c>
      <c r="L5992" s="32">
        <f>$J5992*($G5992-$G5991)*60*24</f>
        <v>5.817973333334242E-2</v>
      </c>
    </row>
    <row r="5993" spans="1:12">
      <c r="A5993" s="22">
        <v>40314.793749999997</v>
      </c>
      <c r="E5993" s="26">
        <v>174.57012599999999</v>
      </c>
      <c r="G5993" s="27">
        <v>0.79375000000000007</v>
      </c>
      <c r="J5993" s="30">
        <f>IF(G5993&lt;$H$10,$H$16,IF(G5993&gt;$I$10,$H$16,$H$11))*E5993/600</f>
        <v>5.8190041999999997E-2</v>
      </c>
      <c r="L5993" s="32">
        <f>$J5993*($G5993-$G5992)*60*24</f>
        <v>5.8190041999999789E-2</v>
      </c>
    </row>
    <row r="5994" spans="1:12">
      <c r="A5994" s="22">
        <v>40314.794444444444</v>
      </c>
      <c r="E5994" s="26">
        <v>174.97535999999999</v>
      </c>
      <c r="G5994" s="27">
        <v>0.7944444444444444</v>
      </c>
      <c r="J5994" s="30">
        <f>IF(G5994&lt;$H$10,$H$16,IF(G5994&gt;$I$10,$H$16,$H$11))*E5994/600</f>
        <v>5.8325120000000001E-2</v>
      </c>
      <c r="L5994" s="32">
        <f>$J5994*($G5994-$G5993)*60*24</f>
        <v>5.8325119999990474E-2</v>
      </c>
    </row>
    <row r="5995" spans="1:12">
      <c r="A5995" s="22">
        <v>40314.795138888891</v>
      </c>
      <c r="E5995" s="26">
        <v>175.029504</v>
      </c>
      <c r="G5995" s="27">
        <v>0.79513888888888884</v>
      </c>
      <c r="J5995" s="30">
        <f>IF(G5995&lt;$H$10,$H$16,IF(G5995&gt;$I$10,$H$16,$H$11))*E5995/600</f>
        <v>5.8343168000000001E-2</v>
      </c>
      <c r="L5995" s="32">
        <f>$J5995*($G5995-$G5994)*60*24</f>
        <v>5.8343167999999793E-2</v>
      </c>
    </row>
    <row r="5996" spans="1:12">
      <c r="A5996" s="22">
        <v>40314.79583333333</v>
      </c>
      <c r="E5996" s="26">
        <v>175.264128</v>
      </c>
      <c r="G5996" s="27">
        <v>0.79583333333333339</v>
      </c>
      <c r="J5996" s="30">
        <f>IF(G5996&lt;$H$10,$H$16,IF(G5996&gt;$I$10,$H$16,$H$11))*E5996/600</f>
        <v>5.8421375999999997E-2</v>
      </c>
      <c r="L5996" s="32">
        <f>$J5996*($G5996-$G5995)*60*24</f>
        <v>5.8421376000009129E-2</v>
      </c>
    </row>
    <row r="5997" spans="1:12">
      <c r="A5997" s="22">
        <v>40314.796527777777</v>
      </c>
      <c r="E5997" s="26">
        <v>175.13158799999999</v>
      </c>
      <c r="G5997" s="27">
        <v>0.79652777777777783</v>
      </c>
      <c r="J5997" s="30">
        <f>IF(G5997&lt;$H$10,$H$16,IF(G5997&gt;$I$10,$H$16,$H$11))*E5997/600</f>
        <v>5.8377195999999999E-2</v>
      </c>
      <c r="L5997" s="32">
        <f>$J5997*($G5997-$G5996)*60*24</f>
        <v>5.8377195999999798E-2</v>
      </c>
    </row>
    <row r="5998" spans="1:12">
      <c r="A5998" s="22">
        <v>40314.797222222223</v>
      </c>
      <c r="E5998" s="26">
        <v>173.95203599999999</v>
      </c>
      <c r="G5998" s="27">
        <v>0.79722222222222217</v>
      </c>
      <c r="J5998" s="30">
        <f>IF(G5998&lt;$H$10,$H$16,IF(G5998&gt;$I$10,$H$16,$H$11))*E5998/600</f>
        <v>5.7984011999999995E-2</v>
      </c>
      <c r="L5998" s="32">
        <f>$J5998*($G5998-$G5997)*60*24</f>
        <v>5.7984011999990516E-2</v>
      </c>
    </row>
    <row r="5999" spans="1:12">
      <c r="A5999" s="22">
        <v>40314.79791666667</v>
      </c>
      <c r="E5999" s="26">
        <v>176.01311999999999</v>
      </c>
      <c r="G5999" s="27">
        <v>0.79791666666666661</v>
      </c>
      <c r="J5999" s="30">
        <f>IF(G5999&lt;$H$10,$H$16,IF(G5999&gt;$I$10,$H$16,$H$11))*E5999/600</f>
        <v>5.8671040000000001E-2</v>
      </c>
      <c r="L5999" s="32">
        <f>$J5999*($G5999-$G5998)*60*24</f>
        <v>5.8671039999999799E-2</v>
      </c>
    </row>
    <row r="6000" spans="1:12">
      <c r="A6000" s="22">
        <v>40314.798611111109</v>
      </c>
      <c r="E6000" s="26">
        <v>175.85802000000001</v>
      </c>
      <c r="G6000" s="27">
        <v>0.79861111111111116</v>
      </c>
      <c r="J6000" s="30">
        <f>IF(G6000&lt;$H$10,$H$16,IF(G6000&gt;$I$10,$H$16,$H$11))*E6000/600</f>
        <v>5.8619340000000006E-2</v>
      </c>
      <c r="L6000" s="32">
        <f>$J6000*($G6000-$G5999)*60*24</f>
        <v>5.8619340000009165E-2</v>
      </c>
    </row>
    <row r="6001" spans="1:12">
      <c r="A6001" s="22">
        <v>40314.799305555556</v>
      </c>
      <c r="E6001" s="26">
        <v>175.58278799999999</v>
      </c>
      <c r="G6001" s="27">
        <v>0.7993055555555556</v>
      </c>
      <c r="J6001" s="30">
        <f>IF(G6001&lt;$H$10,$H$16,IF(G6001&gt;$I$10,$H$16,$H$11))*E6001/600</f>
        <v>5.8527596000000001E-2</v>
      </c>
      <c r="L6001" s="32">
        <f>$J6001*($G6001-$G6000)*60*24</f>
        <v>5.8527595999999793E-2</v>
      </c>
    </row>
    <row r="6002" spans="1:12">
      <c r="A6002" s="22">
        <v>40314.800000000003</v>
      </c>
      <c r="E6002" s="26">
        <v>176.84379799999999</v>
      </c>
      <c r="G6002" s="27">
        <v>0.79999999999999993</v>
      </c>
      <c r="J6002" s="30">
        <f>IF(G6002&lt;$H$10,$H$16,IF(G6002&gt;$I$10,$H$16,$H$11))*E6002/600</f>
        <v>5.8947932666666661E-2</v>
      </c>
      <c r="L6002" s="32">
        <f>$J6002*($G6002-$G6001)*60*24</f>
        <v>5.894793266665703E-2</v>
      </c>
    </row>
    <row r="6003" spans="1:12">
      <c r="A6003" s="22">
        <v>40314.800694444442</v>
      </c>
      <c r="E6003" s="26">
        <v>176.97004000000001</v>
      </c>
      <c r="G6003" s="27">
        <v>0.80069444444444438</v>
      </c>
      <c r="J6003" s="30">
        <f>IF(G6003&lt;$H$10,$H$16,IF(G6003&gt;$I$10,$H$16,$H$11))*E6003/600</f>
        <v>5.8990013333333341E-2</v>
      </c>
      <c r="L6003" s="32">
        <f>$J6003*($G6003-$G6002)*60*24</f>
        <v>5.8990013333333133E-2</v>
      </c>
    </row>
    <row r="6004" spans="1:12">
      <c r="A6004" s="22">
        <v>40314.801388888889</v>
      </c>
      <c r="E6004" s="26">
        <v>175.63458199999999</v>
      </c>
      <c r="G6004" s="27">
        <v>0.80138888888888893</v>
      </c>
      <c r="J6004" s="30">
        <f>IF(G6004&lt;$H$10,$H$16,IF(G6004&gt;$I$10,$H$16,$H$11))*E6004/600</f>
        <v>5.8544860666666663E-2</v>
      </c>
      <c r="L6004" s="32">
        <f>$J6004*($G6004-$G6003)*60*24</f>
        <v>5.8544860666675823E-2</v>
      </c>
    </row>
    <row r="6005" spans="1:12">
      <c r="A6005" s="22">
        <v>40314.802083333336</v>
      </c>
      <c r="E6005" s="26">
        <v>175.84532999999999</v>
      </c>
      <c r="G6005" s="27">
        <v>0.80208333333333337</v>
      </c>
      <c r="J6005" s="30">
        <f>IF(G6005&lt;$H$10,$H$16,IF(G6005&gt;$I$10,$H$16,$H$11))*E6005/600</f>
        <v>5.8615109999999998E-2</v>
      </c>
      <c r="L6005" s="32">
        <f>$J6005*($G6005-$G6004)*60*24</f>
        <v>5.861510999999979E-2</v>
      </c>
    </row>
    <row r="6006" spans="1:12">
      <c r="A6006" s="22">
        <v>40314.802777777775</v>
      </c>
      <c r="E6006" s="26">
        <v>176.17949999999999</v>
      </c>
      <c r="G6006" s="27">
        <v>0.8027777777777777</v>
      </c>
      <c r="J6006" s="30">
        <f>IF(G6006&lt;$H$10,$H$16,IF(G6006&gt;$I$10,$H$16,$H$11))*E6006/600</f>
        <v>5.8726500000000001E-2</v>
      </c>
      <c r="L6006" s="32">
        <f>$J6006*($G6006-$G6005)*60*24</f>
        <v>5.8726499999990411E-2</v>
      </c>
    </row>
    <row r="6007" spans="1:12">
      <c r="A6007" s="22">
        <v>40314.803472222222</v>
      </c>
      <c r="E6007" s="26">
        <v>176.26541599999999</v>
      </c>
      <c r="G6007" s="27">
        <v>0.80347222222222225</v>
      </c>
      <c r="J6007" s="30">
        <f>IF(G6007&lt;$H$10,$H$16,IF(G6007&gt;$I$10,$H$16,$H$11))*E6007/600</f>
        <v>5.8755138666666665E-2</v>
      </c>
      <c r="L6007" s="32">
        <f>$J6007*($G6007-$G6006)*60*24</f>
        <v>5.8755138666675852E-2</v>
      </c>
    </row>
    <row r="6008" spans="1:12">
      <c r="A6008" s="22">
        <v>40314.804166666669</v>
      </c>
      <c r="E6008" s="26">
        <v>176.15430799999999</v>
      </c>
      <c r="G6008" s="27">
        <v>0.8041666666666667</v>
      </c>
      <c r="J6008" s="30">
        <f>IF(G6008&lt;$H$10,$H$16,IF(G6008&gt;$I$10,$H$16,$H$11))*E6008/600</f>
        <v>5.8718102666666661E-2</v>
      </c>
      <c r="L6008" s="32">
        <f>$J6008*($G6008-$G6007)*60*24</f>
        <v>5.8718102666666445E-2</v>
      </c>
    </row>
    <row r="6009" spans="1:12">
      <c r="A6009" s="22">
        <v>40314.804861111108</v>
      </c>
      <c r="E6009" s="26">
        <v>176.30329800000001</v>
      </c>
      <c r="G6009" s="27">
        <v>0.80486111111111114</v>
      </c>
      <c r="J6009" s="30">
        <f>IF(G6009&lt;$H$10,$H$16,IF(G6009&gt;$I$10,$H$16,$H$11))*E6009/600</f>
        <v>5.8767766000000006E-2</v>
      </c>
      <c r="L6009" s="32">
        <f>$J6009*($G6009-$G6008)*60*24</f>
        <v>5.8767765999999805E-2</v>
      </c>
    </row>
    <row r="6010" spans="1:12">
      <c r="A6010" s="22">
        <v>40314.805555555555</v>
      </c>
      <c r="E6010" s="26">
        <v>176.38752199999999</v>
      </c>
      <c r="G6010" s="27">
        <v>0.80555555555555547</v>
      </c>
      <c r="J6010" s="30">
        <f>IF(G6010&lt;$H$10,$H$16,IF(G6010&gt;$I$10,$H$16,$H$11))*E6010/600</f>
        <v>5.8795840666666661E-2</v>
      </c>
      <c r="L6010" s="32">
        <f>$J6010*($G6010-$G6009)*60*24</f>
        <v>5.8795840666657051E-2</v>
      </c>
    </row>
    <row r="6011" spans="1:12">
      <c r="A6011" s="22">
        <v>40314.806250000001</v>
      </c>
      <c r="E6011" s="26">
        <v>175.43332799999999</v>
      </c>
      <c r="G6011" s="27">
        <v>0.80625000000000002</v>
      </c>
      <c r="J6011" s="30">
        <f>IF(G6011&lt;$H$10,$H$16,IF(G6011&gt;$I$10,$H$16,$H$11))*E6011/600</f>
        <v>5.8477775999999995E-2</v>
      </c>
      <c r="L6011" s="32">
        <f>$J6011*($G6011-$G6010)*60*24</f>
        <v>5.8477776000009141E-2</v>
      </c>
    </row>
    <row r="6012" spans="1:12">
      <c r="A6012" s="22">
        <v>40314.806944444441</v>
      </c>
      <c r="E6012" s="26">
        <v>174.96633600000001</v>
      </c>
      <c r="G6012" s="27">
        <v>0.80694444444444446</v>
      </c>
      <c r="J6012" s="30">
        <f>IF(G6012&lt;$H$10,$H$16,IF(G6012&gt;$I$10,$H$16,$H$11))*E6012/600</f>
        <v>5.8322112000000009E-2</v>
      </c>
      <c r="L6012" s="32">
        <f>$J6012*($G6012-$G6011)*60*24</f>
        <v>5.8322111999999801E-2</v>
      </c>
    </row>
    <row r="6013" spans="1:12">
      <c r="A6013" s="22">
        <v>40314.807638888888</v>
      </c>
      <c r="E6013" s="26">
        <v>175.161574</v>
      </c>
      <c r="G6013" s="27">
        <v>0.80763888888888891</v>
      </c>
      <c r="J6013" s="30">
        <f>IF(G6013&lt;$H$10,$H$16,IF(G6013&gt;$I$10,$H$16,$H$11))*E6013/600</f>
        <v>5.8387191333333338E-2</v>
      </c>
      <c r="L6013" s="32">
        <f>$J6013*($G6013-$G6012)*60*24</f>
        <v>5.838719133333313E-2</v>
      </c>
    </row>
    <row r="6014" spans="1:12">
      <c r="A6014" s="22">
        <v>40314.808333333334</v>
      </c>
      <c r="E6014" s="26">
        <v>174.837932</v>
      </c>
      <c r="G6014" s="27">
        <v>0.80833333333333324</v>
      </c>
      <c r="J6014" s="30">
        <f>IF(G6014&lt;$H$10,$H$16,IF(G6014&gt;$I$10,$H$16,$H$11))*E6014/600</f>
        <v>5.8279310666666667E-2</v>
      </c>
      <c r="L6014" s="32">
        <f>$J6014*($G6014-$G6013)*60*24</f>
        <v>5.827931066665714E-2</v>
      </c>
    </row>
    <row r="6015" spans="1:12">
      <c r="A6015" s="22">
        <v>40314.809027777781</v>
      </c>
      <c r="E6015" s="26">
        <v>174.82251600000001</v>
      </c>
      <c r="G6015" s="27">
        <v>0.80902777777777779</v>
      </c>
      <c r="J6015" s="30">
        <f>IF(G6015&lt;$H$10,$H$16,IF(G6015&gt;$I$10,$H$16,$H$11))*E6015/600</f>
        <v>5.8274172000000006E-2</v>
      </c>
      <c r="L6015" s="32">
        <f>$J6015*($G6015-$G6014)*60*24</f>
        <v>5.827417200000911E-2</v>
      </c>
    </row>
    <row r="6016" spans="1:12">
      <c r="A6016" s="22">
        <v>40314.80972222222</v>
      </c>
      <c r="E6016" s="26">
        <v>174.837932</v>
      </c>
      <c r="G6016" s="27">
        <v>0.80972222222222223</v>
      </c>
      <c r="J6016" s="30">
        <f>IF(G6016&lt;$H$10,$H$16,IF(G6016&gt;$I$10,$H$16,$H$11))*E6016/600</f>
        <v>5.8279310666666667E-2</v>
      </c>
      <c r="L6016" s="32">
        <f>$J6016*($G6016-$G6015)*60*24</f>
        <v>5.8279310666666459E-2</v>
      </c>
    </row>
    <row r="6017" spans="1:12">
      <c r="A6017" s="22">
        <v>40314.810416666667</v>
      </c>
      <c r="E6017" s="26">
        <v>176.38677000000001</v>
      </c>
      <c r="G6017" s="27">
        <v>0.81041666666666667</v>
      </c>
      <c r="J6017" s="30">
        <f>IF(G6017&lt;$H$10,$H$16,IF(G6017&gt;$I$10,$H$16,$H$11))*E6017/600</f>
        <v>5.8795590000000002E-2</v>
      </c>
      <c r="L6017" s="32">
        <f>$J6017*($G6017-$G6016)*60*24</f>
        <v>5.8795589999999801E-2</v>
      </c>
    </row>
    <row r="6018" spans="1:12">
      <c r="A6018" s="22">
        <v>40314.811111111114</v>
      </c>
      <c r="E6018" s="26">
        <v>175.00036399999999</v>
      </c>
      <c r="G6018" s="27">
        <v>0.81111111111111101</v>
      </c>
      <c r="J6018" s="30">
        <f>IF(G6018&lt;$H$10,$H$16,IF(G6018&gt;$I$10,$H$16,$H$11))*E6018/600</f>
        <v>5.8333454666666666E-2</v>
      </c>
      <c r="L6018" s="32">
        <f>$J6018*($G6018-$G6017)*60*24</f>
        <v>5.8333454666657125E-2</v>
      </c>
    </row>
    <row r="6019" spans="1:12">
      <c r="A6019" s="22">
        <v>40314.811805555553</v>
      </c>
      <c r="E6019" s="26">
        <v>174.626902</v>
      </c>
      <c r="G6019" s="27">
        <v>0.81180555555555556</v>
      </c>
      <c r="J6019" s="30">
        <f>IF(G6019&lt;$H$10,$H$16,IF(G6019&gt;$I$10,$H$16,$H$11))*E6019/600</f>
        <v>5.8208967333333334E-2</v>
      </c>
      <c r="L6019" s="32">
        <f>$J6019*($G6019-$G6018)*60*24</f>
        <v>5.8208967333342437E-2</v>
      </c>
    </row>
    <row r="6020" spans="1:12">
      <c r="A6020" s="22">
        <v>40314.8125</v>
      </c>
      <c r="E6020" s="26">
        <v>174.250056</v>
      </c>
      <c r="G6020" s="27">
        <v>0.8125</v>
      </c>
      <c r="J6020" s="30">
        <f>IF(G6020&lt;$H$10,$H$16,IF(G6020&gt;$I$10,$H$16,$H$11))*E6020/600</f>
        <v>5.8083352000000005E-2</v>
      </c>
      <c r="L6020" s="32">
        <f>$J6020*($G6020-$G6019)*60*24</f>
        <v>5.8083351999999797E-2</v>
      </c>
    </row>
    <row r="6021" spans="1:12">
      <c r="A6021" s="22">
        <v>40314.813194444447</v>
      </c>
      <c r="E6021" s="26">
        <v>174.23623799999999</v>
      </c>
      <c r="G6021" s="27">
        <v>0.81319444444444444</v>
      </c>
      <c r="J6021" s="30">
        <f>IF(G6021&lt;$H$10,$H$16,IF(G6021&gt;$I$10,$H$16,$H$11))*E6021/600</f>
        <v>5.8078745999999994E-2</v>
      </c>
      <c r="L6021" s="32">
        <f>$J6021*($G6021-$G6020)*60*24</f>
        <v>5.8078745999999792E-2</v>
      </c>
    </row>
    <row r="6022" spans="1:12">
      <c r="A6022" s="22">
        <v>40314.813888888886</v>
      </c>
      <c r="E6022" s="26">
        <v>174.80099000000001</v>
      </c>
      <c r="G6022" s="27">
        <v>0.81388888888888899</v>
      </c>
      <c r="J6022" s="30">
        <f>IF(G6022&lt;$H$10,$H$16,IF(G6022&gt;$I$10,$H$16,$H$11))*E6022/600</f>
        <v>5.8266996666666675E-2</v>
      </c>
      <c r="L6022" s="32">
        <f>$J6022*($G6022-$G6021)*60*24</f>
        <v>5.8266996666675779E-2</v>
      </c>
    </row>
    <row r="6023" spans="1:12">
      <c r="A6023" s="22">
        <v>40314.814583333333</v>
      </c>
      <c r="E6023" s="26">
        <v>166.49883</v>
      </c>
      <c r="G6023" s="27">
        <v>0.81458333333333333</v>
      </c>
      <c r="J6023" s="30">
        <f>IF(G6023&lt;$H$10,$H$16,IF(G6023&gt;$I$10,$H$16,$H$11))*E6023/600</f>
        <v>5.5499609999999998E-2</v>
      </c>
      <c r="L6023" s="32">
        <f>$J6023*($G6023-$G6022)*60*24</f>
        <v>5.5499609999990929E-2</v>
      </c>
    </row>
    <row r="6024" spans="1:12">
      <c r="A6024" s="22">
        <v>40314.81527777778</v>
      </c>
      <c r="E6024" s="26">
        <v>158.96964299999999</v>
      </c>
      <c r="G6024" s="27">
        <v>0.81527777777777777</v>
      </c>
      <c r="J6024" s="30">
        <f>IF(G6024&lt;$H$10,$H$16,IF(G6024&gt;$I$10,$H$16,$H$11))*E6024/600</f>
        <v>5.2989881000000003E-2</v>
      </c>
      <c r="L6024" s="32">
        <f>$J6024*($G6024-$G6023)*60*24</f>
        <v>5.2989880999999808E-2</v>
      </c>
    </row>
    <row r="6025" spans="1:12">
      <c r="A6025" s="22">
        <v>40314.815972222219</v>
      </c>
      <c r="E6025" s="26">
        <v>156.09938399999999</v>
      </c>
      <c r="G6025" s="27">
        <v>0.81597222222222221</v>
      </c>
      <c r="J6025" s="30">
        <f>IF(G6025&lt;$H$10,$H$16,IF(G6025&gt;$I$10,$H$16,$H$11))*E6025/600</f>
        <v>5.2033127999999998E-2</v>
      </c>
      <c r="L6025" s="32">
        <f>$J6025*($G6025-$G6024)*60*24</f>
        <v>5.2033127999999818E-2</v>
      </c>
    </row>
    <row r="6026" spans="1:12">
      <c r="A6026" s="22">
        <v>40314.816666666666</v>
      </c>
      <c r="E6026" s="26">
        <v>156.57405600000001</v>
      </c>
      <c r="G6026" s="27">
        <v>0.81666666666666676</v>
      </c>
      <c r="J6026" s="30">
        <f>IF(G6026&lt;$H$10,$H$16,IF(G6026&gt;$I$10,$H$16,$H$11))*E6026/600</f>
        <v>5.219135200000001E-2</v>
      </c>
      <c r="L6026" s="32">
        <f>$J6026*($G6026-$G6025)*60*24</f>
        <v>5.219135200000817E-2</v>
      </c>
    </row>
    <row r="6027" spans="1:12">
      <c r="A6027" s="22">
        <v>40314.817361111112</v>
      </c>
      <c r="E6027" s="26">
        <v>159.12951000000001</v>
      </c>
      <c r="G6027" s="27">
        <v>0.81736111111111109</v>
      </c>
      <c r="J6027" s="30">
        <f>IF(G6027&lt;$H$10,$H$16,IF(G6027&gt;$I$10,$H$16,$H$11))*E6027/600</f>
        <v>5.3043170000000008E-2</v>
      </c>
      <c r="L6027" s="32">
        <f>$J6027*($G6027-$G6026)*60*24</f>
        <v>5.3043169999991341E-2</v>
      </c>
    </row>
    <row r="6028" spans="1:12">
      <c r="A6028" s="22">
        <v>40314.818055555559</v>
      </c>
      <c r="E6028" s="26">
        <v>153.656192</v>
      </c>
      <c r="G6028" s="27">
        <v>0.81805555555555554</v>
      </c>
      <c r="J6028" s="30">
        <f>IF(G6028&lt;$H$10,$H$16,IF(G6028&gt;$I$10,$H$16,$H$11))*E6028/600</f>
        <v>5.121873066666667E-2</v>
      </c>
      <c r="L6028" s="32">
        <f>$J6028*($G6028-$G6027)*60*24</f>
        <v>5.1218730666666483E-2</v>
      </c>
    </row>
    <row r="6029" spans="1:12">
      <c r="A6029" s="22">
        <v>40314.818749999999</v>
      </c>
      <c r="E6029" s="26">
        <v>153.76208399999999</v>
      </c>
      <c r="G6029" s="27">
        <v>0.81874999999999998</v>
      </c>
      <c r="J6029" s="30">
        <f>IF(G6029&lt;$H$10,$H$16,IF(G6029&gt;$I$10,$H$16,$H$11))*E6029/600</f>
        <v>5.1254028E-2</v>
      </c>
      <c r="L6029" s="32">
        <f>$J6029*($G6029-$G6028)*60*24</f>
        <v>5.1254027999999813E-2</v>
      </c>
    </row>
    <row r="6030" spans="1:12">
      <c r="A6030" s="22">
        <v>40314.819444444445</v>
      </c>
      <c r="E6030" s="26">
        <v>154.01002399999999</v>
      </c>
      <c r="G6030" s="27">
        <v>0.81944444444444453</v>
      </c>
      <c r="J6030" s="30">
        <f>IF(G6030&lt;$H$10,$H$16,IF(G6030&gt;$I$10,$H$16,$H$11))*E6030/600</f>
        <v>5.1336674666666665E-2</v>
      </c>
      <c r="L6030" s="32">
        <f>$J6030*($G6030-$G6029)*60*24</f>
        <v>5.1336674666674686E-2</v>
      </c>
    </row>
    <row r="6031" spans="1:12">
      <c r="A6031" s="22">
        <v>40314.820138888892</v>
      </c>
      <c r="E6031" s="26">
        <v>153.37706399999999</v>
      </c>
      <c r="G6031" s="27">
        <v>0.82013888888888886</v>
      </c>
      <c r="J6031" s="30">
        <f>IF(G6031&lt;$H$10,$H$16,IF(G6031&gt;$I$10,$H$16,$H$11))*E6031/600</f>
        <v>5.1125688000000002E-2</v>
      </c>
      <c r="L6031" s="32">
        <f>$J6031*($G6031-$G6030)*60*24</f>
        <v>5.1125687999991648E-2</v>
      </c>
    </row>
    <row r="6032" spans="1:12">
      <c r="A6032" s="22">
        <v>40314.820833333331</v>
      </c>
      <c r="E6032" s="26">
        <v>153.23851199999999</v>
      </c>
      <c r="G6032" s="27">
        <v>0.8208333333333333</v>
      </c>
      <c r="J6032" s="30">
        <f>IF(G6032&lt;$H$10,$H$16,IF(G6032&gt;$I$10,$H$16,$H$11))*E6032/600</f>
        <v>5.1079503999999998E-2</v>
      </c>
      <c r="L6032" s="32">
        <f>$J6032*($G6032-$G6031)*60*24</f>
        <v>5.107950399999981E-2</v>
      </c>
    </row>
    <row r="6033" spans="1:12">
      <c r="A6033" s="22">
        <v>40314.821527777778</v>
      </c>
      <c r="E6033" s="26">
        <v>153.1593</v>
      </c>
      <c r="G6033" s="27">
        <v>0.82152777777777775</v>
      </c>
      <c r="J6033" s="30">
        <f>IF(G6033&lt;$H$10,$H$16,IF(G6033&gt;$I$10,$H$16,$H$11))*E6033/600</f>
        <v>5.1053100000000004E-2</v>
      </c>
      <c r="L6033" s="32">
        <f>$J6033*($G6033-$G6032)*60*24</f>
        <v>5.1053099999999824E-2</v>
      </c>
    </row>
    <row r="6034" spans="1:12">
      <c r="A6034" s="22">
        <v>40314.822222222225</v>
      </c>
      <c r="E6034" s="26">
        <v>152.96968799999999</v>
      </c>
      <c r="G6034" s="27">
        <v>0.8222222222222223</v>
      </c>
      <c r="J6034" s="30">
        <f>IF(G6034&lt;$H$10,$H$16,IF(G6034&gt;$I$10,$H$16,$H$11))*E6034/600</f>
        <v>5.0989896E-2</v>
      </c>
      <c r="L6034" s="32">
        <f>$J6034*($G6034-$G6033)*60*24</f>
        <v>5.0989896000007966E-2</v>
      </c>
    </row>
    <row r="6035" spans="1:12">
      <c r="A6035" s="22">
        <v>40314.822916666664</v>
      </c>
      <c r="E6035" s="26">
        <v>152.361108</v>
      </c>
      <c r="G6035" s="27">
        <v>0.82291666666666663</v>
      </c>
      <c r="J6035" s="30">
        <f>IF(G6035&lt;$H$10,$H$16,IF(G6035&gt;$I$10,$H$16,$H$11))*E6035/600</f>
        <v>5.0787036000000001E-2</v>
      </c>
      <c r="L6035" s="32">
        <f>$J6035*($G6035-$G6034)*60*24</f>
        <v>5.0787035999991695E-2</v>
      </c>
    </row>
    <row r="6036" spans="1:12">
      <c r="A6036" s="22">
        <v>40314.823611111111</v>
      </c>
      <c r="E6036" s="26">
        <v>154.66901999999999</v>
      </c>
      <c r="G6036" s="27">
        <v>0.82361111111111107</v>
      </c>
      <c r="J6036" s="30">
        <f>IF(G6036&lt;$H$10,$H$16,IF(G6036&gt;$I$10,$H$16,$H$11))*E6036/600</f>
        <v>5.1556339999999999E-2</v>
      </c>
      <c r="L6036" s="32">
        <f>$J6036*($G6036-$G6035)*60*24</f>
        <v>5.1556339999999812E-2</v>
      </c>
    </row>
    <row r="6037" spans="1:12">
      <c r="A6037" s="22">
        <v>40314.824305555558</v>
      </c>
      <c r="E6037" s="26">
        <v>168.67782</v>
      </c>
      <c r="G6037" s="27">
        <v>0.82430555555555562</v>
      </c>
      <c r="J6037" s="30">
        <f>IF(G6037&lt;$H$10,$H$16,IF(G6037&gt;$I$10,$H$16,$H$11))*E6037/600</f>
        <v>5.6225940000000009E-2</v>
      </c>
      <c r="L6037" s="32">
        <f>$J6037*($G6037-$G6036)*60*24</f>
        <v>5.6225940000008801E-2</v>
      </c>
    </row>
    <row r="6038" spans="1:12">
      <c r="A6038" s="22">
        <v>40314.824999999997</v>
      </c>
      <c r="E6038" s="26">
        <v>175.80857599999999</v>
      </c>
      <c r="G6038" s="27">
        <v>0.82500000000000007</v>
      </c>
      <c r="J6038" s="30">
        <f>IF(G6038&lt;$H$10,$H$16,IF(G6038&gt;$I$10,$H$16,$H$11))*E6038/600</f>
        <v>5.860285866666666E-2</v>
      </c>
      <c r="L6038" s="32">
        <f>$J6038*($G6038-$G6037)*60*24</f>
        <v>5.8602858666666445E-2</v>
      </c>
    </row>
    <row r="6039" spans="1:12">
      <c r="A6039" s="22">
        <v>40314.825694444444</v>
      </c>
      <c r="E6039" s="26">
        <v>164.56043099999999</v>
      </c>
      <c r="G6039" s="27">
        <v>0.8256944444444444</v>
      </c>
      <c r="J6039" s="30">
        <f>IF(G6039&lt;$H$10,$H$16,IF(G6039&gt;$I$10,$H$16,$H$11))*E6039/600</f>
        <v>5.4853476999999998E-2</v>
      </c>
      <c r="L6039" s="32">
        <f>$J6039*($G6039-$G6038)*60*24</f>
        <v>5.4853476999991033E-2</v>
      </c>
    </row>
    <row r="6040" spans="1:12">
      <c r="A6040" s="22">
        <v>40314.826388888891</v>
      </c>
      <c r="E6040" s="26">
        <v>153.44496000000001</v>
      </c>
      <c r="G6040" s="27">
        <v>0.82638888888888884</v>
      </c>
      <c r="J6040" s="30">
        <f>IF(G6040&lt;$H$10,$H$16,IF(G6040&gt;$I$10,$H$16,$H$11))*E6040/600</f>
        <v>5.1148320000000004E-2</v>
      </c>
      <c r="L6040" s="32">
        <f>$J6040*($G6040-$G6039)*60*24</f>
        <v>5.1148319999999817E-2</v>
      </c>
    </row>
    <row r="6041" spans="1:12">
      <c r="A6041" s="22">
        <v>40314.82708333333</v>
      </c>
      <c r="E6041" s="26">
        <v>154.76718399999999</v>
      </c>
      <c r="G6041" s="27">
        <v>0.82708333333333339</v>
      </c>
      <c r="J6041" s="30">
        <f>IF(G6041&lt;$H$10,$H$16,IF(G6041&gt;$I$10,$H$16,$H$11))*E6041/600</f>
        <v>5.1589061333333332E-2</v>
      </c>
      <c r="L6041" s="32">
        <f>$J6041*($G6041-$G6040)*60*24</f>
        <v>5.1589061333341388E-2</v>
      </c>
    </row>
    <row r="6042" spans="1:12">
      <c r="A6042" s="22">
        <v>40314.827777777777</v>
      </c>
      <c r="E6042" s="26">
        <v>154.87280000000001</v>
      </c>
      <c r="G6042" s="27">
        <v>0.82777777777777783</v>
      </c>
      <c r="J6042" s="30">
        <f>IF(G6042&lt;$H$10,$H$16,IF(G6042&gt;$I$10,$H$16,$H$11))*E6042/600</f>
        <v>5.1624266666666675E-2</v>
      </c>
      <c r="L6042" s="32">
        <f>$J6042*($G6042-$G6041)*60*24</f>
        <v>5.1624266666666488E-2</v>
      </c>
    </row>
    <row r="6043" spans="1:12">
      <c r="A6043" s="22">
        <v>40314.828472222223</v>
      </c>
      <c r="E6043" s="26">
        <v>153.02580800000001</v>
      </c>
      <c r="G6043" s="27">
        <v>0.82847222222222217</v>
      </c>
      <c r="J6043" s="30">
        <f>IF(G6043&lt;$H$10,$H$16,IF(G6043&gt;$I$10,$H$16,$H$11))*E6043/600</f>
        <v>5.1008602666666673E-2</v>
      </c>
      <c r="L6043" s="32">
        <f>$J6043*($G6043-$G6042)*60*24</f>
        <v>5.100860266665834E-2</v>
      </c>
    </row>
    <row r="6044" spans="1:12">
      <c r="A6044" s="22">
        <v>40314.82916666667</v>
      </c>
      <c r="E6044" s="26">
        <v>153.808176</v>
      </c>
      <c r="G6044" s="27">
        <v>0.82916666666666661</v>
      </c>
      <c r="J6044" s="30">
        <f>IF(G6044&lt;$H$10,$H$16,IF(G6044&gt;$I$10,$H$16,$H$11))*E6044/600</f>
        <v>5.1269392000000004E-2</v>
      </c>
      <c r="L6044" s="32">
        <f>$J6044*($G6044-$G6043)*60*24</f>
        <v>5.1269391999999823E-2</v>
      </c>
    </row>
    <row r="6045" spans="1:12">
      <c r="A6045" s="22">
        <v>40314.829861111109</v>
      </c>
      <c r="E6045" s="26">
        <v>154.76129599999999</v>
      </c>
      <c r="G6045" s="27">
        <v>0.82986111111111116</v>
      </c>
      <c r="J6045" s="30">
        <f>IF(G6045&lt;$H$10,$H$16,IF(G6045&gt;$I$10,$H$16,$H$11))*E6045/600</f>
        <v>5.1587098666666664E-2</v>
      </c>
      <c r="L6045" s="32">
        <f>$J6045*($G6045-$G6044)*60*24</f>
        <v>5.158709866667472E-2</v>
      </c>
    </row>
    <row r="6046" spans="1:12">
      <c r="A6046" s="22">
        <v>40314.830555555556</v>
      </c>
      <c r="E6046" s="26">
        <v>152.078576</v>
      </c>
      <c r="G6046" s="27">
        <v>0.8305555555555556</v>
      </c>
      <c r="J6046" s="30">
        <f>IF(G6046&lt;$H$10,$H$16,IF(G6046&gt;$I$10,$H$16,$H$11))*E6046/600</f>
        <v>5.0692858666666667E-2</v>
      </c>
      <c r="L6046" s="32">
        <f>$J6046*($G6046-$G6045)*60*24</f>
        <v>5.0692858666666493E-2</v>
      </c>
    </row>
    <row r="6047" spans="1:12">
      <c r="A6047" s="22">
        <v>40314.831250000003</v>
      </c>
      <c r="E6047" s="26">
        <v>151.400352</v>
      </c>
      <c r="G6047" s="27">
        <v>0.83124999999999993</v>
      </c>
      <c r="J6047" s="30">
        <f>IF(G6047&lt;$H$10,$H$16,IF(G6047&gt;$I$10,$H$16,$H$11))*E6047/600</f>
        <v>5.0466784000000001E-2</v>
      </c>
      <c r="L6047" s="32">
        <f>$J6047*($G6047-$G6046)*60*24</f>
        <v>5.0466783999991757E-2</v>
      </c>
    </row>
    <row r="6048" spans="1:12">
      <c r="A6048" s="22">
        <v>40314.831944444442</v>
      </c>
      <c r="E6048" s="26">
        <v>151.61296400000001</v>
      </c>
      <c r="G6048" s="27">
        <v>0.83194444444444438</v>
      </c>
      <c r="J6048" s="30">
        <f>IF(G6048&lt;$H$10,$H$16,IF(G6048&gt;$I$10,$H$16,$H$11))*E6048/600</f>
        <v>5.0537654666666668E-2</v>
      </c>
      <c r="L6048" s="32">
        <f>$J6048*($G6048-$G6047)*60*24</f>
        <v>5.0537654666666487E-2</v>
      </c>
    </row>
    <row r="6049" spans="1:12">
      <c r="A6049" s="22">
        <v>40314.832638888889</v>
      </c>
      <c r="E6049" s="26">
        <v>151.30338399999999</v>
      </c>
      <c r="G6049" s="27">
        <v>0.83263888888888893</v>
      </c>
      <c r="J6049" s="30">
        <f>IF(G6049&lt;$H$10,$H$16,IF(G6049&gt;$I$10,$H$16,$H$11))*E6049/600</f>
        <v>5.0434461333333333E-2</v>
      </c>
      <c r="L6049" s="32">
        <f>$J6049*($G6049-$G6048)*60*24</f>
        <v>5.0434461333341216E-2</v>
      </c>
    </row>
    <row r="6050" spans="1:12">
      <c r="A6050" s="22">
        <v>40314.833333333336</v>
      </c>
      <c r="E6050" s="26">
        <v>159.61218</v>
      </c>
      <c r="G6050" s="27">
        <v>0.83333333333333337</v>
      </c>
      <c r="J6050" s="30">
        <f>IF(G6050&lt;$H$10,$H$16,IF(G6050&gt;$I$10,$H$16,$H$11))*E6050/600</f>
        <v>5.3204060000000004E-2</v>
      </c>
      <c r="L6050" s="32">
        <f>$J6050*($G6050-$G6049)*60*24</f>
        <v>5.320405999999981E-2</v>
      </c>
    </row>
    <row r="6051" spans="1:12">
      <c r="A6051" s="22">
        <v>40314.834027777775</v>
      </c>
      <c r="E6051" s="26">
        <v>154.16368199999999</v>
      </c>
      <c r="G6051" s="27">
        <v>0.8340277777777777</v>
      </c>
      <c r="J6051" s="30">
        <f>IF(G6051&lt;$H$10,$H$16,IF(G6051&gt;$I$10,$H$16,$H$11))*E6051/600</f>
        <v>5.1387894000000003E-2</v>
      </c>
      <c r="L6051" s="32">
        <f>$J6051*($G6051-$G6050)*60*24</f>
        <v>5.1387893999991607E-2</v>
      </c>
    </row>
    <row r="6052" spans="1:12">
      <c r="A6052" s="22">
        <v>40314.834722222222</v>
      </c>
      <c r="E6052" s="26">
        <v>157.232868</v>
      </c>
      <c r="G6052" s="27">
        <v>0.83472222222222225</v>
      </c>
      <c r="J6052" s="30">
        <f>IF(G6052&lt;$H$10,$H$16,IF(G6052&gt;$I$10,$H$16,$H$11))*E6052/600</f>
        <v>5.2410956000000002E-2</v>
      </c>
      <c r="L6052" s="32">
        <f>$J6052*($G6052-$G6051)*60*24</f>
        <v>5.2410956000008196E-2</v>
      </c>
    </row>
    <row r="6053" spans="1:12">
      <c r="A6053" s="22">
        <v>40314.835416666669</v>
      </c>
      <c r="E6053" s="26">
        <v>156.70648800000001</v>
      </c>
      <c r="G6053" s="27">
        <v>0.8354166666666667</v>
      </c>
      <c r="J6053" s="30">
        <f>IF(G6053&lt;$H$10,$H$16,IF(G6053&gt;$I$10,$H$16,$H$11))*E6053/600</f>
        <v>5.2235496000000006E-2</v>
      </c>
      <c r="L6053" s="32">
        <f>$J6053*($G6053-$G6052)*60*24</f>
        <v>5.2235495999999819E-2</v>
      </c>
    </row>
    <row r="6054" spans="1:12">
      <c r="A6054" s="22">
        <v>40314.836111111108</v>
      </c>
      <c r="E6054" s="26">
        <v>153.040896</v>
      </c>
      <c r="G6054" s="27">
        <v>0.83611111111111114</v>
      </c>
      <c r="J6054" s="30">
        <f>IF(G6054&lt;$H$10,$H$16,IF(G6054&gt;$I$10,$H$16,$H$11))*E6054/600</f>
        <v>5.1013632000000003E-2</v>
      </c>
      <c r="L6054" s="32">
        <f>$J6054*($G6054-$G6053)*60*24</f>
        <v>5.1013631999999823E-2</v>
      </c>
    </row>
    <row r="6055" spans="1:12">
      <c r="A6055" s="22">
        <v>40314.836805555555</v>
      </c>
      <c r="E6055" s="26">
        <v>157.04073</v>
      </c>
      <c r="G6055" s="27">
        <v>0.83680555555555547</v>
      </c>
      <c r="J6055" s="30">
        <f>IF(G6055&lt;$H$10,$H$16,IF(G6055&gt;$I$10,$H$16,$H$11))*E6055/600</f>
        <v>5.2346910000000003E-2</v>
      </c>
      <c r="L6055" s="32">
        <f>$J6055*($G6055-$G6054)*60*24</f>
        <v>5.2346909999991448E-2</v>
      </c>
    </row>
    <row r="6056" spans="1:12">
      <c r="A6056" s="22">
        <v>40314.837500000001</v>
      </c>
      <c r="E6056" s="26">
        <v>159.26993999999999</v>
      </c>
      <c r="G6056" s="27">
        <v>0.83750000000000002</v>
      </c>
      <c r="J6056" s="30">
        <f>IF(G6056&lt;$H$10,$H$16,IF(G6056&gt;$I$10,$H$16,$H$11))*E6056/600</f>
        <v>5.3089980000000002E-2</v>
      </c>
      <c r="L6056" s="32">
        <f>$J6056*($G6056-$G6055)*60*24</f>
        <v>5.3089980000008308E-2</v>
      </c>
    </row>
    <row r="6057" spans="1:12">
      <c r="A6057" s="22">
        <v>40314.838194444441</v>
      </c>
      <c r="E6057" s="26">
        <v>27.42446</v>
      </c>
      <c r="G6057" s="27">
        <v>0.83819444444444446</v>
      </c>
      <c r="J6057" s="30">
        <f>IF(G6057&lt;$H$10,$H$16,IF(G6057&gt;$I$10,$H$16,$H$11))*E6057/600</f>
        <v>9.1414866666666671E-3</v>
      </c>
      <c r="L6057" s="32">
        <f>$J6057*($G6057-$G6056)*60*24</f>
        <v>9.1414866666666341E-3</v>
      </c>
    </row>
    <row r="6058" spans="1:12">
      <c r="A6058" s="22">
        <v>40314.838888888888</v>
      </c>
      <c r="E6058" s="26">
        <v>18.712512</v>
      </c>
      <c r="G6058" s="27">
        <v>0.83888888888888891</v>
      </c>
      <c r="J6058" s="30">
        <f>IF(G6058&lt;$H$10,$H$16,IF(G6058&gt;$I$10,$H$16,$H$11))*E6058/600</f>
        <v>6.2375040000000005E-3</v>
      </c>
      <c r="L6058" s="32">
        <f>$J6058*($G6058-$G6057)*60*24</f>
        <v>6.2375039999999788E-3</v>
      </c>
    </row>
    <row r="6059" spans="1:12">
      <c r="A6059" s="22">
        <v>40314.839583333334</v>
      </c>
      <c r="E6059" s="26">
        <v>18.334403999999999</v>
      </c>
      <c r="G6059" s="27">
        <v>0.83958333333333324</v>
      </c>
      <c r="J6059" s="30">
        <f>IF(G6059&lt;$H$10,$H$16,IF(G6059&gt;$I$10,$H$16,$H$11))*E6059/600</f>
        <v>6.1114680000000001E-3</v>
      </c>
      <c r="L6059" s="32">
        <f>$J6059*($G6059-$G6058)*60*24</f>
        <v>6.1114679999990026E-3</v>
      </c>
    </row>
    <row r="6060" spans="1:12">
      <c r="A6060" s="22">
        <v>40314.840277777781</v>
      </c>
      <c r="E6060" s="26">
        <v>18.225867000000001</v>
      </c>
      <c r="G6060" s="27">
        <v>0.84027777777777779</v>
      </c>
      <c r="J6060" s="30">
        <f>IF(G6060&lt;$H$10,$H$16,IF(G6060&gt;$I$10,$H$16,$H$11))*E6060/600</f>
        <v>6.0752890000000011E-3</v>
      </c>
      <c r="L6060" s="32">
        <f>$J6060*($G6060-$G6059)*60*24</f>
        <v>6.0752890000009508E-3</v>
      </c>
    </row>
    <row r="6061" spans="1:12">
      <c r="A6061" s="22">
        <v>40314.84097222222</v>
      </c>
      <c r="E6061" s="26">
        <v>18.250914000000002</v>
      </c>
      <c r="G6061" s="27">
        <v>0.84097222222222223</v>
      </c>
      <c r="J6061" s="30">
        <f>IF(G6061&lt;$H$10,$H$16,IF(G6061&gt;$I$10,$H$16,$H$11))*E6061/600</f>
        <v>6.0836380000000006E-3</v>
      </c>
      <c r="L6061" s="32">
        <f>$J6061*($G6061-$G6060)*60*24</f>
        <v>6.0836379999999798E-3</v>
      </c>
    </row>
    <row r="6062" spans="1:12">
      <c r="A6062" s="22">
        <v>40314.841666666667</v>
      </c>
      <c r="E6062" s="26">
        <v>18.110168000000002</v>
      </c>
      <c r="G6062" s="27">
        <v>0.84166666666666667</v>
      </c>
      <c r="J6062" s="30">
        <f>IF(G6062&lt;$H$10,$H$16,IF(G6062&gt;$I$10,$H$16,$H$11))*E6062/600</f>
        <v>6.0367226666666676E-3</v>
      </c>
      <c r="L6062" s="32">
        <f>$J6062*($G6062-$G6061)*60*24</f>
        <v>6.0367226666666459E-3</v>
      </c>
    </row>
    <row r="6063" spans="1:12">
      <c r="A6063" s="22">
        <v>40314.842361111114</v>
      </c>
      <c r="E6063" s="26">
        <v>18.20082</v>
      </c>
      <c r="G6063" s="27">
        <v>0.84236111111111101</v>
      </c>
      <c r="J6063" s="30">
        <f>IF(G6063&lt;$H$10,$H$16,IF(G6063&gt;$I$10,$H$16,$H$11))*E6063/600</f>
        <v>6.0669400000000007E-3</v>
      </c>
      <c r="L6063" s="32">
        <f>$J6063*($G6063-$G6062)*60*24</f>
        <v>6.0669399999990093E-3</v>
      </c>
    </row>
    <row r="6064" spans="1:12">
      <c r="A6064" s="22">
        <v>40314.843055555553</v>
      </c>
      <c r="E6064" s="26">
        <v>18.267612</v>
      </c>
      <c r="G6064" s="27">
        <v>0.84305555555555556</v>
      </c>
      <c r="J6064" s="30">
        <f>IF(G6064&lt;$H$10,$H$16,IF(G6064&gt;$I$10,$H$16,$H$11))*E6064/600</f>
        <v>6.089204E-3</v>
      </c>
      <c r="L6064" s="32">
        <f>$J6064*($G6064-$G6063)*60*24</f>
        <v>6.0892040000009515E-3</v>
      </c>
    </row>
    <row r="6065" spans="1:12">
      <c r="A6065" s="22">
        <v>40314.84375</v>
      </c>
      <c r="E6065" s="26">
        <v>18.250914000000002</v>
      </c>
      <c r="G6065" s="27">
        <v>0.84375</v>
      </c>
      <c r="J6065" s="30">
        <f>IF(G6065&lt;$H$10,$H$16,IF(G6065&gt;$I$10,$H$16,$H$11))*E6065/600</f>
        <v>6.0836380000000006E-3</v>
      </c>
      <c r="L6065" s="32">
        <f>$J6065*($G6065-$G6064)*60*24</f>
        <v>6.0836379999999798E-3</v>
      </c>
    </row>
    <row r="6066" spans="1:12">
      <c r="A6066" s="22">
        <v>40314.844444444447</v>
      </c>
      <c r="E6066" s="26">
        <v>17.960840000000001</v>
      </c>
      <c r="G6066" s="27">
        <v>0.84444444444444444</v>
      </c>
      <c r="J6066" s="30">
        <f>IF(G6066&lt;$H$10,$H$16,IF(G6066&gt;$I$10,$H$16,$H$11))*E6066/600</f>
        <v>5.9869466666666671E-3</v>
      </c>
      <c r="L6066" s="32">
        <f>$J6066*($G6066-$G6065)*60*24</f>
        <v>5.9869466666666454E-3</v>
      </c>
    </row>
    <row r="6067" spans="1:12">
      <c r="A6067" s="22">
        <v>40314.845138888886</v>
      </c>
      <c r="E6067" s="26">
        <v>18.002320000000001</v>
      </c>
      <c r="G6067" s="27">
        <v>0.84513888888888899</v>
      </c>
      <c r="J6067" s="30">
        <f>IF(G6067&lt;$H$10,$H$16,IF(G6067&gt;$I$10,$H$16,$H$11))*E6067/600</f>
        <v>6.0007733333333341E-3</v>
      </c>
      <c r="L6067" s="32">
        <f>$J6067*($G6067-$G6066)*60*24</f>
        <v>6.0007733333342726E-3</v>
      </c>
    </row>
    <row r="6068" spans="1:12">
      <c r="A6068" s="22">
        <v>40314.845833333333</v>
      </c>
      <c r="E6068" s="26">
        <v>18.418583999999999</v>
      </c>
      <c r="G6068" s="27">
        <v>0.84583333333333333</v>
      </c>
      <c r="J6068" s="30">
        <f>IF(G6068&lt;$H$10,$H$16,IF(G6068&gt;$I$10,$H$16,$H$11))*E6068/600</f>
        <v>6.139528E-3</v>
      </c>
      <c r="L6068" s="32">
        <f>$J6068*($G6068-$G6067)*60*24</f>
        <v>6.1395279999989973E-3</v>
      </c>
    </row>
    <row r="6069" spans="1:12">
      <c r="A6069" s="22">
        <v>40314.84652777778</v>
      </c>
      <c r="E6069" s="26">
        <v>18.085280000000001</v>
      </c>
      <c r="G6069" s="27">
        <v>0.84652777777777777</v>
      </c>
      <c r="J6069" s="30">
        <f>IF(G6069&lt;$H$10,$H$16,IF(G6069&gt;$I$10,$H$16,$H$11))*E6069/600</f>
        <v>6.0284266666666671E-3</v>
      </c>
      <c r="L6069" s="32">
        <f>$J6069*($G6069-$G6068)*60*24</f>
        <v>6.0284266666666463E-3</v>
      </c>
    </row>
    <row r="6070" spans="1:12">
      <c r="A6070" s="22">
        <v>40314.847222222219</v>
      </c>
      <c r="E6070" s="26">
        <v>18.326055</v>
      </c>
      <c r="G6070" s="27">
        <v>0.84722222222222221</v>
      </c>
      <c r="J6070" s="30">
        <f>IF(G6070&lt;$H$10,$H$16,IF(G6070&gt;$I$10,$H$16,$H$11))*E6070/600</f>
        <v>6.108685E-3</v>
      </c>
      <c r="L6070" s="32">
        <f>$J6070*($G6070-$G6069)*60*24</f>
        <v>6.1086849999999792E-3</v>
      </c>
    </row>
    <row r="6071" spans="1:12">
      <c r="A6071" s="22">
        <v>40314.847916666666</v>
      </c>
      <c r="E6071" s="26">
        <v>18.174600000000002</v>
      </c>
      <c r="G6071" s="27">
        <v>0.84791666666666676</v>
      </c>
      <c r="J6071" s="30">
        <f>IF(G6071&lt;$H$10,$H$16,IF(G6071&gt;$I$10,$H$16,$H$11))*E6071/600</f>
        <v>6.0582000000000006E-3</v>
      </c>
      <c r="L6071" s="32">
        <f>$J6071*($G6071-$G6070)*60*24</f>
        <v>6.0582000000009477E-3</v>
      </c>
    </row>
    <row r="6072" spans="1:12">
      <c r="A6072" s="22">
        <v>40314.848611111112</v>
      </c>
      <c r="E6072" s="26">
        <v>18.257400000000001</v>
      </c>
      <c r="G6072" s="27">
        <v>0.84861111111111109</v>
      </c>
      <c r="J6072" s="30">
        <f>IF(G6072&lt;$H$10,$H$16,IF(G6072&gt;$I$10,$H$16,$H$11))*E6072/600</f>
        <v>6.0858000000000006E-3</v>
      </c>
      <c r="L6072" s="32">
        <f>$J6072*($G6072-$G6071)*60*24</f>
        <v>6.0857999999990066E-3</v>
      </c>
    </row>
    <row r="6073" spans="1:12">
      <c r="A6073" s="22">
        <v>40314.849305555559</v>
      </c>
      <c r="E6073" s="26">
        <v>18.521999999999998</v>
      </c>
      <c r="G6073" s="27">
        <v>0.84930555555555554</v>
      </c>
      <c r="J6073" s="30">
        <f>IF(G6073&lt;$H$10,$H$16,IF(G6073&gt;$I$10,$H$16,$H$11))*E6073/600</f>
        <v>6.1739999999999998E-3</v>
      </c>
      <c r="L6073" s="32">
        <f>$J6073*($G6073-$G6072)*60*24</f>
        <v>6.1739999999999781E-3</v>
      </c>
    </row>
    <row r="6074" spans="1:12">
      <c r="A6074" s="22">
        <v>40314.85</v>
      </c>
      <c r="E6074" s="26">
        <v>18.290520000000001</v>
      </c>
      <c r="G6074" s="27">
        <v>0.85</v>
      </c>
      <c r="J6074" s="30">
        <f>IF(G6074&lt;$H$10,$H$16,IF(G6074&gt;$I$10,$H$16,$H$11))*E6074/600</f>
        <v>6.0968400000000001E-3</v>
      </c>
      <c r="L6074" s="32">
        <f>$J6074*($G6074-$G6073)*60*24</f>
        <v>6.0968399999999784E-3</v>
      </c>
    </row>
    <row r="6075" spans="1:12">
      <c r="A6075" s="22">
        <v>40314.850694444445</v>
      </c>
      <c r="E6075" s="26">
        <v>18.282240000000002</v>
      </c>
      <c r="G6075" s="27">
        <v>0.85069444444444453</v>
      </c>
      <c r="J6075" s="30">
        <f>IF(G6075&lt;$H$10,$H$16,IF(G6075&gt;$I$10,$H$16,$H$11))*E6075/600</f>
        <v>6.0940800000000009E-3</v>
      </c>
      <c r="L6075" s="32">
        <f>$J6075*($G6075-$G6074)*60*24</f>
        <v>6.0940800000009532E-3</v>
      </c>
    </row>
    <row r="6076" spans="1:12">
      <c r="A6076" s="22">
        <v>40314.851388888892</v>
      </c>
      <c r="E6076" s="26">
        <v>18.389880000000002</v>
      </c>
      <c r="G6076" s="27">
        <v>0.85138888888888886</v>
      </c>
      <c r="J6076" s="30">
        <f>IF(G6076&lt;$H$10,$H$16,IF(G6076&gt;$I$10,$H$16,$H$11))*E6076/600</f>
        <v>6.1299600000000011E-3</v>
      </c>
      <c r="L6076" s="32">
        <f>$J6076*($G6076-$G6075)*60*24</f>
        <v>6.1299599999989993E-3</v>
      </c>
    </row>
    <row r="6077" spans="1:12">
      <c r="A6077" s="22">
        <v>40314.852083333331</v>
      </c>
      <c r="E6077" s="26">
        <v>18.505800000000001</v>
      </c>
      <c r="G6077" s="27">
        <v>0.8520833333333333</v>
      </c>
      <c r="J6077" s="30">
        <f>IF(G6077&lt;$H$10,$H$16,IF(G6077&gt;$I$10,$H$16,$H$11))*E6077/600</f>
        <v>6.1686000000000006E-3</v>
      </c>
      <c r="L6077" s="32">
        <f>$J6077*($G6077-$G6076)*60*24</f>
        <v>6.168599999999979E-3</v>
      </c>
    </row>
    <row r="6078" spans="1:12">
      <c r="A6078" s="22">
        <v>40314.852777777778</v>
      </c>
      <c r="E6078" s="26">
        <v>18.284383999999999</v>
      </c>
      <c r="G6078" s="27">
        <v>0.85277777777777775</v>
      </c>
      <c r="J6078" s="30">
        <f>IF(G6078&lt;$H$10,$H$16,IF(G6078&gt;$I$10,$H$16,$H$11))*E6078/600</f>
        <v>6.0947946666666669E-3</v>
      </c>
      <c r="L6078" s="32">
        <f>$J6078*($G6078-$G6077)*60*24</f>
        <v>6.0947946666666461E-3</v>
      </c>
    </row>
    <row r="6079" spans="1:12">
      <c r="A6079" s="22">
        <v>40314.853472222225</v>
      </c>
      <c r="E6079" s="26">
        <v>18.4008</v>
      </c>
      <c r="G6079" s="27">
        <v>0.8534722222222223</v>
      </c>
      <c r="J6079" s="30">
        <f>IF(G6079&lt;$H$10,$H$16,IF(G6079&gt;$I$10,$H$16,$H$11))*E6079/600</f>
        <v>6.1336000000000003E-3</v>
      </c>
      <c r="L6079" s="32">
        <f>$J6079*($G6079-$G6078)*60*24</f>
        <v>6.1336000000009588E-3</v>
      </c>
    </row>
    <row r="6080" spans="1:12">
      <c r="A6080" s="22">
        <v>40314.854166666664</v>
      </c>
      <c r="E6080" s="26">
        <v>15.88104</v>
      </c>
      <c r="G6080" s="27">
        <v>0.85416666666666663</v>
      </c>
      <c r="J6080" s="30">
        <f>IF(G6080&lt;$H$10,$H$16,IF(G6080&gt;$I$10,$H$16,$H$11))*E6080/600</f>
        <v>5.2936800000000003E-3</v>
      </c>
      <c r="L6080" s="32">
        <f>$J6080*($G6080-$G6079)*60*24</f>
        <v>5.2936799999991346E-3</v>
      </c>
    </row>
    <row r="6081" spans="1:12">
      <c r="A6081" s="22">
        <v>40314.854861111111</v>
      </c>
      <c r="E6081" s="26">
        <v>15.023034000000001</v>
      </c>
      <c r="G6081" s="27">
        <v>0.85486111111111107</v>
      </c>
      <c r="J6081" s="30">
        <f>IF(G6081&lt;$H$10,$H$16,IF(G6081&gt;$I$10,$H$16,$H$11))*E6081/600</f>
        <v>5.0076780000000006E-3</v>
      </c>
      <c r="L6081" s="32">
        <f>$J6081*($G6081-$G6080)*60*24</f>
        <v>5.0076779999999824E-3</v>
      </c>
    </row>
    <row r="6082" spans="1:12">
      <c r="A6082" s="22">
        <v>40314.855555555558</v>
      </c>
      <c r="E6082" s="26">
        <v>14.905296</v>
      </c>
      <c r="G6082" s="27">
        <v>0.85555555555555562</v>
      </c>
      <c r="J6082" s="30">
        <f>IF(G6082&lt;$H$10,$H$16,IF(G6082&gt;$I$10,$H$16,$H$11))*E6082/600</f>
        <v>4.9684320000000001E-3</v>
      </c>
      <c r="L6082" s="32">
        <f>$J6082*($G6082-$G6081)*60*24</f>
        <v>4.9684320000007772E-3</v>
      </c>
    </row>
    <row r="6083" spans="1:12">
      <c r="A6083" s="22">
        <v>40314.856249999997</v>
      </c>
      <c r="E6083" s="26">
        <v>14.704416</v>
      </c>
      <c r="G6083" s="27">
        <v>0.85625000000000007</v>
      </c>
      <c r="J6083" s="30">
        <f>IF(G6083&lt;$H$10,$H$16,IF(G6083&gt;$I$10,$H$16,$H$11))*E6083/600</f>
        <v>4.9014720000000005E-3</v>
      </c>
      <c r="L6083" s="32">
        <f>$J6083*($G6083-$G6082)*60*24</f>
        <v>4.9014719999999831E-3</v>
      </c>
    </row>
    <row r="6084" spans="1:12">
      <c r="A6084" s="22">
        <v>40314.856944444444</v>
      </c>
      <c r="E6084" s="26">
        <v>14.904351</v>
      </c>
      <c r="G6084" s="27">
        <v>0.8569444444444444</v>
      </c>
      <c r="J6084" s="30">
        <f>IF(G6084&lt;$H$10,$H$16,IF(G6084&gt;$I$10,$H$16,$H$11))*E6084/600</f>
        <v>4.9681170000000002E-3</v>
      </c>
      <c r="L6084" s="32">
        <f>$J6084*($G6084-$G6083)*60*24</f>
        <v>4.9681169999991892E-3</v>
      </c>
    </row>
    <row r="6085" spans="1:12">
      <c r="A6085" s="22">
        <v>40314.857638888891</v>
      </c>
      <c r="E6085" s="26">
        <v>14.588165999999999</v>
      </c>
      <c r="G6085" s="27">
        <v>0.85763888888888884</v>
      </c>
      <c r="J6085" s="30">
        <f>IF(G6085&lt;$H$10,$H$16,IF(G6085&gt;$I$10,$H$16,$H$11))*E6085/600</f>
        <v>4.8627219999999999E-3</v>
      </c>
      <c r="L6085" s="32">
        <f>$J6085*($G6085-$G6084)*60*24</f>
        <v>4.8627219999999825E-3</v>
      </c>
    </row>
    <row r="6086" spans="1:12">
      <c r="A6086" s="22">
        <v>40314.85833333333</v>
      </c>
      <c r="E6086" s="26">
        <v>14.89761</v>
      </c>
      <c r="G6086" s="27">
        <v>0.85833333333333339</v>
      </c>
      <c r="J6086" s="30">
        <f>IF(G6086&lt;$H$10,$H$16,IF(G6086&gt;$I$10,$H$16,$H$11))*E6086/600</f>
        <v>4.9658700000000007E-3</v>
      </c>
      <c r="L6086" s="32">
        <f>$J6086*($G6086-$G6085)*60*24</f>
        <v>4.9658700000007779E-3</v>
      </c>
    </row>
    <row r="6087" spans="1:12">
      <c r="A6087" s="22">
        <v>40314.859027777777</v>
      </c>
      <c r="E6087" s="26">
        <v>14.798448</v>
      </c>
      <c r="G6087" s="27">
        <v>0.85902777777777783</v>
      </c>
      <c r="J6087" s="30">
        <f>IF(G6087&lt;$H$10,$H$16,IF(G6087&gt;$I$10,$H$16,$H$11))*E6087/600</f>
        <v>4.9328160000000005E-3</v>
      </c>
      <c r="L6087" s="32">
        <f>$J6087*($G6087-$G6086)*60*24</f>
        <v>4.9328159999999831E-3</v>
      </c>
    </row>
    <row r="6088" spans="1:12">
      <c r="A6088" s="22">
        <v>40314.859722222223</v>
      </c>
      <c r="E6088" s="26">
        <v>14.924574</v>
      </c>
      <c r="G6088" s="27">
        <v>0.85972222222222217</v>
      </c>
      <c r="J6088" s="30">
        <f>IF(G6088&lt;$H$10,$H$16,IF(G6088&gt;$I$10,$H$16,$H$11))*E6088/600</f>
        <v>4.9748580000000004E-3</v>
      </c>
      <c r="L6088" s="32">
        <f>$J6088*($G6088-$G6087)*60*24</f>
        <v>4.9748579999991868E-3</v>
      </c>
    </row>
    <row r="6089" spans="1:12">
      <c r="A6089" s="22">
        <v>40314.86041666667</v>
      </c>
      <c r="E6089" s="26">
        <v>14.72499</v>
      </c>
      <c r="G6089" s="27">
        <v>0.86041666666666661</v>
      </c>
      <c r="J6089" s="30">
        <f>IF(G6089&lt;$H$10,$H$16,IF(G6089&gt;$I$10,$H$16,$H$11))*E6089/600</f>
        <v>4.9083299999999998E-3</v>
      </c>
      <c r="L6089" s="32">
        <f>$J6089*($G6089-$G6088)*60*24</f>
        <v>4.9083299999999825E-3</v>
      </c>
    </row>
    <row r="6090" spans="1:12">
      <c r="A6090" s="22">
        <v>40314.861111111109</v>
      </c>
      <c r="E6090" s="26">
        <v>14.745024000000001</v>
      </c>
      <c r="G6090" s="27">
        <v>0.86111111111111116</v>
      </c>
      <c r="J6090" s="30">
        <f>IF(G6090&lt;$H$10,$H$16,IF(G6090&gt;$I$10,$H$16,$H$11))*E6090/600</f>
        <v>4.9150080000000011E-3</v>
      </c>
      <c r="L6090" s="32">
        <f>$J6090*($G6090-$G6089)*60*24</f>
        <v>4.9150080000007696E-3</v>
      </c>
    </row>
    <row r="6091" spans="1:12">
      <c r="A6091" s="22">
        <v>40314.861805555556</v>
      </c>
      <c r="E6091" s="26">
        <v>15.11328</v>
      </c>
      <c r="G6091" s="27">
        <v>0.8618055555555556</v>
      </c>
      <c r="J6091" s="30">
        <f>IF(G6091&lt;$H$10,$H$16,IF(G6091&gt;$I$10,$H$16,$H$11))*E6091/600</f>
        <v>5.0377599999999996E-3</v>
      </c>
      <c r="L6091" s="32">
        <f>$J6091*($G6091-$G6090)*60*24</f>
        <v>5.0377599999999823E-3</v>
      </c>
    </row>
    <row r="6092" spans="1:12">
      <c r="A6092" s="22">
        <v>40314.862500000003</v>
      </c>
      <c r="E6092" s="26">
        <v>15.16032</v>
      </c>
      <c r="G6092" s="27">
        <v>0.86249999999999993</v>
      </c>
      <c r="J6092" s="30">
        <f>IF(G6092&lt;$H$10,$H$16,IF(G6092&gt;$I$10,$H$16,$H$11))*E6092/600</f>
        <v>5.0534400000000002E-3</v>
      </c>
      <c r="L6092" s="32">
        <f>$J6092*($G6092-$G6091)*60*24</f>
        <v>5.0534399999991745E-3</v>
      </c>
    </row>
    <row r="6093" spans="1:12">
      <c r="A6093" s="22">
        <v>40314.863194444442</v>
      </c>
      <c r="E6093" s="26">
        <v>14.985431999999999</v>
      </c>
      <c r="G6093" s="27">
        <v>0.86319444444444438</v>
      </c>
      <c r="J6093" s="30">
        <f>IF(G6093&lt;$H$10,$H$16,IF(G6093&gt;$I$10,$H$16,$H$11))*E6093/600</f>
        <v>4.995144E-3</v>
      </c>
      <c r="L6093" s="32">
        <f>$J6093*($G6093-$G6092)*60*24</f>
        <v>4.9951439999999826E-3</v>
      </c>
    </row>
    <row r="6094" spans="1:12">
      <c r="A6094" s="22">
        <v>40314.863888888889</v>
      </c>
      <c r="E6094" s="26">
        <v>15.270784000000001</v>
      </c>
      <c r="G6094" s="27">
        <v>0.86388888888888893</v>
      </c>
      <c r="J6094" s="30">
        <f>IF(G6094&lt;$H$10,$H$16,IF(G6094&gt;$I$10,$H$16,$H$11))*E6094/600</f>
        <v>5.0902613333333336E-3</v>
      </c>
      <c r="L6094" s="32">
        <f>$J6094*($G6094-$G6093)*60*24</f>
        <v>5.090261333334129E-3</v>
      </c>
    </row>
    <row r="6095" spans="1:12">
      <c r="A6095" s="22">
        <v>40314.864583333336</v>
      </c>
      <c r="E6095" s="26">
        <v>15.19392</v>
      </c>
      <c r="G6095" s="27">
        <v>0.86458333333333337</v>
      </c>
      <c r="J6095" s="30">
        <f>IF(G6095&lt;$H$10,$H$16,IF(G6095&gt;$I$10,$H$16,$H$11))*E6095/600</f>
        <v>5.0646400000000005E-3</v>
      </c>
      <c r="L6095" s="32">
        <f>$J6095*($G6095-$G6094)*60*24</f>
        <v>5.0646399999999831E-3</v>
      </c>
    </row>
    <row r="6096" spans="1:12">
      <c r="A6096" s="22">
        <v>40314.865277777775</v>
      </c>
      <c r="E6096" s="26">
        <v>15.19392</v>
      </c>
      <c r="G6096" s="27">
        <v>0.8652777777777777</v>
      </c>
      <c r="J6096" s="30">
        <f>IF(G6096&lt;$H$10,$H$16,IF(G6096&gt;$I$10,$H$16,$H$11))*E6096/600</f>
        <v>5.0646400000000005E-3</v>
      </c>
      <c r="L6096" s="32">
        <f>$J6096*($G6096-$G6095)*60*24</f>
        <v>5.064639999999173E-3</v>
      </c>
    </row>
    <row r="6097" spans="1:12">
      <c r="A6097" s="22">
        <v>40314.865972222222</v>
      </c>
      <c r="E6097" s="26">
        <v>15.20736</v>
      </c>
      <c r="G6097" s="27">
        <v>0.86597222222222225</v>
      </c>
      <c r="J6097" s="30">
        <f>IF(G6097&lt;$H$10,$H$16,IF(G6097&gt;$I$10,$H$16,$H$11))*E6097/600</f>
        <v>5.0691199999999999E-3</v>
      </c>
      <c r="L6097" s="32">
        <f>$J6097*($G6097-$G6096)*60*24</f>
        <v>5.0691200000007918E-3</v>
      </c>
    </row>
    <row r="6098" spans="1:12">
      <c r="A6098" s="22">
        <v>40314.866666666669</v>
      </c>
      <c r="E6098" s="26">
        <v>15.33184</v>
      </c>
      <c r="G6098" s="27">
        <v>0.8666666666666667</v>
      </c>
      <c r="J6098" s="30">
        <f>IF(G6098&lt;$H$10,$H$16,IF(G6098&gt;$I$10,$H$16,$H$11))*E6098/600</f>
        <v>5.110613333333334E-3</v>
      </c>
      <c r="L6098" s="32">
        <f>$J6098*($G6098-$G6097)*60*24</f>
        <v>5.1106133333333158E-3</v>
      </c>
    </row>
    <row r="6099" spans="1:12">
      <c r="A6099" s="22">
        <v>40314.867361111108</v>
      </c>
      <c r="E6099" s="26">
        <v>15.263999999999999</v>
      </c>
      <c r="G6099" s="27">
        <v>0.86736111111111114</v>
      </c>
      <c r="J6099" s="30">
        <f>IF(G6099&lt;$H$10,$H$16,IF(G6099&gt;$I$10,$H$16,$H$11))*E6099/600</f>
        <v>5.0879999999999996E-3</v>
      </c>
      <c r="L6099" s="32">
        <f>$J6099*($G6099-$G6098)*60*24</f>
        <v>5.0879999999999814E-3</v>
      </c>
    </row>
    <row r="6100" spans="1:12">
      <c r="A6100" s="22">
        <v>40314.868055555555</v>
      </c>
      <c r="E6100" s="26">
        <v>15.20736</v>
      </c>
      <c r="G6100" s="27">
        <v>0.86805555555555547</v>
      </c>
      <c r="J6100" s="30">
        <f>IF(G6100&lt;$H$10,$H$16,IF(G6100&gt;$I$10,$H$16,$H$11))*E6100/600</f>
        <v>5.0691199999999999E-3</v>
      </c>
      <c r="L6100" s="32">
        <f>$J6100*($G6100-$G6099)*60*24</f>
        <v>5.0691199999991715E-3</v>
      </c>
    </row>
    <row r="6101" spans="1:12">
      <c r="A6101" s="22">
        <v>40314.868750000001</v>
      </c>
      <c r="E6101" s="26">
        <v>15.20064</v>
      </c>
      <c r="G6101" s="27">
        <v>0.86875000000000002</v>
      </c>
      <c r="J6101" s="30">
        <f>IF(G6101&lt;$H$10,$H$16,IF(G6101&gt;$I$10,$H$16,$H$11))*E6101/600</f>
        <v>5.0668800000000002E-3</v>
      </c>
      <c r="L6101" s="32">
        <f>$J6101*($G6101-$G6100)*60*24</f>
        <v>5.0668800000007921E-3</v>
      </c>
    </row>
    <row r="6102" spans="1:12">
      <c r="A6102" s="22">
        <v>40314.869444444441</v>
      </c>
      <c r="E6102" s="26">
        <v>15.284352</v>
      </c>
      <c r="G6102" s="27">
        <v>0.86944444444444446</v>
      </c>
      <c r="J6102" s="30">
        <f>IF(G6102&lt;$H$10,$H$16,IF(G6102&gt;$I$10,$H$16,$H$11))*E6102/600</f>
        <v>5.0947840000000006E-3</v>
      </c>
      <c r="L6102" s="32">
        <f>$J6102*($G6102-$G6101)*60*24</f>
        <v>5.0947839999999824E-3</v>
      </c>
    </row>
    <row r="6103" spans="1:12">
      <c r="A6103" s="22">
        <v>40314.870138888888</v>
      </c>
      <c r="E6103" s="26">
        <v>15.33184</v>
      </c>
      <c r="G6103" s="27">
        <v>0.87013888888888891</v>
      </c>
      <c r="J6103" s="30">
        <f>IF(G6103&lt;$H$10,$H$16,IF(G6103&gt;$I$10,$H$16,$H$11))*E6103/600</f>
        <v>5.110613333333334E-3</v>
      </c>
      <c r="L6103" s="32">
        <f>$J6103*($G6103-$G6102)*60*24</f>
        <v>5.1106133333333158E-3</v>
      </c>
    </row>
    <row r="6104" spans="1:12">
      <c r="A6104" s="22">
        <v>40314.870833333334</v>
      </c>
      <c r="E6104" s="26">
        <v>15.301439999999999</v>
      </c>
      <c r="G6104" s="27">
        <v>0.87083333333333324</v>
      </c>
      <c r="J6104" s="30">
        <f>IF(G6104&lt;$H$10,$H$16,IF(G6104&gt;$I$10,$H$16,$H$11))*E6104/600</f>
        <v>5.1004800000000001E-3</v>
      </c>
      <c r="L6104" s="32">
        <f>$J6104*($G6104-$G6103)*60*24</f>
        <v>5.1004799999991666E-3</v>
      </c>
    </row>
    <row r="6105" spans="1:12">
      <c r="A6105" s="22">
        <v>40314.871527777781</v>
      </c>
      <c r="E6105" s="26">
        <v>15.3216</v>
      </c>
      <c r="G6105" s="27">
        <v>0.87152777777777779</v>
      </c>
      <c r="J6105" s="30">
        <f>IF(G6105&lt;$H$10,$H$16,IF(G6105&gt;$I$10,$H$16,$H$11))*E6105/600</f>
        <v>5.107200000000001E-3</v>
      </c>
      <c r="L6105" s="32">
        <f>$J6105*($G6105-$G6104)*60*24</f>
        <v>5.1072000000007989E-3</v>
      </c>
    </row>
    <row r="6106" spans="1:12">
      <c r="A6106" s="22">
        <v>40314.87222222222</v>
      </c>
      <c r="E6106" s="26">
        <v>15.392896</v>
      </c>
      <c r="G6106" s="27">
        <v>0.87222222222222223</v>
      </c>
      <c r="J6106" s="30">
        <f>IF(G6106&lt;$H$10,$H$16,IF(G6106&gt;$I$10,$H$16,$H$11))*E6106/600</f>
        <v>5.1309653333333335E-3</v>
      </c>
      <c r="L6106" s="32">
        <f>$J6106*($G6106-$G6105)*60*24</f>
        <v>5.1309653333333153E-3</v>
      </c>
    </row>
    <row r="6107" spans="1:12">
      <c r="A6107" s="22">
        <v>40314.872916666667</v>
      </c>
      <c r="E6107" s="26">
        <v>15.36576</v>
      </c>
      <c r="G6107" s="27">
        <v>0.87291666666666667</v>
      </c>
      <c r="J6107" s="30">
        <f>IF(G6107&lt;$H$10,$H$16,IF(G6107&gt;$I$10,$H$16,$H$11))*E6107/600</f>
        <v>5.1219200000000003E-3</v>
      </c>
      <c r="L6107" s="32">
        <f>$J6107*($G6107-$G6106)*60*24</f>
        <v>5.1219199999999821E-3</v>
      </c>
    </row>
    <row r="6108" spans="1:12">
      <c r="A6108" s="22">
        <v>40314.873611111114</v>
      </c>
      <c r="E6108" s="26">
        <v>15.288</v>
      </c>
      <c r="G6108" s="27">
        <v>0.87361111111111101</v>
      </c>
      <c r="J6108" s="30">
        <f>IF(G6108&lt;$H$10,$H$16,IF(G6108&gt;$I$10,$H$16,$H$11))*E6108/600</f>
        <v>5.0960000000000007E-3</v>
      </c>
      <c r="L6108" s="32">
        <f>$J6108*($G6108-$G6107)*60*24</f>
        <v>5.095999999999168E-3</v>
      </c>
    </row>
    <row r="6109" spans="1:12">
      <c r="A6109" s="22">
        <v>40314.874305555553</v>
      </c>
      <c r="E6109" s="26">
        <v>15.29472</v>
      </c>
      <c r="G6109" s="27">
        <v>0.87430555555555556</v>
      </c>
      <c r="J6109" s="30">
        <f>IF(G6109&lt;$H$10,$H$16,IF(G6109&gt;$I$10,$H$16,$H$11))*E6109/600</f>
        <v>5.0982400000000004E-3</v>
      </c>
      <c r="L6109" s="32">
        <f>$J6109*($G6109-$G6108)*60*24</f>
        <v>5.0982400000007984E-3</v>
      </c>
    </row>
    <row r="6110" spans="1:12">
      <c r="A6110" s="22">
        <v>40314.875</v>
      </c>
      <c r="E6110" s="26">
        <v>15.372544</v>
      </c>
      <c r="G6110" s="27">
        <v>0.875</v>
      </c>
      <c r="J6110" s="30">
        <f>IF(G6110&lt;$H$10,$H$16,IF(G6110&gt;$I$10,$H$16,$H$11))*E6110/600</f>
        <v>5.1241813333333334E-3</v>
      </c>
      <c r="L6110" s="32">
        <f>$J6110*($G6110-$G6109)*60*24</f>
        <v>5.1241813333333152E-3</v>
      </c>
    </row>
    <row r="6111" spans="1:12">
      <c r="A6111" s="22">
        <v>40314.875694444447</v>
      </c>
      <c r="E6111" s="26">
        <v>15.018948</v>
      </c>
      <c r="G6111" s="27">
        <v>0.87569444444444444</v>
      </c>
      <c r="J6111" s="30">
        <f>IF(G6111&lt;$H$10,$H$16,IF(G6111&gt;$I$10,$H$16,$H$11))*E6111/600</f>
        <v>5.0063160000000002E-3</v>
      </c>
      <c r="L6111" s="32">
        <f>$J6111*($G6111-$G6110)*60*24</f>
        <v>5.0063159999999829E-3</v>
      </c>
    </row>
    <row r="6112" spans="1:12">
      <c r="A6112" s="22">
        <v>40314.876388888886</v>
      </c>
      <c r="E6112" s="26">
        <v>14.985243000000001</v>
      </c>
      <c r="G6112" s="27">
        <v>0.87638888888888899</v>
      </c>
      <c r="J6112" s="30">
        <f>IF(G6112&lt;$H$10,$H$16,IF(G6112&gt;$I$10,$H$16,$H$11))*E6112/600</f>
        <v>4.9950810000000002E-3</v>
      </c>
      <c r="L6112" s="32">
        <f>$J6112*($G6112-$G6111)*60*24</f>
        <v>4.9950810000007808E-3</v>
      </c>
    </row>
    <row r="6113" spans="1:12">
      <c r="A6113" s="22">
        <v>40314.877083333333</v>
      </c>
      <c r="E6113" s="26">
        <v>14.991984</v>
      </c>
      <c r="G6113" s="27">
        <v>0.87708333333333333</v>
      </c>
      <c r="J6113" s="30">
        <f>IF(G6113&lt;$H$10,$H$16,IF(G6113&gt;$I$10,$H$16,$H$11))*E6113/600</f>
        <v>4.9973280000000005E-3</v>
      </c>
      <c r="L6113" s="32">
        <f>$J6113*($G6113-$G6112)*60*24</f>
        <v>4.9973279999991835E-3</v>
      </c>
    </row>
    <row r="6114" spans="1:12">
      <c r="A6114" s="22">
        <v>40314.87777777778</v>
      </c>
      <c r="E6114" s="26">
        <v>14.99211</v>
      </c>
      <c r="G6114" s="27">
        <v>0.87777777777777777</v>
      </c>
      <c r="J6114" s="30">
        <f>IF(G6114&lt;$H$10,$H$16,IF(G6114&gt;$I$10,$H$16,$H$11))*E6114/600</f>
        <v>4.9973700000000001E-3</v>
      </c>
      <c r="L6114" s="32">
        <f>$J6114*($G6114-$G6113)*60*24</f>
        <v>4.9973699999999819E-3</v>
      </c>
    </row>
    <row r="6115" spans="1:12">
      <c r="A6115" s="22">
        <v>40314.878472222219</v>
      </c>
      <c r="E6115" s="26">
        <v>14.904351</v>
      </c>
      <c r="G6115" s="27">
        <v>0.87847222222222221</v>
      </c>
      <c r="J6115" s="30">
        <f>IF(G6115&lt;$H$10,$H$16,IF(G6115&gt;$I$10,$H$16,$H$11))*E6115/600</f>
        <v>4.9681170000000002E-3</v>
      </c>
      <c r="L6115" s="32">
        <f>$J6115*($G6115-$G6114)*60*24</f>
        <v>4.968116999999982E-3</v>
      </c>
    </row>
    <row r="6116" spans="1:12">
      <c r="A6116" s="22">
        <v>40314.879166666666</v>
      </c>
      <c r="E6116" s="26">
        <v>14.63076</v>
      </c>
      <c r="G6116" s="27">
        <v>0.87916666666666676</v>
      </c>
      <c r="J6116" s="30">
        <f>IF(G6116&lt;$H$10,$H$16,IF(G6116&gt;$I$10,$H$16,$H$11))*E6116/600</f>
        <v>4.8769199999999999E-3</v>
      </c>
      <c r="L6116" s="32">
        <f>$J6116*($G6116-$G6115)*60*24</f>
        <v>4.8769200000007614E-3</v>
      </c>
    </row>
    <row r="6117" spans="1:12">
      <c r="A6117" s="22">
        <v>40314.879861111112</v>
      </c>
      <c r="E6117" s="26">
        <v>14.717808</v>
      </c>
      <c r="G6117" s="27">
        <v>0.87986111111111109</v>
      </c>
      <c r="J6117" s="30">
        <f>IF(G6117&lt;$H$10,$H$16,IF(G6117&gt;$I$10,$H$16,$H$11))*E6117/600</f>
        <v>4.9059360000000005E-3</v>
      </c>
      <c r="L6117" s="32">
        <f>$J6117*($G6117-$G6116)*60*24</f>
        <v>4.9059359999991991E-3</v>
      </c>
    </row>
    <row r="6118" spans="1:12">
      <c r="A6118" s="22">
        <v>40314.880555555559</v>
      </c>
      <c r="E6118" s="26">
        <v>14.759472000000001</v>
      </c>
      <c r="G6118" s="27">
        <v>0.88055555555555554</v>
      </c>
      <c r="J6118" s="30">
        <f>IF(G6118&lt;$H$10,$H$16,IF(G6118&gt;$I$10,$H$16,$H$11))*E6118/600</f>
        <v>4.9198240000000006E-3</v>
      </c>
      <c r="L6118" s="32">
        <f>$J6118*($G6118-$G6117)*60*24</f>
        <v>4.9198239999999832E-3</v>
      </c>
    </row>
    <row r="6119" spans="1:12">
      <c r="A6119" s="22">
        <v>40314.881249999999</v>
      </c>
      <c r="E6119" s="26">
        <v>14.863905000000001</v>
      </c>
      <c r="G6119" s="27">
        <v>0.88124999999999998</v>
      </c>
      <c r="J6119" s="30">
        <f>IF(G6119&lt;$H$10,$H$16,IF(G6119&gt;$I$10,$H$16,$H$11))*E6119/600</f>
        <v>4.9546350000000006E-3</v>
      </c>
      <c r="L6119" s="32">
        <f>$J6119*($G6119-$G6118)*60*24</f>
        <v>4.9546349999999833E-3</v>
      </c>
    </row>
    <row r="6120" spans="1:12">
      <c r="A6120" s="22">
        <v>40314.881944444445</v>
      </c>
      <c r="E6120" s="26">
        <v>14.59728</v>
      </c>
      <c r="G6120" s="27">
        <v>0.88194444444444453</v>
      </c>
      <c r="J6120" s="30">
        <f>IF(G6120&lt;$H$10,$H$16,IF(G6120&gt;$I$10,$H$16,$H$11))*E6120/600</f>
        <v>4.8657600000000002E-3</v>
      </c>
      <c r="L6120" s="32">
        <f>$J6120*($G6120-$G6119)*60*24</f>
        <v>4.86576000000076E-3</v>
      </c>
    </row>
    <row r="6121" spans="1:12">
      <c r="A6121" s="22">
        <v>40314.882638888892</v>
      </c>
      <c r="E6121" s="26">
        <v>14.904351</v>
      </c>
      <c r="G6121" s="27">
        <v>0.88263888888888886</v>
      </c>
      <c r="J6121" s="30">
        <f>IF(G6121&lt;$H$10,$H$16,IF(G6121&gt;$I$10,$H$16,$H$11))*E6121/600</f>
        <v>4.9681170000000002E-3</v>
      </c>
      <c r="L6121" s="32">
        <f>$J6121*($G6121-$G6120)*60*24</f>
        <v>4.9681169999991892E-3</v>
      </c>
    </row>
    <row r="6122" spans="1:12">
      <c r="A6122" s="22">
        <v>40314.883333333331</v>
      </c>
      <c r="E6122" s="26">
        <v>14.664239999999999</v>
      </c>
      <c r="G6122" s="27">
        <v>0.8833333333333333</v>
      </c>
      <c r="J6122" s="30">
        <f>IF(G6122&lt;$H$10,$H$16,IF(G6122&gt;$I$10,$H$16,$H$11))*E6122/600</f>
        <v>4.8880799999999995E-3</v>
      </c>
      <c r="L6122" s="32">
        <f>$J6122*($G6122-$G6121)*60*24</f>
        <v>4.8880799999999822E-3</v>
      </c>
    </row>
    <row r="6123" spans="1:12">
      <c r="A6123" s="22">
        <v>40314.884027777778</v>
      </c>
      <c r="E6123" s="26">
        <v>14.784768</v>
      </c>
      <c r="G6123" s="27">
        <v>0.88402777777777775</v>
      </c>
      <c r="J6123" s="30">
        <f>IF(G6123&lt;$H$10,$H$16,IF(G6123&gt;$I$10,$H$16,$H$11))*E6123/600</f>
        <v>4.9282560000000007E-3</v>
      </c>
      <c r="L6123" s="32">
        <f>$J6123*($G6123-$G6122)*60*24</f>
        <v>4.9282559999999833E-3</v>
      </c>
    </row>
    <row r="6124" spans="1:12">
      <c r="A6124" s="22">
        <v>40314.884722222225</v>
      </c>
      <c r="E6124" s="26">
        <v>14.759472000000001</v>
      </c>
      <c r="G6124" s="27">
        <v>0.8847222222222223</v>
      </c>
      <c r="J6124" s="30">
        <f>IF(G6124&lt;$H$10,$H$16,IF(G6124&gt;$I$10,$H$16,$H$11))*E6124/600</f>
        <v>4.9198240000000006E-3</v>
      </c>
      <c r="L6124" s="32">
        <f>$J6124*($G6124-$G6123)*60*24</f>
        <v>4.9198240000007699E-3</v>
      </c>
    </row>
    <row r="6125" spans="1:12">
      <c r="A6125" s="22">
        <v>40314.885416666664</v>
      </c>
      <c r="E6125" s="26">
        <v>14.731668000000001</v>
      </c>
      <c r="G6125" s="27">
        <v>0.88541666666666663</v>
      </c>
      <c r="J6125" s="30">
        <f>IF(G6125&lt;$H$10,$H$16,IF(G6125&gt;$I$10,$H$16,$H$11))*E6125/600</f>
        <v>4.9105560000000008E-3</v>
      </c>
      <c r="L6125" s="32">
        <f>$J6125*($G6125-$G6124)*60*24</f>
        <v>4.9105559999991985E-3</v>
      </c>
    </row>
    <row r="6126" spans="1:12">
      <c r="A6126" s="22">
        <v>40314.886111111111</v>
      </c>
      <c r="E6126" s="26">
        <v>14.614701999999999</v>
      </c>
      <c r="G6126" s="27">
        <v>0.88611111111111107</v>
      </c>
      <c r="J6126" s="30">
        <f>IF(G6126&lt;$H$10,$H$16,IF(G6126&gt;$I$10,$H$16,$H$11))*E6126/600</f>
        <v>4.8715673333333334E-3</v>
      </c>
      <c r="L6126" s="32">
        <f>$J6126*($G6126-$G6125)*60*24</f>
        <v>4.8715673333333161E-3</v>
      </c>
    </row>
    <row r="6127" spans="1:12">
      <c r="A6127" s="22">
        <v>40314.886805555558</v>
      </c>
      <c r="E6127" s="26">
        <v>14.820294000000001</v>
      </c>
      <c r="G6127" s="27">
        <v>0.88680555555555562</v>
      </c>
      <c r="J6127" s="30">
        <f>IF(G6127&lt;$H$10,$H$16,IF(G6127&gt;$I$10,$H$16,$H$11))*E6127/600</f>
        <v>4.9400980000000004E-3</v>
      </c>
      <c r="L6127" s="32">
        <f>$J6127*($G6127-$G6126)*60*24</f>
        <v>4.9400980000007724E-3</v>
      </c>
    </row>
    <row r="6128" spans="1:12">
      <c r="A6128" s="22">
        <v>40314.887499999997</v>
      </c>
      <c r="E6128" s="26">
        <v>14.778072</v>
      </c>
      <c r="G6128" s="27">
        <v>0.88750000000000007</v>
      </c>
      <c r="J6128" s="30">
        <f>IF(G6128&lt;$H$10,$H$16,IF(G6128&gt;$I$10,$H$16,$H$11))*E6128/600</f>
        <v>4.9260240000000002E-3</v>
      </c>
      <c r="L6128" s="32">
        <f>$J6128*($G6128-$G6127)*60*24</f>
        <v>4.9260239999999829E-3</v>
      </c>
    </row>
    <row r="6129" spans="1:12">
      <c r="A6129" s="22">
        <v>40314.888194444444</v>
      </c>
      <c r="E6129" s="26">
        <v>14.798159999999999</v>
      </c>
      <c r="G6129" s="27">
        <v>0.8881944444444444</v>
      </c>
      <c r="J6129" s="30">
        <f>IF(G6129&lt;$H$10,$H$16,IF(G6129&gt;$I$10,$H$16,$H$11))*E6129/600</f>
        <v>4.9327199999999998E-3</v>
      </c>
      <c r="L6129" s="32">
        <f>$J6129*($G6129-$G6128)*60*24</f>
        <v>4.932719999999194E-3</v>
      </c>
    </row>
    <row r="6130" spans="1:12">
      <c r="A6130" s="22">
        <v>40314.888888888891</v>
      </c>
      <c r="E6130" s="26">
        <v>14.69772</v>
      </c>
      <c r="G6130" s="27">
        <v>0.88888888888888884</v>
      </c>
      <c r="J6130" s="30">
        <f>IF(G6130&lt;$H$10,$H$16,IF(G6130&gt;$I$10,$H$16,$H$11))*E6130/600</f>
        <v>4.89924E-3</v>
      </c>
      <c r="L6130" s="32">
        <f>$J6130*($G6130-$G6129)*60*24</f>
        <v>4.8992399999999827E-3</v>
      </c>
    </row>
    <row r="6131" spans="1:12">
      <c r="A6131" s="22">
        <v>40314.88958333333</v>
      </c>
      <c r="E6131" s="26">
        <v>14.798159999999999</v>
      </c>
      <c r="G6131" s="27">
        <v>0.88958333333333339</v>
      </c>
      <c r="J6131" s="30">
        <f>IF(G6131&lt;$H$10,$H$16,IF(G6131&gt;$I$10,$H$16,$H$11))*E6131/600</f>
        <v>4.9327199999999998E-3</v>
      </c>
      <c r="L6131" s="32">
        <f>$J6131*($G6131-$G6130)*60*24</f>
        <v>4.9327200000007709E-3</v>
      </c>
    </row>
    <row r="6132" spans="1:12">
      <c r="A6132" s="22">
        <v>40314.890277777777</v>
      </c>
      <c r="E6132" s="26">
        <v>14.885262000000001</v>
      </c>
      <c r="G6132" s="27">
        <v>0.89027777777777783</v>
      </c>
      <c r="J6132" s="30">
        <f>IF(G6132&lt;$H$10,$H$16,IF(G6132&gt;$I$10,$H$16,$H$11))*E6132/600</f>
        <v>4.9617540000000005E-3</v>
      </c>
      <c r="L6132" s="32">
        <f>$J6132*($G6132-$G6131)*60*24</f>
        <v>4.9617539999999832E-3</v>
      </c>
    </row>
    <row r="6133" spans="1:12">
      <c r="A6133" s="22">
        <v>40314.890972222223</v>
      </c>
      <c r="E6133" s="26">
        <v>15.052652999999999</v>
      </c>
      <c r="G6133" s="27">
        <v>0.89097222222222217</v>
      </c>
      <c r="J6133" s="30">
        <f>IF(G6133&lt;$H$10,$H$16,IF(G6133&gt;$I$10,$H$16,$H$11))*E6133/600</f>
        <v>5.0175510000000003E-3</v>
      </c>
      <c r="L6133" s="32">
        <f>$J6133*($G6133-$G6132)*60*24</f>
        <v>5.0175509999991806E-3</v>
      </c>
    </row>
    <row r="6134" spans="1:12">
      <c r="A6134" s="22">
        <v>40314.89166666667</v>
      </c>
      <c r="E6134" s="26">
        <v>15.093099</v>
      </c>
      <c r="G6134" s="27">
        <v>0.89166666666666661</v>
      </c>
      <c r="J6134" s="30">
        <f>IF(G6134&lt;$H$10,$H$16,IF(G6134&gt;$I$10,$H$16,$H$11))*E6134/600</f>
        <v>5.0310330000000007E-3</v>
      </c>
      <c r="L6134" s="32">
        <f>$J6134*($G6134-$G6133)*60*24</f>
        <v>5.0310329999999834E-3</v>
      </c>
    </row>
    <row r="6135" spans="1:12">
      <c r="A6135" s="22">
        <v>40314.892361111109</v>
      </c>
      <c r="E6135" s="26">
        <v>14.791464</v>
      </c>
      <c r="G6135" s="27">
        <v>0.89236111111111116</v>
      </c>
      <c r="J6135" s="30">
        <f>IF(G6135&lt;$H$10,$H$16,IF(G6135&gt;$I$10,$H$16,$H$11))*E6135/600</f>
        <v>4.9304880000000002E-3</v>
      </c>
      <c r="L6135" s="32">
        <f>$J6135*($G6135-$G6134)*60*24</f>
        <v>4.9304880000007704E-3</v>
      </c>
    </row>
    <row r="6136" spans="1:12">
      <c r="A6136" s="22">
        <v>40314.893055555556</v>
      </c>
      <c r="E6136" s="26">
        <v>15.025689</v>
      </c>
      <c r="G6136" s="27">
        <v>0.8930555555555556</v>
      </c>
      <c r="J6136" s="30">
        <f>IF(G6136&lt;$H$10,$H$16,IF(G6136&gt;$I$10,$H$16,$H$11))*E6136/600</f>
        <v>5.0085629999999997E-3</v>
      </c>
      <c r="L6136" s="32">
        <f>$J6136*($G6136-$G6135)*60*24</f>
        <v>5.0085629999999824E-3</v>
      </c>
    </row>
    <row r="6137" spans="1:12">
      <c r="A6137" s="22">
        <v>40314.893750000003</v>
      </c>
      <c r="E6137" s="26">
        <v>14.804855999999999</v>
      </c>
      <c r="G6137" s="27">
        <v>0.89374999999999993</v>
      </c>
      <c r="J6137" s="30">
        <f>IF(G6137&lt;$H$10,$H$16,IF(G6137&gt;$I$10,$H$16,$H$11))*E6137/600</f>
        <v>4.9349520000000003E-3</v>
      </c>
      <c r="L6137" s="32">
        <f>$J6137*($G6137-$G6136)*60*24</f>
        <v>4.9349519999991936E-3</v>
      </c>
    </row>
    <row r="6138" spans="1:12">
      <c r="A6138" s="22">
        <v>40314.894444444442</v>
      </c>
      <c r="E6138" s="26">
        <v>14.754016</v>
      </c>
      <c r="G6138" s="27">
        <v>0.89444444444444438</v>
      </c>
      <c r="J6138" s="30">
        <f>IF(G6138&lt;$H$10,$H$16,IF(G6138&gt;$I$10,$H$16,$H$11))*E6138/600</f>
        <v>4.9180053333333336E-3</v>
      </c>
      <c r="L6138" s="32">
        <f>$J6138*($G6138-$G6137)*60*24</f>
        <v>4.9180053333333163E-3</v>
      </c>
    </row>
    <row r="6139" spans="1:12">
      <c r="A6139" s="22">
        <v>40314.895138888889</v>
      </c>
      <c r="E6139" s="26">
        <v>14.818248000000001</v>
      </c>
      <c r="G6139" s="27">
        <v>0.89513888888888893</v>
      </c>
      <c r="J6139" s="30">
        <f>IF(G6139&lt;$H$10,$H$16,IF(G6139&gt;$I$10,$H$16,$H$11))*E6139/600</f>
        <v>4.9394160000000003E-3</v>
      </c>
      <c r="L6139" s="32">
        <f>$J6139*($G6139-$G6138)*60*24</f>
        <v>4.9394160000007722E-3</v>
      </c>
    </row>
    <row r="6140" spans="1:12">
      <c r="A6140" s="22">
        <v>40314.895833333336</v>
      </c>
      <c r="E6140" s="26">
        <v>14.791464</v>
      </c>
      <c r="G6140" s="27">
        <v>0.89583333333333337</v>
      </c>
      <c r="J6140" s="30">
        <f>IF(G6140&lt;$H$10,$H$16,IF(G6140&gt;$I$10,$H$16,$H$11))*E6140/600</f>
        <v>4.9304880000000002E-3</v>
      </c>
      <c r="L6140" s="32">
        <f>$J6140*($G6140-$G6139)*60*24</f>
        <v>4.9304879999999829E-3</v>
      </c>
    </row>
    <row r="6141" spans="1:12">
      <c r="A6141" s="22">
        <v>40314.896527777775</v>
      </c>
      <c r="E6141" s="26">
        <v>14.734114</v>
      </c>
      <c r="G6141" s="27">
        <v>0.8965277777777777</v>
      </c>
      <c r="J6141" s="30">
        <f>IF(G6141&lt;$H$10,$H$16,IF(G6141&gt;$I$10,$H$16,$H$11))*E6141/600</f>
        <v>4.9113713333333335E-3</v>
      </c>
      <c r="L6141" s="32">
        <f>$J6141*($G6141-$G6140)*60*24</f>
        <v>4.9113713333325312E-3</v>
      </c>
    </row>
    <row r="6142" spans="1:12">
      <c r="A6142" s="22">
        <v>40314.897222222222</v>
      </c>
      <c r="E6142" s="26">
        <v>14.707578</v>
      </c>
      <c r="G6142" s="27">
        <v>0.89722222222222225</v>
      </c>
      <c r="J6142" s="30">
        <f>IF(G6142&lt;$H$10,$H$16,IF(G6142&gt;$I$10,$H$16,$H$11))*E6142/600</f>
        <v>4.9025260000000008E-3</v>
      </c>
      <c r="L6142" s="32">
        <f>$J6142*($G6142-$G6141)*60*24</f>
        <v>4.9025260000007675E-3</v>
      </c>
    </row>
    <row r="6143" spans="1:12">
      <c r="A6143" s="22">
        <v>40314.897916666669</v>
      </c>
      <c r="E6143" s="26">
        <v>14.780552</v>
      </c>
      <c r="G6143" s="27">
        <v>0.8979166666666667</v>
      </c>
      <c r="J6143" s="30">
        <f>IF(G6143&lt;$H$10,$H$16,IF(G6143&gt;$I$10,$H$16,$H$11))*E6143/600</f>
        <v>4.9268506666666663E-3</v>
      </c>
      <c r="L6143" s="32">
        <f>$J6143*($G6143-$G6142)*60*24</f>
        <v>4.9268506666666489E-3</v>
      </c>
    </row>
    <row r="6144" spans="1:12">
      <c r="A6144" s="22">
        <v>40314.898611111108</v>
      </c>
      <c r="E6144" s="26">
        <v>14.771376</v>
      </c>
      <c r="G6144" s="27">
        <v>0.89861111111111114</v>
      </c>
      <c r="J6144" s="30">
        <f>IF(G6144&lt;$H$10,$H$16,IF(G6144&gt;$I$10,$H$16,$H$11))*E6144/600</f>
        <v>4.9237919999999998E-3</v>
      </c>
      <c r="L6144" s="32">
        <f>$J6144*($G6144-$G6143)*60*24</f>
        <v>4.9237919999999824E-3</v>
      </c>
    </row>
    <row r="6145" spans="1:12">
      <c r="A6145" s="22">
        <v>40314.899305555555</v>
      </c>
      <c r="E6145" s="26">
        <v>14.83164</v>
      </c>
      <c r="G6145" s="27">
        <v>0.89930555555555547</v>
      </c>
      <c r="J6145" s="30">
        <f>IF(G6145&lt;$H$10,$H$16,IF(G6145&gt;$I$10,$H$16,$H$11))*E6145/600</f>
        <v>4.9438800000000003E-3</v>
      </c>
      <c r="L6145" s="32">
        <f>$J6145*($G6145-$G6144)*60*24</f>
        <v>4.9438799999991919E-3</v>
      </c>
    </row>
    <row r="6146" spans="1:12">
      <c r="A6146" s="22">
        <v>40314.9</v>
      </c>
      <c r="E6146" s="26">
        <v>14.79382</v>
      </c>
      <c r="G6146" s="27">
        <v>0.9</v>
      </c>
      <c r="J6146" s="30">
        <f>IF(G6146&lt;$H$10,$H$16,IF(G6146&gt;$I$10,$H$16,$H$11))*E6146/600</f>
        <v>4.9312733333333339E-3</v>
      </c>
      <c r="L6146" s="32">
        <f>$J6146*($G6146-$G6145)*60*24</f>
        <v>4.931273333334105E-3</v>
      </c>
    </row>
    <row r="6147" spans="1:12">
      <c r="A6147" s="22">
        <v>40314.900694444441</v>
      </c>
      <c r="E6147" s="26">
        <v>14.811552000000001</v>
      </c>
      <c r="G6147" s="27">
        <v>0.90069444444444446</v>
      </c>
      <c r="J6147" s="30">
        <f>IF(G6147&lt;$H$10,$H$16,IF(G6147&gt;$I$10,$H$16,$H$11))*E6147/600</f>
        <v>4.9371840000000007E-3</v>
      </c>
      <c r="L6147" s="32">
        <f>$J6147*($G6147-$G6146)*60*24</f>
        <v>4.9371839999999834E-3</v>
      </c>
    </row>
    <row r="6148" spans="1:12">
      <c r="A6148" s="22">
        <v>40314.901388888888</v>
      </c>
      <c r="E6148" s="26">
        <v>14.804855999999999</v>
      </c>
      <c r="G6148" s="27">
        <v>0.90138888888888891</v>
      </c>
      <c r="J6148" s="30">
        <f>IF(G6148&lt;$H$10,$H$16,IF(G6148&gt;$I$10,$H$16,$H$11))*E6148/600</f>
        <v>4.9349520000000003E-3</v>
      </c>
      <c r="L6148" s="32">
        <f>$J6148*($G6148-$G6147)*60*24</f>
        <v>4.934951999999982E-3</v>
      </c>
    </row>
    <row r="6149" spans="1:12">
      <c r="A6149" s="22">
        <v>40314.902083333334</v>
      </c>
      <c r="E6149" s="26">
        <v>14.824944</v>
      </c>
      <c r="G6149" s="27">
        <v>0.90208333333333324</v>
      </c>
      <c r="J6149" s="30">
        <f>IF(G6149&lt;$H$10,$H$16,IF(G6149&gt;$I$10,$H$16,$H$11))*E6149/600</f>
        <v>4.9416480000000007E-3</v>
      </c>
      <c r="L6149" s="32">
        <f>$J6149*($G6149-$G6148)*60*24</f>
        <v>4.9416479999991932E-3</v>
      </c>
    </row>
    <row r="6150" spans="1:12">
      <c r="A6150" s="22">
        <v>40314.902777777781</v>
      </c>
      <c r="E6150" s="26">
        <v>14.574608</v>
      </c>
      <c r="G6150" s="27">
        <v>0.90277777777777779</v>
      </c>
      <c r="J6150" s="30">
        <f>IF(G6150&lt;$H$10,$H$16,IF(G6150&gt;$I$10,$H$16,$H$11))*E6150/600</f>
        <v>4.858202666666667E-3</v>
      </c>
      <c r="L6150" s="32">
        <f>$J6150*($G6150-$G6149)*60*24</f>
        <v>4.8582026666674268E-3</v>
      </c>
    </row>
    <row r="6151" spans="1:12">
      <c r="A6151" s="22">
        <v>40314.90347222222</v>
      </c>
      <c r="E6151" s="26">
        <v>14.641098</v>
      </c>
      <c r="G6151" s="27">
        <v>0.90347222222222223</v>
      </c>
      <c r="J6151" s="30">
        <f>IF(G6151&lt;$H$10,$H$16,IF(G6151&gt;$I$10,$H$16,$H$11))*E6151/600</f>
        <v>4.8803660000000006E-3</v>
      </c>
      <c r="L6151" s="32">
        <f>$J6151*($G6151-$G6150)*60*24</f>
        <v>4.8803659999999832E-3</v>
      </c>
    </row>
    <row r="6152" spans="1:12">
      <c r="A6152" s="22">
        <v>40314.904166666667</v>
      </c>
      <c r="E6152" s="26">
        <v>14.845032</v>
      </c>
      <c r="G6152" s="27">
        <v>0.90416666666666667</v>
      </c>
      <c r="J6152" s="30">
        <f>IF(G6152&lt;$H$10,$H$16,IF(G6152&gt;$I$10,$H$16,$H$11))*E6152/600</f>
        <v>4.9483440000000004E-3</v>
      </c>
      <c r="L6152" s="32">
        <f>$J6152*($G6152-$G6151)*60*24</f>
        <v>4.9483439999999821E-3</v>
      </c>
    </row>
    <row r="6153" spans="1:12">
      <c r="A6153" s="22">
        <v>40314.904861111114</v>
      </c>
      <c r="E6153" s="26">
        <v>14.804855999999999</v>
      </c>
      <c r="G6153" s="27">
        <v>0.90486111111111101</v>
      </c>
      <c r="J6153" s="30">
        <f>IF(G6153&lt;$H$10,$H$16,IF(G6153&gt;$I$10,$H$16,$H$11))*E6153/600</f>
        <v>4.9349520000000003E-3</v>
      </c>
      <c r="L6153" s="32">
        <f>$J6153*($G6153-$G6152)*60*24</f>
        <v>4.9349519999991936E-3</v>
      </c>
    </row>
    <row r="6154" spans="1:12">
      <c r="A6154" s="22">
        <v>40314.905555555553</v>
      </c>
      <c r="E6154" s="26">
        <v>14.773918</v>
      </c>
      <c r="G6154" s="27">
        <v>0.90555555555555556</v>
      </c>
      <c r="J6154" s="30">
        <f>IF(G6154&lt;$H$10,$H$16,IF(G6154&gt;$I$10,$H$16,$H$11))*E6154/600</f>
        <v>4.9246393333333338E-3</v>
      </c>
      <c r="L6154" s="32">
        <f>$J6154*($G6154-$G6153)*60*24</f>
        <v>4.9246393333341031E-3</v>
      </c>
    </row>
    <row r="6155" spans="1:12">
      <c r="A6155" s="22">
        <v>40314.90625</v>
      </c>
      <c r="E6155" s="26">
        <v>15.012207</v>
      </c>
      <c r="G6155" s="27">
        <v>0.90625</v>
      </c>
      <c r="J6155" s="30">
        <f>IF(G6155&lt;$H$10,$H$16,IF(G6155&gt;$I$10,$H$16,$H$11))*E6155/600</f>
        <v>5.0040690000000007E-3</v>
      </c>
      <c r="L6155" s="32">
        <f>$J6155*($G6155-$G6154)*60*24</f>
        <v>5.0040689999999825E-3</v>
      </c>
    </row>
    <row r="6156" spans="1:12">
      <c r="A6156" s="22">
        <v>40314.906944444447</v>
      </c>
      <c r="E6156" s="26">
        <v>14.687676</v>
      </c>
      <c r="G6156" s="27">
        <v>0.90694444444444444</v>
      </c>
      <c r="J6156" s="30">
        <f>IF(G6156&lt;$H$10,$H$16,IF(G6156&gt;$I$10,$H$16,$H$11))*E6156/600</f>
        <v>4.8958919999999998E-3</v>
      </c>
      <c r="L6156" s="32">
        <f>$J6156*($G6156-$G6155)*60*24</f>
        <v>4.8958919999999816E-3</v>
      </c>
    </row>
    <row r="6157" spans="1:12">
      <c r="A6157" s="22">
        <v>40314.907638888886</v>
      </c>
      <c r="E6157" s="26">
        <v>14.754016</v>
      </c>
      <c r="G6157" s="27">
        <v>0.90763888888888899</v>
      </c>
      <c r="J6157" s="30">
        <f>IF(G6157&lt;$H$10,$H$16,IF(G6157&gt;$I$10,$H$16,$H$11))*E6157/600</f>
        <v>4.9180053333333336E-3</v>
      </c>
      <c r="L6157" s="32">
        <f>$J6157*($G6157-$G6156)*60*24</f>
        <v>4.918005333334103E-3</v>
      </c>
    </row>
    <row r="6158" spans="1:12">
      <c r="A6158" s="22">
        <v>40314.908333333333</v>
      </c>
      <c r="E6158" s="26">
        <v>14.79382</v>
      </c>
      <c r="G6158" s="27">
        <v>0.90833333333333333</v>
      </c>
      <c r="J6158" s="30">
        <f>IF(G6158&lt;$H$10,$H$16,IF(G6158&gt;$I$10,$H$16,$H$11))*E6158/600</f>
        <v>4.9312733333333339E-3</v>
      </c>
      <c r="L6158" s="32">
        <f>$J6158*($G6158-$G6157)*60*24</f>
        <v>4.9312733333325282E-3</v>
      </c>
    </row>
    <row r="6159" spans="1:12">
      <c r="A6159" s="22">
        <v>40314.90902777778</v>
      </c>
      <c r="E6159" s="26">
        <v>14.734114</v>
      </c>
      <c r="G6159" s="27">
        <v>0.90902777777777777</v>
      </c>
      <c r="J6159" s="30">
        <f>IF(G6159&lt;$H$10,$H$16,IF(G6159&gt;$I$10,$H$16,$H$11))*E6159/600</f>
        <v>4.9113713333333335E-3</v>
      </c>
      <c r="L6159" s="32">
        <f>$J6159*($G6159-$G6158)*60*24</f>
        <v>4.911371333333317E-3</v>
      </c>
    </row>
    <row r="6160" spans="1:12">
      <c r="A6160" s="22">
        <v>40314.909722222219</v>
      </c>
      <c r="E6160" s="26">
        <v>15.126804</v>
      </c>
      <c r="G6160" s="27">
        <v>0.90972222222222221</v>
      </c>
      <c r="J6160" s="30">
        <f>IF(G6160&lt;$H$10,$H$16,IF(G6160&gt;$I$10,$H$16,$H$11))*E6160/600</f>
        <v>5.0422679999999999E-3</v>
      </c>
      <c r="L6160" s="32">
        <f>$J6160*($G6160-$G6159)*60*24</f>
        <v>5.0422679999999817E-3</v>
      </c>
    </row>
    <row r="6161" spans="1:12">
      <c r="A6161" s="22">
        <v>40314.910416666666</v>
      </c>
      <c r="E6161" s="26">
        <v>15.093099</v>
      </c>
      <c r="G6161" s="27">
        <v>0.91041666666666676</v>
      </c>
      <c r="J6161" s="30">
        <f>IF(G6161&lt;$H$10,$H$16,IF(G6161&gt;$I$10,$H$16,$H$11))*E6161/600</f>
        <v>5.0310330000000007E-3</v>
      </c>
      <c r="L6161" s="32">
        <f>$J6161*($G6161-$G6160)*60*24</f>
        <v>5.0310330000007866E-3</v>
      </c>
    </row>
    <row r="6162" spans="1:12">
      <c r="A6162" s="22">
        <v>40314.911111111112</v>
      </c>
      <c r="E6162" s="26">
        <v>14.740748</v>
      </c>
      <c r="G6162" s="27">
        <v>0.91111111111111109</v>
      </c>
      <c r="J6162" s="30">
        <f>IF(G6162&lt;$H$10,$H$16,IF(G6162&gt;$I$10,$H$16,$H$11))*E6162/600</f>
        <v>4.9135826666666669E-3</v>
      </c>
      <c r="L6162" s="32">
        <f>$J6162*($G6162-$G6161)*60*24</f>
        <v>4.9135826666658637E-3</v>
      </c>
    </row>
    <row r="6163" spans="1:12">
      <c r="A6163" s="22">
        <v>40314.911805555559</v>
      </c>
      <c r="E6163" s="26">
        <v>15.072246</v>
      </c>
      <c r="G6163" s="27">
        <v>0.91180555555555554</v>
      </c>
      <c r="J6163" s="30">
        <f>IF(G6163&lt;$H$10,$H$16,IF(G6163&gt;$I$10,$H$16,$H$11))*E6163/600</f>
        <v>5.024082E-3</v>
      </c>
      <c r="L6163" s="32">
        <f>$J6163*($G6163-$G6162)*60*24</f>
        <v>5.0240819999999818E-3</v>
      </c>
    </row>
    <row r="6164" spans="1:12">
      <c r="A6164" s="22">
        <v>40314.912499999999</v>
      </c>
      <c r="E6164" s="26">
        <v>15.012143999999999</v>
      </c>
      <c r="G6164" s="27">
        <v>0.91249999999999998</v>
      </c>
      <c r="J6164" s="30">
        <f>IF(G6164&lt;$H$10,$H$16,IF(G6164&gt;$I$10,$H$16,$H$11))*E6164/600</f>
        <v>5.0040480000000005E-3</v>
      </c>
      <c r="L6164" s="32">
        <f>$J6164*($G6164-$G6163)*60*24</f>
        <v>5.0040479999999823E-3</v>
      </c>
    </row>
    <row r="6165" spans="1:12">
      <c r="A6165" s="22">
        <v>40314.913194444445</v>
      </c>
      <c r="E6165" s="26">
        <v>14.978754</v>
      </c>
      <c r="G6165" s="27">
        <v>0.91319444444444453</v>
      </c>
      <c r="J6165" s="30">
        <f>IF(G6165&lt;$H$10,$H$16,IF(G6165&gt;$I$10,$H$16,$H$11))*E6165/600</f>
        <v>4.9929179999999998E-3</v>
      </c>
      <c r="L6165" s="32">
        <f>$J6165*($G6165-$G6164)*60*24</f>
        <v>4.9929180000007805E-3</v>
      </c>
    </row>
    <row r="6166" spans="1:12">
      <c r="A6166" s="22">
        <v>40314.913888888892</v>
      </c>
      <c r="E6166" s="26">
        <v>14.69431</v>
      </c>
      <c r="G6166" s="27">
        <v>0.91388888888888886</v>
      </c>
      <c r="J6166" s="30">
        <f>IF(G6166&lt;$H$10,$H$16,IF(G6166&gt;$I$10,$H$16,$H$11))*E6166/600</f>
        <v>4.898103333333334E-3</v>
      </c>
      <c r="L6166" s="32">
        <f>$J6166*($G6166-$G6165)*60*24</f>
        <v>4.8981033333325335E-3</v>
      </c>
    </row>
    <row r="6167" spans="1:12">
      <c r="A6167" s="22">
        <v>40314.914583333331</v>
      </c>
      <c r="E6167" s="26">
        <v>14.877387000000001</v>
      </c>
      <c r="G6167" s="27">
        <v>0.9145833333333333</v>
      </c>
      <c r="J6167" s="30">
        <f>IF(G6167&lt;$H$10,$H$16,IF(G6167&gt;$I$10,$H$16,$H$11))*E6167/600</f>
        <v>4.9591290000000005E-3</v>
      </c>
      <c r="L6167" s="32">
        <f>$J6167*($G6167-$G6166)*60*24</f>
        <v>4.9591289999999823E-3</v>
      </c>
    </row>
    <row r="6168" spans="1:12">
      <c r="A6168" s="22">
        <v>40314.915277777778</v>
      </c>
      <c r="E6168" s="26">
        <v>14.684328000000001</v>
      </c>
      <c r="G6168" s="27">
        <v>0.91527777777777775</v>
      </c>
      <c r="J6168" s="30">
        <f>IF(G6168&lt;$H$10,$H$16,IF(G6168&gt;$I$10,$H$16,$H$11))*E6168/600</f>
        <v>4.8947760000000009E-3</v>
      </c>
      <c r="L6168" s="32">
        <f>$J6168*($G6168-$G6167)*60*24</f>
        <v>4.8947759999999835E-3</v>
      </c>
    </row>
    <row r="6169" spans="1:12">
      <c r="A6169" s="22">
        <v>40314.915972222225</v>
      </c>
      <c r="E6169" s="26">
        <v>14.717808</v>
      </c>
      <c r="G6169" s="27">
        <v>0.9159722222222223</v>
      </c>
      <c r="J6169" s="30">
        <f>IF(G6169&lt;$H$10,$H$16,IF(G6169&gt;$I$10,$H$16,$H$11))*E6169/600</f>
        <v>4.9059360000000005E-3</v>
      </c>
      <c r="L6169" s="32">
        <f>$J6169*($G6169-$G6168)*60*24</f>
        <v>4.9059360000007672E-3</v>
      </c>
    </row>
    <row r="6170" spans="1:12">
      <c r="A6170" s="22">
        <v>40314.916666666664</v>
      </c>
      <c r="E6170" s="26">
        <v>15.052652999999999</v>
      </c>
      <c r="G6170" s="27">
        <v>0.91666666666666663</v>
      </c>
      <c r="J6170" s="30">
        <f>IF(G6170&lt;$H$10,$H$16,IF(G6170&gt;$I$10,$H$16,$H$11))*E6170/600</f>
        <v>5.0175510000000003E-3</v>
      </c>
      <c r="L6170" s="32">
        <f>$J6170*($G6170-$G6169)*60*24</f>
        <v>5.0175509999991806E-3</v>
      </c>
    </row>
    <row r="6171" spans="1:12">
      <c r="A6171" s="22">
        <v>40314.917361111111</v>
      </c>
      <c r="E6171" s="26">
        <v>14.76468</v>
      </c>
      <c r="G6171" s="27">
        <v>0.91736111111111107</v>
      </c>
      <c r="J6171" s="30">
        <f>IF(G6171&lt;$H$10,$H$16,IF(G6171&gt;$I$10,$H$16,$H$11))*E6171/600</f>
        <v>4.9215600000000002E-3</v>
      </c>
      <c r="L6171" s="32">
        <f>$J6171*($G6171-$G6170)*60*24</f>
        <v>4.9215599999999828E-3</v>
      </c>
    </row>
    <row r="6172" spans="1:12">
      <c r="A6172" s="22">
        <v>40314.918055555558</v>
      </c>
      <c r="E6172" s="26">
        <v>14.574608</v>
      </c>
      <c r="G6172" s="27">
        <v>0.91805555555555562</v>
      </c>
      <c r="J6172" s="30">
        <f>IF(G6172&lt;$H$10,$H$16,IF(G6172&gt;$I$10,$H$16,$H$11))*E6172/600</f>
        <v>4.858202666666667E-3</v>
      </c>
      <c r="L6172" s="32">
        <f>$J6172*($G6172-$G6171)*60*24</f>
        <v>4.8582026666674268E-3</v>
      </c>
    </row>
    <row r="6173" spans="1:12">
      <c r="A6173" s="22">
        <v>40314.918749999997</v>
      </c>
      <c r="E6173" s="26">
        <v>14.838336</v>
      </c>
      <c r="G6173" s="27">
        <v>0.91875000000000007</v>
      </c>
      <c r="J6173" s="30">
        <f>IF(G6173&lt;$H$10,$H$16,IF(G6173&gt;$I$10,$H$16,$H$11))*E6173/600</f>
        <v>4.9461119999999999E-3</v>
      </c>
      <c r="L6173" s="32">
        <f>$J6173*($G6173-$G6172)*60*24</f>
        <v>4.9461119999999826E-3</v>
      </c>
    </row>
    <row r="6174" spans="1:12">
      <c r="A6174" s="22">
        <v>40314.919444444444</v>
      </c>
      <c r="E6174" s="26">
        <v>14.757984</v>
      </c>
      <c r="G6174" s="27">
        <v>0.9194444444444444</v>
      </c>
      <c r="J6174" s="30">
        <f>IF(G6174&lt;$H$10,$H$16,IF(G6174&gt;$I$10,$H$16,$H$11))*E6174/600</f>
        <v>4.9193280000000006E-3</v>
      </c>
      <c r="L6174" s="32">
        <f>$J6174*($G6174-$G6173)*60*24</f>
        <v>4.9193279999991974E-3</v>
      </c>
    </row>
    <row r="6175" spans="1:12">
      <c r="A6175" s="22">
        <v>40314.920138888891</v>
      </c>
      <c r="E6175" s="26">
        <v>14.773918</v>
      </c>
      <c r="G6175" s="27">
        <v>0.92013888888888884</v>
      </c>
      <c r="J6175" s="30">
        <f>IF(G6175&lt;$H$10,$H$16,IF(G6175&gt;$I$10,$H$16,$H$11))*E6175/600</f>
        <v>4.9246393333333338E-3</v>
      </c>
      <c r="L6175" s="32">
        <f>$J6175*($G6175-$G6174)*60*24</f>
        <v>4.9246393333333164E-3</v>
      </c>
    </row>
    <row r="6176" spans="1:12">
      <c r="A6176" s="22">
        <v>40314.92083333333</v>
      </c>
      <c r="E6176" s="26">
        <v>14.757984</v>
      </c>
      <c r="G6176" s="27">
        <v>0.92083333333333339</v>
      </c>
      <c r="J6176" s="30">
        <f>IF(G6176&lt;$H$10,$H$16,IF(G6176&gt;$I$10,$H$16,$H$11))*E6176/600</f>
        <v>4.9193280000000006E-3</v>
      </c>
      <c r="L6176" s="32">
        <f>$J6176*($G6176-$G6175)*60*24</f>
        <v>4.9193280000007699E-3</v>
      </c>
    </row>
    <row r="6177" spans="1:12">
      <c r="A6177" s="22">
        <v>40314.921527777777</v>
      </c>
      <c r="E6177" s="26">
        <v>14.818248000000001</v>
      </c>
      <c r="G6177" s="27">
        <v>0.92152777777777783</v>
      </c>
      <c r="J6177" s="30">
        <f>IF(G6177&lt;$H$10,$H$16,IF(G6177&gt;$I$10,$H$16,$H$11))*E6177/600</f>
        <v>4.9394160000000003E-3</v>
      </c>
      <c r="L6177" s="32">
        <f>$J6177*($G6177-$G6176)*60*24</f>
        <v>4.9394159999999821E-3</v>
      </c>
    </row>
    <row r="6178" spans="1:12">
      <c r="A6178" s="22">
        <v>40314.922222222223</v>
      </c>
      <c r="E6178" s="26">
        <v>15.012143999999999</v>
      </c>
      <c r="G6178" s="27">
        <v>0.92222222222222217</v>
      </c>
      <c r="J6178" s="30">
        <f>IF(G6178&lt;$H$10,$H$16,IF(G6178&gt;$I$10,$H$16,$H$11))*E6178/600</f>
        <v>5.0040480000000005E-3</v>
      </c>
      <c r="L6178" s="32">
        <f>$J6178*($G6178-$G6177)*60*24</f>
        <v>5.0040479999991826E-3</v>
      </c>
    </row>
    <row r="6179" spans="1:12">
      <c r="A6179" s="22">
        <v>40314.92291666667</v>
      </c>
      <c r="E6179" s="26">
        <v>15.032178</v>
      </c>
      <c r="G6179" s="27">
        <v>0.92291666666666661</v>
      </c>
      <c r="J6179" s="30">
        <f>IF(G6179&lt;$H$10,$H$16,IF(G6179&gt;$I$10,$H$16,$H$11))*E6179/600</f>
        <v>5.0107260000000001E-3</v>
      </c>
      <c r="L6179" s="32">
        <f>$J6179*($G6179-$G6178)*60*24</f>
        <v>5.0107259999999827E-3</v>
      </c>
    </row>
    <row r="6180" spans="1:12">
      <c r="A6180" s="22">
        <v>40314.923611111109</v>
      </c>
      <c r="E6180" s="26">
        <v>15.018948</v>
      </c>
      <c r="G6180" s="27">
        <v>0.92361111111111116</v>
      </c>
      <c r="J6180" s="30">
        <f>IF(G6180&lt;$H$10,$H$16,IF(G6180&gt;$I$10,$H$16,$H$11))*E6180/600</f>
        <v>5.0063160000000002E-3</v>
      </c>
      <c r="L6180" s="32">
        <f>$J6180*($G6180-$G6179)*60*24</f>
        <v>5.0063160000007826E-3</v>
      </c>
    </row>
    <row r="6181" spans="1:12">
      <c r="A6181" s="22">
        <v>40314.924305555556</v>
      </c>
      <c r="E6181" s="26">
        <v>14.740748</v>
      </c>
      <c r="G6181" s="27">
        <v>0.9243055555555556</v>
      </c>
      <c r="J6181" s="30">
        <f>IF(G6181&lt;$H$10,$H$16,IF(G6181&gt;$I$10,$H$16,$H$11))*E6181/600</f>
        <v>4.9135826666666669E-3</v>
      </c>
      <c r="L6181" s="32">
        <f>$J6181*($G6181-$G6180)*60*24</f>
        <v>4.9135826666666495E-3</v>
      </c>
    </row>
    <row r="6182" spans="1:12">
      <c r="A6182" s="22">
        <v>40314.925000000003</v>
      </c>
      <c r="E6182" s="26">
        <v>15.072876000000001</v>
      </c>
      <c r="G6182" s="27">
        <v>0.92499999999999993</v>
      </c>
      <c r="J6182" s="30">
        <f>IF(G6182&lt;$H$10,$H$16,IF(G6182&gt;$I$10,$H$16,$H$11))*E6182/600</f>
        <v>5.0242920000000005E-3</v>
      </c>
      <c r="L6182" s="32">
        <f>$J6182*($G6182-$G6181)*60*24</f>
        <v>5.0242919999991791E-3</v>
      </c>
    </row>
    <row r="6183" spans="1:12">
      <c r="A6183" s="22">
        <v>40314.925694444442</v>
      </c>
      <c r="E6183" s="26">
        <v>14.972075999999999</v>
      </c>
      <c r="G6183" s="27">
        <v>0.92569444444444438</v>
      </c>
      <c r="J6183" s="30">
        <f>IF(G6183&lt;$H$10,$H$16,IF(G6183&gt;$I$10,$H$16,$H$11))*E6183/600</f>
        <v>4.9906920000000006E-3</v>
      </c>
      <c r="L6183" s="32">
        <f>$J6183*($G6183-$G6182)*60*24</f>
        <v>4.9906919999999824E-3</v>
      </c>
    </row>
    <row r="6184" spans="1:12">
      <c r="A6184" s="22">
        <v>40314.926388888889</v>
      </c>
      <c r="E6184" s="26">
        <v>14.898618000000001</v>
      </c>
      <c r="G6184" s="27">
        <v>0.92638888888888893</v>
      </c>
      <c r="J6184" s="30">
        <f>IF(G6184&lt;$H$10,$H$16,IF(G6184&gt;$I$10,$H$16,$H$11))*E6184/600</f>
        <v>4.9662060000000008E-3</v>
      </c>
      <c r="L6184" s="32">
        <f>$J6184*($G6184-$G6183)*60*24</f>
        <v>4.9662060000007779E-3</v>
      </c>
    </row>
    <row r="6185" spans="1:12">
      <c r="A6185" s="22">
        <v>40314.927083333336</v>
      </c>
      <c r="E6185" s="26">
        <v>14.985431999999999</v>
      </c>
      <c r="G6185" s="27">
        <v>0.92708333333333337</v>
      </c>
      <c r="J6185" s="30">
        <f>IF(G6185&lt;$H$10,$H$16,IF(G6185&gt;$I$10,$H$16,$H$11))*E6185/600</f>
        <v>4.995144E-3</v>
      </c>
      <c r="L6185" s="32">
        <f>$J6185*($G6185-$G6184)*60*24</f>
        <v>4.9951439999999826E-3</v>
      </c>
    </row>
    <row r="6186" spans="1:12">
      <c r="A6186" s="22">
        <v>40314.927777777775</v>
      </c>
      <c r="E6186" s="26">
        <v>15.038855999999999</v>
      </c>
      <c r="G6186" s="27">
        <v>0.9277777777777777</v>
      </c>
      <c r="J6186" s="30">
        <f>IF(G6186&lt;$H$10,$H$16,IF(G6186&gt;$I$10,$H$16,$H$11))*E6186/600</f>
        <v>5.0129520000000002E-3</v>
      </c>
      <c r="L6186" s="32">
        <f>$J6186*($G6186-$G6185)*60*24</f>
        <v>5.0129519999991805E-3</v>
      </c>
    </row>
    <row r="6187" spans="1:12">
      <c r="A6187" s="22">
        <v>40314.928472222222</v>
      </c>
      <c r="E6187" s="26">
        <v>15.022665</v>
      </c>
      <c r="G6187" s="27">
        <v>0.92847222222222225</v>
      </c>
      <c r="J6187" s="30">
        <f>IF(G6187&lt;$H$10,$H$16,IF(G6187&gt;$I$10,$H$16,$H$11))*E6187/600</f>
        <v>5.0075550000000003E-3</v>
      </c>
      <c r="L6187" s="32">
        <f>$J6187*($G6187-$G6186)*60*24</f>
        <v>5.0075550000007827E-3</v>
      </c>
    </row>
    <row r="6188" spans="1:12">
      <c r="A6188" s="22">
        <v>40314.929166666669</v>
      </c>
      <c r="E6188" s="26">
        <v>15.3888</v>
      </c>
      <c r="G6188" s="27">
        <v>0.9291666666666667</v>
      </c>
      <c r="J6188" s="30">
        <f>IF(G6188&lt;$H$10,$H$16,IF(G6188&gt;$I$10,$H$16,$H$11))*E6188/600</f>
        <v>5.1295999999999998E-3</v>
      </c>
      <c r="L6188" s="32">
        <f>$J6188*($G6188-$G6187)*60*24</f>
        <v>5.1295999999999816E-3</v>
      </c>
    </row>
    <row r="6189" spans="1:12">
      <c r="A6189" s="22">
        <v>40314.929861111108</v>
      </c>
      <c r="E6189" s="26">
        <v>15.181425000000001</v>
      </c>
      <c r="G6189" s="27">
        <v>0.92986111111111114</v>
      </c>
      <c r="J6189" s="30">
        <f>IF(G6189&lt;$H$10,$H$16,IF(G6189&gt;$I$10,$H$16,$H$11))*E6189/600</f>
        <v>5.0604750000000009E-3</v>
      </c>
      <c r="L6189" s="32">
        <f>$J6189*($G6189-$G6188)*60*24</f>
        <v>5.0604749999999836E-3</v>
      </c>
    </row>
    <row r="6190" spans="1:12">
      <c r="A6190" s="22">
        <v>40314.930555555555</v>
      </c>
      <c r="E6190" s="26">
        <v>15.207884999999999</v>
      </c>
      <c r="G6190" s="27">
        <v>0.93055555555555547</v>
      </c>
      <c r="J6190" s="30">
        <f>IF(G6190&lt;$H$10,$H$16,IF(G6190&gt;$I$10,$H$16,$H$11))*E6190/600</f>
        <v>5.0692950000000006E-3</v>
      </c>
      <c r="L6190" s="32">
        <f>$J6190*($G6190-$G6189)*60*24</f>
        <v>5.0692949999991722E-3</v>
      </c>
    </row>
    <row r="6191" spans="1:12">
      <c r="A6191" s="22">
        <v>40314.931250000001</v>
      </c>
      <c r="E6191" s="26">
        <v>15.214499999999999</v>
      </c>
      <c r="G6191" s="27">
        <v>0.93125000000000002</v>
      </c>
      <c r="J6191" s="30">
        <f>IF(G6191&lt;$H$10,$H$16,IF(G6191&gt;$I$10,$H$16,$H$11))*E6191/600</f>
        <v>5.0714999999999996E-3</v>
      </c>
      <c r="L6191" s="32">
        <f>$J6191*($G6191-$G6190)*60*24</f>
        <v>5.0715000000007924E-3</v>
      </c>
    </row>
    <row r="6192" spans="1:12">
      <c r="A6192" s="22">
        <v>40314.931944444441</v>
      </c>
      <c r="E6192" s="26">
        <v>15.043392000000001</v>
      </c>
      <c r="G6192" s="27">
        <v>0.93194444444444446</v>
      </c>
      <c r="J6192" s="30">
        <f>IF(G6192&lt;$H$10,$H$16,IF(G6192&gt;$I$10,$H$16,$H$11))*E6192/600</f>
        <v>5.0144640000000006E-3</v>
      </c>
      <c r="L6192" s="32">
        <f>$J6192*($G6192-$G6191)*60*24</f>
        <v>5.0144639999999832E-3</v>
      </c>
    </row>
    <row r="6193" spans="1:12">
      <c r="A6193" s="22">
        <v>40314.932638888888</v>
      </c>
      <c r="E6193" s="26">
        <v>15.09543</v>
      </c>
      <c r="G6193" s="27">
        <v>0.93263888888888891</v>
      </c>
      <c r="J6193" s="30">
        <f>IF(G6193&lt;$H$10,$H$16,IF(G6193&gt;$I$10,$H$16,$H$11))*E6193/600</f>
        <v>5.0318100000000003E-3</v>
      </c>
      <c r="L6193" s="32">
        <f>$J6193*($G6193-$G6192)*60*24</f>
        <v>5.0318099999999821E-3</v>
      </c>
    </row>
    <row r="6194" spans="1:12">
      <c r="A6194" s="22">
        <v>40314.933333333334</v>
      </c>
      <c r="E6194" s="26">
        <v>15.180479999999999</v>
      </c>
      <c r="G6194" s="27">
        <v>0.93333333333333324</v>
      </c>
      <c r="J6194" s="30">
        <f>IF(G6194&lt;$H$10,$H$16,IF(G6194&gt;$I$10,$H$16,$H$11))*E6194/600</f>
        <v>5.0601600000000002E-3</v>
      </c>
      <c r="L6194" s="32">
        <f>$J6194*($G6194-$G6193)*60*24</f>
        <v>5.0601599999991736E-3</v>
      </c>
    </row>
    <row r="6195" spans="1:12">
      <c r="A6195" s="22">
        <v>40314.934027777781</v>
      </c>
      <c r="E6195" s="26">
        <v>14.918652</v>
      </c>
      <c r="G6195" s="27">
        <v>0.93402777777777779</v>
      </c>
      <c r="J6195" s="30">
        <f>IF(G6195&lt;$H$10,$H$16,IF(G6195&gt;$I$10,$H$16,$H$11))*E6195/600</f>
        <v>4.9728840000000003E-3</v>
      </c>
      <c r="L6195" s="32">
        <f>$J6195*($G6195-$G6194)*60*24</f>
        <v>4.9728840000007775E-3</v>
      </c>
    </row>
    <row r="6196" spans="1:12">
      <c r="A6196" s="22">
        <v>40314.93472222222</v>
      </c>
      <c r="E6196" s="26">
        <v>14.734114</v>
      </c>
      <c r="G6196" s="27">
        <v>0.93472222222222223</v>
      </c>
      <c r="J6196" s="30">
        <f>IF(G6196&lt;$H$10,$H$16,IF(G6196&gt;$I$10,$H$16,$H$11))*E6196/600</f>
        <v>4.9113713333333335E-3</v>
      </c>
      <c r="L6196" s="32">
        <f>$J6196*($G6196-$G6195)*60*24</f>
        <v>4.911371333333317E-3</v>
      </c>
    </row>
    <row r="6197" spans="1:12">
      <c r="A6197" s="22">
        <v>40314.935416666667</v>
      </c>
      <c r="E6197" s="26">
        <v>14.898618000000001</v>
      </c>
      <c r="G6197" s="27">
        <v>0.93541666666666667</v>
      </c>
      <c r="J6197" s="30">
        <f>IF(G6197&lt;$H$10,$H$16,IF(G6197&gt;$I$10,$H$16,$H$11))*E6197/600</f>
        <v>4.9662060000000008E-3</v>
      </c>
      <c r="L6197" s="32">
        <f>$J6197*($G6197-$G6196)*60*24</f>
        <v>4.9662059999999834E-3</v>
      </c>
    </row>
    <row r="6198" spans="1:12">
      <c r="A6198" s="22">
        <v>40314.936111111114</v>
      </c>
      <c r="E6198" s="26">
        <v>14.851872</v>
      </c>
      <c r="G6198" s="27">
        <v>0.93611111111111101</v>
      </c>
      <c r="J6198" s="30">
        <f>IF(G6198&lt;$H$10,$H$16,IF(G6198&gt;$I$10,$H$16,$H$11))*E6198/600</f>
        <v>4.9506240000000007E-3</v>
      </c>
      <c r="L6198" s="32">
        <f>$J6198*($G6198-$G6197)*60*24</f>
        <v>4.9506239999991914E-3</v>
      </c>
    </row>
    <row r="6199" spans="1:12">
      <c r="A6199" s="22">
        <v>40314.936805555553</v>
      </c>
      <c r="E6199" s="26">
        <v>14.871905999999999</v>
      </c>
      <c r="G6199" s="27">
        <v>0.93680555555555556</v>
      </c>
      <c r="J6199" s="30">
        <f>IF(G6199&lt;$H$10,$H$16,IF(G6199&gt;$I$10,$H$16,$H$11))*E6199/600</f>
        <v>4.9573019999999994E-3</v>
      </c>
      <c r="L6199" s="32">
        <f>$J6199*($G6199-$G6198)*60*24</f>
        <v>4.9573020000007739E-3</v>
      </c>
    </row>
    <row r="6200" spans="1:12">
      <c r="A6200" s="22">
        <v>40314.9375</v>
      </c>
      <c r="E6200" s="26">
        <v>14.838516</v>
      </c>
      <c r="G6200" s="27">
        <v>0.9375</v>
      </c>
      <c r="J6200" s="30">
        <f>IF(G6200&lt;$H$10,$H$16,IF(G6200&gt;$I$10,$H$16,$H$11))*E6200/600</f>
        <v>4.9461720000000004E-3</v>
      </c>
      <c r="L6200" s="32">
        <f>$J6200*($G6200-$G6199)*60*24</f>
        <v>4.9461719999999831E-3</v>
      </c>
    </row>
    <row r="6201" spans="1:12">
      <c r="A6201" s="22">
        <v>40314.938194444447</v>
      </c>
      <c r="E6201" s="26">
        <v>14.878584</v>
      </c>
      <c r="G6201" s="27">
        <v>0.93819444444444444</v>
      </c>
      <c r="J6201" s="30">
        <f>IF(G6201&lt;$H$10,$H$16,IF(G6201&gt;$I$10,$H$16,$H$11))*E6201/600</f>
        <v>4.9595280000000004E-3</v>
      </c>
      <c r="L6201" s="32">
        <f>$J6201*($G6201-$G6200)*60*24</f>
        <v>4.959527999999983E-3</v>
      </c>
    </row>
    <row r="6202" spans="1:12">
      <c r="A6202" s="22">
        <v>40314.938888888886</v>
      </c>
      <c r="E6202" s="26">
        <v>14.878584</v>
      </c>
      <c r="G6202" s="27">
        <v>0.93888888888888899</v>
      </c>
      <c r="J6202" s="30">
        <f>IF(G6202&lt;$H$10,$H$16,IF(G6202&gt;$I$10,$H$16,$H$11))*E6202/600</f>
        <v>4.9595280000000004E-3</v>
      </c>
      <c r="L6202" s="32">
        <f>$J6202*($G6202-$G6201)*60*24</f>
        <v>4.9595280000007758E-3</v>
      </c>
    </row>
    <row r="6203" spans="1:12">
      <c r="A6203" s="22">
        <v>40314.939583333333</v>
      </c>
      <c r="E6203" s="26">
        <v>14.77791</v>
      </c>
      <c r="G6203" s="27">
        <v>0.93958333333333333</v>
      </c>
      <c r="J6203" s="30">
        <f>IF(G6203&lt;$H$10,$H$16,IF(G6203&gt;$I$10,$H$16,$H$11))*E6203/600</f>
        <v>4.92597E-3</v>
      </c>
      <c r="L6203" s="32">
        <f>$J6203*($G6203-$G6202)*60*24</f>
        <v>4.9259699999991951E-3</v>
      </c>
    </row>
    <row r="6204" spans="1:12">
      <c r="A6204" s="22">
        <v>40314.94027777778</v>
      </c>
      <c r="E6204" s="26">
        <v>15.066240000000001</v>
      </c>
      <c r="G6204" s="27">
        <v>0.94027777777777777</v>
      </c>
      <c r="J6204" s="30">
        <f>IF(G6204&lt;$H$10,$H$16,IF(G6204&gt;$I$10,$H$16,$H$11))*E6204/600</f>
        <v>5.0220800000000008E-3</v>
      </c>
      <c r="L6204" s="32">
        <f>$J6204*($G6204-$G6203)*60*24</f>
        <v>5.0220799999999826E-3</v>
      </c>
    </row>
    <row r="6205" spans="1:12">
      <c r="A6205" s="22">
        <v>40314.940972222219</v>
      </c>
      <c r="E6205" s="26">
        <v>14.896127999999999</v>
      </c>
      <c r="G6205" s="27">
        <v>0.94097222222222221</v>
      </c>
      <c r="J6205" s="30">
        <f>IF(G6205&lt;$H$10,$H$16,IF(G6205&gt;$I$10,$H$16,$H$11))*E6205/600</f>
        <v>4.9653759999999996E-3</v>
      </c>
      <c r="L6205" s="32">
        <f>$J6205*($G6205-$G6204)*60*24</f>
        <v>4.9653759999999814E-3</v>
      </c>
    </row>
    <row r="6206" spans="1:12">
      <c r="A6206" s="22">
        <v>40314.941666666666</v>
      </c>
      <c r="E6206" s="26">
        <v>14.89194</v>
      </c>
      <c r="G6206" s="27">
        <v>0.94166666666666676</v>
      </c>
      <c r="J6206" s="30">
        <f>IF(G6206&lt;$H$10,$H$16,IF(G6206&gt;$I$10,$H$16,$H$11))*E6206/600</f>
        <v>4.9639800000000006E-3</v>
      </c>
      <c r="L6206" s="32">
        <f>$J6206*($G6206-$G6205)*60*24</f>
        <v>4.9639800000007769E-3</v>
      </c>
    </row>
    <row r="6207" spans="1:12">
      <c r="A6207" s="22">
        <v>40314.942361111112</v>
      </c>
      <c r="E6207" s="26">
        <v>14.918652</v>
      </c>
      <c r="G6207" s="27">
        <v>0.94236111111111109</v>
      </c>
      <c r="J6207" s="30">
        <f>IF(G6207&lt;$H$10,$H$16,IF(G6207&gt;$I$10,$H$16,$H$11))*E6207/600</f>
        <v>4.9728840000000003E-3</v>
      </c>
      <c r="L6207" s="32">
        <f>$J6207*($G6207-$G6206)*60*24</f>
        <v>4.9728839999991876E-3</v>
      </c>
    </row>
    <row r="6208" spans="1:12">
      <c r="A6208" s="22">
        <v>40314.943055555559</v>
      </c>
      <c r="E6208" s="26">
        <v>15.01248</v>
      </c>
      <c r="G6208" s="27">
        <v>0.94305555555555554</v>
      </c>
      <c r="J6208" s="30">
        <f>IF(G6208&lt;$H$10,$H$16,IF(G6208&gt;$I$10,$H$16,$H$11))*E6208/600</f>
        <v>5.0041600000000006E-3</v>
      </c>
      <c r="L6208" s="32">
        <f>$J6208*($G6208-$G6207)*60*24</f>
        <v>5.0041599999999832E-3</v>
      </c>
    </row>
    <row r="6209" spans="1:12">
      <c r="A6209" s="22">
        <v>40314.943749999999</v>
      </c>
      <c r="E6209" s="26">
        <v>14.797755</v>
      </c>
      <c r="G6209" s="27">
        <v>0.94374999999999998</v>
      </c>
      <c r="J6209" s="30">
        <f>IF(G6209&lt;$H$10,$H$16,IF(G6209&gt;$I$10,$H$16,$H$11))*E6209/600</f>
        <v>4.9325850000000006E-3</v>
      </c>
      <c r="L6209" s="32">
        <f>$J6209*($G6209-$G6208)*60*24</f>
        <v>4.9325849999999833E-3</v>
      </c>
    </row>
    <row r="6210" spans="1:12">
      <c r="A6210" s="22">
        <v>40314.944444444445</v>
      </c>
      <c r="E6210" s="26">
        <v>14.972075999999999</v>
      </c>
      <c r="G6210" s="27">
        <v>0.94444444444444453</v>
      </c>
      <c r="J6210" s="30">
        <f>IF(G6210&lt;$H$10,$H$16,IF(G6210&gt;$I$10,$H$16,$H$11))*E6210/600</f>
        <v>4.9906920000000006E-3</v>
      </c>
      <c r="L6210" s="32">
        <f>$J6210*($G6210-$G6209)*60*24</f>
        <v>4.9906920000007812E-3</v>
      </c>
    </row>
    <row r="6211" spans="1:12">
      <c r="A6211" s="22">
        <v>40314.945138888892</v>
      </c>
      <c r="E6211" s="26">
        <v>15.14016</v>
      </c>
      <c r="G6211" s="27">
        <v>0.94513888888888886</v>
      </c>
      <c r="J6211" s="30">
        <f>IF(G6211&lt;$H$10,$H$16,IF(G6211&gt;$I$10,$H$16,$H$11))*E6211/600</f>
        <v>5.0467200000000002E-3</v>
      </c>
      <c r="L6211" s="32">
        <f>$J6211*($G6211-$G6210)*60*24</f>
        <v>5.0467199999991753E-3</v>
      </c>
    </row>
    <row r="6212" spans="1:12">
      <c r="A6212" s="22">
        <v>40314.945833333331</v>
      </c>
      <c r="E6212" s="26">
        <v>15.16704</v>
      </c>
      <c r="G6212" s="27">
        <v>0.9458333333333333</v>
      </c>
      <c r="J6212" s="30">
        <f>IF(G6212&lt;$H$10,$H$16,IF(G6212&gt;$I$10,$H$16,$H$11))*E6212/600</f>
        <v>5.0556799999999999E-3</v>
      </c>
      <c r="L6212" s="32">
        <f>$J6212*($G6212-$G6211)*60*24</f>
        <v>5.0556799999999817E-3</v>
      </c>
    </row>
    <row r="6213" spans="1:12">
      <c r="A6213" s="22">
        <v>40314.946527777778</v>
      </c>
      <c r="E6213" s="26">
        <v>15.126720000000001</v>
      </c>
      <c r="G6213" s="27">
        <v>0.94652777777777775</v>
      </c>
      <c r="J6213" s="30">
        <f>IF(G6213&lt;$H$10,$H$16,IF(G6213&gt;$I$10,$H$16,$H$11))*E6213/600</f>
        <v>5.0422400000000008E-3</v>
      </c>
      <c r="L6213" s="32">
        <f>$J6213*($G6213-$G6212)*60*24</f>
        <v>5.0422399999999826E-3</v>
      </c>
    </row>
    <row r="6214" spans="1:12">
      <c r="A6214" s="22">
        <v>40314.947222222225</v>
      </c>
      <c r="E6214" s="26">
        <v>14.811804</v>
      </c>
      <c r="G6214" s="27">
        <v>0.9472222222222223</v>
      </c>
      <c r="J6214" s="30">
        <f>IF(G6214&lt;$H$10,$H$16,IF(G6214&gt;$I$10,$H$16,$H$11))*E6214/600</f>
        <v>4.9372680000000007E-3</v>
      </c>
      <c r="L6214" s="32">
        <f>$J6214*($G6214-$G6213)*60*24</f>
        <v>4.9372680000007727E-3</v>
      </c>
    </row>
    <row r="6215" spans="1:12">
      <c r="A6215" s="22">
        <v>40314.947916666664</v>
      </c>
      <c r="E6215" s="26">
        <v>14.785092000000001</v>
      </c>
      <c r="G6215" s="27">
        <v>0.94791666666666663</v>
      </c>
      <c r="J6215" s="30">
        <f>IF(G6215&lt;$H$10,$H$16,IF(G6215&gt;$I$10,$H$16,$H$11))*E6215/600</f>
        <v>4.928364000000001E-3</v>
      </c>
      <c r="L6215" s="32">
        <f>$J6215*($G6215-$G6214)*60*24</f>
        <v>4.9283639999991961E-3</v>
      </c>
    </row>
    <row r="6216" spans="1:12">
      <c r="A6216" s="22">
        <v>40314.948611111111</v>
      </c>
      <c r="E6216" s="26">
        <v>14.798448</v>
      </c>
      <c r="G6216" s="27">
        <v>0.94861111111111107</v>
      </c>
      <c r="J6216" s="30">
        <f>IF(G6216&lt;$H$10,$H$16,IF(G6216&gt;$I$10,$H$16,$H$11))*E6216/600</f>
        <v>4.9328160000000005E-3</v>
      </c>
      <c r="L6216" s="32">
        <f>$J6216*($G6216-$G6215)*60*24</f>
        <v>4.9328159999999831E-3</v>
      </c>
    </row>
    <row r="6217" spans="1:12">
      <c r="A6217" s="22">
        <v>40314.949305555558</v>
      </c>
      <c r="E6217" s="26">
        <v>14.805126</v>
      </c>
      <c r="G6217" s="27">
        <v>0.94930555555555562</v>
      </c>
      <c r="J6217" s="30">
        <f>IF(G6217&lt;$H$10,$H$16,IF(G6217&gt;$I$10,$H$16,$H$11))*E6217/600</f>
        <v>4.9350419999999997E-3</v>
      </c>
      <c r="L6217" s="32">
        <f>$J6217*($G6217-$G6216)*60*24</f>
        <v>4.9350420000007717E-3</v>
      </c>
    </row>
    <row r="6218" spans="1:12">
      <c r="A6218" s="22">
        <v>40314.949999999997</v>
      </c>
      <c r="E6218" s="26">
        <v>14.785092000000001</v>
      </c>
      <c r="G6218" s="27">
        <v>0.95000000000000007</v>
      </c>
      <c r="J6218" s="30">
        <f>IF(G6218&lt;$H$10,$H$16,IF(G6218&gt;$I$10,$H$16,$H$11))*E6218/600</f>
        <v>4.928364000000001E-3</v>
      </c>
      <c r="L6218" s="32">
        <f>$J6218*($G6218-$G6217)*60*24</f>
        <v>4.9283639999999837E-3</v>
      </c>
    </row>
    <row r="6219" spans="1:12">
      <c r="A6219" s="22">
        <v>40314.950694444444</v>
      </c>
      <c r="E6219" s="26">
        <v>14.805126</v>
      </c>
      <c r="G6219" s="27">
        <v>0.9506944444444444</v>
      </c>
      <c r="J6219" s="30">
        <f>IF(G6219&lt;$H$10,$H$16,IF(G6219&gt;$I$10,$H$16,$H$11))*E6219/600</f>
        <v>4.9350419999999997E-3</v>
      </c>
      <c r="L6219" s="32">
        <f>$J6219*($G6219-$G6218)*60*24</f>
        <v>4.9350419999991931E-3</v>
      </c>
    </row>
    <row r="6220" spans="1:12">
      <c r="A6220" s="22">
        <v>40314.951388888891</v>
      </c>
      <c r="E6220" s="26">
        <v>14.999040000000001</v>
      </c>
      <c r="G6220" s="27">
        <v>0.95138888888888884</v>
      </c>
      <c r="J6220" s="30">
        <f>IF(G6220&lt;$H$10,$H$16,IF(G6220&gt;$I$10,$H$16,$H$11))*E6220/600</f>
        <v>4.9996800000000003E-3</v>
      </c>
      <c r="L6220" s="32">
        <f>$J6220*($G6220-$G6219)*60*24</f>
        <v>4.9996799999999821E-3</v>
      </c>
    </row>
    <row r="6221" spans="1:12">
      <c r="A6221" s="22">
        <v>40314.95208333333</v>
      </c>
      <c r="E6221" s="26">
        <v>15.066240000000001</v>
      </c>
      <c r="G6221" s="27">
        <v>0.95208333333333339</v>
      </c>
      <c r="J6221" s="30">
        <f>IF(G6221&lt;$H$10,$H$16,IF(G6221&gt;$I$10,$H$16,$H$11))*E6221/600</f>
        <v>5.0220800000000008E-3</v>
      </c>
      <c r="L6221" s="32">
        <f>$J6221*($G6221-$G6220)*60*24</f>
        <v>5.0220800000007858E-3</v>
      </c>
    </row>
    <row r="6222" spans="1:12">
      <c r="A6222" s="22">
        <v>40314.952777777777</v>
      </c>
      <c r="E6222" s="26">
        <v>15.03936</v>
      </c>
      <c r="G6222" s="27">
        <v>0.95277777777777783</v>
      </c>
      <c r="J6222" s="30">
        <f>IF(G6222&lt;$H$10,$H$16,IF(G6222&gt;$I$10,$H$16,$H$11))*E6222/600</f>
        <v>5.0131200000000002E-3</v>
      </c>
      <c r="L6222" s="32">
        <f>$J6222*($G6222-$G6221)*60*24</f>
        <v>5.013119999999982E-3</v>
      </c>
    </row>
    <row r="6223" spans="1:12">
      <c r="A6223" s="22">
        <v>40314.953472222223</v>
      </c>
      <c r="E6223" s="26">
        <v>14.771295</v>
      </c>
      <c r="G6223" s="27">
        <v>0.95347222222222217</v>
      </c>
      <c r="J6223" s="30">
        <f>IF(G6223&lt;$H$10,$H$16,IF(G6223&gt;$I$10,$H$16,$H$11))*E6223/600</f>
        <v>4.923765000000001E-3</v>
      </c>
      <c r="L6223" s="32">
        <f>$J6223*($G6223-$G6222)*60*24</f>
        <v>4.923764999999196E-3</v>
      </c>
    </row>
    <row r="6224" spans="1:12">
      <c r="A6224" s="22">
        <v>40314.95416666667</v>
      </c>
      <c r="E6224" s="26">
        <v>14.851872</v>
      </c>
      <c r="G6224" s="27">
        <v>0.95416666666666661</v>
      </c>
      <c r="J6224" s="30">
        <f>IF(G6224&lt;$H$10,$H$16,IF(G6224&gt;$I$10,$H$16,$H$11))*E6224/600</f>
        <v>4.9506240000000007E-3</v>
      </c>
      <c r="L6224" s="32">
        <f>$J6224*($G6224-$G6223)*60*24</f>
        <v>4.9506239999999833E-3</v>
      </c>
    </row>
    <row r="6225" spans="1:12">
      <c r="A6225" s="22">
        <v>40314.954861111109</v>
      </c>
      <c r="E6225" s="26">
        <v>14.71176</v>
      </c>
      <c r="G6225" s="27">
        <v>0.95486111111111116</v>
      </c>
      <c r="J6225" s="30">
        <f>IF(G6225&lt;$H$10,$H$16,IF(G6225&gt;$I$10,$H$16,$H$11))*E6225/600</f>
        <v>4.90392E-3</v>
      </c>
      <c r="L6225" s="32">
        <f>$J6225*($G6225-$G6224)*60*24</f>
        <v>4.9039200000007659E-3</v>
      </c>
    </row>
    <row r="6226" spans="1:12">
      <c r="A6226" s="22">
        <v>40314.955555555556</v>
      </c>
      <c r="E6226" s="26">
        <v>14.95872</v>
      </c>
      <c r="G6226" s="27">
        <v>0.9555555555555556</v>
      </c>
      <c r="J6226" s="30">
        <f>IF(G6226&lt;$H$10,$H$16,IF(G6226&gt;$I$10,$H$16,$H$11))*E6226/600</f>
        <v>4.9862400000000003E-3</v>
      </c>
      <c r="L6226" s="32">
        <f>$J6226*($G6226-$G6225)*60*24</f>
        <v>4.9862399999999821E-3</v>
      </c>
    </row>
    <row r="6227" spans="1:12">
      <c r="A6227" s="22">
        <v>40314.956250000003</v>
      </c>
      <c r="E6227" s="26">
        <v>14.91168</v>
      </c>
      <c r="G6227" s="27">
        <v>0.95624999999999993</v>
      </c>
      <c r="J6227" s="30">
        <f>IF(G6227&lt;$H$10,$H$16,IF(G6227&gt;$I$10,$H$16,$H$11))*E6227/600</f>
        <v>4.9705599999999997E-3</v>
      </c>
      <c r="L6227" s="32">
        <f>$J6227*($G6227-$G6226)*60*24</f>
        <v>4.9705599999991879E-3</v>
      </c>
    </row>
    <row r="6228" spans="1:12">
      <c r="A6228" s="22">
        <v>40314.956944444442</v>
      </c>
      <c r="E6228" s="26">
        <v>14.745024000000001</v>
      </c>
      <c r="G6228" s="27">
        <v>0.95694444444444438</v>
      </c>
      <c r="J6228" s="30">
        <f>IF(G6228&lt;$H$10,$H$16,IF(G6228&gt;$I$10,$H$16,$H$11))*E6228/600</f>
        <v>4.9150080000000011E-3</v>
      </c>
      <c r="L6228" s="32">
        <f>$J6228*($G6228-$G6227)*60*24</f>
        <v>4.9150079999999837E-3</v>
      </c>
    </row>
    <row r="6229" spans="1:12">
      <c r="A6229" s="22">
        <v>40314.957638888889</v>
      </c>
      <c r="E6229" s="26">
        <v>14.869503999999999</v>
      </c>
      <c r="G6229" s="27">
        <v>0.95763888888888893</v>
      </c>
      <c r="J6229" s="30">
        <f>IF(G6229&lt;$H$10,$H$16,IF(G6229&gt;$I$10,$H$16,$H$11))*E6229/600</f>
        <v>4.9565013333333335E-3</v>
      </c>
      <c r="L6229" s="32">
        <f>$J6229*($G6229-$G6228)*60*24</f>
        <v>4.956501333334108E-3</v>
      </c>
    </row>
    <row r="6230" spans="1:12">
      <c r="A6230" s="22">
        <v>40314.958333333336</v>
      </c>
      <c r="E6230" s="26">
        <v>14.90944</v>
      </c>
      <c r="G6230" s="27">
        <v>0.95833333333333337</v>
      </c>
      <c r="J6230" s="30">
        <f>IF(G6230&lt;$H$10,$H$16,IF(G6230&gt;$I$10,$H$16,$H$11))*E6230/600</f>
        <v>4.9698133333333332E-3</v>
      </c>
      <c r="L6230" s="32">
        <f>$J6230*($G6230-$G6229)*60*24</f>
        <v>4.969813333333315E-3</v>
      </c>
    </row>
    <row r="6231" spans="1:12">
      <c r="A6231" s="22">
        <v>40314.959027777775</v>
      </c>
      <c r="E6231" s="26">
        <v>14.8512</v>
      </c>
      <c r="G6231" s="27">
        <v>0.9590277777777777</v>
      </c>
      <c r="J6231" s="30">
        <f>IF(G6231&lt;$H$10,$H$16,IF(G6231&gt;$I$10,$H$16,$H$11))*E6231/600</f>
        <v>4.9504000000000006E-3</v>
      </c>
      <c r="L6231" s="32">
        <f>$J6231*($G6231-$G6230)*60*24</f>
        <v>4.9503999999991914E-3</v>
      </c>
    </row>
    <row r="6232" spans="1:12">
      <c r="A6232" s="22">
        <v>40314.959722222222</v>
      </c>
      <c r="E6232" s="26">
        <v>14.592689999999999</v>
      </c>
      <c r="G6232" s="27">
        <v>0.95972222222222225</v>
      </c>
      <c r="J6232" s="30">
        <f>IF(G6232&lt;$H$10,$H$16,IF(G6232&gt;$I$10,$H$16,$H$11))*E6232/600</f>
        <v>4.8642299999999998E-3</v>
      </c>
      <c r="L6232" s="32">
        <f>$J6232*($G6232-$G6231)*60*24</f>
        <v>4.8642300000007604E-3</v>
      </c>
    </row>
    <row r="6233" spans="1:12">
      <c r="A6233" s="22">
        <v>40314.960416666669</v>
      </c>
      <c r="E6233" s="26">
        <v>14.625764999999999</v>
      </c>
      <c r="G6233" s="27">
        <v>0.9604166666666667</v>
      </c>
      <c r="J6233" s="30">
        <f>IF(G6233&lt;$H$10,$H$16,IF(G6233&gt;$I$10,$H$16,$H$11))*E6233/600</f>
        <v>4.8752550000000002E-3</v>
      </c>
      <c r="L6233" s="32">
        <f>$J6233*($G6233-$G6232)*60*24</f>
        <v>4.8752549999999829E-3</v>
      </c>
    </row>
    <row r="6234" spans="1:12">
      <c r="A6234" s="22">
        <v>40314.961111111108</v>
      </c>
      <c r="E6234" s="26">
        <v>14.612534999999999</v>
      </c>
      <c r="G6234" s="27">
        <v>0.96111111111111114</v>
      </c>
      <c r="J6234" s="30">
        <f>IF(G6234&lt;$H$10,$H$16,IF(G6234&gt;$I$10,$H$16,$H$11))*E6234/600</f>
        <v>4.8708449999999995E-3</v>
      </c>
      <c r="L6234" s="32">
        <f>$J6234*($G6234-$G6233)*60*24</f>
        <v>4.8708449999999822E-3</v>
      </c>
    </row>
    <row r="6235" spans="1:12">
      <c r="A6235" s="22">
        <v>40314.961805555555</v>
      </c>
      <c r="E6235" s="26">
        <v>14.612534999999999</v>
      </c>
      <c r="G6235" s="27">
        <v>0.96180555555555547</v>
      </c>
      <c r="J6235" s="30">
        <f>IF(G6235&lt;$H$10,$H$16,IF(G6235&gt;$I$10,$H$16,$H$11))*E6235/600</f>
        <v>4.8708449999999995E-3</v>
      </c>
      <c r="L6235" s="32">
        <f>$J6235*($G6235-$G6234)*60*24</f>
        <v>4.8708449999992033E-3</v>
      </c>
    </row>
    <row r="6236" spans="1:12">
      <c r="A6236" s="22">
        <v>40314.962500000001</v>
      </c>
      <c r="E6236" s="26">
        <v>14.612534999999999</v>
      </c>
      <c r="G6236" s="27">
        <v>0.96250000000000002</v>
      </c>
      <c r="J6236" s="30">
        <f>IF(G6236&lt;$H$10,$H$16,IF(G6236&gt;$I$10,$H$16,$H$11))*E6236/600</f>
        <v>4.8708449999999995E-3</v>
      </c>
      <c r="L6236" s="32">
        <f>$J6236*($G6236-$G6235)*60*24</f>
        <v>4.8708450000007611E-3</v>
      </c>
    </row>
    <row r="6237" spans="1:12">
      <c r="A6237" s="22">
        <v>40314.963194444441</v>
      </c>
      <c r="E6237" s="26">
        <v>14.619149999999999</v>
      </c>
      <c r="G6237" s="27">
        <v>0.96319444444444446</v>
      </c>
      <c r="J6237" s="30">
        <f>IF(G6237&lt;$H$10,$H$16,IF(G6237&gt;$I$10,$H$16,$H$11))*E6237/600</f>
        <v>4.8730500000000003E-3</v>
      </c>
      <c r="L6237" s="32">
        <f>$J6237*($G6237-$G6236)*60*24</f>
        <v>4.873049999999983E-3</v>
      </c>
    </row>
    <row r="6238" spans="1:12">
      <c r="A6238" s="22">
        <v>40314.963888888888</v>
      </c>
      <c r="E6238" s="26">
        <v>14.738346</v>
      </c>
      <c r="G6238" s="27">
        <v>0.96388888888888891</v>
      </c>
      <c r="J6238" s="30">
        <f>IF(G6238&lt;$H$10,$H$16,IF(G6238&gt;$I$10,$H$16,$H$11))*E6238/600</f>
        <v>4.9127820000000001E-3</v>
      </c>
      <c r="L6238" s="32">
        <f>$J6238*($G6238-$G6237)*60*24</f>
        <v>4.9127819999999827E-3</v>
      </c>
    </row>
    <row r="6239" spans="1:12">
      <c r="A6239" s="22">
        <v>40314.964583333334</v>
      </c>
      <c r="E6239" s="26">
        <v>14.72499</v>
      </c>
      <c r="G6239" s="27">
        <v>0.96458333333333324</v>
      </c>
      <c r="J6239" s="30">
        <f>IF(G6239&lt;$H$10,$H$16,IF(G6239&gt;$I$10,$H$16,$H$11))*E6239/600</f>
        <v>4.9083299999999998E-3</v>
      </c>
      <c r="L6239" s="32">
        <f>$J6239*($G6239-$G6238)*60*24</f>
        <v>4.9083299999991975E-3</v>
      </c>
    </row>
    <row r="6240" spans="1:12">
      <c r="A6240" s="22">
        <v>40314.965277777781</v>
      </c>
      <c r="E6240" s="26">
        <v>14.956032</v>
      </c>
      <c r="G6240" s="27">
        <v>0.96527777777777779</v>
      </c>
      <c r="J6240" s="30">
        <f>IF(G6240&lt;$H$10,$H$16,IF(G6240&gt;$I$10,$H$16,$H$11))*E6240/600</f>
        <v>4.9853440000000001E-3</v>
      </c>
      <c r="L6240" s="32">
        <f>$J6240*($G6240-$G6239)*60*24</f>
        <v>4.9853440000007798E-3</v>
      </c>
    </row>
    <row r="6241" spans="1:12">
      <c r="A6241" s="22">
        <v>40314.96597222222</v>
      </c>
      <c r="E6241" s="26">
        <v>14.982656</v>
      </c>
      <c r="G6241" s="27">
        <v>0.96597222222222223</v>
      </c>
      <c r="J6241" s="30">
        <f>IF(G6241&lt;$H$10,$H$16,IF(G6241&gt;$I$10,$H$16,$H$11))*E6241/600</f>
        <v>4.9942186666666671E-3</v>
      </c>
      <c r="L6241" s="32">
        <f>$J6241*($G6241-$G6240)*60*24</f>
        <v>4.9942186666666489E-3</v>
      </c>
    </row>
    <row r="6242" spans="1:12">
      <c r="A6242" s="22">
        <v>40314.966666666667</v>
      </c>
      <c r="E6242" s="26">
        <v>14.989312</v>
      </c>
      <c r="G6242" s="27">
        <v>0.96666666666666667</v>
      </c>
      <c r="J6242" s="30">
        <f>IF(G6242&lt;$H$10,$H$16,IF(G6242&gt;$I$10,$H$16,$H$11))*E6242/600</f>
        <v>4.9964373333333334E-3</v>
      </c>
      <c r="L6242" s="32">
        <f>$J6242*($G6242-$G6241)*60*24</f>
        <v>4.9964373333333152E-3</v>
      </c>
    </row>
    <row r="6243" spans="1:12">
      <c r="A6243" s="22">
        <v>40314.967361111114</v>
      </c>
      <c r="E6243" s="26">
        <v>15.130699999999999</v>
      </c>
      <c r="G6243" s="27">
        <v>0.96736111111111101</v>
      </c>
      <c r="J6243" s="30">
        <f>IF(G6243&lt;$H$10,$H$16,IF(G6243&gt;$I$10,$H$16,$H$11))*E6243/600</f>
        <v>5.0435666666666665E-3</v>
      </c>
      <c r="L6243" s="32">
        <f>$J6243*($G6243-$G6242)*60*24</f>
        <v>5.0435666666658425E-3</v>
      </c>
    </row>
    <row r="6244" spans="1:12">
      <c r="A6244" s="22">
        <v>40314.968055555553</v>
      </c>
      <c r="E6244" s="26">
        <v>15.15748</v>
      </c>
      <c r="G6244" s="27">
        <v>0.96805555555555556</v>
      </c>
      <c r="J6244" s="30">
        <f>IF(G6244&lt;$H$10,$H$16,IF(G6244&gt;$I$10,$H$16,$H$11))*E6244/600</f>
        <v>5.0524933333333339E-3</v>
      </c>
      <c r="L6244" s="32">
        <f>$J6244*($G6244-$G6243)*60*24</f>
        <v>5.0524933333341232E-3</v>
      </c>
    </row>
    <row r="6245" spans="1:12">
      <c r="A6245" s="22">
        <v>40314.96875</v>
      </c>
      <c r="E6245" s="26">
        <v>15.124005</v>
      </c>
      <c r="G6245" s="27">
        <v>0.96875</v>
      </c>
      <c r="J6245" s="30">
        <f>IF(G6245&lt;$H$10,$H$16,IF(G6245&gt;$I$10,$H$16,$H$11))*E6245/600</f>
        <v>5.0413350000000001E-3</v>
      </c>
      <c r="L6245" s="32">
        <f>$J6245*($G6245-$G6244)*60*24</f>
        <v>5.0413349999999819E-3</v>
      </c>
    </row>
    <row r="6246" spans="1:12">
      <c r="A6246" s="22">
        <v>40314.969444444447</v>
      </c>
      <c r="E6246" s="26">
        <v>15.04256</v>
      </c>
      <c r="G6246" s="27">
        <v>0.96944444444444444</v>
      </c>
      <c r="J6246" s="30">
        <f>IF(G6246&lt;$H$10,$H$16,IF(G6246&gt;$I$10,$H$16,$H$11))*E6246/600</f>
        <v>5.0141866666666667E-3</v>
      </c>
      <c r="L6246" s="32">
        <f>$J6246*($G6246-$G6245)*60*24</f>
        <v>5.0141866666666493E-3</v>
      </c>
    </row>
    <row r="6247" spans="1:12">
      <c r="A6247" s="22">
        <v>40314.970138888886</v>
      </c>
      <c r="E6247" s="26">
        <v>15.14409</v>
      </c>
      <c r="G6247" s="27">
        <v>0.97013888888888899</v>
      </c>
      <c r="J6247" s="30">
        <f>IF(G6247&lt;$H$10,$H$16,IF(G6247&gt;$I$10,$H$16,$H$11))*E6247/600</f>
        <v>5.0480300000000002E-3</v>
      </c>
      <c r="L6247" s="32">
        <f>$J6247*($G6247-$G6246)*60*24</f>
        <v>5.0480300000007895E-3</v>
      </c>
    </row>
    <row r="6248" spans="1:12">
      <c r="A6248" s="22">
        <v>40314.970833333333</v>
      </c>
      <c r="E6248" s="26">
        <v>15.049215999999999</v>
      </c>
      <c r="G6248" s="27">
        <v>0.97083333333333333</v>
      </c>
      <c r="J6248" s="30">
        <f>IF(G6248&lt;$H$10,$H$16,IF(G6248&gt;$I$10,$H$16,$H$11))*E6248/600</f>
        <v>5.0164053333333338E-3</v>
      </c>
      <c r="L6248" s="32">
        <f>$J6248*($G6248-$G6247)*60*24</f>
        <v>5.0164053333325142E-3</v>
      </c>
    </row>
    <row r="6249" spans="1:12">
      <c r="A6249" s="22">
        <v>40314.97152777778</v>
      </c>
      <c r="E6249" s="26">
        <v>14.937472</v>
      </c>
      <c r="G6249" s="27">
        <v>0.97152777777777777</v>
      </c>
      <c r="J6249" s="30">
        <f>IF(G6249&lt;$H$10,$H$16,IF(G6249&gt;$I$10,$H$16,$H$11))*E6249/600</f>
        <v>4.9791573333333337E-3</v>
      </c>
      <c r="L6249" s="32">
        <f>$J6249*($G6249-$G6248)*60*24</f>
        <v>4.9791573333333164E-3</v>
      </c>
    </row>
    <row r="6250" spans="1:12">
      <c r="A6250" s="22">
        <v>40314.972222222219</v>
      </c>
      <c r="E6250" s="26">
        <v>15.049215999999999</v>
      </c>
      <c r="G6250" s="27">
        <v>0.97222222222222221</v>
      </c>
      <c r="J6250" s="30">
        <f>IF(G6250&lt;$H$10,$H$16,IF(G6250&gt;$I$10,$H$16,$H$11))*E6250/600</f>
        <v>5.0164053333333338E-3</v>
      </c>
      <c r="L6250" s="32">
        <f>$J6250*($G6250-$G6249)*60*24</f>
        <v>5.0164053333333156E-3</v>
      </c>
    </row>
    <row r="6251" spans="1:12">
      <c r="A6251" s="22">
        <v>40314.972916666666</v>
      </c>
      <c r="E6251" s="26">
        <v>15.055872000000001</v>
      </c>
      <c r="G6251" s="27">
        <v>0.97291666666666676</v>
      </c>
      <c r="J6251" s="30">
        <f>IF(G6251&lt;$H$10,$H$16,IF(G6251&gt;$I$10,$H$16,$H$11))*E6251/600</f>
        <v>5.0186240000000002E-3</v>
      </c>
      <c r="L6251" s="32">
        <f>$J6251*($G6251-$G6250)*60*24</f>
        <v>5.0186240000007851E-3</v>
      </c>
    </row>
    <row r="6252" spans="1:12">
      <c r="A6252" s="22">
        <v>40314.973611111112</v>
      </c>
      <c r="E6252" s="26">
        <v>15.022592</v>
      </c>
      <c r="G6252" s="27">
        <v>0.97361111111111109</v>
      </c>
      <c r="J6252" s="30">
        <f>IF(G6252&lt;$H$10,$H$16,IF(G6252&gt;$I$10,$H$16,$H$11))*E6252/600</f>
        <v>5.0075306666666668E-3</v>
      </c>
      <c r="L6252" s="32">
        <f>$J6252*($G6252-$G6251)*60*24</f>
        <v>5.007530666665848E-3</v>
      </c>
    </row>
    <row r="6253" spans="1:12">
      <c r="A6253" s="22">
        <v>40314.974305555559</v>
      </c>
      <c r="E6253" s="26">
        <v>14.962688</v>
      </c>
      <c r="G6253" s="27">
        <v>0.97430555555555554</v>
      </c>
      <c r="J6253" s="30">
        <f>IF(G6253&lt;$H$10,$H$16,IF(G6253&gt;$I$10,$H$16,$H$11))*E6253/600</f>
        <v>4.9875626666666673E-3</v>
      </c>
      <c r="L6253" s="32">
        <f>$J6253*($G6253-$G6252)*60*24</f>
        <v>4.9875626666666499E-3</v>
      </c>
    </row>
    <row r="6254" spans="1:12">
      <c r="A6254" s="22">
        <v>40314.974999999999</v>
      </c>
      <c r="E6254" s="26">
        <v>14.929408</v>
      </c>
      <c r="G6254" s="27">
        <v>0.97499999999999998</v>
      </c>
      <c r="J6254" s="30">
        <f>IF(G6254&lt;$H$10,$H$16,IF(G6254&gt;$I$10,$H$16,$H$11))*E6254/600</f>
        <v>4.9764693333333339E-3</v>
      </c>
      <c r="L6254" s="32">
        <f>$J6254*($G6254-$G6253)*60*24</f>
        <v>4.9764693333333165E-3</v>
      </c>
    </row>
    <row r="6255" spans="1:12">
      <c r="A6255" s="22">
        <v>40314.975694444445</v>
      </c>
      <c r="E6255" s="26">
        <v>14.962688</v>
      </c>
      <c r="G6255" s="27">
        <v>0.97569444444444453</v>
      </c>
      <c r="J6255" s="30">
        <f>IF(G6255&lt;$H$10,$H$16,IF(G6255&gt;$I$10,$H$16,$H$11))*E6255/600</f>
        <v>4.9875626666666673E-3</v>
      </c>
      <c r="L6255" s="32">
        <f>$J6255*($G6255-$G6254)*60*24</f>
        <v>4.987562666667447E-3</v>
      </c>
    </row>
    <row r="6256" spans="1:12">
      <c r="A6256" s="22">
        <v>40314.976388888892</v>
      </c>
      <c r="E6256" s="26">
        <v>14.982656</v>
      </c>
      <c r="G6256" s="27">
        <v>0.97638888888888886</v>
      </c>
      <c r="J6256" s="30">
        <f>IF(G6256&lt;$H$10,$H$16,IF(G6256&gt;$I$10,$H$16,$H$11))*E6256/600</f>
        <v>4.9942186666666671E-3</v>
      </c>
      <c r="L6256" s="32">
        <f>$J6256*($G6256-$G6255)*60*24</f>
        <v>4.9942186666658509E-3</v>
      </c>
    </row>
    <row r="6257" spans="1:12">
      <c r="A6257" s="22">
        <v>40314.977083333331</v>
      </c>
      <c r="E6257" s="26">
        <v>14.94272</v>
      </c>
      <c r="G6257" s="27">
        <v>0.9770833333333333</v>
      </c>
      <c r="J6257" s="30">
        <f>IF(G6257&lt;$H$10,$H$16,IF(G6257&gt;$I$10,$H$16,$H$11))*E6257/600</f>
        <v>4.9809066666666665E-3</v>
      </c>
      <c r="L6257" s="32">
        <f>$J6257*($G6257-$G6256)*60*24</f>
        <v>4.9809066666666492E-3</v>
      </c>
    </row>
    <row r="6258" spans="1:12">
      <c r="A6258" s="22">
        <v>40314.977777777778</v>
      </c>
      <c r="E6258" s="26">
        <v>15.057055</v>
      </c>
      <c r="G6258" s="27">
        <v>0.97777777777777775</v>
      </c>
      <c r="J6258" s="30">
        <f>IF(G6258&lt;$H$10,$H$16,IF(G6258&gt;$I$10,$H$16,$H$11))*E6258/600</f>
        <v>5.0190183333333341E-3</v>
      </c>
      <c r="L6258" s="32">
        <f>$J6258*($G6258-$G6257)*60*24</f>
        <v>5.0190183333333159E-3</v>
      </c>
    </row>
    <row r="6259" spans="1:12">
      <c r="A6259" s="22">
        <v>40314.978472222225</v>
      </c>
      <c r="E6259" s="26">
        <v>15.130699999999999</v>
      </c>
      <c r="G6259" s="27">
        <v>0.9784722222222223</v>
      </c>
      <c r="J6259" s="30">
        <f>IF(G6259&lt;$H$10,$H$16,IF(G6259&gt;$I$10,$H$16,$H$11))*E6259/600</f>
        <v>5.0435666666666665E-3</v>
      </c>
      <c r="L6259" s="32">
        <f>$J6259*($G6259-$G6258)*60*24</f>
        <v>5.0435666666674549E-3</v>
      </c>
    </row>
    <row r="6260" spans="1:12">
      <c r="A6260" s="22">
        <v>40314.979166666664</v>
      </c>
      <c r="E6260" s="26">
        <v>15.14409</v>
      </c>
      <c r="G6260" s="27">
        <v>0.97916666666666663</v>
      </c>
      <c r="J6260" s="30">
        <f>IF(G6260&lt;$H$10,$H$16,IF(G6260&gt;$I$10,$H$16,$H$11))*E6260/600</f>
        <v>5.0480300000000002E-3</v>
      </c>
      <c r="L6260" s="32">
        <f>$J6260*($G6260-$G6259)*60*24</f>
        <v>5.0480299999991762E-3</v>
      </c>
    </row>
    <row r="6261" spans="1:12">
      <c r="A6261" s="22">
        <v>40314.979861111111</v>
      </c>
      <c r="E6261" s="26">
        <v>15.03021</v>
      </c>
      <c r="G6261" s="27">
        <v>0.97986111111111107</v>
      </c>
      <c r="J6261" s="30">
        <f>IF(G6261&lt;$H$10,$H$16,IF(G6261&gt;$I$10,$H$16,$H$11))*E6261/600</f>
        <v>5.0100700000000001E-3</v>
      </c>
      <c r="L6261" s="32">
        <f>$J6261*($G6261-$G6260)*60*24</f>
        <v>5.0100699999999819E-3</v>
      </c>
    </row>
    <row r="6262" spans="1:12">
      <c r="A6262" s="22">
        <v>40314.980555555558</v>
      </c>
      <c r="E6262" s="26">
        <v>15.069990000000001</v>
      </c>
      <c r="G6262" s="27">
        <v>0.98055555555555562</v>
      </c>
      <c r="J6262" s="30">
        <f>IF(G6262&lt;$H$10,$H$16,IF(G6262&gt;$I$10,$H$16,$H$11))*E6262/600</f>
        <v>5.0233300000000003E-3</v>
      </c>
      <c r="L6262" s="32">
        <f>$J6262*($G6262-$G6261)*60*24</f>
        <v>5.0233300000007862E-3</v>
      </c>
    </row>
    <row r="6263" spans="1:12">
      <c r="A6263" s="22">
        <v>40314.981249999997</v>
      </c>
      <c r="E6263" s="26">
        <v>15.138486</v>
      </c>
      <c r="G6263" s="27">
        <v>0.98125000000000007</v>
      </c>
      <c r="J6263" s="30">
        <f>IF(G6263&lt;$H$10,$H$16,IF(G6263&gt;$I$10,$H$16,$H$11))*E6263/600</f>
        <v>5.0461620000000007E-3</v>
      </c>
      <c r="L6263" s="32">
        <f>$J6263*($G6263-$G6262)*60*24</f>
        <v>5.0461619999999825E-3</v>
      </c>
    </row>
    <row r="6264" spans="1:12">
      <c r="A6264" s="22">
        <v>40314.981944444444</v>
      </c>
      <c r="E6264" s="26">
        <v>14.987895</v>
      </c>
      <c r="G6264" s="27">
        <v>0.9819444444444444</v>
      </c>
      <c r="J6264" s="30">
        <f>IF(G6264&lt;$H$10,$H$16,IF(G6264&gt;$I$10,$H$16,$H$11))*E6264/600</f>
        <v>4.9959649999999998E-3</v>
      </c>
      <c r="L6264" s="32">
        <f>$J6264*($G6264-$G6263)*60*24</f>
        <v>4.9959649999991827E-3</v>
      </c>
    </row>
    <row r="6265" spans="1:12">
      <c r="A6265" s="22">
        <v>40314.982638888891</v>
      </c>
      <c r="E6265" s="26">
        <v>15.1074</v>
      </c>
      <c r="G6265" s="27">
        <v>0.98263888888888884</v>
      </c>
      <c r="J6265" s="30">
        <f>IF(G6265&lt;$H$10,$H$16,IF(G6265&gt;$I$10,$H$16,$H$11))*E6265/600</f>
        <v>5.0358000000000009E-3</v>
      </c>
      <c r="L6265" s="32">
        <f>$J6265*($G6265-$G6264)*60*24</f>
        <v>5.0357999999999827E-3</v>
      </c>
    </row>
    <row r="6266" spans="1:12">
      <c r="A6266" s="22">
        <v>40314.98333333333</v>
      </c>
      <c r="E6266" s="26">
        <v>15.238476</v>
      </c>
      <c r="G6266" s="27">
        <v>0.98333333333333339</v>
      </c>
      <c r="J6266" s="30">
        <f>IF(G6266&lt;$H$10,$H$16,IF(G6266&gt;$I$10,$H$16,$H$11))*E6266/600</f>
        <v>5.0794920000000006E-3</v>
      </c>
      <c r="L6266" s="32">
        <f>$J6266*($G6266-$G6265)*60*24</f>
        <v>5.0794920000007942E-3</v>
      </c>
    </row>
    <row r="6267" spans="1:12">
      <c r="A6267" s="22">
        <v>40314.984027777777</v>
      </c>
      <c r="E6267" s="26">
        <v>14.987895</v>
      </c>
      <c r="G6267" s="27">
        <v>0.98402777777777783</v>
      </c>
      <c r="J6267" s="30">
        <f>IF(G6267&lt;$H$10,$H$16,IF(G6267&gt;$I$10,$H$16,$H$11))*E6267/600</f>
        <v>4.9959649999999998E-3</v>
      </c>
      <c r="L6267" s="32">
        <f>$J6267*($G6267-$G6266)*60*24</f>
        <v>4.9959649999999824E-3</v>
      </c>
    </row>
    <row r="6268" spans="1:12">
      <c r="A6268" s="22">
        <v>40314.984722222223</v>
      </c>
      <c r="E6268" s="26">
        <v>15.001025</v>
      </c>
      <c r="G6268" s="27">
        <v>0.98472222222222217</v>
      </c>
      <c r="J6268" s="30">
        <f>IF(G6268&lt;$H$10,$H$16,IF(G6268&gt;$I$10,$H$16,$H$11))*E6268/600</f>
        <v>5.0003416666666673E-3</v>
      </c>
      <c r="L6268" s="32">
        <f>$J6268*($G6268-$G6267)*60*24</f>
        <v>5.0003416666658503E-3</v>
      </c>
    </row>
    <row r="6269" spans="1:12">
      <c r="A6269" s="22">
        <v>40314.98541666667</v>
      </c>
      <c r="E6269" s="26">
        <v>15.265140000000001</v>
      </c>
      <c r="G6269" s="27">
        <v>0.98541666666666661</v>
      </c>
      <c r="J6269" s="30">
        <f>IF(G6269&lt;$H$10,$H$16,IF(G6269&gt;$I$10,$H$16,$H$11))*E6269/600</f>
        <v>5.0883800000000009E-3</v>
      </c>
      <c r="L6269" s="32">
        <f>$J6269*($G6269-$G6268)*60*24</f>
        <v>5.0883799999999826E-3</v>
      </c>
    </row>
    <row r="6270" spans="1:12">
      <c r="A6270" s="22">
        <v>40314.986111111109</v>
      </c>
      <c r="E6270" s="26">
        <v>15.212999999999999</v>
      </c>
      <c r="G6270" s="27">
        <v>0.98611111111111116</v>
      </c>
      <c r="J6270" s="30">
        <f>IF(G6270&lt;$H$10,$H$16,IF(G6270&gt;$I$10,$H$16,$H$11))*E6270/600</f>
        <v>5.071E-3</v>
      </c>
      <c r="L6270" s="32">
        <f>$J6270*($G6270-$G6269)*60*24</f>
        <v>5.0710000000007928E-3</v>
      </c>
    </row>
    <row r="6271" spans="1:12">
      <c r="A6271" s="22">
        <v>40314.986805555556</v>
      </c>
      <c r="E6271" s="26">
        <v>15.365130000000001</v>
      </c>
      <c r="G6271" s="27">
        <v>0.9868055555555556</v>
      </c>
      <c r="J6271" s="30">
        <f>IF(G6271&lt;$H$10,$H$16,IF(G6271&gt;$I$10,$H$16,$H$11))*E6271/600</f>
        <v>5.1217100000000007E-3</v>
      </c>
      <c r="L6271" s="32">
        <f>$J6271*($G6271-$G6270)*60*24</f>
        <v>5.1217099999999825E-3</v>
      </c>
    </row>
    <row r="6272" spans="1:12">
      <c r="A6272" s="22">
        <v>40314.987500000003</v>
      </c>
      <c r="E6272" s="26">
        <v>15.338466</v>
      </c>
      <c r="G6272" s="27">
        <v>0.98749999999999993</v>
      </c>
      <c r="J6272" s="30">
        <f>IF(G6272&lt;$H$10,$H$16,IF(G6272&gt;$I$10,$H$16,$H$11))*E6272/600</f>
        <v>5.1128220000000004E-3</v>
      </c>
      <c r="L6272" s="32">
        <f>$J6272*($G6272-$G6271)*60*24</f>
        <v>5.1128219999991651E-3</v>
      </c>
    </row>
    <row r="6273" spans="1:12">
      <c r="A6273" s="22">
        <v>40314.988194444442</v>
      </c>
      <c r="E6273" s="26">
        <v>15.318467999999999</v>
      </c>
      <c r="G6273" s="27">
        <v>0.98819444444444438</v>
      </c>
      <c r="J6273" s="30">
        <f>IF(G6273&lt;$H$10,$H$16,IF(G6273&gt;$I$10,$H$16,$H$11))*E6273/600</f>
        <v>5.1061560000000006E-3</v>
      </c>
      <c r="L6273" s="32">
        <f>$J6273*($G6273-$G6272)*60*24</f>
        <v>5.1061559999999824E-3</v>
      </c>
    </row>
    <row r="6274" spans="1:12">
      <c r="A6274" s="22">
        <v>40314.988888888889</v>
      </c>
      <c r="E6274" s="26">
        <v>15.325134</v>
      </c>
      <c r="G6274" s="27">
        <v>0.98888888888888893</v>
      </c>
      <c r="J6274" s="30">
        <f>IF(G6274&lt;$H$10,$H$16,IF(G6274&gt;$I$10,$H$16,$H$11))*E6274/600</f>
        <v>5.1083780000000002E-3</v>
      </c>
      <c r="L6274" s="32">
        <f>$J6274*($G6274-$G6273)*60*24</f>
        <v>5.1083780000007982E-3</v>
      </c>
    </row>
    <row r="6275" spans="1:12">
      <c r="A6275" s="22">
        <v>40314.989583333336</v>
      </c>
      <c r="E6275" s="26">
        <v>15.04698</v>
      </c>
      <c r="G6275" s="27">
        <v>0.98958333333333337</v>
      </c>
      <c r="J6275" s="30">
        <f>IF(G6275&lt;$H$10,$H$16,IF(G6275&gt;$I$10,$H$16,$H$11))*E6275/600</f>
        <v>5.0156599999999999E-3</v>
      </c>
      <c r="L6275" s="32">
        <f>$J6275*($G6275-$G6274)*60*24</f>
        <v>5.0156599999999826E-3</v>
      </c>
    </row>
    <row r="6276" spans="1:12">
      <c r="A6276" s="22">
        <v>40314.990277777775</v>
      </c>
      <c r="E6276" s="26">
        <v>14.923999999999999</v>
      </c>
      <c r="G6276" s="27">
        <v>0.9902777777777777</v>
      </c>
      <c r="J6276" s="30">
        <f>IF(G6276&lt;$H$10,$H$16,IF(G6276&gt;$I$10,$H$16,$H$11))*E6276/600</f>
        <v>4.9746666666666663E-3</v>
      </c>
      <c r="L6276" s="32">
        <f>$J6276*($G6276-$G6275)*60*24</f>
        <v>4.9746666666658536E-3</v>
      </c>
    </row>
    <row r="6277" spans="1:12">
      <c r="A6277" s="22">
        <v>40314.990972222222</v>
      </c>
      <c r="E6277" s="26">
        <v>14.9305</v>
      </c>
      <c r="G6277" s="27">
        <v>0.99097222222222225</v>
      </c>
      <c r="J6277" s="30">
        <f>IF(G6277&lt;$H$10,$H$16,IF(G6277&gt;$I$10,$H$16,$H$11))*E6277/600</f>
        <v>4.976833333333334E-3</v>
      </c>
      <c r="L6277" s="32">
        <f>$J6277*($G6277-$G6276)*60*24</f>
        <v>4.976833333334112E-3</v>
      </c>
    </row>
    <row r="6278" spans="1:12">
      <c r="A6278" s="22">
        <v>40314.991666666669</v>
      </c>
      <c r="E6278" s="26">
        <v>15.153600000000001</v>
      </c>
      <c r="G6278" s="27">
        <v>0.9916666666666667</v>
      </c>
      <c r="J6278" s="30">
        <f>IF(G6278&lt;$H$10,$H$16,IF(G6278&gt;$I$10,$H$16,$H$11))*E6278/600</f>
        <v>5.0512000000000005E-3</v>
      </c>
      <c r="L6278" s="32">
        <f>$J6278*($G6278-$G6277)*60*24</f>
        <v>5.0511999999999831E-3</v>
      </c>
    </row>
    <row r="6279" spans="1:12">
      <c r="A6279" s="22">
        <v>40314.992361111108</v>
      </c>
      <c r="E6279" s="26">
        <v>14.891500000000001</v>
      </c>
      <c r="G6279" s="27">
        <v>0.99236111111111114</v>
      </c>
      <c r="J6279" s="30">
        <f>IF(G6279&lt;$H$10,$H$16,IF(G6279&gt;$I$10,$H$16,$H$11))*E6279/600</f>
        <v>4.963833333333334E-3</v>
      </c>
      <c r="L6279" s="32">
        <f>$J6279*($G6279-$G6278)*60*24</f>
        <v>4.9638333333333166E-3</v>
      </c>
    </row>
    <row r="6280" spans="1:12">
      <c r="A6280" s="22">
        <v>40314.993055555555</v>
      </c>
      <c r="E6280" s="26">
        <v>14.891500000000001</v>
      </c>
      <c r="G6280" s="27">
        <v>0.99305555555555547</v>
      </c>
      <c r="J6280" s="30">
        <f>IF(G6280&lt;$H$10,$H$16,IF(G6280&gt;$I$10,$H$16,$H$11))*E6280/600</f>
        <v>4.963833333333334E-3</v>
      </c>
      <c r="L6280" s="32">
        <f>$J6280*($G6280-$G6279)*60*24</f>
        <v>4.963833333332523E-3</v>
      </c>
    </row>
    <row r="6281" spans="1:12">
      <c r="A6281" s="22">
        <v>40314.993750000001</v>
      </c>
      <c r="E6281" s="26">
        <v>14.872</v>
      </c>
      <c r="G6281" s="27">
        <v>0.99375000000000002</v>
      </c>
      <c r="J6281" s="30">
        <f>IF(G6281&lt;$H$10,$H$16,IF(G6281&gt;$I$10,$H$16,$H$11))*E6281/600</f>
        <v>4.9573333333333336E-3</v>
      </c>
      <c r="L6281" s="32">
        <f>$J6281*($G6281-$G6280)*60*24</f>
        <v>4.9573333333341081E-3</v>
      </c>
    </row>
    <row r="6282" spans="1:12">
      <c r="A6282" s="22">
        <v>40314.994444444441</v>
      </c>
      <c r="E6282" s="26">
        <v>14.859</v>
      </c>
      <c r="G6282" s="27">
        <v>0.99444444444444446</v>
      </c>
      <c r="J6282" s="30">
        <f>IF(G6282&lt;$H$10,$H$16,IF(G6282&gt;$I$10,$H$16,$H$11))*E6282/600</f>
        <v>4.9529999999999999E-3</v>
      </c>
      <c r="L6282" s="32">
        <f>$J6282*($G6282-$G6281)*60*24</f>
        <v>4.9529999999999817E-3</v>
      </c>
    </row>
    <row r="6283" spans="1:12">
      <c r="A6283" s="22">
        <v>40314.995138888888</v>
      </c>
      <c r="E6283" s="26">
        <v>14.82</v>
      </c>
      <c r="G6283" s="27">
        <v>0.99513888888888891</v>
      </c>
      <c r="J6283" s="30">
        <f>IF(G6283&lt;$H$10,$H$16,IF(G6283&gt;$I$10,$H$16,$H$11))*E6283/600</f>
        <v>4.9400000000000008E-3</v>
      </c>
      <c r="L6283" s="32">
        <f>$J6283*($G6283-$G6282)*60*24</f>
        <v>4.9399999999999835E-3</v>
      </c>
    </row>
    <row r="6284" spans="1:12">
      <c r="A6284" s="22">
        <v>40314.995833333334</v>
      </c>
      <c r="E6284" s="26">
        <v>14.846</v>
      </c>
      <c r="G6284" s="27">
        <v>0.99583333333333324</v>
      </c>
      <c r="J6284" s="30">
        <f>IF(G6284&lt;$H$10,$H$16,IF(G6284&gt;$I$10,$H$16,$H$11))*E6284/600</f>
        <v>4.9486666666666672E-3</v>
      </c>
      <c r="L6284" s="32">
        <f>$J6284*($G6284-$G6283)*60*24</f>
        <v>4.9486666666658579E-3</v>
      </c>
    </row>
    <row r="6285" spans="1:12">
      <c r="A6285" s="22">
        <v>40314.996527777781</v>
      </c>
      <c r="E6285" s="26">
        <v>15.014155000000001</v>
      </c>
      <c r="G6285" s="27">
        <v>0.99652777777777779</v>
      </c>
      <c r="J6285" s="30">
        <f>IF(G6285&lt;$H$10,$H$16,IF(G6285&gt;$I$10,$H$16,$H$11))*E6285/600</f>
        <v>5.004718333333334E-3</v>
      </c>
      <c r="L6285" s="32">
        <f>$J6285*($G6285-$G6284)*60*24</f>
        <v>5.0047183333341164E-3</v>
      </c>
    </row>
    <row r="6286" spans="1:12">
      <c r="A6286" s="22">
        <v>40314.99722222222</v>
      </c>
      <c r="E6286" s="26">
        <v>15.00759</v>
      </c>
      <c r="G6286" s="27">
        <v>0.99722222222222223</v>
      </c>
      <c r="J6286" s="30">
        <f>IF(G6286&lt;$H$10,$H$16,IF(G6286&gt;$I$10,$H$16,$H$11))*E6286/600</f>
        <v>5.0025300000000007E-3</v>
      </c>
      <c r="L6286" s="32">
        <f>$J6286*($G6286-$G6285)*60*24</f>
        <v>5.0025299999999833E-3</v>
      </c>
    </row>
    <row r="6287" spans="1:12">
      <c r="A6287" s="22">
        <v>40314.997916666667</v>
      </c>
      <c r="E6287" s="26">
        <v>14.843465</v>
      </c>
      <c r="G6287" s="27">
        <v>0.99791666666666667</v>
      </c>
      <c r="J6287" s="30">
        <f>IF(G6287&lt;$H$10,$H$16,IF(G6287&gt;$I$10,$H$16,$H$11))*E6287/600</f>
        <v>4.947821666666667E-3</v>
      </c>
      <c r="L6287" s="32">
        <f>$J6287*($G6287-$G6286)*60*24</f>
        <v>4.9478216666666488E-3</v>
      </c>
    </row>
    <row r="6288" spans="1:12">
      <c r="A6288" s="22">
        <v>40314.998611111114</v>
      </c>
      <c r="E6288" s="26">
        <v>14.92413</v>
      </c>
      <c r="G6288" s="27">
        <v>0.99861111111111101</v>
      </c>
      <c r="J6288" s="30">
        <f>IF(G6288&lt;$H$10,$H$16,IF(G6288&gt;$I$10,$H$16,$H$11))*E6288/600</f>
        <v>4.9747100000000002E-3</v>
      </c>
      <c r="L6288" s="32">
        <f>$J6288*($G6288-$G6287)*60*24</f>
        <v>4.9747099999991867E-3</v>
      </c>
    </row>
    <row r="6289" spans="1:12">
      <c r="A6289" s="22">
        <v>40314.999305555553</v>
      </c>
      <c r="E6289" s="26">
        <v>14.90424</v>
      </c>
      <c r="G6289" s="27">
        <v>0.99930555555555556</v>
      </c>
      <c r="J6289" s="30">
        <f>IF(G6289&lt;$H$10,$H$16,IF(G6289&gt;$I$10,$H$16,$H$11))*E6289/600</f>
        <v>4.9680799999999997E-3</v>
      </c>
      <c r="L6289" s="32">
        <f>$J6289*($G6289-$G6288)*60*24</f>
        <v>4.968080000000776E-3</v>
      </c>
    </row>
    <row r="6290" spans="1:12">
      <c r="A6290" s="22">
        <v>40315</v>
      </c>
      <c r="E6290" s="26">
        <v>14.777815</v>
      </c>
      <c r="G6290" s="27">
        <v>0</v>
      </c>
      <c r="J6290" s="30">
        <f>IF(G6290&lt;$H$10,$H$16,IF(G6290&gt;$I$10,$H$16,$H$11))*E6290/600</f>
        <v>4.9259383333333335E-3</v>
      </c>
      <c r="L6290" s="32">
        <f>$J6290*($G6290-$G6289)*60*24</f>
        <v>-7.0884252616666661</v>
      </c>
    </row>
    <row r="6291" spans="1:12">
      <c r="A6291" s="22">
        <v>40315.000694444447</v>
      </c>
      <c r="E6291" s="26">
        <v>14.890980000000001</v>
      </c>
      <c r="G6291" s="27">
        <v>6.9444444444444447E-4</v>
      </c>
      <c r="J6291" s="30">
        <f>IF(G6291&lt;$H$10,$H$16,IF(G6291&gt;$I$10,$H$16,$H$11))*E6291/600</f>
        <v>4.9636600000000008E-3</v>
      </c>
      <c r="L6291" s="32">
        <f>$J6291*($G6291-$G6290)*60*24</f>
        <v>4.9636600000000017E-3</v>
      </c>
    </row>
    <row r="6292" spans="1:12">
      <c r="A6292" s="22">
        <v>40315.001388888886</v>
      </c>
      <c r="E6292" s="26">
        <v>14.94402</v>
      </c>
      <c r="G6292" s="27">
        <v>1.3888888888888889E-3</v>
      </c>
      <c r="J6292" s="30">
        <f>IF(G6292&lt;$H$10,$H$16,IF(G6292&gt;$I$10,$H$16,$H$11))*E6292/600</f>
        <v>4.9813399999999999E-3</v>
      </c>
      <c r="L6292" s="32">
        <f>$J6292*($G6292-$G6291)*60*24</f>
        <v>4.9813399999999999E-3</v>
      </c>
    </row>
    <row r="6293" spans="1:12">
      <c r="A6293" s="22">
        <v>40315.002083333333</v>
      </c>
      <c r="E6293" s="26">
        <v>14.869725000000001</v>
      </c>
      <c r="G6293" s="27">
        <v>2.0833333333333333E-3</v>
      </c>
      <c r="J6293" s="30">
        <f>IF(G6293&lt;$H$10,$H$16,IF(G6293&gt;$I$10,$H$16,$H$11))*E6293/600</f>
        <v>4.9565750000000013E-3</v>
      </c>
      <c r="L6293" s="32">
        <f>$J6293*($G6293-$G6292)*60*24</f>
        <v>4.9565750000000004E-3</v>
      </c>
    </row>
    <row r="6294" spans="1:12">
      <c r="A6294" s="22">
        <v>40315.00277777778</v>
      </c>
      <c r="E6294" s="26">
        <v>14.90255</v>
      </c>
      <c r="G6294" s="27">
        <v>2.7777777777777779E-3</v>
      </c>
      <c r="J6294" s="30">
        <f>IF(G6294&lt;$H$10,$H$16,IF(G6294&gt;$I$10,$H$16,$H$11))*E6294/600</f>
        <v>4.9675166666666671E-3</v>
      </c>
      <c r="L6294" s="32">
        <f>$J6294*($G6294-$G6293)*60*24</f>
        <v>4.967516666666668E-3</v>
      </c>
    </row>
    <row r="6295" spans="1:12">
      <c r="A6295" s="22">
        <v>40315.003472222219</v>
      </c>
      <c r="E6295" s="26">
        <v>14.82377</v>
      </c>
      <c r="G6295" s="27">
        <v>3.472222222222222E-3</v>
      </c>
      <c r="J6295" s="30">
        <f>IF(G6295&lt;$H$10,$H$16,IF(G6295&gt;$I$10,$H$16,$H$11))*E6295/600</f>
        <v>4.941256666666667E-3</v>
      </c>
      <c r="L6295" s="32">
        <f>$J6295*($G6295-$G6294)*60*24</f>
        <v>4.9412566666666644E-3</v>
      </c>
    </row>
    <row r="6296" spans="1:12">
      <c r="A6296" s="22">
        <v>40315.004166666666</v>
      </c>
      <c r="E6296" s="26">
        <v>14.92413</v>
      </c>
      <c r="G6296" s="27">
        <v>4.1666666666666666E-3</v>
      </c>
      <c r="J6296" s="30">
        <f>IF(G6296&lt;$H$10,$H$16,IF(G6296&gt;$I$10,$H$16,$H$11))*E6296/600</f>
        <v>4.9747100000000002E-3</v>
      </c>
      <c r="L6296" s="32">
        <f>$J6296*($G6296-$G6295)*60*24</f>
        <v>4.974710000000002E-3</v>
      </c>
    </row>
    <row r="6297" spans="1:12">
      <c r="A6297" s="22">
        <v>40315.004861111112</v>
      </c>
      <c r="E6297" s="26">
        <v>14.824680000000001</v>
      </c>
      <c r="G6297" s="27">
        <v>4.8611111111111112E-3</v>
      </c>
      <c r="J6297" s="30">
        <f>IF(G6297&lt;$H$10,$H$16,IF(G6297&gt;$I$10,$H$16,$H$11))*E6297/600</f>
        <v>4.9415600000000002E-3</v>
      </c>
      <c r="L6297" s="32">
        <f>$J6297*($G6297-$G6296)*60*24</f>
        <v>4.9415600000000011E-3</v>
      </c>
    </row>
    <row r="6298" spans="1:12">
      <c r="A6298" s="22">
        <v>40315.005555555559</v>
      </c>
      <c r="E6298" s="26">
        <v>14.8512</v>
      </c>
      <c r="G6298" s="27">
        <v>5.5555555555555558E-3</v>
      </c>
      <c r="J6298" s="30">
        <f>IF(G6298&lt;$H$10,$H$16,IF(G6298&gt;$I$10,$H$16,$H$11))*E6298/600</f>
        <v>4.9504000000000006E-3</v>
      </c>
      <c r="L6298" s="32">
        <f>$J6298*($G6298-$G6297)*60*24</f>
        <v>4.9504000000000015E-3</v>
      </c>
    </row>
    <row r="6299" spans="1:12">
      <c r="A6299" s="22">
        <v>40315.006249999999</v>
      </c>
      <c r="E6299" s="26">
        <v>14.871090000000001</v>
      </c>
      <c r="G6299" s="27">
        <v>6.2499999999999995E-3</v>
      </c>
      <c r="J6299" s="30">
        <f>IF(G6299&lt;$H$10,$H$16,IF(G6299&gt;$I$10,$H$16,$H$11))*E6299/600</f>
        <v>4.9570300000000012E-3</v>
      </c>
      <c r="L6299" s="32">
        <f>$J6299*($G6299-$G6298)*60*24</f>
        <v>4.957029999999996E-3</v>
      </c>
    </row>
    <row r="6300" spans="1:12">
      <c r="A6300" s="22">
        <v>40315.006944444445</v>
      </c>
      <c r="E6300" s="26">
        <v>14.85003</v>
      </c>
      <c r="G6300" s="27">
        <v>6.9444444444444441E-3</v>
      </c>
      <c r="J6300" s="30">
        <f>IF(G6300&lt;$H$10,$H$16,IF(G6300&gt;$I$10,$H$16,$H$11))*E6300/600</f>
        <v>4.9500100000000003E-3</v>
      </c>
      <c r="L6300" s="32">
        <f>$J6300*($G6300-$G6299)*60*24</f>
        <v>4.9500100000000012E-3</v>
      </c>
    </row>
    <row r="6301" spans="1:12">
      <c r="A6301" s="22">
        <v>40315.007638888892</v>
      </c>
      <c r="E6301" s="26">
        <v>14.922245</v>
      </c>
      <c r="G6301" s="27">
        <v>7.6388888888888886E-3</v>
      </c>
      <c r="J6301" s="30">
        <f>IF(G6301&lt;$H$10,$H$16,IF(G6301&gt;$I$10,$H$16,$H$11))*E6301/600</f>
        <v>4.9740816666666672E-3</v>
      </c>
      <c r="L6301" s="32">
        <f>$J6301*($G6301-$G6300)*60*24</f>
        <v>4.974081666666668E-3</v>
      </c>
    </row>
    <row r="6302" spans="1:12">
      <c r="A6302" s="22">
        <v>40315.008333333331</v>
      </c>
      <c r="E6302" s="26">
        <v>14.91568</v>
      </c>
      <c r="G6302" s="27">
        <v>8.3333333333333332E-3</v>
      </c>
      <c r="J6302" s="30">
        <f>IF(G6302&lt;$H$10,$H$16,IF(G6302&gt;$I$10,$H$16,$H$11))*E6302/600</f>
        <v>4.971893333333333E-3</v>
      </c>
      <c r="L6302" s="32">
        <f>$J6302*($G6302-$G6301)*60*24</f>
        <v>4.971893333333333E-3</v>
      </c>
    </row>
    <row r="6303" spans="1:12">
      <c r="A6303" s="22">
        <v>40315.009027777778</v>
      </c>
      <c r="E6303" s="26">
        <v>15.111822</v>
      </c>
      <c r="G6303" s="27">
        <v>9.0277777777777787E-3</v>
      </c>
      <c r="J6303" s="30">
        <f>IF(G6303&lt;$H$10,$H$16,IF(G6303&gt;$I$10,$H$16,$H$11))*E6303/600</f>
        <v>5.0372740000000004E-3</v>
      </c>
      <c r="L6303" s="32">
        <f>$J6303*($G6303-$G6302)*60*24</f>
        <v>5.0372740000000082E-3</v>
      </c>
    </row>
    <row r="6304" spans="1:12">
      <c r="A6304" s="22">
        <v>40315.009722222225</v>
      </c>
      <c r="E6304" s="26">
        <v>15.025164</v>
      </c>
      <c r="G6304" s="27">
        <v>9.7222222222222224E-3</v>
      </c>
      <c r="J6304" s="30">
        <f>IF(G6304&lt;$H$10,$H$16,IF(G6304&gt;$I$10,$H$16,$H$11))*E6304/600</f>
        <v>5.0083880000000008E-3</v>
      </c>
      <c r="L6304" s="32">
        <f>$J6304*($G6304-$G6303)*60*24</f>
        <v>5.0083879999999956E-3</v>
      </c>
    </row>
    <row r="6305" spans="1:12">
      <c r="A6305" s="22">
        <v>40315.010416666664</v>
      </c>
      <c r="E6305" s="26">
        <v>14.9985</v>
      </c>
      <c r="G6305" s="27">
        <v>1.0416666666666666E-2</v>
      </c>
      <c r="J6305" s="30">
        <f>IF(G6305&lt;$H$10,$H$16,IF(G6305&gt;$I$10,$H$16,$H$11))*E6305/600</f>
        <v>4.9995000000000005E-3</v>
      </c>
      <c r="L6305" s="32">
        <f>$J6305*($G6305-$G6304)*60*24</f>
        <v>4.9994999999999953E-3</v>
      </c>
    </row>
    <row r="6306" spans="1:12">
      <c r="A6306" s="22">
        <v>40315.011111111111</v>
      </c>
      <c r="E6306" s="26">
        <v>14.77125</v>
      </c>
      <c r="G6306" s="27">
        <v>1.1111111111111112E-2</v>
      </c>
      <c r="J6306" s="30">
        <f>IF(G6306&lt;$H$10,$H$16,IF(G6306&gt;$I$10,$H$16,$H$11))*E6306/600</f>
        <v>4.9237500000000002E-3</v>
      </c>
      <c r="L6306" s="32">
        <f>$J6306*($G6306-$G6305)*60*24</f>
        <v>4.923750000000008E-3</v>
      </c>
    </row>
    <row r="6307" spans="1:12">
      <c r="A6307" s="22">
        <v>40315.011805555558</v>
      </c>
      <c r="E6307" s="26">
        <v>14.77125</v>
      </c>
      <c r="G6307" s="27">
        <v>1.1805555555555555E-2</v>
      </c>
      <c r="J6307" s="30">
        <f>IF(G6307&lt;$H$10,$H$16,IF(G6307&gt;$I$10,$H$16,$H$11))*E6307/600</f>
        <v>4.9237500000000002E-3</v>
      </c>
      <c r="L6307" s="32">
        <f>$J6307*($G6307-$G6306)*60*24</f>
        <v>4.923749999999995E-3</v>
      </c>
    </row>
    <row r="6308" spans="1:12">
      <c r="A6308" s="22">
        <v>40315.012499999997</v>
      </c>
      <c r="E6308" s="26">
        <v>14.751555</v>
      </c>
      <c r="G6308" s="27">
        <v>1.2499999999999999E-2</v>
      </c>
      <c r="J6308" s="30">
        <f>IF(G6308&lt;$H$10,$H$16,IF(G6308&gt;$I$10,$H$16,$H$11))*E6308/600</f>
        <v>4.9171850000000001E-3</v>
      </c>
      <c r="L6308" s="32">
        <f>$J6308*($G6308-$G6307)*60*24</f>
        <v>4.9171849999999949E-3</v>
      </c>
    </row>
    <row r="6309" spans="1:12">
      <c r="A6309" s="22">
        <v>40315.013194444444</v>
      </c>
      <c r="E6309" s="26">
        <v>14.75812</v>
      </c>
      <c r="G6309" s="27">
        <v>1.3194444444444444E-2</v>
      </c>
      <c r="J6309" s="30">
        <f>IF(G6309&lt;$H$10,$H$16,IF(G6309&gt;$I$10,$H$16,$H$11))*E6309/600</f>
        <v>4.9193733333333335E-3</v>
      </c>
      <c r="L6309" s="32">
        <f>$J6309*($G6309-$G6308)*60*24</f>
        <v>4.9193733333333404E-3</v>
      </c>
    </row>
    <row r="6310" spans="1:12">
      <c r="A6310" s="22">
        <v>40315.013888888891</v>
      </c>
      <c r="E6310" s="26">
        <v>14.75812</v>
      </c>
      <c r="G6310" s="27">
        <v>1.3888888888888888E-2</v>
      </c>
      <c r="J6310" s="30">
        <f>IF(G6310&lt;$H$10,$H$16,IF(G6310&gt;$I$10,$H$16,$H$11))*E6310/600</f>
        <v>4.9193733333333335E-3</v>
      </c>
      <c r="L6310" s="32">
        <f>$J6310*($G6310-$G6309)*60*24</f>
        <v>4.9193733333333274E-3</v>
      </c>
    </row>
    <row r="6311" spans="1:12">
      <c r="A6311" s="22">
        <v>40315.01458333333</v>
      </c>
      <c r="E6311" s="26">
        <v>14.965170000000001</v>
      </c>
      <c r="G6311" s="27">
        <v>1.4583333333333332E-2</v>
      </c>
      <c r="J6311" s="30">
        <f>IF(G6311&lt;$H$10,$H$16,IF(G6311&gt;$I$10,$H$16,$H$11))*E6311/600</f>
        <v>4.9883900000000005E-3</v>
      </c>
      <c r="L6311" s="32">
        <f>$J6311*($G6311-$G6310)*60*24</f>
        <v>4.9883899999999953E-3</v>
      </c>
    </row>
    <row r="6312" spans="1:12">
      <c r="A6312" s="22">
        <v>40315.015277777777</v>
      </c>
      <c r="E6312" s="26">
        <v>14.948505000000001</v>
      </c>
      <c r="G6312" s="27">
        <v>1.5277777777777777E-2</v>
      </c>
      <c r="J6312" s="30">
        <f>IF(G6312&lt;$H$10,$H$16,IF(G6312&gt;$I$10,$H$16,$H$11))*E6312/600</f>
        <v>4.9828350000000006E-3</v>
      </c>
      <c r="L6312" s="32">
        <f>$J6312*($G6312-$G6311)*60*24</f>
        <v>4.9828350000000075E-3</v>
      </c>
    </row>
    <row r="6313" spans="1:12">
      <c r="A6313" s="22">
        <v>40315.015972222223</v>
      </c>
      <c r="E6313" s="26">
        <v>14.9682</v>
      </c>
      <c r="G6313" s="27">
        <v>1.5972222222222224E-2</v>
      </c>
      <c r="J6313" s="30">
        <f>IF(G6313&lt;$H$10,$H$16,IF(G6313&gt;$I$10,$H$16,$H$11))*E6313/600</f>
        <v>4.9893999999999997E-3</v>
      </c>
      <c r="L6313" s="32">
        <f>$J6313*($G6313-$G6312)*60*24</f>
        <v>4.9894000000000188E-3</v>
      </c>
    </row>
    <row r="6314" spans="1:12">
      <c r="A6314" s="22">
        <v>40315.01666666667</v>
      </c>
      <c r="E6314" s="26">
        <v>14.852499999999999</v>
      </c>
      <c r="G6314" s="27">
        <v>1.6666666666666666E-2</v>
      </c>
      <c r="J6314" s="30">
        <f>IF(G6314&lt;$H$10,$H$16,IF(G6314&gt;$I$10,$H$16,$H$11))*E6314/600</f>
        <v>4.9508333333333331E-3</v>
      </c>
      <c r="L6314" s="32">
        <f>$J6314*($G6314-$G6313)*60*24</f>
        <v>4.9508333333333158E-3</v>
      </c>
    </row>
    <row r="6315" spans="1:12">
      <c r="A6315" s="22">
        <v>40315.017361111109</v>
      </c>
      <c r="E6315" s="26">
        <v>15.001025</v>
      </c>
      <c r="G6315" s="27">
        <v>1.7361111111111112E-2</v>
      </c>
      <c r="J6315" s="30">
        <f>IF(G6315&lt;$H$10,$H$16,IF(G6315&gt;$I$10,$H$16,$H$11))*E6315/600</f>
        <v>5.0003416666666673E-3</v>
      </c>
      <c r="L6315" s="32">
        <f>$J6315*($G6315-$G6314)*60*24</f>
        <v>5.0003416666666751E-3</v>
      </c>
    </row>
    <row r="6316" spans="1:12">
      <c r="A6316" s="22">
        <v>40315.018055555556</v>
      </c>
      <c r="E6316" s="26">
        <v>14.891500000000001</v>
      </c>
      <c r="G6316" s="27">
        <v>1.8055555555555557E-2</v>
      </c>
      <c r="J6316" s="30">
        <f>IF(G6316&lt;$H$10,$H$16,IF(G6316&gt;$I$10,$H$16,$H$11))*E6316/600</f>
        <v>4.963833333333334E-3</v>
      </c>
      <c r="L6316" s="32">
        <f>$J6316*($G6316-$G6315)*60*24</f>
        <v>4.9638333333333418E-3</v>
      </c>
    </row>
    <row r="6317" spans="1:12">
      <c r="A6317" s="22">
        <v>40315.018750000003</v>
      </c>
      <c r="E6317" s="26">
        <v>14.95</v>
      </c>
      <c r="G6317" s="27">
        <v>1.8749999999999999E-2</v>
      </c>
      <c r="J6317" s="30">
        <f>IF(G6317&lt;$H$10,$H$16,IF(G6317&gt;$I$10,$H$16,$H$11))*E6317/600</f>
        <v>4.9833333333333335E-3</v>
      </c>
      <c r="L6317" s="32">
        <f>$J6317*($G6317-$G6316)*60*24</f>
        <v>4.9833333333333162E-3</v>
      </c>
    </row>
    <row r="6318" spans="1:12">
      <c r="A6318" s="22">
        <v>40315.019444444442</v>
      </c>
      <c r="E6318" s="26">
        <v>15.1998</v>
      </c>
      <c r="G6318" s="27">
        <v>1.9444444444444445E-2</v>
      </c>
      <c r="J6318" s="30">
        <f>IF(G6318&lt;$H$10,$H$16,IF(G6318&gt;$I$10,$H$16,$H$11))*E6318/600</f>
        <v>5.0666000000000001E-3</v>
      </c>
      <c r="L6318" s="32">
        <f>$J6318*($G6318-$G6317)*60*24</f>
        <v>5.0666000000000079E-3</v>
      </c>
    </row>
    <row r="6319" spans="1:12">
      <c r="A6319" s="22">
        <v>40315.020138888889</v>
      </c>
      <c r="E6319" s="26">
        <v>15.2262</v>
      </c>
      <c r="G6319" s="27">
        <v>2.013888888888889E-2</v>
      </c>
      <c r="J6319" s="30">
        <f>IF(G6319&lt;$H$10,$H$16,IF(G6319&gt;$I$10,$H$16,$H$11))*E6319/600</f>
        <v>5.0753999999999999E-3</v>
      </c>
      <c r="L6319" s="32">
        <f>$J6319*($G6319-$G6318)*60*24</f>
        <v>5.0754000000000077E-3</v>
      </c>
    </row>
    <row r="6320" spans="1:12">
      <c r="A6320" s="22">
        <v>40315.020833333336</v>
      </c>
      <c r="E6320" s="26">
        <v>14.9435</v>
      </c>
      <c r="G6320" s="27">
        <v>2.0833333333333332E-2</v>
      </c>
      <c r="J6320" s="30">
        <f>IF(G6320&lt;$H$10,$H$16,IF(G6320&gt;$I$10,$H$16,$H$11))*E6320/600</f>
        <v>4.9811666666666667E-3</v>
      </c>
      <c r="L6320" s="32">
        <f>$J6320*($G6320-$G6319)*60*24</f>
        <v>4.9811666666666494E-3</v>
      </c>
    </row>
    <row r="6321" spans="1:12">
      <c r="A6321" s="22">
        <v>40315.021527777775</v>
      </c>
      <c r="E6321" s="26">
        <v>15.2064</v>
      </c>
      <c r="G6321" s="27">
        <v>2.1527777777777781E-2</v>
      </c>
      <c r="J6321" s="30">
        <f>IF(G6321&lt;$H$10,$H$16,IF(G6321&gt;$I$10,$H$16,$H$11))*E6321/600</f>
        <v>5.0688000000000009E-3</v>
      </c>
      <c r="L6321" s="32">
        <f>$J6321*($G6321-$G6320)*60*24</f>
        <v>5.0688000000000339E-3</v>
      </c>
    </row>
    <row r="6322" spans="1:12">
      <c r="A6322" s="22">
        <v>40315.022222222222</v>
      </c>
      <c r="E6322" s="26">
        <v>15.2262</v>
      </c>
      <c r="G6322" s="27">
        <v>2.2222222222222223E-2</v>
      </c>
      <c r="J6322" s="30">
        <f>IF(G6322&lt;$H$10,$H$16,IF(G6322&gt;$I$10,$H$16,$H$11))*E6322/600</f>
        <v>5.0753999999999999E-3</v>
      </c>
      <c r="L6322" s="32">
        <f>$J6322*($G6322-$G6321)*60*24</f>
        <v>5.0753999999999817E-3</v>
      </c>
    </row>
    <row r="6323" spans="1:12">
      <c r="A6323" s="22">
        <v>40315.022916666669</v>
      </c>
      <c r="E6323" s="26">
        <v>15.2394</v>
      </c>
      <c r="G6323" s="27">
        <v>2.2916666666666669E-2</v>
      </c>
      <c r="J6323" s="30">
        <f>IF(G6323&lt;$H$10,$H$16,IF(G6323&gt;$I$10,$H$16,$H$11))*E6323/600</f>
        <v>5.0798000000000006E-3</v>
      </c>
      <c r="L6323" s="32">
        <f>$J6323*($G6323-$G6322)*60*24</f>
        <v>5.0798000000000084E-3</v>
      </c>
    </row>
    <row r="6324" spans="1:12">
      <c r="A6324" s="22">
        <v>40315.023611111108</v>
      </c>
      <c r="E6324" s="26">
        <v>15.1998</v>
      </c>
      <c r="G6324" s="27">
        <v>2.361111111111111E-2</v>
      </c>
      <c r="J6324" s="30">
        <f>IF(G6324&lt;$H$10,$H$16,IF(G6324&gt;$I$10,$H$16,$H$11))*E6324/600</f>
        <v>5.0666000000000001E-3</v>
      </c>
      <c r="L6324" s="32">
        <f>$J6324*($G6324-$G6323)*60*24</f>
        <v>5.0665999999999819E-3</v>
      </c>
    </row>
    <row r="6325" spans="1:12">
      <c r="A6325" s="22">
        <v>40315.024305555555</v>
      </c>
      <c r="E6325" s="26">
        <v>15.2064</v>
      </c>
      <c r="G6325" s="27">
        <v>2.4305555555555556E-2</v>
      </c>
      <c r="J6325" s="30">
        <f>IF(G6325&lt;$H$10,$H$16,IF(G6325&gt;$I$10,$H$16,$H$11))*E6325/600</f>
        <v>5.0688000000000009E-3</v>
      </c>
      <c r="L6325" s="32">
        <f>$J6325*($G6325-$G6324)*60*24</f>
        <v>5.0688000000000078E-3</v>
      </c>
    </row>
    <row r="6326" spans="1:12">
      <c r="A6326" s="22">
        <v>40315.025000000001</v>
      </c>
      <c r="E6326" s="26">
        <v>15.212999999999999</v>
      </c>
      <c r="G6326" s="27">
        <v>2.4999999999999998E-2</v>
      </c>
      <c r="J6326" s="30">
        <f>IF(G6326&lt;$H$10,$H$16,IF(G6326&gt;$I$10,$H$16,$H$11))*E6326/600</f>
        <v>5.071E-3</v>
      </c>
      <c r="L6326" s="32">
        <f>$J6326*($G6326-$G6325)*60*24</f>
        <v>5.0709999999999818E-3</v>
      </c>
    </row>
    <row r="6327" spans="1:12">
      <c r="A6327" s="22">
        <v>40315.025694444441</v>
      </c>
      <c r="E6327" s="26">
        <v>15.18</v>
      </c>
      <c r="G6327" s="27">
        <v>2.5694444444444447E-2</v>
      </c>
      <c r="J6327" s="30">
        <f>IF(G6327&lt;$H$10,$H$16,IF(G6327&gt;$I$10,$H$16,$H$11))*E6327/600</f>
        <v>5.0600000000000003E-3</v>
      </c>
      <c r="L6327" s="32">
        <f>$J6327*($G6327-$G6326)*60*24</f>
        <v>5.0600000000000332E-3</v>
      </c>
    </row>
    <row r="6328" spans="1:12">
      <c r="A6328" s="22">
        <v>40315.026388888888</v>
      </c>
      <c r="E6328" s="26">
        <v>15.1668</v>
      </c>
      <c r="G6328" s="27">
        <v>2.6388888888888889E-2</v>
      </c>
      <c r="J6328" s="30">
        <f>IF(G6328&lt;$H$10,$H$16,IF(G6328&gt;$I$10,$H$16,$H$11))*E6328/600</f>
        <v>5.0556000000000004E-3</v>
      </c>
      <c r="L6328" s="32">
        <f>$J6328*($G6328-$G6327)*60*24</f>
        <v>5.0555999999999822E-3</v>
      </c>
    </row>
    <row r="6329" spans="1:12">
      <c r="A6329" s="22">
        <v>40315.027083333334</v>
      </c>
      <c r="E6329" s="26">
        <v>14.865500000000001</v>
      </c>
      <c r="G6329" s="27">
        <v>2.7083333333333334E-2</v>
      </c>
      <c r="J6329" s="30">
        <f>IF(G6329&lt;$H$10,$H$16,IF(G6329&gt;$I$10,$H$16,$H$11))*E6329/600</f>
        <v>4.9551666666666676E-3</v>
      </c>
      <c r="L6329" s="32">
        <f>$J6329*($G6329-$G6328)*60*24</f>
        <v>4.9551666666666754E-3</v>
      </c>
    </row>
    <row r="6330" spans="1:12">
      <c r="A6330" s="22">
        <v>40315.027777777781</v>
      </c>
      <c r="E6330" s="26">
        <v>14.872</v>
      </c>
      <c r="G6330" s="27">
        <v>2.7777777777777776E-2</v>
      </c>
      <c r="J6330" s="30">
        <f>IF(G6330&lt;$H$10,$H$16,IF(G6330&gt;$I$10,$H$16,$H$11))*E6330/600</f>
        <v>4.9573333333333336E-3</v>
      </c>
      <c r="L6330" s="32">
        <f>$J6330*($G6330-$G6329)*60*24</f>
        <v>4.9573333333333153E-3</v>
      </c>
    </row>
    <row r="6331" spans="1:12">
      <c r="A6331" s="22">
        <v>40315.02847222222</v>
      </c>
      <c r="E6331" s="26">
        <v>14.885</v>
      </c>
      <c r="G6331" s="27">
        <v>2.8472222222222222E-2</v>
      </c>
      <c r="J6331" s="30">
        <f>IF(G6331&lt;$H$10,$H$16,IF(G6331&gt;$I$10,$H$16,$H$11))*E6331/600</f>
        <v>4.9616666666666672E-3</v>
      </c>
      <c r="L6331" s="32">
        <f>$J6331*($G6331-$G6330)*60*24</f>
        <v>4.961666666666675E-3</v>
      </c>
    </row>
    <row r="6332" spans="1:12">
      <c r="A6332" s="22">
        <v>40315.029166666667</v>
      </c>
      <c r="E6332" s="26">
        <v>14.865500000000001</v>
      </c>
      <c r="G6332" s="27">
        <v>2.9166666666666664E-2</v>
      </c>
      <c r="J6332" s="30">
        <f>IF(G6332&lt;$H$10,$H$16,IF(G6332&gt;$I$10,$H$16,$H$11))*E6332/600</f>
        <v>4.9551666666666676E-3</v>
      </c>
      <c r="L6332" s="32">
        <f>$J6332*($G6332-$G6331)*60*24</f>
        <v>4.9551666666666494E-3</v>
      </c>
    </row>
    <row r="6333" spans="1:12">
      <c r="A6333" s="22">
        <v>40315.029861111114</v>
      </c>
      <c r="E6333" s="26">
        <v>14.794</v>
      </c>
      <c r="G6333" s="27">
        <v>2.9861111111111113E-2</v>
      </c>
      <c r="J6333" s="30">
        <f>IF(G6333&lt;$H$10,$H$16,IF(G6333&gt;$I$10,$H$16,$H$11))*E6333/600</f>
        <v>4.9313333333333336E-3</v>
      </c>
      <c r="L6333" s="32">
        <f>$J6333*($G6333-$G6332)*60*24</f>
        <v>4.9313333333333657E-3</v>
      </c>
    </row>
    <row r="6334" spans="1:12">
      <c r="A6334" s="22">
        <v>40315.030555555553</v>
      </c>
      <c r="E6334" s="26">
        <v>14.833</v>
      </c>
      <c r="G6334" s="27">
        <v>3.0555555555555555E-2</v>
      </c>
      <c r="J6334" s="30">
        <f>IF(G6334&lt;$H$10,$H$16,IF(G6334&gt;$I$10,$H$16,$H$11))*E6334/600</f>
        <v>4.9443333333333336E-3</v>
      </c>
      <c r="L6334" s="32">
        <f>$J6334*($G6334-$G6333)*60*24</f>
        <v>4.9443333333333154E-3</v>
      </c>
    </row>
    <row r="6335" spans="1:12">
      <c r="A6335" s="22">
        <v>40315.03125</v>
      </c>
      <c r="E6335" s="26">
        <v>14.859</v>
      </c>
      <c r="G6335" s="27">
        <v>3.125E-2</v>
      </c>
      <c r="J6335" s="30">
        <f>IF(G6335&lt;$H$10,$H$16,IF(G6335&gt;$I$10,$H$16,$H$11))*E6335/600</f>
        <v>4.9529999999999999E-3</v>
      </c>
      <c r="L6335" s="32">
        <f>$J6335*($G6335-$G6334)*60*24</f>
        <v>4.9530000000000077E-3</v>
      </c>
    </row>
    <row r="6336" spans="1:12">
      <c r="A6336" s="22">
        <v>40315.031944444447</v>
      </c>
      <c r="E6336" s="26">
        <v>15.133800000000001</v>
      </c>
      <c r="G6336" s="27">
        <v>3.1944444444444449E-2</v>
      </c>
      <c r="J6336" s="30">
        <f>IF(G6336&lt;$H$10,$H$16,IF(G6336&gt;$I$10,$H$16,$H$11))*E6336/600</f>
        <v>5.0446000000000006E-3</v>
      </c>
      <c r="L6336" s="32">
        <f>$J6336*($G6336-$G6335)*60*24</f>
        <v>5.0446000000000327E-3</v>
      </c>
    </row>
    <row r="6337" spans="1:12">
      <c r="A6337" s="22">
        <v>40315.032638888886</v>
      </c>
      <c r="E6337" s="26">
        <v>15.1668</v>
      </c>
      <c r="G6337" s="27">
        <v>3.2638888888888891E-2</v>
      </c>
      <c r="J6337" s="30">
        <f>IF(G6337&lt;$H$10,$H$16,IF(G6337&gt;$I$10,$H$16,$H$11))*E6337/600</f>
        <v>5.0556000000000004E-3</v>
      </c>
      <c r="L6337" s="32">
        <f>$J6337*($G6337-$G6336)*60*24</f>
        <v>5.0555999999999822E-3</v>
      </c>
    </row>
    <row r="6338" spans="1:12">
      <c r="A6338" s="22">
        <v>40315.033333333333</v>
      </c>
      <c r="E6338" s="26">
        <v>15.1866</v>
      </c>
      <c r="G6338" s="27">
        <v>3.3333333333333333E-2</v>
      </c>
      <c r="J6338" s="30">
        <f>IF(G6338&lt;$H$10,$H$16,IF(G6338&gt;$I$10,$H$16,$H$11))*E6338/600</f>
        <v>5.0622000000000002E-3</v>
      </c>
      <c r="L6338" s="32">
        <f>$J6338*($G6338-$G6337)*60*24</f>
        <v>5.062199999999982E-3</v>
      </c>
    </row>
    <row r="6339" spans="1:12">
      <c r="A6339" s="22">
        <v>40315.03402777778</v>
      </c>
      <c r="E6339" s="26">
        <v>15.1668</v>
      </c>
      <c r="G6339" s="27">
        <v>3.4027777777777775E-2</v>
      </c>
      <c r="J6339" s="30">
        <f>IF(G6339&lt;$H$10,$H$16,IF(G6339&gt;$I$10,$H$16,$H$11))*E6339/600</f>
        <v>5.0556000000000004E-3</v>
      </c>
      <c r="L6339" s="32">
        <f>$J6339*($G6339-$G6338)*60*24</f>
        <v>5.0555999999999822E-3</v>
      </c>
    </row>
    <row r="6340" spans="1:12">
      <c r="A6340" s="22">
        <v>40315.034722222219</v>
      </c>
      <c r="E6340" s="26">
        <v>15.18</v>
      </c>
      <c r="G6340" s="27">
        <v>3.4722222222222224E-2</v>
      </c>
      <c r="J6340" s="30">
        <f>IF(G6340&lt;$H$10,$H$16,IF(G6340&gt;$I$10,$H$16,$H$11))*E6340/600</f>
        <v>5.0600000000000003E-3</v>
      </c>
      <c r="L6340" s="32">
        <f>$J6340*($G6340-$G6339)*60*24</f>
        <v>5.0600000000000332E-3</v>
      </c>
    </row>
    <row r="6341" spans="1:12">
      <c r="A6341" s="22">
        <v>40315.035416666666</v>
      </c>
      <c r="E6341" s="26">
        <v>15.212999999999999</v>
      </c>
      <c r="G6341" s="27">
        <v>3.5416666666666666E-2</v>
      </c>
      <c r="J6341" s="30">
        <f>IF(G6341&lt;$H$10,$H$16,IF(G6341&gt;$I$10,$H$16,$H$11))*E6341/600</f>
        <v>5.071E-3</v>
      </c>
      <c r="L6341" s="32">
        <f>$J6341*($G6341-$G6340)*60*24</f>
        <v>5.0709999999999818E-3</v>
      </c>
    </row>
    <row r="6342" spans="1:12">
      <c r="A6342" s="22">
        <v>40315.036111111112</v>
      </c>
      <c r="E6342" s="26">
        <v>15.279</v>
      </c>
      <c r="G6342" s="27">
        <v>3.6111111111111115E-2</v>
      </c>
      <c r="J6342" s="30">
        <f>IF(G6342&lt;$H$10,$H$16,IF(G6342&gt;$I$10,$H$16,$H$11))*E6342/600</f>
        <v>5.0930000000000003E-3</v>
      </c>
      <c r="L6342" s="32">
        <f>$J6342*($G6342-$G6341)*60*24</f>
        <v>5.0930000000000333E-3</v>
      </c>
    </row>
    <row r="6343" spans="1:12">
      <c r="A6343" s="22">
        <v>40315.036805555559</v>
      </c>
      <c r="E6343" s="26">
        <v>15.2262</v>
      </c>
      <c r="G6343" s="27">
        <v>3.6805555555555557E-2</v>
      </c>
      <c r="J6343" s="30">
        <f>IF(G6343&lt;$H$10,$H$16,IF(G6343&gt;$I$10,$H$16,$H$11))*E6343/600</f>
        <v>5.0753999999999999E-3</v>
      </c>
      <c r="L6343" s="32">
        <f>$J6343*($G6343-$G6342)*60*24</f>
        <v>5.0753999999999817E-3</v>
      </c>
    </row>
    <row r="6344" spans="1:12">
      <c r="A6344" s="22">
        <v>40315.037499999999</v>
      </c>
      <c r="E6344" s="26">
        <v>15.173400000000001</v>
      </c>
      <c r="G6344" s="27">
        <v>3.7499999999999999E-2</v>
      </c>
      <c r="J6344" s="30">
        <f>IF(G6344&lt;$H$10,$H$16,IF(G6344&gt;$I$10,$H$16,$H$11))*E6344/600</f>
        <v>5.0578000000000003E-3</v>
      </c>
      <c r="L6344" s="32">
        <f>$J6344*($G6344-$G6343)*60*24</f>
        <v>5.057799999999983E-3</v>
      </c>
    </row>
    <row r="6345" spans="1:12">
      <c r="A6345" s="22">
        <v>40315.038194444445</v>
      </c>
      <c r="E6345" s="26">
        <v>15.1668</v>
      </c>
      <c r="G6345" s="27">
        <v>3.8194444444444441E-2</v>
      </c>
      <c r="J6345" s="30">
        <f>IF(G6345&lt;$H$10,$H$16,IF(G6345&gt;$I$10,$H$16,$H$11))*E6345/600</f>
        <v>5.0556000000000004E-3</v>
      </c>
      <c r="L6345" s="32">
        <f>$J6345*($G6345-$G6344)*60*24</f>
        <v>5.0555999999999822E-3</v>
      </c>
    </row>
    <row r="6346" spans="1:12">
      <c r="A6346" s="22">
        <v>40315.038888888892</v>
      </c>
      <c r="E6346" s="26">
        <v>15.2064</v>
      </c>
      <c r="G6346" s="27">
        <v>3.888888888888889E-2</v>
      </c>
      <c r="J6346" s="30">
        <f>IF(G6346&lt;$H$10,$H$16,IF(G6346&gt;$I$10,$H$16,$H$11))*E6346/600</f>
        <v>5.0688000000000009E-3</v>
      </c>
      <c r="L6346" s="32">
        <f>$J6346*($G6346-$G6345)*60*24</f>
        <v>5.0688000000000339E-3</v>
      </c>
    </row>
    <row r="6347" spans="1:12">
      <c r="A6347" s="22">
        <v>40315.039583333331</v>
      </c>
      <c r="E6347" s="26">
        <v>15.2262</v>
      </c>
      <c r="G6347" s="27">
        <v>3.9583333333333331E-2</v>
      </c>
      <c r="J6347" s="30">
        <f>IF(G6347&lt;$H$10,$H$16,IF(G6347&gt;$I$10,$H$16,$H$11))*E6347/600</f>
        <v>5.0753999999999999E-3</v>
      </c>
      <c r="L6347" s="32">
        <f>$J6347*($G6347-$G6346)*60*24</f>
        <v>5.0753999999999817E-3</v>
      </c>
    </row>
    <row r="6348" spans="1:12">
      <c r="A6348" s="22">
        <v>40315.040277777778</v>
      </c>
      <c r="E6348" s="26">
        <v>15.252599999999999</v>
      </c>
      <c r="G6348" s="27">
        <v>4.027777777777778E-2</v>
      </c>
      <c r="J6348" s="30">
        <f>IF(G6348&lt;$H$10,$H$16,IF(G6348&gt;$I$10,$H$16,$H$11))*E6348/600</f>
        <v>5.0842000000000005E-3</v>
      </c>
      <c r="L6348" s="32">
        <f>$J6348*($G6348-$G6347)*60*24</f>
        <v>5.0842000000000335E-3</v>
      </c>
    </row>
    <row r="6349" spans="1:12">
      <c r="A6349" s="22">
        <v>40315.040972222225</v>
      </c>
      <c r="E6349" s="26">
        <v>15.252599999999999</v>
      </c>
      <c r="G6349" s="27">
        <v>4.0972222222222222E-2</v>
      </c>
      <c r="J6349" s="30">
        <f>IF(G6349&lt;$H$10,$H$16,IF(G6349&gt;$I$10,$H$16,$H$11))*E6349/600</f>
        <v>5.0842000000000005E-3</v>
      </c>
      <c r="L6349" s="32">
        <f>$J6349*($G6349-$G6348)*60*24</f>
        <v>5.0841999999999823E-3</v>
      </c>
    </row>
    <row r="6350" spans="1:12">
      <c r="A6350" s="22">
        <v>40315.041666666664</v>
      </c>
      <c r="E6350" s="26">
        <v>15.252599999999999</v>
      </c>
      <c r="G6350" s="27">
        <v>4.1666666666666664E-2</v>
      </c>
      <c r="J6350" s="30">
        <f>IF(G6350&lt;$H$10,$H$16,IF(G6350&gt;$I$10,$H$16,$H$11))*E6350/600</f>
        <v>5.0842000000000005E-3</v>
      </c>
      <c r="L6350" s="32">
        <f>$J6350*($G6350-$G6349)*60*24</f>
        <v>5.0841999999999823E-3</v>
      </c>
    </row>
    <row r="6351" spans="1:12">
      <c r="A6351" s="22">
        <v>40315.042361111111</v>
      </c>
      <c r="E6351" s="26">
        <v>15.087006000000001</v>
      </c>
      <c r="G6351" s="27">
        <v>4.2361111111111106E-2</v>
      </c>
      <c r="J6351" s="30">
        <f>IF(G6351&lt;$H$10,$H$16,IF(G6351&gt;$I$10,$H$16,$H$11))*E6351/600</f>
        <v>5.0290020000000003E-3</v>
      </c>
      <c r="L6351" s="32">
        <f>$J6351*($G6351-$G6350)*60*24</f>
        <v>5.0290019999999821E-3</v>
      </c>
    </row>
    <row r="6352" spans="1:12">
      <c r="A6352" s="22">
        <v>40315.043055555558</v>
      </c>
      <c r="E6352" s="26">
        <v>15.113142</v>
      </c>
      <c r="G6352" s="27">
        <v>4.3055555555555562E-2</v>
      </c>
      <c r="J6352" s="30">
        <f>IF(G6352&lt;$H$10,$H$16,IF(G6352&gt;$I$10,$H$16,$H$11))*E6352/600</f>
        <v>5.0377140000000004E-3</v>
      </c>
      <c r="L6352" s="32">
        <f>$J6352*($G6352-$G6351)*60*24</f>
        <v>5.0377140000000837E-3</v>
      </c>
    </row>
    <row r="6353" spans="1:12">
      <c r="A6353" s="22">
        <v>40315.043749999997</v>
      </c>
      <c r="E6353" s="26">
        <v>15.106608</v>
      </c>
      <c r="G6353" s="27">
        <v>4.3750000000000004E-2</v>
      </c>
      <c r="J6353" s="30">
        <f>IF(G6353&lt;$H$10,$H$16,IF(G6353&gt;$I$10,$H$16,$H$11))*E6353/600</f>
        <v>5.0355360000000002E-3</v>
      </c>
      <c r="L6353" s="32">
        <f>$J6353*($G6353-$G6352)*60*24</f>
        <v>5.035535999999982E-3</v>
      </c>
    </row>
    <row r="6354" spans="1:12">
      <c r="A6354" s="22">
        <v>40315.044444444444</v>
      </c>
      <c r="E6354" s="26">
        <v>15.147</v>
      </c>
      <c r="G6354" s="27">
        <v>4.4444444444444446E-2</v>
      </c>
      <c r="J6354" s="30">
        <f>IF(G6354&lt;$H$10,$H$16,IF(G6354&gt;$I$10,$H$16,$H$11))*E6354/600</f>
        <v>5.0490000000000005E-3</v>
      </c>
      <c r="L6354" s="32">
        <f>$J6354*($G6354-$G6353)*60*24</f>
        <v>5.0489999999999823E-3</v>
      </c>
    </row>
    <row r="6355" spans="1:12">
      <c r="A6355" s="22">
        <v>40315.045138888891</v>
      </c>
      <c r="E6355" s="26">
        <v>15.153600000000001</v>
      </c>
      <c r="G6355" s="27">
        <v>4.5138888888888888E-2</v>
      </c>
      <c r="J6355" s="30">
        <f>IF(G6355&lt;$H$10,$H$16,IF(G6355&gt;$I$10,$H$16,$H$11))*E6355/600</f>
        <v>5.0512000000000005E-3</v>
      </c>
      <c r="L6355" s="32">
        <f>$J6355*($G6355-$G6354)*60*24</f>
        <v>5.0511999999999831E-3</v>
      </c>
    </row>
    <row r="6356" spans="1:12">
      <c r="A6356" s="22">
        <v>40315.04583333333</v>
      </c>
      <c r="E6356" s="26">
        <v>15.1998</v>
      </c>
      <c r="G6356" s="27">
        <v>4.5833333333333337E-2</v>
      </c>
      <c r="J6356" s="30">
        <f>IF(G6356&lt;$H$10,$H$16,IF(G6356&gt;$I$10,$H$16,$H$11))*E6356/600</f>
        <v>5.0666000000000001E-3</v>
      </c>
      <c r="L6356" s="32">
        <f>$J6356*($G6356-$G6355)*60*24</f>
        <v>5.0666000000000331E-3</v>
      </c>
    </row>
    <row r="6357" spans="1:12">
      <c r="A6357" s="22">
        <v>40315.046527777777</v>
      </c>
      <c r="E6357" s="26">
        <v>15.246</v>
      </c>
      <c r="G6357" s="27">
        <v>4.6527777777777779E-2</v>
      </c>
      <c r="J6357" s="30">
        <f>IF(G6357&lt;$H$10,$H$16,IF(G6357&gt;$I$10,$H$16,$H$11))*E6357/600</f>
        <v>5.0820000000000006E-3</v>
      </c>
      <c r="L6357" s="32">
        <f>$J6357*($G6357-$G6356)*60*24</f>
        <v>5.0819999999999824E-3</v>
      </c>
    </row>
    <row r="6358" spans="1:12">
      <c r="A6358" s="22">
        <v>40315.047222222223</v>
      </c>
      <c r="E6358" s="26">
        <v>15.232799999999999</v>
      </c>
      <c r="G6358" s="27">
        <v>4.7222222222222221E-2</v>
      </c>
      <c r="J6358" s="30">
        <f>IF(G6358&lt;$H$10,$H$16,IF(G6358&gt;$I$10,$H$16,$H$11))*E6358/600</f>
        <v>5.0775999999999998E-3</v>
      </c>
      <c r="L6358" s="32">
        <f>$J6358*($G6358-$G6357)*60*24</f>
        <v>5.0775999999999816E-3</v>
      </c>
    </row>
    <row r="6359" spans="1:12">
      <c r="A6359" s="22">
        <v>40315.04791666667</v>
      </c>
      <c r="E6359" s="26">
        <v>15.153600000000001</v>
      </c>
      <c r="G6359" s="27">
        <v>4.7916666666666663E-2</v>
      </c>
      <c r="J6359" s="30">
        <f>IF(G6359&lt;$H$10,$H$16,IF(G6359&gt;$I$10,$H$16,$H$11))*E6359/600</f>
        <v>5.0512000000000005E-3</v>
      </c>
      <c r="L6359" s="32">
        <f>$J6359*($G6359-$G6358)*60*24</f>
        <v>5.0511999999999831E-3</v>
      </c>
    </row>
    <row r="6360" spans="1:12">
      <c r="A6360" s="22">
        <v>40315.048611111109</v>
      </c>
      <c r="E6360" s="26">
        <v>15.1602</v>
      </c>
      <c r="G6360" s="27">
        <v>4.8611111111111112E-2</v>
      </c>
      <c r="J6360" s="30">
        <f>IF(G6360&lt;$H$10,$H$16,IF(G6360&gt;$I$10,$H$16,$H$11))*E6360/600</f>
        <v>5.0534000000000004E-3</v>
      </c>
      <c r="L6360" s="32">
        <f>$J6360*($G6360-$G6359)*60*24</f>
        <v>5.0534000000000334E-3</v>
      </c>
    </row>
    <row r="6361" spans="1:12">
      <c r="A6361" s="22">
        <v>40315.049305555556</v>
      </c>
      <c r="E6361" s="26">
        <v>15.1602</v>
      </c>
      <c r="G6361" s="27">
        <v>4.9305555555555554E-2</v>
      </c>
      <c r="J6361" s="30">
        <f>IF(G6361&lt;$H$10,$H$16,IF(G6361&gt;$I$10,$H$16,$H$11))*E6361/600</f>
        <v>5.0534000000000004E-3</v>
      </c>
      <c r="L6361" s="32">
        <f>$J6361*($G6361-$G6360)*60*24</f>
        <v>5.0533999999999822E-3</v>
      </c>
    </row>
    <row r="6362" spans="1:12">
      <c r="A6362" s="22">
        <v>40315.050000000003</v>
      </c>
      <c r="E6362" s="26">
        <v>15.173400000000001</v>
      </c>
      <c r="G6362" s="27">
        <v>4.9999999999999996E-2</v>
      </c>
      <c r="J6362" s="30">
        <f>IF(G6362&lt;$H$10,$H$16,IF(G6362&gt;$I$10,$H$16,$H$11))*E6362/600</f>
        <v>5.0578000000000003E-3</v>
      </c>
      <c r="L6362" s="32">
        <f>$J6362*($G6362-$G6361)*60*24</f>
        <v>5.057799999999983E-3</v>
      </c>
    </row>
    <row r="6363" spans="1:12">
      <c r="A6363" s="22">
        <v>40315.050694444442</v>
      </c>
      <c r="E6363" s="26">
        <v>15.1998</v>
      </c>
      <c r="G6363" s="27">
        <v>5.0694444444444452E-2</v>
      </c>
      <c r="J6363" s="30">
        <f>IF(G6363&lt;$H$10,$H$16,IF(G6363&gt;$I$10,$H$16,$H$11))*E6363/600</f>
        <v>5.0666000000000001E-3</v>
      </c>
      <c r="L6363" s="32">
        <f>$J6363*($G6363-$G6362)*60*24</f>
        <v>5.0666000000000834E-3</v>
      </c>
    </row>
    <row r="6364" spans="1:12">
      <c r="A6364" s="22">
        <v>40315.051388888889</v>
      </c>
      <c r="E6364" s="26">
        <v>14.9435</v>
      </c>
      <c r="G6364" s="27">
        <v>5.1388888888888894E-2</v>
      </c>
      <c r="J6364" s="30">
        <f>IF(G6364&lt;$H$10,$H$16,IF(G6364&gt;$I$10,$H$16,$H$11))*E6364/600</f>
        <v>4.9811666666666667E-3</v>
      </c>
      <c r="L6364" s="32">
        <f>$J6364*($G6364-$G6363)*60*24</f>
        <v>4.9811666666666494E-3</v>
      </c>
    </row>
    <row r="6365" spans="1:12">
      <c r="A6365" s="22">
        <v>40315.052083333336</v>
      </c>
      <c r="E6365" s="26">
        <v>14.923999999999999</v>
      </c>
      <c r="G6365" s="27">
        <v>5.2083333333333336E-2</v>
      </c>
      <c r="J6365" s="30">
        <f>IF(G6365&lt;$H$10,$H$16,IF(G6365&gt;$I$10,$H$16,$H$11))*E6365/600</f>
        <v>4.9746666666666663E-3</v>
      </c>
      <c r="L6365" s="32">
        <f>$J6365*($G6365-$G6364)*60*24</f>
        <v>4.974666666666649E-3</v>
      </c>
    </row>
    <row r="6366" spans="1:12">
      <c r="A6366" s="22">
        <v>40315.052777777775</v>
      </c>
      <c r="E6366" s="26">
        <v>15.173400000000001</v>
      </c>
      <c r="G6366" s="27">
        <v>5.2777777777777778E-2</v>
      </c>
      <c r="J6366" s="30">
        <f>IF(G6366&lt;$H$10,$H$16,IF(G6366&gt;$I$10,$H$16,$H$11))*E6366/600</f>
        <v>5.0578000000000003E-3</v>
      </c>
      <c r="L6366" s="32">
        <f>$J6366*($G6366-$G6365)*60*24</f>
        <v>5.057799999999983E-3</v>
      </c>
    </row>
    <row r="6367" spans="1:12">
      <c r="A6367" s="22">
        <v>40315.053472222222</v>
      </c>
      <c r="E6367" s="26">
        <v>15.173400000000001</v>
      </c>
      <c r="G6367" s="27">
        <v>5.347222222222222E-2</v>
      </c>
      <c r="J6367" s="30">
        <f>IF(G6367&lt;$H$10,$H$16,IF(G6367&gt;$I$10,$H$16,$H$11))*E6367/600</f>
        <v>5.0578000000000003E-3</v>
      </c>
      <c r="L6367" s="32">
        <f>$J6367*($G6367-$G6366)*60*24</f>
        <v>5.057799999999983E-3</v>
      </c>
    </row>
    <row r="6368" spans="1:12">
      <c r="A6368" s="22">
        <v>40315.054166666669</v>
      </c>
      <c r="E6368" s="26">
        <v>14.891500000000001</v>
      </c>
      <c r="G6368" s="27">
        <v>5.4166666666666669E-2</v>
      </c>
      <c r="J6368" s="30">
        <f>IF(G6368&lt;$H$10,$H$16,IF(G6368&gt;$I$10,$H$16,$H$11))*E6368/600</f>
        <v>4.963833333333334E-3</v>
      </c>
      <c r="L6368" s="32">
        <f>$J6368*($G6368-$G6367)*60*24</f>
        <v>4.9638333333333652E-3</v>
      </c>
    </row>
    <row r="6369" spans="1:12">
      <c r="A6369" s="22">
        <v>40315.054861111108</v>
      </c>
      <c r="E6369" s="26">
        <v>14.852499999999999</v>
      </c>
      <c r="G6369" s="27">
        <v>5.486111111111111E-2</v>
      </c>
      <c r="J6369" s="30">
        <f>IF(G6369&lt;$H$10,$H$16,IF(G6369&gt;$I$10,$H$16,$H$11))*E6369/600</f>
        <v>4.9508333333333331E-3</v>
      </c>
      <c r="L6369" s="32">
        <f>$J6369*($G6369-$G6368)*60*24</f>
        <v>4.9508333333333158E-3</v>
      </c>
    </row>
    <row r="6370" spans="1:12">
      <c r="A6370" s="22">
        <v>40315.055555555555</v>
      </c>
      <c r="E6370" s="26">
        <v>14.872</v>
      </c>
      <c r="G6370" s="27">
        <v>5.5555555555555552E-2</v>
      </c>
      <c r="J6370" s="30">
        <f>IF(G6370&lt;$H$10,$H$16,IF(G6370&gt;$I$10,$H$16,$H$11))*E6370/600</f>
        <v>4.9573333333333336E-3</v>
      </c>
      <c r="L6370" s="32">
        <f>$J6370*($G6370-$G6369)*60*24</f>
        <v>4.9573333333333153E-3</v>
      </c>
    </row>
    <row r="6371" spans="1:12">
      <c r="A6371" s="22">
        <v>40315.056250000001</v>
      </c>
      <c r="E6371" s="26">
        <v>14.885</v>
      </c>
      <c r="G6371" s="27">
        <v>5.6250000000000001E-2</v>
      </c>
      <c r="J6371" s="30">
        <f>IF(G6371&lt;$H$10,$H$16,IF(G6371&gt;$I$10,$H$16,$H$11))*E6371/600</f>
        <v>4.9616666666666672E-3</v>
      </c>
      <c r="L6371" s="32">
        <f>$J6371*($G6371-$G6370)*60*24</f>
        <v>4.9616666666666993E-3</v>
      </c>
    </row>
    <row r="6372" spans="1:12">
      <c r="A6372" s="22">
        <v>40315.056944444441</v>
      </c>
      <c r="E6372" s="26">
        <v>14.813499999999999</v>
      </c>
      <c r="G6372" s="27">
        <v>5.6944444444444443E-2</v>
      </c>
      <c r="J6372" s="30">
        <f>IF(G6372&lt;$H$10,$H$16,IF(G6372&gt;$I$10,$H$16,$H$11))*E6372/600</f>
        <v>4.9378333333333331E-3</v>
      </c>
      <c r="L6372" s="32">
        <f>$J6372*($G6372-$G6371)*60*24</f>
        <v>4.9378333333333149E-3</v>
      </c>
    </row>
    <row r="6373" spans="1:12">
      <c r="A6373" s="22">
        <v>40315.057638888888</v>
      </c>
      <c r="E6373" s="26">
        <v>14.833</v>
      </c>
      <c r="G6373" s="27">
        <v>5.7638888888888885E-2</v>
      </c>
      <c r="J6373" s="30">
        <f>IF(G6373&lt;$H$10,$H$16,IF(G6373&gt;$I$10,$H$16,$H$11))*E6373/600</f>
        <v>4.9443333333333336E-3</v>
      </c>
      <c r="L6373" s="32">
        <f>$J6373*($G6373-$G6372)*60*24</f>
        <v>4.9443333333333154E-3</v>
      </c>
    </row>
    <row r="6374" spans="1:12">
      <c r="A6374" s="22">
        <v>40315.058333333334</v>
      </c>
      <c r="E6374" s="26">
        <v>15.094200000000001</v>
      </c>
      <c r="G6374" s="27">
        <v>5.8333333333333327E-2</v>
      </c>
      <c r="J6374" s="30">
        <f>IF(G6374&lt;$H$10,$H$16,IF(G6374&gt;$I$10,$H$16,$H$11))*E6374/600</f>
        <v>5.031400000000001E-3</v>
      </c>
      <c r="L6374" s="32">
        <f>$J6374*($G6374-$G6373)*60*24</f>
        <v>5.0313999999999836E-3</v>
      </c>
    </row>
    <row r="6375" spans="1:12">
      <c r="A6375" s="22">
        <v>40315.059027777781</v>
      </c>
      <c r="E6375" s="26">
        <v>15.153600000000001</v>
      </c>
      <c r="G6375" s="27">
        <v>5.9027777777777783E-2</v>
      </c>
      <c r="J6375" s="30">
        <f>IF(G6375&lt;$H$10,$H$16,IF(G6375&gt;$I$10,$H$16,$H$11))*E6375/600</f>
        <v>5.0512000000000005E-3</v>
      </c>
      <c r="L6375" s="32">
        <f>$J6375*($G6375-$G6374)*60*24</f>
        <v>5.0512000000000837E-3</v>
      </c>
    </row>
    <row r="6376" spans="1:12">
      <c r="A6376" s="22">
        <v>40315.05972222222</v>
      </c>
      <c r="E6376" s="26">
        <v>15.173400000000001</v>
      </c>
      <c r="G6376" s="27">
        <v>5.9722222222222225E-2</v>
      </c>
      <c r="J6376" s="30">
        <f>IF(G6376&lt;$H$10,$H$16,IF(G6376&gt;$I$10,$H$16,$H$11))*E6376/600</f>
        <v>5.0578000000000003E-3</v>
      </c>
      <c r="L6376" s="32">
        <f>$J6376*($G6376-$G6375)*60*24</f>
        <v>5.057799999999983E-3</v>
      </c>
    </row>
    <row r="6377" spans="1:12">
      <c r="A6377" s="22">
        <v>40315.060416666667</v>
      </c>
      <c r="E6377" s="26">
        <v>15.18</v>
      </c>
      <c r="G6377" s="27">
        <v>6.0416666666666667E-2</v>
      </c>
      <c r="J6377" s="30">
        <f>IF(G6377&lt;$H$10,$H$16,IF(G6377&gt;$I$10,$H$16,$H$11))*E6377/600</f>
        <v>5.0600000000000003E-3</v>
      </c>
      <c r="L6377" s="32">
        <f>$J6377*($G6377-$G6376)*60*24</f>
        <v>5.059999999999982E-3</v>
      </c>
    </row>
    <row r="6378" spans="1:12">
      <c r="A6378" s="22">
        <v>40315.061111111114</v>
      </c>
      <c r="E6378" s="26">
        <v>15.1404</v>
      </c>
      <c r="G6378" s="27">
        <v>6.1111111111111116E-2</v>
      </c>
      <c r="J6378" s="30">
        <f>IF(G6378&lt;$H$10,$H$16,IF(G6378&gt;$I$10,$H$16,$H$11))*E6378/600</f>
        <v>5.0468000000000006E-3</v>
      </c>
      <c r="L6378" s="32">
        <f>$J6378*($G6378-$G6377)*60*24</f>
        <v>5.0468000000000336E-3</v>
      </c>
    </row>
    <row r="6379" spans="1:12">
      <c r="A6379" s="22">
        <v>40315.061805555553</v>
      </c>
      <c r="E6379" s="26">
        <v>15.147</v>
      </c>
      <c r="G6379" s="27">
        <v>6.1805555555555558E-2</v>
      </c>
      <c r="J6379" s="30">
        <f>IF(G6379&lt;$H$10,$H$16,IF(G6379&gt;$I$10,$H$16,$H$11))*E6379/600</f>
        <v>5.0490000000000005E-3</v>
      </c>
      <c r="L6379" s="32">
        <f>$J6379*($G6379-$G6378)*60*24</f>
        <v>5.0489999999999823E-3</v>
      </c>
    </row>
    <row r="6380" spans="1:12">
      <c r="A6380" s="22">
        <v>40315.0625</v>
      </c>
      <c r="E6380" s="26">
        <v>15.1206</v>
      </c>
      <c r="G6380" s="27">
        <v>6.25E-2</v>
      </c>
      <c r="J6380" s="30">
        <f>IF(G6380&lt;$H$10,$H$16,IF(G6380&gt;$I$10,$H$16,$H$11))*E6380/600</f>
        <v>5.0401999999999999E-3</v>
      </c>
      <c r="L6380" s="32">
        <f>$J6380*($G6380-$G6379)*60*24</f>
        <v>5.0401999999999825E-3</v>
      </c>
    </row>
    <row r="6381" spans="1:12">
      <c r="A6381" s="22">
        <v>40315.063194444447</v>
      </c>
      <c r="E6381" s="26">
        <v>15.114000000000001</v>
      </c>
      <c r="G6381" s="27">
        <v>6.3194444444444442E-2</v>
      </c>
      <c r="J6381" s="30">
        <f>IF(G6381&lt;$H$10,$H$16,IF(G6381&gt;$I$10,$H$16,$H$11))*E6381/600</f>
        <v>5.0379999999999999E-3</v>
      </c>
      <c r="L6381" s="32">
        <f>$J6381*($G6381-$G6380)*60*24</f>
        <v>5.0379999999999817E-3</v>
      </c>
    </row>
    <row r="6382" spans="1:12">
      <c r="A6382" s="22">
        <v>40315.063888888886</v>
      </c>
      <c r="E6382" s="26">
        <v>15.1074</v>
      </c>
      <c r="G6382" s="27">
        <v>6.3888888888888884E-2</v>
      </c>
      <c r="J6382" s="30">
        <f>IF(G6382&lt;$H$10,$H$16,IF(G6382&gt;$I$10,$H$16,$H$11))*E6382/600</f>
        <v>5.0358000000000009E-3</v>
      </c>
      <c r="L6382" s="32">
        <f>$J6382*($G6382-$G6381)*60*24</f>
        <v>5.0357999999999827E-3</v>
      </c>
    </row>
    <row r="6383" spans="1:12">
      <c r="A6383" s="22">
        <v>40315.064583333333</v>
      </c>
      <c r="E6383" s="26">
        <v>15.094200000000001</v>
      </c>
      <c r="G6383" s="27">
        <v>6.458333333333334E-2</v>
      </c>
      <c r="J6383" s="30">
        <f>IF(G6383&lt;$H$10,$H$16,IF(G6383&gt;$I$10,$H$16,$H$11))*E6383/600</f>
        <v>5.031400000000001E-3</v>
      </c>
      <c r="L6383" s="32">
        <f>$J6383*($G6383-$G6382)*60*24</f>
        <v>5.0314000000000834E-3</v>
      </c>
    </row>
    <row r="6384" spans="1:12">
      <c r="A6384" s="22">
        <v>40315.06527777778</v>
      </c>
      <c r="E6384" s="26">
        <v>15.1602</v>
      </c>
      <c r="G6384" s="27">
        <v>6.5277777777777782E-2</v>
      </c>
      <c r="J6384" s="30">
        <f>IF(G6384&lt;$H$10,$H$16,IF(G6384&gt;$I$10,$H$16,$H$11))*E6384/600</f>
        <v>5.0534000000000004E-3</v>
      </c>
      <c r="L6384" s="32">
        <f>$J6384*($G6384-$G6383)*60*24</f>
        <v>5.0533999999999822E-3</v>
      </c>
    </row>
    <row r="6385" spans="1:12">
      <c r="A6385" s="22">
        <v>40315.065972222219</v>
      </c>
      <c r="E6385" s="26">
        <v>15.1668</v>
      </c>
      <c r="G6385" s="27">
        <v>6.5972222222222224E-2</v>
      </c>
      <c r="J6385" s="30">
        <f>IF(G6385&lt;$H$10,$H$16,IF(G6385&gt;$I$10,$H$16,$H$11))*E6385/600</f>
        <v>5.0556000000000004E-3</v>
      </c>
      <c r="L6385" s="32">
        <f>$J6385*($G6385-$G6384)*60*24</f>
        <v>5.0555999999999822E-3</v>
      </c>
    </row>
    <row r="6386" spans="1:12">
      <c r="A6386" s="22">
        <v>40315.066666666666</v>
      </c>
      <c r="E6386" s="26">
        <v>15.034734</v>
      </c>
      <c r="G6386" s="27">
        <v>6.6666666666666666E-2</v>
      </c>
      <c r="J6386" s="30">
        <f>IF(G6386&lt;$H$10,$H$16,IF(G6386&gt;$I$10,$H$16,$H$11))*E6386/600</f>
        <v>5.011578E-3</v>
      </c>
      <c r="L6386" s="32">
        <f>$J6386*($G6386-$G6385)*60*24</f>
        <v>5.0115779999999818E-3</v>
      </c>
    </row>
    <row r="6387" spans="1:12">
      <c r="A6387" s="22">
        <v>40315.067361111112</v>
      </c>
      <c r="E6387" s="26">
        <v>15.0282</v>
      </c>
      <c r="G6387" s="27">
        <v>6.7361111111111108E-2</v>
      </c>
      <c r="J6387" s="30">
        <f>IF(G6387&lt;$H$10,$H$16,IF(G6387&gt;$I$10,$H$16,$H$11))*E6387/600</f>
        <v>5.0093999999999998E-3</v>
      </c>
      <c r="L6387" s="32">
        <f>$J6387*($G6387-$G6386)*60*24</f>
        <v>5.0093999999999824E-3</v>
      </c>
    </row>
    <row r="6388" spans="1:12">
      <c r="A6388" s="22">
        <v>40315.068055555559</v>
      </c>
      <c r="E6388" s="26">
        <v>15.041268000000001</v>
      </c>
      <c r="G6388" s="27">
        <v>6.805555555555555E-2</v>
      </c>
      <c r="J6388" s="30">
        <f>IF(G6388&lt;$H$10,$H$16,IF(G6388&gt;$I$10,$H$16,$H$11))*E6388/600</f>
        <v>5.0137560000000003E-3</v>
      </c>
      <c r="L6388" s="32">
        <f>$J6388*($G6388-$G6387)*60*24</f>
        <v>5.0137559999999821E-3</v>
      </c>
    </row>
    <row r="6389" spans="1:12">
      <c r="A6389" s="22">
        <v>40315.068749999999</v>
      </c>
      <c r="E6389" s="26">
        <v>15.1008</v>
      </c>
      <c r="G6389" s="27">
        <v>6.8749999999999992E-2</v>
      </c>
      <c r="J6389" s="30">
        <f>IF(G6389&lt;$H$10,$H$16,IF(G6389&gt;$I$10,$H$16,$H$11))*E6389/600</f>
        <v>5.0336000000000001E-3</v>
      </c>
      <c r="L6389" s="32">
        <f>$J6389*($G6389-$G6388)*60*24</f>
        <v>5.0335999999999818E-3</v>
      </c>
    </row>
    <row r="6390" spans="1:12">
      <c r="A6390" s="22">
        <v>40315.069444444445</v>
      </c>
      <c r="E6390" s="26">
        <v>15.021599999999999</v>
      </c>
      <c r="G6390" s="27">
        <v>6.9444444444444434E-2</v>
      </c>
      <c r="J6390" s="30">
        <f>IF(G6390&lt;$H$10,$H$16,IF(G6390&gt;$I$10,$H$16,$H$11))*E6390/600</f>
        <v>5.0071999999999998E-3</v>
      </c>
      <c r="L6390" s="32">
        <f>$J6390*($G6390-$G6389)*60*24</f>
        <v>5.0071999999999816E-3</v>
      </c>
    </row>
    <row r="6391" spans="1:12">
      <c r="A6391" s="22">
        <v>40315.070138888892</v>
      </c>
      <c r="E6391" s="26">
        <v>15.081</v>
      </c>
      <c r="G6391" s="27">
        <v>7.013888888888889E-2</v>
      </c>
      <c r="J6391" s="30">
        <f>IF(G6391&lt;$H$10,$H$16,IF(G6391&gt;$I$10,$H$16,$H$11))*E6391/600</f>
        <v>5.0270000000000002E-3</v>
      </c>
      <c r="L6391" s="32">
        <f>$J6391*($G6391-$G6390)*60*24</f>
        <v>5.0270000000000826E-3</v>
      </c>
    </row>
    <row r="6392" spans="1:12">
      <c r="A6392" s="22">
        <v>40315.070833333331</v>
      </c>
      <c r="E6392" s="26">
        <v>15.114000000000001</v>
      </c>
      <c r="G6392" s="27">
        <v>7.0833333333333331E-2</v>
      </c>
      <c r="J6392" s="30">
        <f>IF(G6392&lt;$H$10,$H$16,IF(G6392&gt;$I$10,$H$16,$H$11))*E6392/600</f>
        <v>5.0379999999999999E-3</v>
      </c>
      <c r="L6392" s="32">
        <f>$J6392*($G6392-$G6391)*60*24</f>
        <v>5.0379999999999817E-3</v>
      </c>
    </row>
    <row r="6393" spans="1:12">
      <c r="A6393" s="22">
        <v>40315.071527777778</v>
      </c>
      <c r="E6393" s="26">
        <v>15.114000000000001</v>
      </c>
      <c r="G6393" s="27">
        <v>7.1527777777777787E-2</v>
      </c>
      <c r="J6393" s="30">
        <f>IF(G6393&lt;$H$10,$H$16,IF(G6393&gt;$I$10,$H$16,$H$11))*E6393/600</f>
        <v>5.0379999999999999E-3</v>
      </c>
      <c r="L6393" s="32">
        <f>$J6393*($G6393-$G6392)*60*24</f>
        <v>5.0380000000000823E-3</v>
      </c>
    </row>
    <row r="6394" spans="1:12">
      <c r="A6394" s="22">
        <v>40315.072222222225</v>
      </c>
      <c r="E6394" s="26">
        <v>14.865500000000001</v>
      </c>
      <c r="G6394" s="27">
        <v>7.2222222222222229E-2</v>
      </c>
      <c r="J6394" s="30">
        <f>IF(G6394&lt;$H$10,$H$16,IF(G6394&gt;$I$10,$H$16,$H$11))*E6394/600</f>
        <v>4.9551666666666676E-3</v>
      </c>
      <c r="L6394" s="32">
        <f>$J6394*($G6394-$G6393)*60*24</f>
        <v>4.9551666666666494E-3</v>
      </c>
    </row>
    <row r="6395" spans="1:12">
      <c r="A6395" s="22">
        <v>40315.072916666664</v>
      </c>
      <c r="E6395" s="26">
        <v>14.82</v>
      </c>
      <c r="G6395" s="27">
        <v>7.2916666666666671E-2</v>
      </c>
      <c r="J6395" s="30">
        <f>IF(G6395&lt;$H$10,$H$16,IF(G6395&gt;$I$10,$H$16,$H$11))*E6395/600</f>
        <v>4.9400000000000008E-3</v>
      </c>
      <c r="L6395" s="32">
        <f>$J6395*($G6395-$G6394)*60*24</f>
        <v>4.9399999999999835E-3</v>
      </c>
    </row>
    <row r="6396" spans="1:12">
      <c r="A6396" s="22">
        <v>40315.073611111111</v>
      </c>
      <c r="E6396" s="26">
        <v>15.094200000000001</v>
      </c>
      <c r="G6396" s="27">
        <v>7.3611111111111113E-2</v>
      </c>
      <c r="J6396" s="30">
        <f>IF(G6396&lt;$H$10,$H$16,IF(G6396&gt;$I$10,$H$16,$H$11))*E6396/600</f>
        <v>5.031400000000001E-3</v>
      </c>
      <c r="L6396" s="32">
        <f>$J6396*($G6396-$G6395)*60*24</f>
        <v>5.0313999999999836E-3</v>
      </c>
    </row>
    <row r="6397" spans="1:12">
      <c r="A6397" s="22">
        <v>40315.074305555558</v>
      </c>
      <c r="E6397" s="26">
        <v>15.094200000000001</v>
      </c>
      <c r="G6397" s="27">
        <v>7.4305555555555555E-2</v>
      </c>
      <c r="J6397" s="30">
        <f>IF(G6397&lt;$H$10,$H$16,IF(G6397&gt;$I$10,$H$16,$H$11))*E6397/600</f>
        <v>5.031400000000001E-3</v>
      </c>
      <c r="L6397" s="32">
        <f>$J6397*($G6397-$G6396)*60*24</f>
        <v>5.0313999999999836E-3</v>
      </c>
    </row>
    <row r="6398" spans="1:12">
      <c r="A6398" s="22">
        <v>40315.074999999997</v>
      </c>
      <c r="E6398" s="26">
        <v>15.1074</v>
      </c>
      <c r="G6398" s="27">
        <v>7.4999999999999997E-2</v>
      </c>
      <c r="J6398" s="30">
        <f>IF(G6398&lt;$H$10,$H$16,IF(G6398&gt;$I$10,$H$16,$H$11))*E6398/600</f>
        <v>5.0358000000000009E-3</v>
      </c>
      <c r="L6398" s="32">
        <f>$J6398*($G6398-$G6397)*60*24</f>
        <v>5.0357999999999827E-3</v>
      </c>
    </row>
    <row r="6399" spans="1:12">
      <c r="A6399" s="22">
        <v>40315.075694444444</v>
      </c>
      <c r="E6399" s="26">
        <v>15.081</v>
      </c>
      <c r="G6399" s="27">
        <v>7.5694444444444439E-2</v>
      </c>
      <c r="J6399" s="30">
        <f>IF(G6399&lt;$H$10,$H$16,IF(G6399&gt;$I$10,$H$16,$H$11))*E6399/600</f>
        <v>5.0270000000000002E-3</v>
      </c>
      <c r="L6399" s="32">
        <f>$J6399*($G6399-$G6398)*60*24</f>
        <v>5.0269999999999829E-3</v>
      </c>
    </row>
    <row r="6400" spans="1:12">
      <c r="A6400" s="22">
        <v>40315.076388888891</v>
      </c>
      <c r="E6400" s="26">
        <v>15.034800000000001</v>
      </c>
      <c r="G6400" s="27">
        <v>7.6388888888888895E-2</v>
      </c>
      <c r="J6400" s="30">
        <f>IF(G6400&lt;$H$10,$H$16,IF(G6400&gt;$I$10,$H$16,$H$11))*E6400/600</f>
        <v>5.0116000000000006E-3</v>
      </c>
      <c r="L6400" s="32">
        <f>$J6400*($G6400-$G6399)*60*24</f>
        <v>5.011600000000083E-3</v>
      </c>
    </row>
    <row r="6401" spans="1:12">
      <c r="A6401" s="22">
        <v>40315.07708333333</v>
      </c>
      <c r="E6401" s="26">
        <v>15.041399999999999</v>
      </c>
      <c r="G6401" s="27">
        <v>7.7083333333333337E-2</v>
      </c>
      <c r="J6401" s="30">
        <f>IF(G6401&lt;$H$10,$H$16,IF(G6401&gt;$I$10,$H$16,$H$11))*E6401/600</f>
        <v>5.0137999999999997E-3</v>
      </c>
      <c r="L6401" s="32">
        <f>$J6401*($G6401-$G6400)*60*24</f>
        <v>5.0137999999999815E-3</v>
      </c>
    </row>
    <row r="6402" spans="1:12">
      <c r="A6402" s="22">
        <v>40315.077777777777</v>
      </c>
      <c r="E6402" s="26">
        <v>15.015000000000001</v>
      </c>
      <c r="G6402" s="27">
        <v>7.7777777777777779E-2</v>
      </c>
      <c r="J6402" s="30">
        <f>IF(G6402&lt;$H$10,$H$16,IF(G6402&gt;$I$10,$H$16,$H$11))*E6402/600</f>
        <v>5.0049999999999999E-3</v>
      </c>
      <c r="L6402" s="32">
        <f>$J6402*($G6402-$G6401)*60*24</f>
        <v>5.0049999999999826E-3</v>
      </c>
    </row>
    <row r="6403" spans="1:12">
      <c r="A6403" s="22">
        <v>40315.078472222223</v>
      </c>
      <c r="E6403" s="26">
        <v>14.995200000000001</v>
      </c>
      <c r="G6403" s="27">
        <v>7.8472222222222221E-2</v>
      </c>
      <c r="J6403" s="30">
        <f>IF(G6403&lt;$H$10,$H$16,IF(G6403&gt;$I$10,$H$16,$H$11))*E6403/600</f>
        <v>4.9984000000000009E-3</v>
      </c>
      <c r="L6403" s="32">
        <f>$J6403*($G6403-$G6402)*60*24</f>
        <v>4.9983999999999827E-3</v>
      </c>
    </row>
    <row r="6404" spans="1:12">
      <c r="A6404" s="22">
        <v>40315.07916666667</v>
      </c>
      <c r="E6404" s="26">
        <v>15.015000000000001</v>
      </c>
      <c r="G6404" s="27">
        <v>7.9166666666666663E-2</v>
      </c>
      <c r="J6404" s="30">
        <f>IF(G6404&lt;$H$10,$H$16,IF(G6404&gt;$I$10,$H$16,$H$11))*E6404/600</f>
        <v>5.0049999999999999E-3</v>
      </c>
      <c r="L6404" s="32">
        <f>$J6404*($G6404-$G6403)*60*24</f>
        <v>5.0049999999999826E-3</v>
      </c>
    </row>
    <row r="6405" spans="1:12">
      <c r="A6405" s="22">
        <v>40315.079861111109</v>
      </c>
      <c r="E6405" s="26">
        <v>14.781000000000001</v>
      </c>
      <c r="G6405" s="27">
        <v>7.9861111111111105E-2</v>
      </c>
      <c r="J6405" s="30">
        <f>IF(G6405&lt;$H$10,$H$16,IF(G6405&gt;$I$10,$H$16,$H$11))*E6405/600</f>
        <v>4.9270000000000008E-3</v>
      </c>
      <c r="L6405" s="32">
        <f>$J6405*($G6405-$G6404)*60*24</f>
        <v>4.9269999999999835E-3</v>
      </c>
    </row>
    <row r="6406" spans="1:12">
      <c r="A6406" s="22">
        <v>40315.080555555556</v>
      </c>
      <c r="E6406" s="26">
        <v>15.001799999999999</v>
      </c>
      <c r="G6406" s="27">
        <v>8.0555555555555561E-2</v>
      </c>
      <c r="J6406" s="30">
        <f>IF(G6406&lt;$H$10,$H$16,IF(G6406&gt;$I$10,$H$16,$H$11))*E6406/600</f>
        <v>5.0006E-3</v>
      </c>
      <c r="L6406" s="32">
        <f>$J6406*($G6406-$G6405)*60*24</f>
        <v>5.0006000000000824E-3</v>
      </c>
    </row>
    <row r="6407" spans="1:12">
      <c r="A6407" s="22">
        <v>40315.081250000003</v>
      </c>
      <c r="E6407" s="26">
        <v>14.9688</v>
      </c>
      <c r="G6407" s="27">
        <v>8.1250000000000003E-2</v>
      </c>
      <c r="J6407" s="30">
        <f>IF(G6407&lt;$H$10,$H$16,IF(G6407&gt;$I$10,$H$16,$H$11))*E6407/600</f>
        <v>4.9896000000000003E-3</v>
      </c>
      <c r="L6407" s="32">
        <f>$J6407*($G6407-$G6406)*60*24</f>
        <v>4.9895999999999829E-3</v>
      </c>
    </row>
    <row r="6408" spans="1:12">
      <c r="A6408" s="22">
        <v>40315.081944444442</v>
      </c>
      <c r="E6408" s="26">
        <v>14.9886</v>
      </c>
      <c r="G6408" s="27">
        <v>8.1944444444444445E-2</v>
      </c>
      <c r="J6408" s="30">
        <f>IF(G6408&lt;$H$10,$H$16,IF(G6408&gt;$I$10,$H$16,$H$11))*E6408/600</f>
        <v>4.9962000000000001E-3</v>
      </c>
      <c r="L6408" s="32">
        <f>$J6408*($G6408-$G6407)*60*24</f>
        <v>4.9961999999999828E-3</v>
      </c>
    </row>
    <row r="6409" spans="1:12">
      <c r="A6409" s="22">
        <v>40315.082638888889</v>
      </c>
      <c r="E6409" s="26">
        <v>14.9754</v>
      </c>
      <c r="G6409" s="27">
        <v>8.2638888888888887E-2</v>
      </c>
      <c r="J6409" s="30">
        <f>IF(G6409&lt;$H$10,$H$16,IF(G6409&gt;$I$10,$H$16,$H$11))*E6409/600</f>
        <v>4.9918000000000002E-3</v>
      </c>
      <c r="L6409" s="32">
        <f>$J6409*($G6409-$G6408)*60*24</f>
        <v>4.9917999999999829E-3</v>
      </c>
    </row>
    <row r="6410" spans="1:12">
      <c r="A6410" s="22">
        <v>40315.083333333336</v>
      </c>
      <c r="E6410" s="26">
        <v>14.9886</v>
      </c>
      <c r="G6410" s="27">
        <v>8.3333333333333329E-2</v>
      </c>
      <c r="J6410" s="30">
        <f>IF(G6410&lt;$H$10,$H$16,IF(G6410&gt;$I$10,$H$16,$H$11))*E6410/600</f>
        <v>4.9962000000000001E-3</v>
      </c>
      <c r="L6410" s="32">
        <f>$J6410*($G6410-$G6409)*60*24</f>
        <v>4.9961999999999828E-3</v>
      </c>
    </row>
    <row r="6411" spans="1:12">
      <c r="A6411" s="22">
        <v>40315.084027777775</v>
      </c>
      <c r="E6411" s="26">
        <v>15.041399999999999</v>
      </c>
      <c r="G6411" s="27">
        <v>8.4027777777777771E-2</v>
      </c>
      <c r="J6411" s="30">
        <f>IF(G6411&lt;$H$10,$H$16,IF(G6411&gt;$I$10,$H$16,$H$11))*E6411/600</f>
        <v>5.0137999999999997E-3</v>
      </c>
      <c r="L6411" s="32">
        <f>$J6411*($G6411-$G6410)*60*24</f>
        <v>5.0137999999999815E-3</v>
      </c>
    </row>
    <row r="6412" spans="1:12">
      <c r="A6412" s="22">
        <v>40315.084722222222</v>
      </c>
      <c r="E6412" s="26">
        <v>15.034800000000001</v>
      </c>
      <c r="G6412" s="27">
        <v>8.4722222222222213E-2</v>
      </c>
      <c r="J6412" s="30">
        <f>IF(G6412&lt;$H$10,$H$16,IF(G6412&gt;$I$10,$H$16,$H$11))*E6412/600</f>
        <v>5.0116000000000006E-3</v>
      </c>
      <c r="L6412" s="32">
        <f>$J6412*($G6412-$G6411)*60*24</f>
        <v>5.0115999999999824E-3</v>
      </c>
    </row>
    <row r="6413" spans="1:12">
      <c r="A6413" s="22">
        <v>40315.085416666669</v>
      </c>
      <c r="E6413" s="26">
        <v>14.7615</v>
      </c>
      <c r="G6413" s="27">
        <v>8.5416666666666655E-2</v>
      </c>
      <c r="J6413" s="30">
        <f>IF(G6413&lt;$H$10,$H$16,IF(G6413&gt;$I$10,$H$16,$H$11))*E6413/600</f>
        <v>4.9205000000000004E-3</v>
      </c>
      <c r="L6413" s="32">
        <f>$J6413*($G6413-$G6412)*60*24</f>
        <v>4.9204999999999822E-3</v>
      </c>
    </row>
    <row r="6414" spans="1:12">
      <c r="A6414" s="22">
        <v>40315.086111111108</v>
      </c>
      <c r="E6414" s="26">
        <v>14.768000000000001</v>
      </c>
      <c r="G6414" s="27">
        <v>8.6111111111111124E-2</v>
      </c>
      <c r="J6414" s="30">
        <f>IF(G6414&lt;$H$10,$H$16,IF(G6414&gt;$I$10,$H$16,$H$11))*E6414/600</f>
        <v>4.9226666666666672E-3</v>
      </c>
      <c r="L6414" s="32">
        <f>$J6414*($G6414-$G6413)*60*24</f>
        <v>4.9226666666668467E-3</v>
      </c>
    </row>
    <row r="6415" spans="1:12">
      <c r="A6415" s="22">
        <v>40315.086805555555</v>
      </c>
      <c r="E6415" s="26">
        <v>14.7745</v>
      </c>
      <c r="G6415" s="27">
        <v>8.6805555555555566E-2</v>
      </c>
      <c r="J6415" s="30">
        <f>IF(G6415&lt;$H$10,$H$16,IF(G6415&gt;$I$10,$H$16,$H$11))*E6415/600</f>
        <v>4.924833333333334E-3</v>
      </c>
      <c r="L6415" s="32">
        <f>$J6415*($G6415-$G6414)*60*24</f>
        <v>4.9248333333333158E-3</v>
      </c>
    </row>
    <row r="6416" spans="1:12">
      <c r="A6416" s="22">
        <v>40315.087500000001</v>
      </c>
      <c r="E6416" s="26">
        <v>14.7745</v>
      </c>
      <c r="G6416" s="27">
        <v>8.7500000000000008E-2</v>
      </c>
      <c r="J6416" s="30">
        <f>IF(G6416&lt;$H$10,$H$16,IF(G6416&gt;$I$10,$H$16,$H$11))*E6416/600</f>
        <v>4.924833333333334E-3</v>
      </c>
      <c r="L6416" s="32">
        <f>$J6416*($G6416-$G6415)*60*24</f>
        <v>4.9248333333333158E-3</v>
      </c>
    </row>
    <row r="6417" spans="1:12">
      <c r="A6417" s="22">
        <v>40315.088194444441</v>
      </c>
      <c r="E6417" s="26">
        <v>14.7615</v>
      </c>
      <c r="G6417" s="27">
        <v>8.819444444444445E-2</v>
      </c>
      <c r="J6417" s="30">
        <f>IF(G6417&lt;$H$10,$H$16,IF(G6417&gt;$I$10,$H$16,$H$11))*E6417/600</f>
        <v>4.9205000000000004E-3</v>
      </c>
      <c r="L6417" s="32">
        <f>$J6417*($G6417-$G6416)*60*24</f>
        <v>4.9204999999999822E-3</v>
      </c>
    </row>
    <row r="6418" spans="1:12">
      <c r="A6418" s="22">
        <v>40315.088888888888</v>
      </c>
      <c r="E6418" s="26">
        <v>14.7615</v>
      </c>
      <c r="G6418" s="27">
        <v>8.8888888888888892E-2</v>
      </c>
      <c r="J6418" s="30">
        <f>IF(G6418&lt;$H$10,$H$16,IF(G6418&gt;$I$10,$H$16,$H$11))*E6418/600</f>
        <v>4.9205000000000004E-3</v>
      </c>
      <c r="L6418" s="32">
        <f>$J6418*($G6418-$G6417)*60*24</f>
        <v>4.9204999999999822E-3</v>
      </c>
    </row>
    <row r="6419" spans="1:12">
      <c r="A6419" s="22">
        <v>40315.089583333334</v>
      </c>
      <c r="E6419" s="26">
        <v>14.7485</v>
      </c>
      <c r="G6419" s="27">
        <v>8.9583333333333334E-2</v>
      </c>
      <c r="J6419" s="30">
        <f>IF(G6419&lt;$H$10,$H$16,IF(G6419&gt;$I$10,$H$16,$H$11))*E6419/600</f>
        <v>4.9161666666666668E-3</v>
      </c>
      <c r="L6419" s="32">
        <f>$J6419*($G6419-$G6418)*60*24</f>
        <v>4.9161666666666486E-3</v>
      </c>
    </row>
    <row r="6420" spans="1:12">
      <c r="A6420" s="22">
        <v>40315.090277777781</v>
      </c>
      <c r="E6420" s="26">
        <v>14.7875</v>
      </c>
      <c r="G6420" s="27">
        <v>9.0277777777777776E-2</v>
      </c>
      <c r="J6420" s="30">
        <f>IF(G6420&lt;$H$10,$H$16,IF(G6420&gt;$I$10,$H$16,$H$11))*E6420/600</f>
        <v>4.9291666666666668E-3</v>
      </c>
      <c r="L6420" s="32">
        <f>$J6420*($G6420-$G6419)*60*24</f>
        <v>4.9291666666666494E-3</v>
      </c>
    </row>
    <row r="6421" spans="1:12">
      <c r="A6421" s="22">
        <v>40315.09097222222</v>
      </c>
      <c r="E6421" s="26">
        <v>15.054600000000001</v>
      </c>
      <c r="G6421" s="27">
        <v>9.0972222222222218E-2</v>
      </c>
      <c r="J6421" s="30">
        <f>IF(G6421&lt;$H$10,$H$16,IF(G6421&gt;$I$10,$H$16,$H$11))*E6421/600</f>
        <v>5.0182000000000004E-3</v>
      </c>
      <c r="L6421" s="32">
        <f>$J6421*($G6421-$G6420)*60*24</f>
        <v>5.0181999999999831E-3</v>
      </c>
    </row>
    <row r="6422" spans="1:12">
      <c r="A6422" s="22">
        <v>40315.091666666667</v>
      </c>
      <c r="E6422" s="26">
        <v>15.0678</v>
      </c>
      <c r="G6422" s="27">
        <v>9.1666666666666674E-2</v>
      </c>
      <c r="J6422" s="30">
        <f>IF(G6422&lt;$H$10,$H$16,IF(G6422&gt;$I$10,$H$16,$H$11))*E6422/600</f>
        <v>5.0226000000000003E-3</v>
      </c>
      <c r="L6422" s="32">
        <f>$J6422*($G6422-$G6421)*60*24</f>
        <v>5.0226000000000836E-3</v>
      </c>
    </row>
    <row r="6423" spans="1:12">
      <c r="A6423" s="22">
        <v>40315.092361111114</v>
      </c>
      <c r="E6423" s="26">
        <v>15.094200000000001</v>
      </c>
      <c r="G6423" s="27">
        <v>9.2361111111111116E-2</v>
      </c>
      <c r="J6423" s="30">
        <f>IF(G6423&lt;$H$10,$H$16,IF(G6423&gt;$I$10,$H$16,$H$11))*E6423/600</f>
        <v>5.031400000000001E-3</v>
      </c>
      <c r="L6423" s="32">
        <f>$J6423*($G6423-$G6422)*60*24</f>
        <v>5.0313999999999836E-3</v>
      </c>
    </row>
    <row r="6424" spans="1:12">
      <c r="A6424" s="22">
        <v>40315.093055555553</v>
      </c>
      <c r="E6424" s="26">
        <v>14.962859999999999</v>
      </c>
      <c r="G6424" s="27">
        <v>9.3055555555555558E-2</v>
      </c>
      <c r="J6424" s="30">
        <f>IF(G6424&lt;$H$10,$H$16,IF(G6424&gt;$I$10,$H$16,$H$11))*E6424/600</f>
        <v>4.9876199999999999E-3</v>
      </c>
      <c r="L6424" s="32">
        <f>$J6424*($G6424-$G6423)*60*24</f>
        <v>4.9876199999999826E-3</v>
      </c>
    </row>
    <row r="6425" spans="1:12">
      <c r="A6425" s="22">
        <v>40315.09375</v>
      </c>
      <c r="E6425" s="26">
        <v>14.949792</v>
      </c>
      <c r="G6425" s="27">
        <v>9.375E-2</v>
      </c>
      <c r="J6425" s="30">
        <f>IF(G6425&lt;$H$10,$H$16,IF(G6425&gt;$I$10,$H$16,$H$11))*E6425/600</f>
        <v>4.9832640000000003E-3</v>
      </c>
      <c r="L6425" s="32">
        <f>$J6425*($G6425-$G6424)*60*24</f>
        <v>4.9832639999999829E-3</v>
      </c>
    </row>
    <row r="6426" spans="1:12">
      <c r="A6426" s="22">
        <v>40315.094444444447</v>
      </c>
      <c r="E6426" s="26">
        <v>14.910588000000001</v>
      </c>
      <c r="G6426" s="27">
        <v>9.4444444444444442E-2</v>
      </c>
      <c r="J6426" s="30">
        <f>IF(G6426&lt;$H$10,$H$16,IF(G6426&gt;$I$10,$H$16,$H$11))*E6426/600</f>
        <v>4.9701960000000005E-3</v>
      </c>
      <c r="L6426" s="32">
        <f>$J6426*($G6426-$G6425)*60*24</f>
        <v>4.9701959999999832E-3</v>
      </c>
    </row>
    <row r="6427" spans="1:12">
      <c r="A6427" s="22">
        <v>40315.095138888886</v>
      </c>
      <c r="E6427" s="26">
        <v>14.877917999999999</v>
      </c>
      <c r="G6427" s="27">
        <v>9.5138888888888884E-2</v>
      </c>
      <c r="J6427" s="30">
        <f>IF(G6427&lt;$H$10,$H$16,IF(G6427&gt;$I$10,$H$16,$H$11))*E6427/600</f>
        <v>4.9593060000000001E-3</v>
      </c>
      <c r="L6427" s="32">
        <f>$J6427*($G6427-$G6426)*60*24</f>
        <v>4.9593059999999828E-3</v>
      </c>
    </row>
    <row r="6428" spans="1:12">
      <c r="A6428" s="22">
        <v>40315.095833333333</v>
      </c>
      <c r="E6428" s="26">
        <v>15.0084</v>
      </c>
      <c r="G6428" s="27">
        <v>9.5833333333333326E-2</v>
      </c>
      <c r="J6428" s="30">
        <f>IF(G6428&lt;$H$10,$H$16,IF(G6428&gt;$I$10,$H$16,$H$11))*E6428/600</f>
        <v>5.0028000000000008E-3</v>
      </c>
      <c r="L6428" s="32">
        <f>$J6428*($G6428-$G6427)*60*24</f>
        <v>5.0027999999999826E-3</v>
      </c>
    </row>
    <row r="6429" spans="1:12">
      <c r="A6429" s="22">
        <v>40315.09652777778</v>
      </c>
      <c r="E6429" s="26">
        <v>14.949</v>
      </c>
      <c r="G6429" s="27">
        <v>9.6527777777777768E-2</v>
      </c>
      <c r="J6429" s="30">
        <f>IF(G6429&lt;$H$10,$H$16,IF(G6429&gt;$I$10,$H$16,$H$11))*E6429/600</f>
        <v>4.9830000000000004E-3</v>
      </c>
      <c r="L6429" s="32">
        <f>$J6429*($G6429-$G6428)*60*24</f>
        <v>4.9829999999999831E-3</v>
      </c>
    </row>
    <row r="6430" spans="1:12">
      <c r="A6430" s="22">
        <v>40315.097222222219</v>
      </c>
      <c r="E6430" s="26">
        <v>15.041399999999999</v>
      </c>
      <c r="G6430" s="27">
        <v>9.7222222222222224E-2</v>
      </c>
      <c r="J6430" s="30">
        <f>IF(G6430&lt;$H$10,$H$16,IF(G6430&gt;$I$10,$H$16,$H$11))*E6430/600</f>
        <v>5.0137999999999997E-3</v>
      </c>
      <c r="L6430" s="32">
        <f>$J6430*($G6430-$G6429)*60*24</f>
        <v>5.0138000000000821E-3</v>
      </c>
    </row>
    <row r="6431" spans="1:12">
      <c r="A6431" s="22">
        <v>40315.097916666666</v>
      </c>
      <c r="E6431" s="26">
        <v>15.0678</v>
      </c>
      <c r="G6431" s="27">
        <v>9.7916666666666666E-2</v>
      </c>
      <c r="J6431" s="30">
        <f>IF(G6431&lt;$H$10,$H$16,IF(G6431&gt;$I$10,$H$16,$H$11))*E6431/600</f>
        <v>5.0226000000000003E-3</v>
      </c>
      <c r="L6431" s="32">
        <f>$J6431*($G6431-$G6430)*60*24</f>
        <v>5.022599999999983E-3</v>
      </c>
    </row>
    <row r="6432" spans="1:12">
      <c r="A6432" s="22">
        <v>40315.098611111112</v>
      </c>
      <c r="E6432" s="26">
        <v>15.061199999999999</v>
      </c>
      <c r="G6432" s="27">
        <v>9.8611111111111108E-2</v>
      </c>
      <c r="J6432" s="30">
        <f>IF(G6432&lt;$H$10,$H$16,IF(G6432&gt;$I$10,$H$16,$H$11))*E6432/600</f>
        <v>5.0204000000000004E-3</v>
      </c>
      <c r="L6432" s="32">
        <f>$J6432*($G6432-$G6431)*60*24</f>
        <v>5.0203999999999822E-3</v>
      </c>
    </row>
    <row r="6433" spans="1:12">
      <c r="A6433" s="22">
        <v>40315.099305555559</v>
      </c>
      <c r="E6433" s="26">
        <v>15.061199999999999</v>
      </c>
      <c r="G6433" s="27">
        <v>9.930555555555555E-2</v>
      </c>
      <c r="J6433" s="30">
        <f>IF(G6433&lt;$H$10,$H$16,IF(G6433&gt;$I$10,$H$16,$H$11))*E6433/600</f>
        <v>5.0204000000000004E-3</v>
      </c>
      <c r="L6433" s="32">
        <f>$J6433*($G6433-$G6432)*60*24</f>
        <v>5.0203999999999822E-3</v>
      </c>
    </row>
    <row r="6434" spans="1:12">
      <c r="A6434" s="22">
        <v>40315.1</v>
      </c>
      <c r="E6434" s="26">
        <v>15.054600000000001</v>
      </c>
      <c r="G6434" s="27">
        <v>9.9999999999999992E-2</v>
      </c>
      <c r="J6434" s="30">
        <f>IF(G6434&lt;$H$10,$H$16,IF(G6434&gt;$I$10,$H$16,$H$11))*E6434/600</f>
        <v>5.0182000000000004E-3</v>
      </c>
      <c r="L6434" s="32">
        <f>$J6434*($G6434-$G6433)*60*24</f>
        <v>5.0181999999999831E-3</v>
      </c>
    </row>
    <row r="6435" spans="1:12">
      <c r="A6435" s="22">
        <v>40315.100694444445</v>
      </c>
      <c r="E6435" s="26">
        <v>15.0876</v>
      </c>
      <c r="G6435" s="27">
        <v>0.10069444444444443</v>
      </c>
      <c r="J6435" s="30">
        <f>IF(G6435&lt;$H$10,$H$16,IF(G6435&gt;$I$10,$H$16,$H$11))*E6435/600</f>
        <v>5.0292000000000002E-3</v>
      </c>
      <c r="L6435" s="32">
        <f>$J6435*($G6435-$G6434)*60*24</f>
        <v>5.0291999999999819E-3</v>
      </c>
    </row>
    <row r="6436" spans="1:12">
      <c r="A6436" s="22">
        <v>40315.101388888892</v>
      </c>
      <c r="E6436" s="26">
        <v>15.034800000000001</v>
      </c>
      <c r="G6436" s="27">
        <v>0.1013888888888889</v>
      </c>
      <c r="J6436" s="30">
        <f>IF(G6436&lt;$H$10,$H$16,IF(G6436&gt;$I$10,$H$16,$H$11))*E6436/600</f>
        <v>5.0116000000000006E-3</v>
      </c>
      <c r="L6436" s="32">
        <f>$J6436*($G6436-$G6435)*60*24</f>
        <v>5.0116000000001836E-3</v>
      </c>
    </row>
    <row r="6437" spans="1:12">
      <c r="A6437" s="22">
        <v>40315.102083333331</v>
      </c>
      <c r="E6437" s="26">
        <v>15.021599999999999</v>
      </c>
      <c r="G6437" s="27">
        <v>0.10208333333333335</v>
      </c>
      <c r="J6437" s="30">
        <f>IF(G6437&lt;$H$10,$H$16,IF(G6437&gt;$I$10,$H$16,$H$11))*E6437/600</f>
        <v>5.0071999999999998E-3</v>
      </c>
      <c r="L6437" s="32">
        <f>$J6437*($G6437-$G6436)*60*24</f>
        <v>5.0071999999999816E-3</v>
      </c>
    </row>
    <row r="6438" spans="1:12">
      <c r="A6438" s="22">
        <v>40315.102777777778</v>
      </c>
      <c r="E6438" s="26">
        <v>14.794</v>
      </c>
      <c r="G6438" s="27">
        <v>0.10277777777777779</v>
      </c>
      <c r="J6438" s="30">
        <f>IF(G6438&lt;$H$10,$H$16,IF(G6438&gt;$I$10,$H$16,$H$11))*E6438/600</f>
        <v>4.9313333333333336E-3</v>
      </c>
      <c r="L6438" s="32">
        <f>$J6438*($G6438-$G6437)*60*24</f>
        <v>4.9313333333333162E-3</v>
      </c>
    </row>
    <row r="6439" spans="1:12">
      <c r="A6439" s="22">
        <v>40315.103472222225</v>
      </c>
      <c r="E6439" s="26">
        <v>15.094200000000001</v>
      </c>
      <c r="G6439" s="27">
        <v>0.10347222222222223</v>
      </c>
      <c r="J6439" s="30">
        <f>IF(G6439&lt;$H$10,$H$16,IF(G6439&gt;$I$10,$H$16,$H$11))*E6439/600</f>
        <v>5.031400000000001E-3</v>
      </c>
      <c r="L6439" s="32">
        <f>$J6439*($G6439-$G6438)*60*24</f>
        <v>5.0313999999999836E-3</v>
      </c>
    </row>
    <row r="6440" spans="1:12">
      <c r="A6440" s="22">
        <v>40315.104166666664</v>
      </c>
      <c r="E6440" s="26">
        <v>15.1008</v>
      </c>
      <c r="G6440" s="27">
        <v>0.10416666666666667</v>
      </c>
      <c r="J6440" s="30">
        <f>IF(G6440&lt;$H$10,$H$16,IF(G6440&gt;$I$10,$H$16,$H$11))*E6440/600</f>
        <v>5.0336000000000001E-3</v>
      </c>
      <c r="L6440" s="32">
        <f>$J6440*($G6440-$G6439)*60*24</f>
        <v>5.0335999999999818E-3</v>
      </c>
    </row>
    <row r="6441" spans="1:12">
      <c r="A6441" s="22">
        <v>40315.104861111111</v>
      </c>
      <c r="E6441" s="26">
        <v>15.1206</v>
      </c>
      <c r="G6441" s="27">
        <v>0.10486111111111111</v>
      </c>
      <c r="J6441" s="30">
        <f>IF(G6441&lt;$H$10,$H$16,IF(G6441&gt;$I$10,$H$16,$H$11))*E6441/600</f>
        <v>5.0401999999999999E-3</v>
      </c>
      <c r="L6441" s="32">
        <f>$J6441*($G6441-$G6440)*60*24</f>
        <v>5.0401999999999825E-3</v>
      </c>
    </row>
    <row r="6442" spans="1:12">
      <c r="A6442" s="22">
        <v>40315.105555555558</v>
      </c>
      <c r="E6442" s="26">
        <v>15.1272</v>
      </c>
      <c r="G6442" s="27">
        <v>0.10555555555555556</v>
      </c>
      <c r="J6442" s="30">
        <f>IF(G6442&lt;$H$10,$H$16,IF(G6442&gt;$I$10,$H$16,$H$11))*E6442/600</f>
        <v>5.0423999999999998E-3</v>
      </c>
      <c r="L6442" s="32">
        <f>$J6442*($G6442-$G6441)*60*24</f>
        <v>5.0423999999999816E-3</v>
      </c>
    </row>
    <row r="6443" spans="1:12">
      <c r="A6443" s="22">
        <v>40315.106249999997</v>
      </c>
      <c r="E6443" s="26">
        <v>15.133800000000001</v>
      </c>
      <c r="G6443" s="27">
        <v>0.10625</v>
      </c>
      <c r="J6443" s="30">
        <f>IF(G6443&lt;$H$10,$H$16,IF(G6443&gt;$I$10,$H$16,$H$11))*E6443/600</f>
        <v>5.0446000000000006E-3</v>
      </c>
      <c r="L6443" s="32">
        <f>$J6443*($G6443-$G6442)*60*24</f>
        <v>5.0445999999999833E-3</v>
      </c>
    </row>
    <row r="6444" spans="1:12">
      <c r="A6444" s="22">
        <v>40315.106944444444</v>
      </c>
      <c r="E6444" s="26">
        <v>15.1008</v>
      </c>
      <c r="G6444" s="27">
        <v>0.10694444444444444</v>
      </c>
      <c r="J6444" s="30">
        <f>IF(G6444&lt;$H$10,$H$16,IF(G6444&gt;$I$10,$H$16,$H$11))*E6444/600</f>
        <v>5.0336000000000001E-3</v>
      </c>
      <c r="L6444" s="32">
        <f>$J6444*($G6444-$G6443)*60*24</f>
        <v>5.0335999999999818E-3</v>
      </c>
    </row>
    <row r="6445" spans="1:12">
      <c r="A6445" s="22">
        <v>40315.107638888891</v>
      </c>
      <c r="E6445" s="26">
        <v>14.846</v>
      </c>
      <c r="G6445" s="27">
        <v>0.1076388888888889</v>
      </c>
      <c r="J6445" s="30">
        <f>IF(G6445&lt;$H$10,$H$16,IF(G6445&gt;$I$10,$H$16,$H$11))*E6445/600</f>
        <v>4.9486666666666672E-3</v>
      </c>
      <c r="L6445" s="32">
        <f>$J6445*($G6445-$G6444)*60*24</f>
        <v>4.9486666666667487E-3</v>
      </c>
    </row>
    <row r="6446" spans="1:12">
      <c r="A6446" s="22">
        <v>40315.10833333333</v>
      </c>
      <c r="E6446" s="26">
        <v>14.833</v>
      </c>
      <c r="G6446" s="27">
        <v>0.10833333333333334</v>
      </c>
      <c r="J6446" s="30">
        <f>IF(G6446&lt;$H$10,$H$16,IF(G6446&gt;$I$10,$H$16,$H$11))*E6446/600</f>
        <v>4.9443333333333336E-3</v>
      </c>
      <c r="L6446" s="32">
        <f>$J6446*($G6446-$G6445)*60*24</f>
        <v>4.9443333333333154E-3</v>
      </c>
    </row>
    <row r="6447" spans="1:12">
      <c r="A6447" s="22">
        <v>40315.109027777777</v>
      </c>
      <c r="E6447" s="26">
        <v>14.90255</v>
      </c>
      <c r="G6447" s="27">
        <v>0.10902777777777778</v>
      </c>
      <c r="J6447" s="30">
        <f>IF(G6447&lt;$H$10,$H$16,IF(G6447&gt;$I$10,$H$16,$H$11))*E6447/600</f>
        <v>4.9675166666666671E-3</v>
      </c>
      <c r="L6447" s="32">
        <f>$J6447*($G6447-$G6446)*60*24</f>
        <v>4.9675166666666498E-3</v>
      </c>
    </row>
    <row r="6448" spans="1:12">
      <c r="A6448" s="22">
        <v>40315.109722222223</v>
      </c>
      <c r="E6448" s="26">
        <v>14.995200000000001</v>
      </c>
      <c r="G6448" s="27">
        <v>0.10972222222222222</v>
      </c>
      <c r="J6448" s="30">
        <f>IF(G6448&lt;$H$10,$H$16,IF(G6448&gt;$I$10,$H$16,$H$11))*E6448/600</f>
        <v>4.9984000000000009E-3</v>
      </c>
      <c r="L6448" s="32">
        <f>$J6448*($G6448-$G6447)*60*24</f>
        <v>4.9983999999999827E-3</v>
      </c>
    </row>
    <row r="6449" spans="1:12">
      <c r="A6449" s="22">
        <v>40315.11041666667</v>
      </c>
      <c r="E6449" s="26">
        <v>14.981999999999999</v>
      </c>
      <c r="G6449" s="27">
        <v>0.11041666666666666</v>
      </c>
      <c r="J6449" s="30">
        <f>IF(G6449&lt;$H$10,$H$16,IF(G6449&gt;$I$10,$H$16,$H$11))*E6449/600</f>
        <v>4.9940000000000002E-3</v>
      </c>
      <c r="L6449" s="32">
        <f>$J6449*($G6449-$G6448)*60*24</f>
        <v>4.993999999999982E-3</v>
      </c>
    </row>
    <row r="6450" spans="1:12">
      <c r="A6450" s="22">
        <v>40315.111111111109</v>
      </c>
      <c r="E6450" s="26">
        <v>14.7745</v>
      </c>
      <c r="G6450" s="27">
        <v>0.1111111111111111</v>
      </c>
      <c r="J6450" s="30">
        <f>IF(G6450&lt;$H$10,$H$16,IF(G6450&gt;$I$10,$H$16,$H$11))*E6450/600</f>
        <v>4.924833333333334E-3</v>
      </c>
      <c r="L6450" s="32">
        <f>$J6450*($G6450-$G6449)*60*24</f>
        <v>4.9248333333333158E-3</v>
      </c>
    </row>
    <row r="6451" spans="1:12">
      <c r="A6451" s="22">
        <v>40315.111805555556</v>
      </c>
      <c r="E6451" s="26">
        <v>15.105155999999999</v>
      </c>
      <c r="G6451" s="27">
        <v>0.11180555555555556</v>
      </c>
      <c r="J6451" s="30">
        <f>IF(G6451&lt;$H$10,$H$16,IF(G6451&gt;$I$10,$H$16,$H$11))*E6451/600</f>
        <v>5.0350519999999999E-3</v>
      </c>
      <c r="L6451" s="32">
        <f>$J6451*($G6451-$G6450)*60*24</f>
        <v>5.0350520000000823E-3</v>
      </c>
    </row>
    <row r="6452" spans="1:12">
      <c r="A6452" s="22">
        <v>40315.112500000003</v>
      </c>
      <c r="E6452" s="26">
        <v>14.9688</v>
      </c>
      <c r="G6452" s="27">
        <v>0.1125</v>
      </c>
      <c r="J6452" s="30">
        <f>IF(G6452&lt;$H$10,$H$16,IF(G6452&gt;$I$10,$H$16,$H$11))*E6452/600</f>
        <v>4.9896000000000003E-3</v>
      </c>
      <c r="L6452" s="32">
        <f>$J6452*($G6452-$G6451)*60*24</f>
        <v>4.9895999999999829E-3</v>
      </c>
    </row>
    <row r="6453" spans="1:12">
      <c r="A6453" s="22">
        <v>40315.113194444442</v>
      </c>
      <c r="E6453" s="26">
        <v>15.058494</v>
      </c>
      <c r="G6453" s="27">
        <v>0.11319444444444444</v>
      </c>
      <c r="J6453" s="30">
        <f>IF(G6453&lt;$H$10,$H$16,IF(G6453&gt;$I$10,$H$16,$H$11))*E6453/600</f>
        <v>5.0194979999999998E-3</v>
      </c>
      <c r="L6453" s="32">
        <f>$J6453*($G6453-$G6452)*60*24</f>
        <v>5.0194979999999816E-3</v>
      </c>
    </row>
    <row r="6454" spans="1:12">
      <c r="A6454" s="22">
        <v>40315.113888888889</v>
      </c>
      <c r="E6454" s="26">
        <v>15.018497999999999</v>
      </c>
      <c r="G6454" s="27">
        <v>0.11388888888888889</v>
      </c>
      <c r="J6454" s="30">
        <f>IF(G6454&lt;$H$10,$H$16,IF(G6454&gt;$I$10,$H$16,$H$11))*E6454/600</f>
        <v>5.0061660000000003E-3</v>
      </c>
      <c r="L6454" s="32">
        <f>$J6454*($G6454-$G6453)*60*24</f>
        <v>5.0061659999999829E-3</v>
      </c>
    </row>
    <row r="6455" spans="1:12">
      <c r="A6455" s="22">
        <v>40315.114583333336</v>
      </c>
      <c r="E6455" s="26">
        <v>15.058494</v>
      </c>
      <c r="G6455" s="27">
        <v>0.11458333333333333</v>
      </c>
      <c r="J6455" s="30">
        <f>IF(G6455&lt;$H$10,$H$16,IF(G6455&gt;$I$10,$H$16,$H$11))*E6455/600</f>
        <v>5.0194979999999998E-3</v>
      </c>
      <c r="L6455" s="32">
        <f>$J6455*($G6455-$G6454)*60*24</f>
        <v>5.0194979999999816E-3</v>
      </c>
    </row>
    <row r="6456" spans="1:12">
      <c r="A6456" s="22">
        <v>40315.115277777775</v>
      </c>
      <c r="E6456" s="26">
        <v>14.922599999999999</v>
      </c>
      <c r="G6456" s="27">
        <v>0.11527777777777777</v>
      </c>
      <c r="J6456" s="30">
        <f>IF(G6456&lt;$H$10,$H$16,IF(G6456&gt;$I$10,$H$16,$H$11))*E6456/600</f>
        <v>4.9741999999999998E-3</v>
      </c>
      <c r="L6456" s="32">
        <f>$J6456*($G6456-$G6455)*60*24</f>
        <v>4.9741999999999816E-3</v>
      </c>
    </row>
    <row r="6457" spans="1:12">
      <c r="A6457" s="22">
        <v>40315.115972222222</v>
      </c>
      <c r="E6457" s="26">
        <v>14.962199999999999</v>
      </c>
      <c r="G6457" s="27">
        <v>0.11597222222222221</v>
      </c>
      <c r="J6457" s="30">
        <f>IF(G6457&lt;$H$10,$H$16,IF(G6457&gt;$I$10,$H$16,$H$11))*E6457/600</f>
        <v>4.9874000000000003E-3</v>
      </c>
      <c r="L6457" s="32">
        <f>$J6457*($G6457-$G6456)*60*24</f>
        <v>4.9873999999999821E-3</v>
      </c>
    </row>
    <row r="6458" spans="1:12">
      <c r="A6458" s="22">
        <v>40315.116666666669</v>
      </c>
      <c r="E6458" s="26">
        <v>14.962199999999999</v>
      </c>
      <c r="G6458" s="27">
        <v>0.11666666666666665</v>
      </c>
      <c r="J6458" s="30">
        <f>IF(G6458&lt;$H$10,$H$16,IF(G6458&gt;$I$10,$H$16,$H$11))*E6458/600</f>
        <v>4.9874000000000003E-3</v>
      </c>
      <c r="L6458" s="32">
        <f>$J6458*($G6458-$G6457)*60*24</f>
        <v>4.9873999999999821E-3</v>
      </c>
    </row>
    <row r="6459" spans="1:12">
      <c r="A6459" s="22">
        <v>40315.117361111108</v>
      </c>
      <c r="E6459" s="26">
        <v>14.9886</v>
      </c>
      <c r="G6459" s="27">
        <v>0.1173611111111111</v>
      </c>
      <c r="J6459" s="30">
        <f>IF(G6459&lt;$H$10,$H$16,IF(G6459&gt;$I$10,$H$16,$H$11))*E6459/600</f>
        <v>4.9962000000000001E-3</v>
      </c>
      <c r="L6459" s="32">
        <f>$J6459*($G6459-$G6458)*60*24</f>
        <v>4.9961999999999828E-3</v>
      </c>
    </row>
    <row r="6460" spans="1:12">
      <c r="A6460" s="22">
        <v>40315.118055555555</v>
      </c>
      <c r="E6460" s="26">
        <v>15.001799999999999</v>
      </c>
      <c r="G6460" s="27">
        <v>0.11805555555555557</v>
      </c>
      <c r="J6460" s="30">
        <f>IF(G6460&lt;$H$10,$H$16,IF(G6460&gt;$I$10,$H$16,$H$11))*E6460/600</f>
        <v>5.0006E-3</v>
      </c>
      <c r="L6460" s="32">
        <f>$J6460*($G6460-$G6459)*60*24</f>
        <v>5.0006000000001822E-3</v>
      </c>
    </row>
    <row r="6461" spans="1:12">
      <c r="A6461" s="22">
        <v>40315.118750000001</v>
      </c>
      <c r="E6461" s="26">
        <v>14.768000000000001</v>
      </c>
      <c r="G6461" s="27">
        <v>0.11875000000000001</v>
      </c>
      <c r="J6461" s="30">
        <f>IF(G6461&lt;$H$10,$H$16,IF(G6461&gt;$I$10,$H$16,$H$11))*E6461/600</f>
        <v>4.9226666666666672E-3</v>
      </c>
      <c r="L6461" s="32">
        <f>$J6461*($G6461-$G6460)*60*24</f>
        <v>4.9226666666666499E-3</v>
      </c>
    </row>
    <row r="6462" spans="1:12">
      <c r="A6462" s="22">
        <v>40315.119444444441</v>
      </c>
      <c r="E6462" s="26">
        <v>14.7745</v>
      </c>
      <c r="G6462" s="27">
        <v>0.11944444444444445</v>
      </c>
      <c r="J6462" s="30">
        <f>IF(G6462&lt;$H$10,$H$16,IF(G6462&gt;$I$10,$H$16,$H$11))*E6462/600</f>
        <v>4.924833333333334E-3</v>
      </c>
      <c r="L6462" s="32">
        <f>$J6462*($G6462-$G6461)*60*24</f>
        <v>4.9248333333333158E-3</v>
      </c>
    </row>
    <row r="6463" spans="1:12">
      <c r="A6463" s="22">
        <v>40315.120138888888</v>
      </c>
      <c r="E6463" s="26">
        <v>15.111822</v>
      </c>
      <c r="G6463" s="27">
        <v>0.12013888888888889</v>
      </c>
      <c r="J6463" s="30">
        <f>IF(G6463&lt;$H$10,$H$16,IF(G6463&gt;$I$10,$H$16,$H$11))*E6463/600</f>
        <v>5.0372740000000004E-3</v>
      </c>
      <c r="L6463" s="32">
        <f>$J6463*($G6463-$G6462)*60*24</f>
        <v>5.0372739999999831E-3</v>
      </c>
    </row>
    <row r="6464" spans="1:12">
      <c r="A6464" s="22">
        <v>40315.120833333334</v>
      </c>
      <c r="E6464" s="26">
        <v>14.92881</v>
      </c>
      <c r="G6464" s="27">
        <v>0.12083333333333333</v>
      </c>
      <c r="J6464" s="30">
        <f>IF(G6464&lt;$H$10,$H$16,IF(G6464&gt;$I$10,$H$16,$H$11))*E6464/600</f>
        <v>4.9762700000000005E-3</v>
      </c>
      <c r="L6464" s="32">
        <f>$J6464*($G6464-$G6463)*60*24</f>
        <v>4.9762699999999832E-3</v>
      </c>
    </row>
    <row r="6465" spans="1:12">
      <c r="A6465" s="22">
        <v>40315.121527777781</v>
      </c>
      <c r="E6465" s="26">
        <v>14.974765</v>
      </c>
      <c r="G6465" s="27">
        <v>0.12152777777777778</v>
      </c>
      <c r="J6465" s="30">
        <f>IF(G6465&lt;$H$10,$H$16,IF(G6465&gt;$I$10,$H$16,$H$11))*E6465/600</f>
        <v>4.991588333333334E-3</v>
      </c>
      <c r="L6465" s="32">
        <f>$J6465*($G6465-$G6464)*60*24</f>
        <v>4.9915883333333166E-3</v>
      </c>
    </row>
    <row r="6466" spans="1:12">
      <c r="A6466" s="22">
        <v>40315.12222222222</v>
      </c>
      <c r="E6466" s="26">
        <v>14.826499999999999</v>
      </c>
      <c r="G6466" s="27">
        <v>0.12222222222222223</v>
      </c>
      <c r="J6466" s="30">
        <f>IF(G6466&lt;$H$10,$H$16,IF(G6466&gt;$I$10,$H$16,$H$11))*E6466/600</f>
        <v>4.9421666666666668E-3</v>
      </c>
      <c r="L6466" s="32">
        <f>$J6466*($G6466-$G6465)*60*24</f>
        <v>4.9421666666667474E-3</v>
      </c>
    </row>
    <row r="6467" spans="1:12">
      <c r="A6467" s="22">
        <v>40315.122916666667</v>
      </c>
      <c r="E6467" s="26">
        <v>14.826499999999999</v>
      </c>
      <c r="G6467" s="27">
        <v>0.12291666666666667</v>
      </c>
      <c r="J6467" s="30">
        <f>IF(G6467&lt;$H$10,$H$16,IF(G6467&gt;$I$10,$H$16,$H$11))*E6467/600</f>
        <v>4.9421666666666668E-3</v>
      </c>
      <c r="L6467" s="32">
        <f>$J6467*($G6467-$G6466)*60*24</f>
        <v>4.9421666666666485E-3</v>
      </c>
    </row>
    <row r="6468" spans="1:12">
      <c r="A6468" s="22">
        <v>40315.123611111114</v>
      </c>
      <c r="E6468" s="26">
        <v>14.8005</v>
      </c>
      <c r="G6468" s="27">
        <v>0.12361111111111112</v>
      </c>
      <c r="J6468" s="30">
        <f>IF(G6468&lt;$H$10,$H$16,IF(G6468&gt;$I$10,$H$16,$H$11))*E6468/600</f>
        <v>4.9335000000000004E-3</v>
      </c>
      <c r="L6468" s="32">
        <f>$J6468*($G6468-$G6467)*60*24</f>
        <v>4.933499999999983E-3</v>
      </c>
    </row>
    <row r="6469" spans="1:12">
      <c r="A6469" s="22">
        <v>40315.124305555553</v>
      </c>
      <c r="E6469" s="26">
        <v>14.833</v>
      </c>
      <c r="G6469" s="27">
        <v>0.12430555555555556</v>
      </c>
      <c r="J6469" s="30">
        <f>IF(G6469&lt;$H$10,$H$16,IF(G6469&gt;$I$10,$H$16,$H$11))*E6469/600</f>
        <v>4.9443333333333336E-3</v>
      </c>
      <c r="L6469" s="32">
        <f>$J6469*($G6469-$G6468)*60*24</f>
        <v>4.9443333333333154E-3</v>
      </c>
    </row>
    <row r="6470" spans="1:12">
      <c r="A6470" s="22">
        <v>40315.125</v>
      </c>
      <c r="E6470" s="26">
        <v>14.865500000000001</v>
      </c>
      <c r="G6470" s="27">
        <v>0.125</v>
      </c>
      <c r="J6470" s="30">
        <f>IF(G6470&lt;$H$10,$H$16,IF(G6470&gt;$I$10,$H$16,$H$11))*E6470/600</f>
        <v>4.9551666666666676E-3</v>
      </c>
      <c r="L6470" s="32">
        <f>$J6470*($G6470-$G6469)*60*24</f>
        <v>4.9551666666666494E-3</v>
      </c>
    </row>
    <row r="6471" spans="1:12">
      <c r="A6471" s="22">
        <v>40315.125694444447</v>
      </c>
      <c r="E6471" s="26">
        <v>15.020720000000001</v>
      </c>
      <c r="G6471" s="27">
        <v>0.12569444444444444</v>
      </c>
      <c r="J6471" s="30">
        <f>IF(G6471&lt;$H$10,$H$16,IF(G6471&gt;$I$10,$H$16,$H$11))*E6471/600</f>
        <v>5.0069066666666665E-3</v>
      </c>
      <c r="L6471" s="32">
        <f>$J6471*($G6471-$G6470)*60*24</f>
        <v>5.0069066666666492E-3</v>
      </c>
    </row>
    <row r="6472" spans="1:12">
      <c r="A6472" s="22">
        <v>40315.126388888886</v>
      </c>
      <c r="E6472" s="26">
        <v>14.872</v>
      </c>
      <c r="G6472" s="27">
        <v>0.12638888888888888</v>
      </c>
      <c r="J6472" s="30">
        <f>IF(G6472&lt;$H$10,$H$16,IF(G6472&gt;$I$10,$H$16,$H$11))*E6472/600</f>
        <v>4.9573333333333336E-3</v>
      </c>
      <c r="L6472" s="32">
        <f>$J6472*($G6472-$G6471)*60*24</f>
        <v>4.9573333333333153E-3</v>
      </c>
    </row>
    <row r="6473" spans="1:12">
      <c r="A6473" s="22">
        <v>40315.127083333333</v>
      </c>
      <c r="E6473" s="26">
        <v>15.027284999999999</v>
      </c>
      <c r="G6473" s="27">
        <v>0.12708333333333333</v>
      </c>
      <c r="J6473" s="30">
        <f>IF(G6473&lt;$H$10,$H$16,IF(G6473&gt;$I$10,$H$16,$H$11))*E6473/600</f>
        <v>5.0090949999999999E-3</v>
      </c>
      <c r="L6473" s="32">
        <f>$J6473*($G6473-$G6472)*60*24</f>
        <v>5.0090949999999825E-3</v>
      </c>
    </row>
    <row r="6474" spans="1:12">
      <c r="A6474" s="22">
        <v>40315.12777777778</v>
      </c>
      <c r="E6474" s="26">
        <v>14.885</v>
      </c>
      <c r="G6474" s="27">
        <v>0.1277777777777778</v>
      </c>
      <c r="J6474" s="30">
        <f>IF(G6474&lt;$H$10,$H$16,IF(G6474&gt;$I$10,$H$16,$H$11))*E6474/600</f>
        <v>4.9616666666666672E-3</v>
      </c>
      <c r="L6474" s="32">
        <f>$J6474*($G6474-$G6473)*60*24</f>
        <v>4.9616666666668476E-3</v>
      </c>
    </row>
    <row r="6475" spans="1:12">
      <c r="A6475" s="22">
        <v>40315.128472222219</v>
      </c>
      <c r="E6475" s="26">
        <v>14.904500000000001</v>
      </c>
      <c r="G6475" s="27">
        <v>0.12847222222222224</v>
      </c>
      <c r="J6475" s="30">
        <f>IF(G6475&lt;$H$10,$H$16,IF(G6475&gt;$I$10,$H$16,$H$11))*E6475/600</f>
        <v>4.9681666666666667E-3</v>
      </c>
      <c r="L6475" s="32">
        <f>$J6475*($G6475-$G6474)*60*24</f>
        <v>4.9681666666666485E-3</v>
      </c>
    </row>
    <row r="6476" spans="1:12">
      <c r="A6476" s="22">
        <v>40315.129166666666</v>
      </c>
      <c r="E6476" s="26">
        <v>14.878500000000001</v>
      </c>
      <c r="G6476" s="27">
        <v>0.12916666666666668</v>
      </c>
      <c r="J6476" s="30">
        <f>IF(G6476&lt;$H$10,$H$16,IF(G6476&gt;$I$10,$H$16,$H$11))*E6476/600</f>
        <v>4.9595000000000004E-3</v>
      </c>
      <c r="L6476" s="32">
        <f>$J6476*($G6476-$G6475)*60*24</f>
        <v>4.959499999999983E-3</v>
      </c>
    </row>
    <row r="6477" spans="1:12">
      <c r="A6477" s="22">
        <v>40315.129861111112</v>
      </c>
      <c r="E6477" s="26">
        <v>14.852499999999999</v>
      </c>
      <c r="G6477" s="27">
        <v>0.12986111111111112</v>
      </c>
      <c r="J6477" s="30">
        <f>IF(G6477&lt;$H$10,$H$16,IF(G6477&gt;$I$10,$H$16,$H$11))*E6477/600</f>
        <v>4.9508333333333331E-3</v>
      </c>
      <c r="L6477" s="32">
        <f>$J6477*($G6477-$G6476)*60*24</f>
        <v>4.9508333333333158E-3</v>
      </c>
    </row>
    <row r="6478" spans="1:12">
      <c r="A6478" s="22">
        <v>40315.130555555559</v>
      </c>
      <c r="E6478" s="26">
        <v>14.955069999999999</v>
      </c>
      <c r="G6478" s="27">
        <v>0.13055555555555556</v>
      </c>
      <c r="J6478" s="30">
        <f>IF(G6478&lt;$H$10,$H$16,IF(G6478&gt;$I$10,$H$16,$H$11))*E6478/600</f>
        <v>4.985023333333333E-3</v>
      </c>
      <c r="L6478" s="32">
        <f>$J6478*($G6478-$G6477)*60*24</f>
        <v>4.9850233333333157E-3</v>
      </c>
    </row>
    <row r="6479" spans="1:12">
      <c r="A6479" s="22">
        <v>40315.131249999999</v>
      </c>
      <c r="E6479" s="26">
        <v>14.92881</v>
      </c>
      <c r="G6479" s="27">
        <v>0.13125000000000001</v>
      </c>
      <c r="J6479" s="30">
        <f>IF(G6479&lt;$H$10,$H$16,IF(G6479&gt;$I$10,$H$16,$H$11))*E6479/600</f>
        <v>4.9762700000000005E-3</v>
      </c>
      <c r="L6479" s="32">
        <f>$J6479*($G6479-$G6478)*60*24</f>
        <v>4.9762699999999832E-3</v>
      </c>
    </row>
    <row r="6480" spans="1:12">
      <c r="A6480" s="22">
        <v>40315.131944444445</v>
      </c>
      <c r="E6480" s="26">
        <v>14.90255</v>
      </c>
      <c r="G6480" s="27">
        <v>0.13194444444444445</v>
      </c>
      <c r="J6480" s="30">
        <f>IF(G6480&lt;$H$10,$H$16,IF(G6480&gt;$I$10,$H$16,$H$11))*E6480/600</f>
        <v>4.9675166666666671E-3</v>
      </c>
      <c r="L6480" s="32">
        <f>$J6480*($G6480-$G6479)*60*24</f>
        <v>4.9675166666666498E-3</v>
      </c>
    </row>
    <row r="6481" spans="1:12">
      <c r="A6481" s="22">
        <v>40315.132638888892</v>
      </c>
      <c r="E6481" s="26">
        <v>15.078492000000001</v>
      </c>
      <c r="G6481" s="27">
        <v>0.13263888888888889</v>
      </c>
      <c r="J6481" s="30">
        <f>IF(G6481&lt;$H$10,$H$16,IF(G6481&gt;$I$10,$H$16,$H$11))*E6481/600</f>
        <v>5.0261640000000005E-3</v>
      </c>
      <c r="L6481" s="32">
        <f>$J6481*($G6481-$G6480)*60*24</f>
        <v>5.0261639999999823E-3</v>
      </c>
    </row>
    <row r="6482" spans="1:12">
      <c r="A6482" s="22">
        <v>40315.133333333331</v>
      </c>
      <c r="E6482" s="26">
        <v>15.091824000000001</v>
      </c>
      <c r="G6482" s="27">
        <v>0.13333333333333333</v>
      </c>
      <c r="J6482" s="30">
        <f>IF(G6482&lt;$H$10,$H$16,IF(G6482&gt;$I$10,$H$16,$H$11))*E6482/600</f>
        <v>5.0306080000000006E-3</v>
      </c>
      <c r="L6482" s="32">
        <f>$J6482*($G6482-$G6481)*60*24</f>
        <v>5.0306079999999833E-3</v>
      </c>
    </row>
    <row r="6483" spans="1:12">
      <c r="A6483" s="22">
        <v>40315.134027777778</v>
      </c>
      <c r="E6483" s="26">
        <v>15.138486</v>
      </c>
      <c r="G6483" s="27">
        <v>0.13402777777777777</v>
      </c>
      <c r="J6483" s="30">
        <f>IF(G6483&lt;$H$10,$H$16,IF(G6483&gt;$I$10,$H$16,$H$11))*E6483/600</f>
        <v>5.0461620000000007E-3</v>
      </c>
      <c r="L6483" s="32">
        <f>$J6483*($G6483-$G6482)*60*24</f>
        <v>5.0461619999999825E-3</v>
      </c>
    </row>
    <row r="6484" spans="1:12">
      <c r="A6484" s="22">
        <v>40315.134722222225</v>
      </c>
      <c r="E6484" s="26">
        <v>14.895985</v>
      </c>
      <c r="G6484" s="27">
        <v>0.13472222222222222</v>
      </c>
      <c r="J6484" s="30">
        <f>IF(G6484&lt;$H$10,$H$16,IF(G6484&gt;$I$10,$H$16,$H$11))*E6484/600</f>
        <v>4.9653283333333338E-3</v>
      </c>
      <c r="L6484" s="32">
        <f>$J6484*($G6484-$G6483)*60*24</f>
        <v>4.9653283333333164E-3</v>
      </c>
    </row>
    <row r="6485" spans="1:12">
      <c r="A6485" s="22">
        <v>40315.135416666664</v>
      </c>
      <c r="E6485" s="26">
        <v>14.889419999999999</v>
      </c>
      <c r="G6485" s="27">
        <v>0.13541666666666666</v>
      </c>
      <c r="J6485" s="30">
        <f>IF(G6485&lt;$H$10,$H$16,IF(G6485&gt;$I$10,$H$16,$H$11))*E6485/600</f>
        <v>4.9631399999999996E-3</v>
      </c>
      <c r="L6485" s="32">
        <f>$J6485*($G6485-$G6484)*60*24</f>
        <v>4.9631399999999822E-3</v>
      </c>
    </row>
    <row r="6486" spans="1:12">
      <c r="A6486" s="22">
        <v>40315.136111111111</v>
      </c>
      <c r="E6486" s="26">
        <v>14.882854999999999</v>
      </c>
      <c r="G6486" s="27">
        <v>0.1361111111111111</v>
      </c>
      <c r="J6486" s="30">
        <f>IF(G6486&lt;$H$10,$H$16,IF(G6486&gt;$I$10,$H$16,$H$11))*E6486/600</f>
        <v>4.9609516666666662E-3</v>
      </c>
      <c r="L6486" s="32">
        <f>$J6486*($G6486-$G6485)*60*24</f>
        <v>4.9609516666666489E-3</v>
      </c>
    </row>
    <row r="6487" spans="1:12">
      <c r="A6487" s="22">
        <v>40315.136805555558</v>
      </c>
      <c r="E6487" s="26">
        <v>14.8005</v>
      </c>
      <c r="G6487" s="27">
        <v>0.13680555555555554</v>
      </c>
      <c r="J6487" s="30">
        <f>IF(G6487&lt;$H$10,$H$16,IF(G6487&gt;$I$10,$H$16,$H$11))*E6487/600</f>
        <v>4.9335000000000004E-3</v>
      </c>
      <c r="L6487" s="32">
        <f>$J6487*($G6487-$G6486)*60*24</f>
        <v>4.933499999999983E-3</v>
      </c>
    </row>
    <row r="6488" spans="1:12">
      <c r="A6488" s="22">
        <v>40315.137499999997</v>
      </c>
      <c r="E6488" s="26">
        <v>14.935375000000001</v>
      </c>
      <c r="G6488" s="27">
        <v>0.13749999999999998</v>
      </c>
      <c r="J6488" s="30">
        <f>IF(G6488&lt;$H$10,$H$16,IF(G6488&gt;$I$10,$H$16,$H$11))*E6488/600</f>
        <v>4.9784583333333339E-3</v>
      </c>
      <c r="L6488" s="32">
        <f>$J6488*($G6488-$G6487)*60*24</f>
        <v>4.9784583333333157E-3</v>
      </c>
    </row>
    <row r="6489" spans="1:12">
      <c r="A6489" s="22">
        <v>40315.138194444444</v>
      </c>
      <c r="E6489" s="26">
        <v>14.909115</v>
      </c>
      <c r="G6489" s="27">
        <v>0.13819444444444443</v>
      </c>
      <c r="J6489" s="30">
        <f>IF(G6489&lt;$H$10,$H$16,IF(G6489&gt;$I$10,$H$16,$H$11))*E6489/600</f>
        <v>4.9697050000000005E-3</v>
      </c>
      <c r="L6489" s="32">
        <f>$J6489*($G6489-$G6488)*60*24</f>
        <v>4.9697049999999831E-3</v>
      </c>
    </row>
    <row r="6490" spans="1:12">
      <c r="A6490" s="22">
        <v>40315.138888888891</v>
      </c>
      <c r="E6490" s="26">
        <v>14.895985</v>
      </c>
      <c r="G6490" s="27">
        <v>0.1388888888888889</v>
      </c>
      <c r="J6490" s="30">
        <f>IF(G6490&lt;$H$10,$H$16,IF(G6490&gt;$I$10,$H$16,$H$11))*E6490/600</f>
        <v>4.9653283333333338E-3</v>
      </c>
      <c r="L6490" s="32">
        <f>$J6490*($G6490-$G6489)*60*24</f>
        <v>4.9653283333335151E-3</v>
      </c>
    </row>
    <row r="6491" spans="1:12">
      <c r="A6491" s="22">
        <v>40315.13958333333</v>
      </c>
      <c r="E6491" s="26">
        <v>14.909115</v>
      </c>
      <c r="G6491" s="27">
        <v>0.13958333333333334</v>
      </c>
      <c r="J6491" s="30">
        <f>IF(G6491&lt;$H$10,$H$16,IF(G6491&gt;$I$10,$H$16,$H$11))*E6491/600</f>
        <v>4.9697050000000005E-3</v>
      </c>
      <c r="L6491" s="32">
        <f>$J6491*($G6491-$G6490)*60*24</f>
        <v>4.9697049999999831E-3</v>
      </c>
    </row>
    <row r="6492" spans="1:12">
      <c r="A6492" s="22">
        <v>40315.140277777777</v>
      </c>
      <c r="E6492" s="26">
        <v>14.895985</v>
      </c>
      <c r="G6492" s="27">
        <v>0.14027777777777778</v>
      </c>
      <c r="J6492" s="30">
        <f>IF(G6492&lt;$H$10,$H$16,IF(G6492&gt;$I$10,$H$16,$H$11))*E6492/600</f>
        <v>4.9653283333333338E-3</v>
      </c>
      <c r="L6492" s="32">
        <f>$J6492*($G6492-$G6491)*60*24</f>
        <v>4.9653283333333164E-3</v>
      </c>
    </row>
    <row r="6493" spans="1:12">
      <c r="A6493" s="22">
        <v>40315.140972222223</v>
      </c>
      <c r="E6493" s="26">
        <v>14.909115</v>
      </c>
      <c r="G6493" s="27">
        <v>0.14097222222222222</v>
      </c>
      <c r="J6493" s="30">
        <f>IF(G6493&lt;$H$10,$H$16,IF(G6493&gt;$I$10,$H$16,$H$11))*E6493/600</f>
        <v>4.9697050000000005E-3</v>
      </c>
      <c r="L6493" s="32">
        <f>$J6493*($G6493-$G6492)*60*24</f>
        <v>4.9697049999999831E-3</v>
      </c>
    </row>
    <row r="6494" spans="1:12">
      <c r="A6494" s="22">
        <v>40315.14166666667</v>
      </c>
      <c r="E6494" s="26">
        <v>14.922245</v>
      </c>
      <c r="G6494" s="27">
        <v>0.14166666666666666</v>
      </c>
      <c r="J6494" s="30">
        <f>IF(G6494&lt;$H$10,$H$16,IF(G6494&gt;$I$10,$H$16,$H$11))*E6494/600</f>
        <v>4.9740816666666672E-3</v>
      </c>
      <c r="L6494" s="32">
        <f>$J6494*($G6494-$G6493)*60*24</f>
        <v>4.9740816666666498E-3</v>
      </c>
    </row>
    <row r="6495" spans="1:12">
      <c r="A6495" s="22">
        <v>40315.142361111109</v>
      </c>
      <c r="E6495" s="26">
        <v>14.895985</v>
      </c>
      <c r="G6495" s="27">
        <v>0.1423611111111111</v>
      </c>
      <c r="J6495" s="30">
        <f>IF(G6495&lt;$H$10,$H$16,IF(G6495&gt;$I$10,$H$16,$H$11))*E6495/600</f>
        <v>4.9653283333333338E-3</v>
      </c>
      <c r="L6495" s="32">
        <f>$J6495*($G6495-$G6494)*60*24</f>
        <v>4.9653283333333164E-3</v>
      </c>
    </row>
    <row r="6496" spans="1:12">
      <c r="A6496" s="22">
        <v>40315.143055555556</v>
      </c>
      <c r="E6496" s="26">
        <v>14.863160000000001</v>
      </c>
      <c r="G6496" s="27">
        <v>0.14305555555555557</v>
      </c>
      <c r="J6496" s="30">
        <f>IF(G6496&lt;$H$10,$H$16,IF(G6496&gt;$I$10,$H$16,$H$11))*E6496/600</f>
        <v>4.954386666666667E-3</v>
      </c>
      <c r="L6496" s="32">
        <f>$J6496*($G6496-$G6495)*60*24</f>
        <v>4.9543866666668475E-3</v>
      </c>
    </row>
    <row r="6497" spans="1:12">
      <c r="A6497" s="22">
        <v>40315.143750000003</v>
      </c>
      <c r="E6497" s="26">
        <v>14.889419999999999</v>
      </c>
      <c r="G6497" s="27">
        <v>0.14375000000000002</v>
      </c>
      <c r="J6497" s="30">
        <f>IF(G6497&lt;$H$10,$H$16,IF(G6497&gt;$I$10,$H$16,$H$11))*E6497/600</f>
        <v>4.9631399999999996E-3</v>
      </c>
      <c r="L6497" s="32">
        <f>$J6497*($G6497-$G6496)*60*24</f>
        <v>4.9631399999999822E-3</v>
      </c>
    </row>
    <row r="6498" spans="1:12">
      <c r="A6498" s="22">
        <v>40315.144444444442</v>
      </c>
      <c r="E6498" s="26">
        <v>14.7355</v>
      </c>
      <c r="G6498" s="27">
        <v>0.14444444444444446</v>
      </c>
      <c r="J6498" s="30">
        <f>IF(G6498&lt;$H$10,$H$16,IF(G6498&gt;$I$10,$H$16,$H$11))*E6498/600</f>
        <v>4.911833333333334E-3</v>
      </c>
      <c r="L6498" s="32">
        <f>$J6498*($G6498-$G6497)*60*24</f>
        <v>4.9118333333333167E-3</v>
      </c>
    </row>
    <row r="6499" spans="1:12">
      <c r="A6499" s="22">
        <v>40315.145138888889</v>
      </c>
      <c r="E6499" s="26">
        <v>15.078492000000001</v>
      </c>
      <c r="G6499" s="27">
        <v>0.1451388888888889</v>
      </c>
      <c r="J6499" s="30">
        <f>IF(G6499&lt;$H$10,$H$16,IF(G6499&gt;$I$10,$H$16,$H$11))*E6499/600</f>
        <v>5.0261640000000005E-3</v>
      </c>
      <c r="L6499" s="32">
        <f>$J6499*($G6499-$G6498)*60*24</f>
        <v>5.0261639999999823E-3</v>
      </c>
    </row>
    <row r="6500" spans="1:12">
      <c r="A6500" s="22">
        <v>40315.145833333336</v>
      </c>
      <c r="E6500" s="26">
        <v>15.078492000000001</v>
      </c>
      <c r="G6500" s="27">
        <v>0.14583333333333334</v>
      </c>
      <c r="J6500" s="30">
        <f>IF(G6500&lt;$H$10,$H$16,IF(G6500&gt;$I$10,$H$16,$H$11))*E6500/600</f>
        <v>5.0261640000000005E-3</v>
      </c>
      <c r="L6500" s="32">
        <f>$J6500*($G6500-$G6499)*60*24</f>
        <v>5.0261639999999823E-3</v>
      </c>
    </row>
    <row r="6501" spans="1:12">
      <c r="A6501" s="22">
        <v>40315.146527777775</v>
      </c>
      <c r="E6501" s="26">
        <v>14.9754</v>
      </c>
      <c r="G6501" s="27">
        <v>0.14652777777777778</v>
      </c>
      <c r="J6501" s="30">
        <f>IF(G6501&lt;$H$10,$H$16,IF(G6501&gt;$I$10,$H$16,$H$11))*E6501/600</f>
        <v>4.9918000000000002E-3</v>
      </c>
      <c r="L6501" s="32">
        <f>$J6501*($G6501-$G6500)*60*24</f>
        <v>4.9917999999999829E-3</v>
      </c>
    </row>
    <row r="6502" spans="1:12">
      <c r="A6502" s="22">
        <v>40315.147222222222</v>
      </c>
      <c r="E6502" s="26">
        <v>14.9754</v>
      </c>
      <c r="G6502" s="27">
        <v>0.14722222222222223</v>
      </c>
      <c r="J6502" s="30">
        <f>IF(G6502&lt;$H$10,$H$16,IF(G6502&gt;$I$10,$H$16,$H$11))*E6502/600</f>
        <v>4.9918000000000002E-3</v>
      </c>
      <c r="L6502" s="32">
        <f>$J6502*($G6502-$G6501)*60*24</f>
        <v>4.9917999999999829E-3</v>
      </c>
    </row>
    <row r="6503" spans="1:12">
      <c r="A6503" s="22">
        <v>40315.147916666669</v>
      </c>
      <c r="E6503" s="26">
        <v>15.054600000000001</v>
      </c>
      <c r="G6503" s="27">
        <v>0.14791666666666667</v>
      </c>
      <c r="J6503" s="30">
        <f>IF(G6503&lt;$H$10,$H$16,IF(G6503&gt;$I$10,$H$16,$H$11))*E6503/600</f>
        <v>5.0182000000000004E-3</v>
      </c>
      <c r="L6503" s="32">
        <f>$J6503*($G6503-$G6502)*60*24</f>
        <v>5.0181999999999831E-3</v>
      </c>
    </row>
    <row r="6504" spans="1:12">
      <c r="A6504" s="22">
        <v>40315.148611111108</v>
      </c>
      <c r="E6504" s="26">
        <v>15.074400000000001</v>
      </c>
      <c r="G6504" s="27">
        <v>0.14861111111111111</v>
      </c>
      <c r="J6504" s="30">
        <f>IF(G6504&lt;$H$10,$H$16,IF(G6504&gt;$I$10,$H$16,$H$11))*E6504/600</f>
        <v>5.0248000000000003E-3</v>
      </c>
      <c r="L6504" s="32">
        <f>$J6504*($G6504-$G6503)*60*24</f>
        <v>5.0247999999999821E-3</v>
      </c>
    </row>
    <row r="6505" spans="1:12">
      <c r="A6505" s="22">
        <v>40315.149305555555</v>
      </c>
      <c r="E6505" s="26">
        <v>15.074400000000001</v>
      </c>
      <c r="G6505" s="27">
        <v>0.14930555555555555</v>
      </c>
      <c r="J6505" s="30">
        <f>IF(G6505&lt;$H$10,$H$16,IF(G6505&gt;$I$10,$H$16,$H$11))*E6505/600</f>
        <v>5.0248000000000003E-3</v>
      </c>
      <c r="L6505" s="32">
        <f>$J6505*($G6505-$G6504)*60*24</f>
        <v>5.0247999999999821E-3</v>
      </c>
    </row>
    <row r="6506" spans="1:12">
      <c r="A6506" s="22">
        <v>40315.15</v>
      </c>
      <c r="E6506" s="26">
        <v>15.1404</v>
      </c>
      <c r="G6506" s="27">
        <v>0.15</v>
      </c>
      <c r="J6506" s="30">
        <f>IF(G6506&lt;$H$10,$H$16,IF(G6506&gt;$I$10,$H$16,$H$11))*E6506/600</f>
        <v>5.0468000000000006E-3</v>
      </c>
      <c r="L6506" s="32">
        <f>$J6506*($G6506-$G6505)*60*24</f>
        <v>5.0467999999999824E-3</v>
      </c>
    </row>
    <row r="6507" spans="1:12">
      <c r="A6507" s="22">
        <v>40315.150694444441</v>
      </c>
      <c r="E6507" s="26">
        <v>15.1206</v>
      </c>
      <c r="G6507" s="27">
        <v>0.15069444444444444</v>
      </c>
      <c r="J6507" s="30">
        <f>IF(G6507&lt;$H$10,$H$16,IF(G6507&gt;$I$10,$H$16,$H$11))*E6507/600</f>
        <v>5.0401999999999999E-3</v>
      </c>
      <c r="L6507" s="32">
        <f>$J6507*($G6507-$G6506)*60*24</f>
        <v>5.0401999999999825E-3</v>
      </c>
    </row>
    <row r="6508" spans="1:12">
      <c r="A6508" s="22">
        <v>40315.151388888888</v>
      </c>
      <c r="E6508" s="26">
        <v>14.846</v>
      </c>
      <c r="G6508" s="27">
        <v>0.15138888888888888</v>
      </c>
      <c r="J6508" s="30">
        <f>IF(G6508&lt;$H$10,$H$16,IF(G6508&gt;$I$10,$H$16,$H$11))*E6508/600</f>
        <v>4.9486666666666672E-3</v>
      </c>
      <c r="L6508" s="32">
        <f>$J6508*($G6508-$G6507)*60*24</f>
        <v>4.948666666666649E-3</v>
      </c>
    </row>
    <row r="6509" spans="1:12">
      <c r="A6509" s="22">
        <v>40315.152083333334</v>
      </c>
      <c r="E6509" s="26">
        <v>14.961634999999999</v>
      </c>
      <c r="G6509" s="27">
        <v>0.15208333333333332</v>
      </c>
      <c r="J6509" s="30">
        <f>IF(G6509&lt;$H$10,$H$16,IF(G6509&gt;$I$10,$H$16,$H$11))*E6509/600</f>
        <v>4.9872116666666664E-3</v>
      </c>
      <c r="L6509" s="32">
        <f>$J6509*($G6509-$G6508)*60*24</f>
        <v>4.987211666666649E-3</v>
      </c>
    </row>
    <row r="6510" spans="1:12">
      <c r="A6510" s="22">
        <v>40315.152777777781</v>
      </c>
      <c r="E6510" s="26">
        <v>14.852499999999999</v>
      </c>
      <c r="G6510" s="27">
        <v>0.15277777777777776</v>
      </c>
      <c r="J6510" s="30">
        <f>IF(G6510&lt;$H$10,$H$16,IF(G6510&gt;$I$10,$H$16,$H$11))*E6510/600</f>
        <v>4.9508333333333331E-3</v>
      </c>
      <c r="L6510" s="32">
        <f>$J6510*($G6510-$G6509)*60*24</f>
        <v>4.9508333333333158E-3</v>
      </c>
    </row>
    <row r="6511" spans="1:12">
      <c r="A6511" s="22">
        <v>40315.15347222222</v>
      </c>
      <c r="E6511" s="26">
        <v>14.82</v>
      </c>
      <c r="G6511" s="27">
        <v>0.15347222222222223</v>
      </c>
      <c r="J6511" s="30">
        <f>IF(G6511&lt;$H$10,$H$16,IF(G6511&gt;$I$10,$H$16,$H$11))*E6511/600</f>
        <v>4.9400000000000008E-3</v>
      </c>
      <c r="L6511" s="32">
        <f>$J6511*($G6511-$G6510)*60*24</f>
        <v>4.9400000000001812E-3</v>
      </c>
    </row>
    <row r="6512" spans="1:12">
      <c r="A6512" s="22">
        <v>40315.154166666667</v>
      </c>
      <c r="E6512" s="26">
        <v>14.826499999999999</v>
      </c>
      <c r="G6512" s="27">
        <v>0.15416666666666667</v>
      </c>
      <c r="J6512" s="30">
        <f>IF(G6512&lt;$H$10,$H$16,IF(G6512&gt;$I$10,$H$16,$H$11))*E6512/600</f>
        <v>4.9421666666666668E-3</v>
      </c>
      <c r="L6512" s="32">
        <f>$J6512*($G6512-$G6511)*60*24</f>
        <v>4.9421666666666485E-3</v>
      </c>
    </row>
    <row r="6513" spans="1:12">
      <c r="A6513" s="22">
        <v>40315.154861111114</v>
      </c>
      <c r="E6513" s="26">
        <v>14.82</v>
      </c>
      <c r="G6513" s="27">
        <v>0.15486111111111112</v>
      </c>
      <c r="J6513" s="30">
        <f>IF(G6513&lt;$H$10,$H$16,IF(G6513&gt;$I$10,$H$16,$H$11))*E6513/600</f>
        <v>4.9400000000000008E-3</v>
      </c>
      <c r="L6513" s="32">
        <f>$J6513*($G6513-$G6512)*60*24</f>
        <v>4.9399999999999835E-3</v>
      </c>
    </row>
    <row r="6514" spans="1:12">
      <c r="A6514" s="22">
        <v>40315.155555555553</v>
      </c>
      <c r="E6514" s="26">
        <v>14.794</v>
      </c>
      <c r="G6514" s="27">
        <v>0.15555555555555556</v>
      </c>
      <c r="J6514" s="30">
        <f>IF(G6514&lt;$H$10,$H$16,IF(G6514&gt;$I$10,$H$16,$H$11))*E6514/600</f>
        <v>4.9313333333333336E-3</v>
      </c>
      <c r="L6514" s="32">
        <f>$J6514*($G6514-$G6513)*60*24</f>
        <v>4.9313333333333162E-3</v>
      </c>
    </row>
    <row r="6515" spans="1:12">
      <c r="A6515" s="22">
        <v>40315.15625</v>
      </c>
      <c r="E6515" s="26">
        <v>14.794</v>
      </c>
      <c r="G6515" s="27">
        <v>0.15625</v>
      </c>
      <c r="J6515" s="30">
        <f>IF(G6515&lt;$H$10,$H$16,IF(G6515&gt;$I$10,$H$16,$H$11))*E6515/600</f>
        <v>4.9313333333333336E-3</v>
      </c>
      <c r="L6515" s="32">
        <f>$J6515*($G6515-$G6514)*60*24</f>
        <v>4.9313333333333162E-3</v>
      </c>
    </row>
    <row r="6516" spans="1:12">
      <c r="A6516" s="22">
        <v>40315.156944444447</v>
      </c>
      <c r="E6516" s="26">
        <v>14.91568</v>
      </c>
      <c r="G6516" s="27">
        <v>0.15694444444444444</v>
      </c>
      <c r="J6516" s="30">
        <f>IF(G6516&lt;$H$10,$H$16,IF(G6516&gt;$I$10,$H$16,$H$11))*E6516/600</f>
        <v>4.971893333333333E-3</v>
      </c>
      <c r="L6516" s="32">
        <f>$J6516*($G6516-$G6515)*60*24</f>
        <v>4.9718933333333156E-3</v>
      </c>
    </row>
    <row r="6517" spans="1:12">
      <c r="A6517" s="22">
        <v>40315.157638888886</v>
      </c>
      <c r="E6517" s="26">
        <v>14.922245</v>
      </c>
      <c r="G6517" s="27">
        <v>0.15763888888888888</v>
      </c>
      <c r="J6517" s="30">
        <f>IF(G6517&lt;$H$10,$H$16,IF(G6517&gt;$I$10,$H$16,$H$11))*E6517/600</f>
        <v>4.9740816666666672E-3</v>
      </c>
      <c r="L6517" s="32">
        <f>$J6517*($G6517-$G6516)*60*24</f>
        <v>4.9740816666666498E-3</v>
      </c>
    </row>
    <row r="6518" spans="1:12">
      <c r="A6518" s="22">
        <v>40315.158333333333</v>
      </c>
      <c r="E6518" s="26">
        <v>14.922245</v>
      </c>
      <c r="G6518" s="27">
        <v>0.15833333333333333</v>
      </c>
      <c r="J6518" s="30">
        <f>IF(G6518&lt;$H$10,$H$16,IF(G6518&gt;$I$10,$H$16,$H$11))*E6518/600</f>
        <v>4.9740816666666672E-3</v>
      </c>
      <c r="L6518" s="32">
        <f>$J6518*($G6518-$G6517)*60*24</f>
        <v>4.9740816666666498E-3</v>
      </c>
    </row>
    <row r="6519" spans="1:12">
      <c r="A6519" s="22">
        <v>40315.15902777778</v>
      </c>
      <c r="E6519" s="26">
        <v>15.020720000000001</v>
      </c>
      <c r="G6519" s="27">
        <v>0.15902777777777777</v>
      </c>
      <c r="J6519" s="30">
        <f>IF(G6519&lt;$H$10,$H$16,IF(G6519&gt;$I$10,$H$16,$H$11))*E6519/600</f>
        <v>5.0069066666666665E-3</v>
      </c>
      <c r="L6519" s="32">
        <f>$J6519*($G6519-$G6518)*60*24</f>
        <v>5.0069066666666492E-3</v>
      </c>
    </row>
    <row r="6520" spans="1:12">
      <c r="A6520" s="22">
        <v>40315.159722222219</v>
      </c>
      <c r="E6520" s="26">
        <v>15.020720000000001</v>
      </c>
      <c r="G6520" s="27">
        <v>0.15972222222222224</v>
      </c>
      <c r="J6520" s="30">
        <f>IF(G6520&lt;$H$10,$H$16,IF(G6520&gt;$I$10,$H$16,$H$11))*E6520/600</f>
        <v>5.0069066666666665E-3</v>
      </c>
      <c r="L6520" s="32">
        <f>$J6520*($G6520-$G6519)*60*24</f>
        <v>5.0069066666668487E-3</v>
      </c>
    </row>
    <row r="6521" spans="1:12">
      <c r="A6521" s="22">
        <v>40315.160416666666</v>
      </c>
      <c r="E6521" s="26">
        <v>15.014155000000001</v>
      </c>
      <c r="G6521" s="27">
        <v>0.16041666666666668</v>
      </c>
      <c r="J6521" s="30">
        <f>IF(G6521&lt;$H$10,$H$16,IF(G6521&gt;$I$10,$H$16,$H$11))*E6521/600</f>
        <v>5.004718333333334E-3</v>
      </c>
      <c r="L6521" s="32">
        <f>$J6521*($G6521-$G6520)*60*24</f>
        <v>5.0047183333333158E-3</v>
      </c>
    </row>
    <row r="6522" spans="1:12">
      <c r="A6522" s="22">
        <v>40315.161111111112</v>
      </c>
      <c r="E6522" s="26">
        <v>14.859</v>
      </c>
      <c r="G6522" s="27">
        <v>0.16111111111111112</v>
      </c>
      <c r="J6522" s="30">
        <f>IF(G6522&lt;$H$10,$H$16,IF(G6522&gt;$I$10,$H$16,$H$11))*E6522/600</f>
        <v>4.9529999999999999E-3</v>
      </c>
      <c r="L6522" s="32">
        <f>$J6522*($G6522-$G6521)*60*24</f>
        <v>4.9529999999999817E-3</v>
      </c>
    </row>
    <row r="6523" spans="1:12">
      <c r="A6523" s="22">
        <v>40315.161805555559</v>
      </c>
      <c r="E6523" s="26">
        <v>15.014155000000001</v>
      </c>
      <c r="G6523" s="27">
        <v>0.16180555555555556</v>
      </c>
      <c r="J6523" s="30">
        <f>IF(G6523&lt;$H$10,$H$16,IF(G6523&gt;$I$10,$H$16,$H$11))*E6523/600</f>
        <v>5.004718333333334E-3</v>
      </c>
      <c r="L6523" s="32">
        <f>$J6523*($G6523-$G6522)*60*24</f>
        <v>5.0047183333333158E-3</v>
      </c>
    </row>
    <row r="6524" spans="1:12">
      <c r="A6524" s="22">
        <v>40315.162499999999</v>
      </c>
      <c r="E6524" s="26">
        <v>14.852499999999999</v>
      </c>
      <c r="G6524" s="27">
        <v>0.16250000000000001</v>
      </c>
      <c r="J6524" s="30">
        <f>IF(G6524&lt;$H$10,$H$16,IF(G6524&gt;$I$10,$H$16,$H$11))*E6524/600</f>
        <v>4.9508333333333331E-3</v>
      </c>
      <c r="L6524" s="32">
        <f>$J6524*($G6524-$G6523)*60*24</f>
        <v>4.9508333333333158E-3</v>
      </c>
    </row>
    <row r="6525" spans="1:12">
      <c r="A6525" s="22">
        <v>40315.163194444445</v>
      </c>
      <c r="E6525" s="26">
        <v>15.0876</v>
      </c>
      <c r="G6525" s="27">
        <v>0.16319444444444445</v>
      </c>
      <c r="J6525" s="30">
        <f>IF(G6525&lt;$H$10,$H$16,IF(G6525&gt;$I$10,$H$16,$H$11))*E6525/600</f>
        <v>5.0292000000000002E-3</v>
      </c>
      <c r="L6525" s="32">
        <f>$J6525*($G6525-$G6524)*60*24</f>
        <v>5.0291999999999819E-3</v>
      </c>
    </row>
    <row r="6526" spans="1:12">
      <c r="A6526" s="22">
        <v>40315.163888888892</v>
      </c>
      <c r="E6526" s="26">
        <v>14.846</v>
      </c>
      <c r="G6526" s="27">
        <v>0.16388888888888889</v>
      </c>
      <c r="J6526" s="30">
        <f>IF(G6526&lt;$H$10,$H$16,IF(G6526&gt;$I$10,$H$16,$H$11))*E6526/600</f>
        <v>4.9486666666666672E-3</v>
      </c>
      <c r="L6526" s="32">
        <f>$J6526*($G6526-$G6525)*60*24</f>
        <v>4.948666666666649E-3</v>
      </c>
    </row>
    <row r="6527" spans="1:12">
      <c r="A6527" s="22">
        <v>40315.164583333331</v>
      </c>
      <c r="E6527" s="26">
        <v>14.813499999999999</v>
      </c>
      <c r="G6527" s="27">
        <v>0.16458333333333333</v>
      </c>
      <c r="J6527" s="30">
        <f>IF(G6527&lt;$H$10,$H$16,IF(G6527&gt;$I$10,$H$16,$H$11))*E6527/600</f>
        <v>4.9378333333333331E-3</v>
      </c>
      <c r="L6527" s="32">
        <f>$J6527*($G6527-$G6526)*60*24</f>
        <v>4.9378333333333149E-3</v>
      </c>
    </row>
    <row r="6528" spans="1:12">
      <c r="A6528" s="22">
        <v>40315.165277777778</v>
      </c>
      <c r="E6528" s="26">
        <v>14.8005</v>
      </c>
      <c r="G6528" s="27">
        <v>0.16527777777777777</v>
      </c>
      <c r="J6528" s="30">
        <f>IF(G6528&lt;$H$10,$H$16,IF(G6528&gt;$I$10,$H$16,$H$11))*E6528/600</f>
        <v>4.9335000000000004E-3</v>
      </c>
      <c r="L6528" s="32">
        <f>$J6528*($G6528-$G6527)*60*24</f>
        <v>4.933499999999983E-3</v>
      </c>
    </row>
    <row r="6529" spans="1:12">
      <c r="A6529" s="22">
        <v>40315.165972222225</v>
      </c>
      <c r="E6529" s="26">
        <v>14.807</v>
      </c>
      <c r="G6529" s="27">
        <v>0.16597222222222222</v>
      </c>
      <c r="J6529" s="30">
        <f>IF(G6529&lt;$H$10,$H$16,IF(G6529&gt;$I$10,$H$16,$H$11))*E6529/600</f>
        <v>4.9356666666666672E-3</v>
      </c>
      <c r="L6529" s="32">
        <f>$J6529*($G6529-$G6528)*60*24</f>
        <v>4.9356666666666498E-3</v>
      </c>
    </row>
    <row r="6530" spans="1:12">
      <c r="A6530" s="22">
        <v>40315.166666666664</v>
      </c>
      <c r="E6530" s="26">
        <v>15.041399999999999</v>
      </c>
      <c r="G6530" s="27">
        <v>0.16666666666666666</v>
      </c>
      <c r="J6530" s="30">
        <f>IF(G6530&lt;$H$10,$H$16,IF(G6530&gt;$I$10,$H$16,$H$11))*E6530/600</f>
        <v>5.0137999999999997E-3</v>
      </c>
      <c r="L6530" s="32">
        <f>$J6530*($G6530-$G6529)*60*24</f>
        <v>5.0137999999999815E-3</v>
      </c>
    </row>
    <row r="6531" spans="1:12">
      <c r="A6531" s="22">
        <v>40315.167361111111</v>
      </c>
      <c r="E6531" s="26">
        <v>15.041399999999999</v>
      </c>
      <c r="G6531" s="27">
        <v>0.1673611111111111</v>
      </c>
      <c r="J6531" s="30">
        <f>IF(G6531&lt;$H$10,$H$16,IF(G6531&gt;$I$10,$H$16,$H$11))*E6531/600</f>
        <v>5.0137999999999997E-3</v>
      </c>
      <c r="L6531" s="32">
        <f>$J6531*($G6531-$G6530)*60*24</f>
        <v>5.0137999999999815E-3</v>
      </c>
    </row>
    <row r="6532" spans="1:12">
      <c r="A6532" s="22">
        <v>40315.168055555558</v>
      </c>
      <c r="E6532" s="26">
        <v>15.0678</v>
      </c>
      <c r="G6532" s="27">
        <v>0.16805555555555554</v>
      </c>
      <c r="J6532" s="30">
        <f>IF(G6532&lt;$H$10,$H$16,IF(G6532&gt;$I$10,$H$16,$H$11))*E6532/600</f>
        <v>5.0226000000000003E-3</v>
      </c>
      <c r="L6532" s="32">
        <f>$J6532*($G6532-$G6531)*60*24</f>
        <v>5.022599999999983E-3</v>
      </c>
    </row>
    <row r="6533" spans="1:12">
      <c r="A6533" s="22">
        <v>40315.168749999997</v>
      </c>
      <c r="E6533" s="26">
        <v>14.82</v>
      </c>
      <c r="G6533" s="27">
        <v>0.16874999999999998</v>
      </c>
      <c r="J6533" s="30">
        <f>IF(G6533&lt;$H$10,$H$16,IF(G6533&gt;$I$10,$H$16,$H$11))*E6533/600</f>
        <v>4.9400000000000008E-3</v>
      </c>
      <c r="L6533" s="32">
        <f>$J6533*($G6533-$G6532)*60*24</f>
        <v>4.9399999999999835E-3</v>
      </c>
    </row>
    <row r="6534" spans="1:12">
      <c r="A6534" s="22">
        <v>40315.169444444444</v>
      </c>
      <c r="E6534" s="26">
        <v>14.859</v>
      </c>
      <c r="G6534" s="27">
        <v>0.16944444444444443</v>
      </c>
      <c r="J6534" s="30">
        <f>IF(G6534&lt;$H$10,$H$16,IF(G6534&gt;$I$10,$H$16,$H$11))*E6534/600</f>
        <v>4.9529999999999999E-3</v>
      </c>
      <c r="L6534" s="32">
        <f>$J6534*($G6534-$G6533)*60*24</f>
        <v>4.9529999999999817E-3</v>
      </c>
    </row>
    <row r="6535" spans="1:12">
      <c r="A6535" s="22">
        <v>40315.170138888891</v>
      </c>
      <c r="E6535" s="26">
        <v>14.872</v>
      </c>
      <c r="G6535" s="27">
        <v>0.17013888888888887</v>
      </c>
      <c r="J6535" s="30">
        <f>IF(G6535&lt;$H$10,$H$16,IF(G6535&gt;$I$10,$H$16,$H$11))*E6535/600</f>
        <v>4.9573333333333336E-3</v>
      </c>
      <c r="L6535" s="32">
        <f>$J6535*($G6535-$G6534)*60*24</f>
        <v>4.9573333333333153E-3</v>
      </c>
    </row>
    <row r="6536" spans="1:12">
      <c r="A6536" s="22">
        <v>40315.17083333333</v>
      </c>
      <c r="E6536" s="26">
        <v>14.865500000000001</v>
      </c>
      <c r="G6536" s="27">
        <v>0.17083333333333331</v>
      </c>
      <c r="J6536" s="30">
        <f>IF(G6536&lt;$H$10,$H$16,IF(G6536&gt;$I$10,$H$16,$H$11))*E6536/600</f>
        <v>4.9551666666666676E-3</v>
      </c>
      <c r="L6536" s="32">
        <f>$J6536*($G6536-$G6535)*60*24</f>
        <v>4.9551666666666494E-3</v>
      </c>
    </row>
    <row r="6537" spans="1:12">
      <c r="A6537" s="22">
        <v>40315.171527777777</v>
      </c>
      <c r="E6537" s="26">
        <v>15.033849999999999</v>
      </c>
      <c r="G6537" s="27">
        <v>0.17152777777777775</v>
      </c>
      <c r="J6537" s="30">
        <f>IF(G6537&lt;$H$10,$H$16,IF(G6537&gt;$I$10,$H$16,$H$11))*E6537/600</f>
        <v>5.0112833333333332E-3</v>
      </c>
      <c r="L6537" s="32">
        <f>$J6537*($G6537-$G6536)*60*24</f>
        <v>5.0112833333333159E-3</v>
      </c>
    </row>
    <row r="6538" spans="1:12">
      <c r="A6538" s="22">
        <v>40315.172222222223</v>
      </c>
      <c r="E6538" s="26">
        <v>14.891500000000001</v>
      </c>
      <c r="G6538" s="27">
        <v>0.17222222222222225</v>
      </c>
      <c r="J6538" s="30">
        <f>IF(G6538&lt;$H$10,$H$16,IF(G6538&gt;$I$10,$H$16,$H$11))*E6538/600</f>
        <v>4.963833333333334E-3</v>
      </c>
      <c r="L6538" s="32">
        <f>$J6538*($G6538-$G6537)*60*24</f>
        <v>4.9638333333337139E-3</v>
      </c>
    </row>
    <row r="6539" spans="1:12">
      <c r="A6539" s="22">
        <v>40315.17291666667</v>
      </c>
      <c r="E6539" s="26">
        <v>14.865500000000001</v>
      </c>
      <c r="G6539" s="27">
        <v>0.17291666666666669</v>
      </c>
      <c r="J6539" s="30">
        <f>IF(G6539&lt;$H$10,$H$16,IF(G6539&gt;$I$10,$H$16,$H$11))*E6539/600</f>
        <v>4.9551666666666676E-3</v>
      </c>
      <c r="L6539" s="32">
        <f>$J6539*($G6539-$G6538)*60*24</f>
        <v>4.9551666666666494E-3</v>
      </c>
    </row>
    <row r="6540" spans="1:12">
      <c r="A6540" s="22">
        <v>40315.173611111109</v>
      </c>
      <c r="E6540" s="26">
        <v>15.020720000000001</v>
      </c>
      <c r="G6540" s="27">
        <v>0.17361111111111113</v>
      </c>
      <c r="J6540" s="30">
        <f>IF(G6540&lt;$H$10,$H$16,IF(G6540&gt;$I$10,$H$16,$H$11))*E6540/600</f>
        <v>5.0069066666666665E-3</v>
      </c>
      <c r="L6540" s="32">
        <f>$J6540*($G6540-$G6539)*60*24</f>
        <v>5.0069066666666492E-3</v>
      </c>
    </row>
    <row r="6541" spans="1:12">
      <c r="A6541" s="22">
        <v>40315.174305555556</v>
      </c>
      <c r="E6541" s="26">
        <v>14.885</v>
      </c>
      <c r="G6541" s="27">
        <v>0.17430555555555557</v>
      </c>
      <c r="J6541" s="30">
        <f>IF(G6541&lt;$H$10,$H$16,IF(G6541&gt;$I$10,$H$16,$H$11))*E6541/600</f>
        <v>4.9616666666666672E-3</v>
      </c>
      <c r="L6541" s="32">
        <f>$J6541*($G6541-$G6540)*60*24</f>
        <v>4.961666666666649E-3</v>
      </c>
    </row>
    <row r="6542" spans="1:12">
      <c r="A6542" s="22">
        <v>40315.175000000003</v>
      </c>
      <c r="E6542" s="26">
        <v>15.00759</v>
      </c>
      <c r="G6542" s="27">
        <v>0.17500000000000002</v>
      </c>
      <c r="J6542" s="30">
        <f>IF(G6542&lt;$H$10,$H$16,IF(G6542&gt;$I$10,$H$16,$H$11))*E6542/600</f>
        <v>5.0025300000000007E-3</v>
      </c>
      <c r="L6542" s="32">
        <f>$J6542*($G6542-$G6541)*60*24</f>
        <v>5.0025299999999833E-3</v>
      </c>
    </row>
    <row r="6543" spans="1:12">
      <c r="A6543" s="22">
        <v>40315.175694444442</v>
      </c>
      <c r="E6543" s="26">
        <v>14.859</v>
      </c>
      <c r="G6543" s="27">
        <v>0.17569444444444446</v>
      </c>
      <c r="J6543" s="30">
        <f>IF(G6543&lt;$H$10,$H$16,IF(G6543&gt;$I$10,$H$16,$H$11))*E6543/600</f>
        <v>4.9529999999999999E-3</v>
      </c>
      <c r="L6543" s="32">
        <f>$J6543*($G6543-$G6542)*60*24</f>
        <v>4.9529999999999817E-3</v>
      </c>
    </row>
    <row r="6544" spans="1:12">
      <c r="A6544" s="22">
        <v>40315.176388888889</v>
      </c>
      <c r="E6544" s="26">
        <v>14.859</v>
      </c>
      <c r="G6544" s="27">
        <v>0.1763888888888889</v>
      </c>
      <c r="J6544" s="30">
        <f>IF(G6544&lt;$H$10,$H$16,IF(G6544&gt;$I$10,$H$16,$H$11))*E6544/600</f>
        <v>4.9529999999999999E-3</v>
      </c>
      <c r="L6544" s="32">
        <f>$J6544*($G6544-$G6543)*60*24</f>
        <v>4.9529999999999817E-3</v>
      </c>
    </row>
    <row r="6545" spans="1:12">
      <c r="A6545" s="22">
        <v>40315.177083333336</v>
      </c>
      <c r="E6545" s="26">
        <v>14.859</v>
      </c>
      <c r="G6545" s="27">
        <v>0.17708333333333334</v>
      </c>
      <c r="J6545" s="30">
        <f>IF(G6545&lt;$H$10,$H$16,IF(G6545&gt;$I$10,$H$16,$H$11))*E6545/600</f>
        <v>4.9529999999999999E-3</v>
      </c>
      <c r="L6545" s="32">
        <f>$J6545*($G6545-$G6544)*60*24</f>
        <v>4.9529999999999817E-3</v>
      </c>
    </row>
    <row r="6546" spans="1:12">
      <c r="A6546" s="22">
        <v>40315.177777777775</v>
      </c>
      <c r="E6546" s="26">
        <v>15.1206</v>
      </c>
      <c r="G6546" s="27">
        <v>0.17777777777777778</v>
      </c>
      <c r="J6546" s="30">
        <f>IF(G6546&lt;$H$10,$H$16,IF(G6546&gt;$I$10,$H$16,$H$11))*E6546/600</f>
        <v>5.0401999999999999E-3</v>
      </c>
      <c r="L6546" s="32">
        <f>$J6546*($G6546-$G6545)*60*24</f>
        <v>5.0401999999999825E-3</v>
      </c>
    </row>
    <row r="6547" spans="1:12">
      <c r="A6547" s="22">
        <v>40315.178472222222</v>
      </c>
      <c r="E6547" s="26">
        <v>15.1206</v>
      </c>
      <c r="G6547" s="27">
        <v>0.17847222222222223</v>
      </c>
      <c r="J6547" s="30">
        <f>IF(G6547&lt;$H$10,$H$16,IF(G6547&gt;$I$10,$H$16,$H$11))*E6547/600</f>
        <v>5.0401999999999999E-3</v>
      </c>
      <c r="L6547" s="32">
        <f>$J6547*($G6547-$G6546)*60*24</f>
        <v>5.0401999999999825E-3</v>
      </c>
    </row>
    <row r="6548" spans="1:12">
      <c r="A6548" s="22">
        <v>40315.179166666669</v>
      </c>
      <c r="E6548" s="26">
        <v>15.1404</v>
      </c>
      <c r="G6548" s="27">
        <v>0.17916666666666667</v>
      </c>
      <c r="J6548" s="30">
        <f>IF(G6548&lt;$H$10,$H$16,IF(G6548&gt;$I$10,$H$16,$H$11))*E6548/600</f>
        <v>5.0468000000000006E-3</v>
      </c>
      <c r="L6548" s="32">
        <f>$J6548*($G6548-$G6547)*60*24</f>
        <v>5.0467999999999824E-3</v>
      </c>
    </row>
    <row r="6549" spans="1:12">
      <c r="A6549" s="22">
        <v>40315.179861111108</v>
      </c>
      <c r="E6549" s="26">
        <v>15.1668</v>
      </c>
      <c r="G6549" s="27">
        <v>0.17986111111111111</v>
      </c>
      <c r="J6549" s="30">
        <f>IF(G6549&lt;$H$10,$H$16,IF(G6549&gt;$I$10,$H$16,$H$11))*E6549/600</f>
        <v>5.0556000000000004E-3</v>
      </c>
      <c r="L6549" s="32">
        <f>$J6549*($G6549-$G6548)*60*24</f>
        <v>5.0555999999999822E-3</v>
      </c>
    </row>
    <row r="6550" spans="1:12">
      <c r="A6550" s="22">
        <v>40315.180555555555</v>
      </c>
      <c r="E6550" s="26">
        <v>15.153600000000001</v>
      </c>
      <c r="G6550" s="27">
        <v>0.18055555555555555</v>
      </c>
      <c r="J6550" s="30">
        <f>IF(G6550&lt;$H$10,$H$16,IF(G6550&gt;$I$10,$H$16,$H$11))*E6550/600</f>
        <v>5.0512000000000005E-3</v>
      </c>
      <c r="L6550" s="32">
        <f>$J6550*($G6550-$G6549)*60*24</f>
        <v>5.0511999999999831E-3</v>
      </c>
    </row>
    <row r="6551" spans="1:12">
      <c r="A6551" s="22">
        <v>40315.181250000001</v>
      </c>
      <c r="E6551" s="26">
        <v>15.1206</v>
      </c>
      <c r="G6551" s="27">
        <v>0.18124999999999999</v>
      </c>
      <c r="J6551" s="30">
        <f>IF(G6551&lt;$H$10,$H$16,IF(G6551&gt;$I$10,$H$16,$H$11))*E6551/600</f>
        <v>5.0401999999999999E-3</v>
      </c>
      <c r="L6551" s="32">
        <f>$J6551*($G6551-$G6550)*60*24</f>
        <v>5.0401999999999825E-3</v>
      </c>
    </row>
    <row r="6552" spans="1:12">
      <c r="A6552" s="22">
        <v>40315.181944444441</v>
      </c>
      <c r="E6552" s="26">
        <v>15.048</v>
      </c>
      <c r="G6552" s="27">
        <v>0.18194444444444444</v>
      </c>
      <c r="J6552" s="30">
        <f>IF(G6552&lt;$H$10,$H$16,IF(G6552&gt;$I$10,$H$16,$H$11))*E6552/600</f>
        <v>5.0160000000000005E-3</v>
      </c>
      <c r="L6552" s="32">
        <f>$J6552*($G6552-$G6551)*60*24</f>
        <v>5.0159999999999823E-3</v>
      </c>
    </row>
    <row r="6553" spans="1:12">
      <c r="A6553" s="22">
        <v>40315.182638888888</v>
      </c>
      <c r="E6553" s="26">
        <v>14.826499999999999</v>
      </c>
      <c r="G6553" s="27">
        <v>0.18263888888888891</v>
      </c>
      <c r="J6553" s="30">
        <f>IF(G6553&lt;$H$10,$H$16,IF(G6553&gt;$I$10,$H$16,$H$11))*E6553/600</f>
        <v>4.9421666666666668E-3</v>
      </c>
      <c r="L6553" s="32">
        <f>$J6553*($G6553-$G6552)*60*24</f>
        <v>4.9421666666668463E-3</v>
      </c>
    </row>
    <row r="6554" spans="1:12">
      <c r="A6554" s="22">
        <v>40315.183333333334</v>
      </c>
      <c r="E6554" s="26">
        <v>15.1074</v>
      </c>
      <c r="G6554" s="27">
        <v>0.18333333333333335</v>
      </c>
      <c r="J6554" s="30">
        <f>IF(G6554&lt;$H$10,$H$16,IF(G6554&gt;$I$10,$H$16,$H$11))*E6554/600</f>
        <v>5.0358000000000009E-3</v>
      </c>
      <c r="L6554" s="32">
        <f>$J6554*($G6554-$G6553)*60*24</f>
        <v>5.0357999999999827E-3</v>
      </c>
    </row>
    <row r="6555" spans="1:12">
      <c r="A6555" s="22">
        <v>40315.184027777781</v>
      </c>
      <c r="E6555" s="26">
        <v>15.0678</v>
      </c>
      <c r="G6555" s="27">
        <v>0.18402777777777779</v>
      </c>
      <c r="J6555" s="30">
        <f>IF(G6555&lt;$H$10,$H$16,IF(G6555&gt;$I$10,$H$16,$H$11))*E6555/600</f>
        <v>5.0226000000000003E-3</v>
      </c>
      <c r="L6555" s="32">
        <f>$J6555*($G6555-$G6554)*60*24</f>
        <v>5.022599999999983E-3</v>
      </c>
    </row>
    <row r="6556" spans="1:12">
      <c r="A6556" s="22">
        <v>40315.18472222222</v>
      </c>
      <c r="E6556" s="26">
        <v>15.021599999999999</v>
      </c>
      <c r="G6556" s="27">
        <v>0.18472222222222223</v>
      </c>
      <c r="J6556" s="30">
        <f>IF(G6556&lt;$H$10,$H$16,IF(G6556&gt;$I$10,$H$16,$H$11))*E6556/600</f>
        <v>5.0071999999999998E-3</v>
      </c>
      <c r="L6556" s="32">
        <f>$J6556*($G6556-$G6555)*60*24</f>
        <v>5.0071999999999816E-3</v>
      </c>
    </row>
    <row r="6557" spans="1:12">
      <c r="A6557" s="22">
        <v>40315.185416666667</v>
      </c>
      <c r="E6557" s="26">
        <v>14.7485</v>
      </c>
      <c r="G6557" s="27">
        <v>0.18541666666666667</v>
      </c>
      <c r="J6557" s="30">
        <f>IF(G6557&lt;$H$10,$H$16,IF(G6557&gt;$I$10,$H$16,$H$11))*E6557/600</f>
        <v>4.9161666666666668E-3</v>
      </c>
      <c r="L6557" s="32">
        <f>$J6557*($G6557-$G6556)*60*24</f>
        <v>4.9161666666666486E-3</v>
      </c>
    </row>
    <row r="6558" spans="1:12">
      <c r="A6558" s="22">
        <v>40315.186111111114</v>
      </c>
      <c r="E6558" s="26">
        <v>14.742000000000001</v>
      </c>
      <c r="G6558" s="27">
        <v>0.18611111111111112</v>
      </c>
      <c r="J6558" s="30">
        <f>IF(G6558&lt;$H$10,$H$16,IF(G6558&gt;$I$10,$H$16,$H$11))*E6558/600</f>
        <v>4.9140000000000008E-3</v>
      </c>
      <c r="L6558" s="32">
        <f>$J6558*($G6558-$G6557)*60*24</f>
        <v>4.9139999999999835E-3</v>
      </c>
    </row>
    <row r="6559" spans="1:12">
      <c r="A6559" s="22">
        <v>40315.186805555553</v>
      </c>
      <c r="E6559" s="26">
        <v>14.7355</v>
      </c>
      <c r="G6559" s="27">
        <v>0.18680555555555556</v>
      </c>
      <c r="J6559" s="30">
        <f>IF(G6559&lt;$H$10,$H$16,IF(G6559&gt;$I$10,$H$16,$H$11))*E6559/600</f>
        <v>4.911833333333334E-3</v>
      </c>
      <c r="L6559" s="32">
        <f>$J6559*($G6559-$G6558)*60*24</f>
        <v>4.9118333333333167E-3</v>
      </c>
    </row>
    <row r="6560" spans="1:12">
      <c r="A6560" s="22">
        <v>40315.1875</v>
      </c>
      <c r="E6560" s="26">
        <v>14.807</v>
      </c>
      <c r="G6560" s="27">
        <v>0.1875</v>
      </c>
      <c r="J6560" s="30">
        <f>IF(G6560&lt;$H$10,$H$16,IF(G6560&gt;$I$10,$H$16,$H$11))*E6560/600</f>
        <v>4.9356666666666672E-3</v>
      </c>
      <c r="L6560" s="32">
        <f>$J6560*($G6560-$G6559)*60*24</f>
        <v>4.9356666666666498E-3</v>
      </c>
    </row>
    <row r="6561" spans="1:12">
      <c r="A6561" s="22">
        <v>40315.188194444447</v>
      </c>
      <c r="E6561" s="26">
        <v>14.7485</v>
      </c>
      <c r="G6561" s="27">
        <v>0.18819444444444444</v>
      </c>
      <c r="J6561" s="30">
        <f>IF(G6561&lt;$H$10,$H$16,IF(G6561&gt;$I$10,$H$16,$H$11))*E6561/600</f>
        <v>4.9161666666666668E-3</v>
      </c>
      <c r="L6561" s="32">
        <f>$J6561*($G6561-$G6560)*60*24</f>
        <v>4.9161666666666486E-3</v>
      </c>
    </row>
    <row r="6562" spans="1:12">
      <c r="A6562" s="22">
        <v>40315.188888888886</v>
      </c>
      <c r="E6562" s="26">
        <v>14.889419999999999</v>
      </c>
      <c r="G6562" s="27">
        <v>0.18888888888888888</v>
      </c>
      <c r="J6562" s="30">
        <f>IF(G6562&lt;$H$10,$H$16,IF(G6562&gt;$I$10,$H$16,$H$11))*E6562/600</f>
        <v>4.9631399999999996E-3</v>
      </c>
      <c r="L6562" s="32">
        <f>$J6562*($G6562-$G6561)*60*24</f>
        <v>4.9631399999999822E-3</v>
      </c>
    </row>
    <row r="6563" spans="1:12">
      <c r="A6563" s="22">
        <v>40315.189583333333</v>
      </c>
      <c r="E6563" s="26">
        <v>14.755000000000001</v>
      </c>
      <c r="G6563" s="27">
        <v>0.18958333333333333</v>
      </c>
      <c r="J6563" s="30">
        <f>IF(G6563&lt;$H$10,$H$16,IF(G6563&gt;$I$10,$H$16,$H$11))*E6563/600</f>
        <v>4.9183333333333345E-3</v>
      </c>
      <c r="L6563" s="32">
        <f>$J6563*($G6563-$G6562)*60*24</f>
        <v>4.9183333333333171E-3</v>
      </c>
    </row>
    <row r="6564" spans="1:12">
      <c r="A6564" s="22">
        <v>40315.19027777778</v>
      </c>
      <c r="E6564" s="26">
        <v>14.9754</v>
      </c>
      <c r="G6564" s="27">
        <v>0.19027777777777777</v>
      </c>
      <c r="J6564" s="30">
        <f>IF(G6564&lt;$H$10,$H$16,IF(G6564&gt;$I$10,$H$16,$H$11))*E6564/600</f>
        <v>4.9918000000000002E-3</v>
      </c>
      <c r="L6564" s="32">
        <f>$J6564*($G6564-$G6563)*60*24</f>
        <v>4.9917999999999829E-3</v>
      </c>
    </row>
    <row r="6565" spans="1:12">
      <c r="A6565" s="22">
        <v>40315.190972222219</v>
      </c>
      <c r="E6565" s="26">
        <v>15.021599999999999</v>
      </c>
      <c r="G6565" s="27">
        <v>0.19097222222222221</v>
      </c>
      <c r="J6565" s="30">
        <f>IF(G6565&lt;$H$10,$H$16,IF(G6565&gt;$I$10,$H$16,$H$11))*E6565/600</f>
        <v>5.0071999999999998E-3</v>
      </c>
      <c r="L6565" s="32">
        <f>$J6565*($G6565-$G6564)*60*24</f>
        <v>5.0071999999999816E-3</v>
      </c>
    </row>
    <row r="6566" spans="1:12">
      <c r="A6566" s="22">
        <v>40315.191666666666</v>
      </c>
      <c r="E6566" s="26">
        <v>14.9754</v>
      </c>
      <c r="G6566" s="27">
        <v>0.19166666666666665</v>
      </c>
      <c r="J6566" s="30">
        <f>IF(G6566&lt;$H$10,$H$16,IF(G6566&gt;$I$10,$H$16,$H$11))*E6566/600</f>
        <v>4.9918000000000002E-3</v>
      </c>
      <c r="L6566" s="32">
        <f>$J6566*($G6566-$G6565)*60*24</f>
        <v>4.9917999999999829E-3</v>
      </c>
    </row>
    <row r="6567" spans="1:12">
      <c r="A6567" s="22">
        <v>40315.192361111112</v>
      </c>
      <c r="E6567" s="26">
        <v>15.0678</v>
      </c>
      <c r="G6567" s="27">
        <v>0.19236111111111112</v>
      </c>
      <c r="J6567" s="30">
        <f>IF(G6567&lt;$H$10,$H$16,IF(G6567&gt;$I$10,$H$16,$H$11))*E6567/600</f>
        <v>5.0226000000000003E-3</v>
      </c>
      <c r="L6567" s="32">
        <f>$J6567*($G6567-$G6566)*60*24</f>
        <v>5.0226000000001825E-3</v>
      </c>
    </row>
    <row r="6568" spans="1:12">
      <c r="A6568" s="22">
        <v>40315.193055555559</v>
      </c>
      <c r="E6568" s="26">
        <v>15.1668</v>
      </c>
      <c r="G6568" s="27">
        <v>0.19305555555555554</v>
      </c>
      <c r="J6568" s="30">
        <f>IF(G6568&lt;$H$10,$H$16,IF(G6568&gt;$I$10,$H$16,$H$11))*E6568/600</f>
        <v>5.0556000000000004E-3</v>
      </c>
      <c r="L6568" s="32">
        <f>$J6568*($G6568-$G6567)*60*24</f>
        <v>5.0555999999997809E-3</v>
      </c>
    </row>
    <row r="6569" spans="1:12">
      <c r="A6569" s="22">
        <v>40315.193749999999</v>
      </c>
      <c r="E6569" s="26">
        <v>15.1668</v>
      </c>
      <c r="G6569" s="27">
        <v>0.19375000000000001</v>
      </c>
      <c r="J6569" s="30">
        <f>IF(G6569&lt;$H$10,$H$16,IF(G6569&gt;$I$10,$H$16,$H$11))*E6569/600</f>
        <v>5.0556000000000004E-3</v>
      </c>
      <c r="L6569" s="32">
        <f>$J6569*($G6569-$G6568)*60*24</f>
        <v>5.0556000000001843E-3</v>
      </c>
    </row>
    <row r="6570" spans="1:12">
      <c r="A6570" s="22">
        <v>40315.194444444445</v>
      </c>
      <c r="E6570" s="26">
        <v>15.1008</v>
      </c>
      <c r="G6570" s="27">
        <v>0.19444444444444445</v>
      </c>
      <c r="J6570" s="30">
        <f>IF(G6570&lt;$H$10,$H$16,IF(G6570&gt;$I$10,$H$16,$H$11))*E6570/600</f>
        <v>5.0336000000000001E-3</v>
      </c>
      <c r="L6570" s="32">
        <f>$J6570*($G6570-$G6569)*60*24</f>
        <v>5.0335999999999818E-3</v>
      </c>
    </row>
    <row r="6571" spans="1:12">
      <c r="A6571" s="22">
        <v>40315.195138888892</v>
      </c>
      <c r="E6571" s="26">
        <v>15.1074</v>
      </c>
      <c r="G6571" s="27">
        <v>0.19513888888888889</v>
      </c>
      <c r="J6571" s="30">
        <f>IF(G6571&lt;$H$10,$H$16,IF(G6571&gt;$I$10,$H$16,$H$11))*E6571/600</f>
        <v>5.0358000000000009E-3</v>
      </c>
      <c r="L6571" s="32">
        <f>$J6571*($G6571-$G6570)*60*24</f>
        <v>5.0357999999999827E-3</v>
      </c>
    </row>
    <row r="6572" spans="1:12">
      <c r="A6572" s="22">
        <v>40315.195833333331</v>
      </c>
      <c r="E6572" s="26">
        <v>14.833</v>
      </c>
      <c r="G6572" s="27">
        <v>0.19583333333333333</v>
      </c>
      <c r="J6572" s="30">
        <f>IF(G6572&lt;$H$10,$H$16,IF(G6572&gt;$I$10,$H$16,$H$11))*E6572/600</f>
        <v>4.9443333333333336E-3</v>
      </c>
      <c r="L6572" s="32">
        <f>$J6572*($G6572-$G6571)*60*24</f>
        <v>4.9443333333333154E-3</v>
      </c>
    </row>
    <row r="6573" spans="1:12">
      <c r="A6573" s="22">
        <v>40315.196527777778</v>
      </c>
      <c r="E6573" s="26">
        <v>14.813499999999999</v>
      </c>
      <c r="G6573" s="27">
        <v>0.19652777777777777</v>
      </c>
      <c r="J6573" s="30">
        <f>IF(G6573&lt;$H$10,$H$16,IF(G6573&gt;$I$10,$H$16,$H$11))*E6573/600</f>
        <v>4.9378333333333331E-3</v>
      </c>
      <c r="L6573" s="32">
        <f>$J6573*($G6573-$G6572)*60*24</f>
        <v>4.9378333333333149E-3</v>
      </c>
    </row>
    <row r="6574" spans="1:12">
      <c r="A6574" s="22">
        <v>40315.197222222225</v>
      </c>
      <c r="E6574" s="26">
        <v>14.8005</v>
      </c>
      <c r="G6574" s="27">
        <v>0.19722222222222222</v>
      </c>
      <c r="J6574" s="30">
        <f>IF(G6574&lt;$H$10,$H$16,IF(G6574&gt;$I$10,$H$16,$H$11))*E6574/600</f>
        <v>4.9335000000000004E-3</v>
      </c>
      <c r="L6574" s="32">
        <f>$J6574*($G6574-$G6573)*60*24</f>
        <v>4.933499999999983E-3</v>
      </c>
    </row>
    <row r="6575" spans="1:12">
      <c r="A6575" s="22">
        <v>40315.197916666664</v>
      </c>
      <c r="E6575" s="26">
        <v>15.034800000000001</v>
      </c>
      <c r="G6575" s="27">
        <v>0.19791666666666666</v>
      </c>
      <c r="J6575" s="30">
        <f>IF(G6575&lt;$H$10,$H$16,IF(G6575&gt;$I$10,$H$16,$H$11))*E6575/600</f>
        <v>5.0116000000000006E-3</v>
      </c>
      <c r="L6575" s="32">
        <f>$J6575*($G6575-$G6574)*60*24</f>
        <v>5.0115999999999824E-3</v>
      </c>
    </row>
    <row r="6576" spans="1:12">
      <c r="A6576" s="22">
        <v>40315.198611111111</v>
      </c>
      <c r="E6576" s="26">
        <v>15.054600000000001</v>
      </c>
      <c r="G6576" s="27">
        <v>0.1986111111111111</v>
      </c>
      <c r="J6576" s="30">
        <f>IF(G6576&lt;$H$10,$H$16,IF(G6576&gt;$I$10,$H$16,$H$11))*E6576/600</f>
        <v>5.0182000000000004E-3</v>
      </c>
      <c r="L6576" s="32">
        <f>$J6576*($G6576-$G6575)*60*24</f>
        <v>5.0181999999999831E-3</v>
      </c>
    </row>
    <row r="6577" spans="1:12">
      <c r="A6577" s="22">
        <v>40315.199305555558</v>
      </c>
      <c r="E6577" s="26">
        <v>15.048</v>
      </c>
      <c r="G6577" s="27">
        <v>0.19930555555555554</v>
      </c>
      <c r="J6577" s="30">
        <f>IF(G6577&lt;$H$10,$H$16,IF(G6577&gt;$I$10,$H$16,$H$11))*E6577/600</f>
        <v>5.0160000000000005E-3</v>
      </c>
      <c r="L6577" s="32">
        <f>$J6577*($G6577-$G6576)*60*24</f>
        <v>5.0159999999999823E-3</v>
      </c>
    </row>
    <row r="6578" spans="1:12">
      <c r="A6578" s="22">
        <v>40315.199999999997</v>
      </c>
      <c r="E6578" s="26">
        <v>15.074400000000001</v>
      </c>
      <c r="G6578" s="27">
        <v>0.19999999999999998</v>
      </c>
      <c r="J6578" s="30">
        <f>IF(G6578&lt;$H$10,$H$16,IF(G6578&gt;$I$10,$H$16,$H$11))*E6578/600</f>
        <v>5.0248000000000003E-3</v>
      </c>
      <c r="L6578" s="32">
        <f>$J6578*($G6578-$G6577)*60*24</f>
        <v>5.0247999999999821E-3</v>
      </c>
    </row>
    <row r="6579" spans="1:12">
      <c r="A6579" s="22">
        <v>40315.200694444444</v>
      </c>
      <c r="E6579" s="26">
        <v>15.061199999999999</v>
      </c>
      <c r="G6579" s="27">
        <v>0.20069444444444443</v>
      </c>
      <c r="J6579" s="30">
        <f>IF(G6579&lt;$H$10,$H$16,IF(G6579&gt;$I$10,$H$16,$H$11))*E6579/600</f>
        <v>5.0204000000000004E-3</v>
      </c>
      <c r="L6579" s="32">
        <f>$J6579*($G6579-$G6578)*60*24</f>
        <v>5.0203999999999822E-3</v>
      </c>
    </row>
    <row r="6580" spans="1:12">
      <c r="A6580" s="22">
        <v>40315.201388888891</v>
      </c>
      <c r="E6580" s="26">
        <v>14.82</v>
      </c>
      <c r="G6580" s="27">
        <v>0.20138888888888887</v>
      </c>
      <c r="J6580" s="30">
        <f>IF(G6580&lt;$H$10,$H$16,IF(G6580&gt;$I$10,$H$16,$H$11))*E6580/600</f>
        <v>4.9400000000000008E-3</v>
      </c>
      <c r="L6580" s="32">
        <f>$J6580*($G6580-$G6579)*60*24</f>
        <v>4.9399999999999835E-3</v>
      </c>
    </row>
    <row r="6581" spans="1:12">
      <c r="A6581" s="22">
        <v>40315.20208333333</v>
      </c>
      <c r="E6581" s="26">
        <v>14.768000000000001</v>
      </c>
      <c r="G6581" s="27">
        <v>0.20208333333333331</v>
      </c>
      <c r="J6581" s="30">
        <f>IF(G6581&lt;$H$10,$H$16,IF(G6581&gt;$I$10,$H$16,$H$11))*E6581/600</f>
        <v>4.9226666666666672E-3</v>
      </c>
      <c r="L6581" s="32">
        <f>$J6581*($G6581-$G6580)*60*24</f>
        <v>4.9226666666666499E-3</v>
      </c>
    </row>
    <row r="6582" spans="1:12">
      <c r="A6582" s="22">
        <v>40315.202777777777</v>
      </c>
      <c r="E6582" s="26">
        <v>14.948505000000001</v>
      </c>
      <c r="G6582" s="27">
        <v>0.20277777777777781</v>
      </c>
      <c r="J6582" s="30">
        <f>IF(G6582&lt;$H$10,$H$16,IF(G6582&gt;$I$10,$H$16,$H$11))*E6582/600</f>
        <v>4.9828350000000006E-3</v>
      </c>
      <c r="L6582" s="32">
        <f>$J6582*($G6582-$G6581)*60*24</f>
        <v>4.9828350000003813E-3</v>
      </c>
    </row>
    <row r="6583" spans="1:12">
      <c r="A6583" s="22">
        <v>40315.203472222223</v>
      </c>
      <c r="E6583" s="26">
        <v>14.807</v>
      </c>
      <c r="G6583" s="27">
        <v>0.20347222222222219</v>
      </c>
      <c r="J6583" s="30">
        <f>IF(G6583&lt;$H$10,$H$16,IF(G6583&gt;$I$10,$H$16,$H$11))*E6583/600</f>
        <v>4.9356666666666672E-3</v>
      </c>
      <c r="L6583" s="32">
        <f>$J6583*($G6583-$G6582)*60*24</f>
        <v>4.9356666666662552E-3</v>
      </c>
    </row>
    <row r="6584" spans="1:12">
      <c r="A6584" s="22">
        <v>40315.20416666667</v>
      </c>
      <c r="E6584" s="26">
        <v>14.768000000000001</v>
      </c>
      <c r="G6584" s="27">
        <v>0.20416666666666669</v>
      </c>
      <c r="J6584" s="30">
        <f>IF(G6584&lt;$H$10,$H$16,IF(G6584&gt;$I$10,$H$16,$H$11))*E6584/600</f>
        <v>4.9226666666666672E-3</v>
      </c>
      <c r="L6584" s="32">
        <f>$J6584*($G6584-$G6583)*60*24</f>
        <v>4.9226666666670436E-3</v>
      </c>
    </row>
    <row r="6585" spans="1:12">
      <c r="A6585" s="22">
        <v>40315.204861111109</v>
      </c>
      <c r="E6585" s="26">
        <v>14.889419999999999</v>
      </c>
      <c r="G6585" s="27">
        <v>0.20486111111111113</v>
      </c>
      <c r="J6585" s="30">
        <f>IF(G6585&lt;$H$10,$H$16,IF(G6585&gt;$I$10,$H$16,$H$11))*E6585/600</f>
        <v>4.9631399999999996E-3</v>
      </c>
      <c r="L6585" s="32">
        <f>$J6585*($G6585-$G6584)*60*24</f>
        <v>4.9631399999999822E-3</v>
      </c>
    </row>
    <row r="6586" spans="1:12">
      <c r="A6586" s="22">
        <v>40315.205555555556</v>
      </c>
      <c r="E6586" s="26">
        <v>14.856595</v>
      </c>
      <c r="G6586" s="27">
        <v>0.20555555555555557</v>
      </c>
      <c r="J6586" s="30">
        <f>IF(G6586&lt;$H$10,$H$16,IF(G6586&gt;$I$10,$H$16,$H$11))*E6586/600</f>
        <v>4.9521983333333337E-3</v>
      </c>
      <c r="L6586" s="32">
        <f>$J6586*($G6586-$G6585)*60*24</f>
        <v>4.9521983333333163E-3</v>
      </c>
    </row>
    <row r="6587" spans="1:12">
      <c r="A6587" s="22">
        <v>40315.206250000003</v>
      </c>
      <c r="E6587" s="26">
        <v>14.882854999999999</v>
      </c>
      <c r="G6587" s="27">
        <v>0.20625000000000002</v>
      </c>
      <c r="J6587" s="30">
        <f>IF(G6587&lt;$H$10,$H$16,IF(G6587&gt;$I$10,$H$16,$H$11))*E6587/600</f>
        <v>4.9609516666666662E-3</v>
      </c>
      <c r="L6587" s="32">
        <f>$J6587*($G6587-$G6586)*60*24</f>
        <v>4.9609516666666489E-3</v>
      </c>
    </row>
    <row r="6588" spans="1:12">
      <c r="A6588" s="22">
        <v>40315.206944444442</v>
      </c>
      <c r="E6588" s="26">
        <v>14.92881</v>
      </c>
      <c r="G6588" s="27">
        <v>0.20694444444444446</v>
      </c>
      <c r="J6588" s="30">
        <f>IF(G6588&lt;$H$10,$H$16,IF(G6588&gt;$I$10,$H$16,$H$11))*E6588/600</f>
        <v>4.9762700000000005E-3</v>
      </c>
      <c r="L6588" s="32">
        <f>$J6588*($G6588-$G6587)*60*24</f>
        <v>4.9762699999999832E-3</v>
      </c>
    </row>
    <row r="6589" spans="1:12">
      <c r="A6589" s="22">
        <v>40315.207638888889</v>
      </c>
      <c r="E6589" s="26">
        <v>14.948505000000001</v>
      </c>
      <c r="G6589" s="27">
        <v>0.2076388888888889</v>
      </c>
      <c r="J6589" s="30">
        <f>IF(G6589&lt;$H$10,$H$16,IF(G6589&gt;$I$10,$H$16,$H$11))*E6589/600</f>
        <v>4.9828350000000006E-3</v>
      </c>
      <c r="L6589" s="32">
        <f>$J6589*($G6589-$G6588)*60*24</f>
        <v>4.9828349999999832E-3</v>
      </c>
    </row>
    <row r="6590" spans="1:12">
      <c r="A6590" s="22">
        <v>40315.208333333336</v>
      </c>
      <c r="E6590" s="26">
        <v>14.987895</v>
      </c>
      <c r="G6590" s="27">
        <v>0.20833333333333334</v>
      </c>
      <c r="J6590" s="30">
        <f>IF(G6590&lt;$H$10,$H$16,IF(G6590&gt;$I$10,$H$16,$H$11))*E6590/600</f>
        <v>4.9959649999999998E-3</v>
      </c>
      <c r="L6590" s="32">
        <f>$J6590*($G6590-$G6589)*60*24</f>
        <v>4.9959649999999824E-3</v>
      </c>
    </row>
    <row r="6591" spans="1:12">
      <c r="A6591" s="22">
        <v>40315.209027777775</v>
      </c>
      <c r="E6591" s="26">
        <v>14.872</v>
      </c>
      <c r="G6591" s="27">
        <v>0.20902777777777778</v>
      </c>
      <c r="J6591" s="30">
        <f>IF(G6591&lt;$H$10,$H$16,IF(G6591&gt;$I$10,$H$16,$H$11))*E6591/600</f>
        <v>4.9573333333333336E-3</v>
      </c>
      <c r="L6591" s="32">
        <f>$J6591*($G6591-$G6590)*60*24</f>
        <v>4.9573333333333153E-3</v>
      </c>
    </row>
    <row r="6592" spans="1:12">
      <c r="A6592" s="22">
        <v>40315.209722222222</v>
      </c>
      <c r="E6592" s="26">
        <v>15.114000000000001</v>
      </c>
      <c r="G6592" s="27">
        <v>0.20972222222222223</v>
      </c>
      <c r="J6592" s="30">
        <f>IF(G6592&lt;$H$10,$H$16,IF(G6592&gt;$I$10,$H$16,$H$11))*E6592/600</f>
        <v>5.0379999999999999E-3</v>
      </c>
      <c r="L6592" s="32">
        <f>$J6592*($G6592-$G6591)*60*24</f>
        <v>5.0379999999999817E-3</v>
      </c>
    </row>
    <row r="6593" spans="1:12">
      <c r="A6593" s="22">
        <v>40315.210416666669</v>
      </c>
      <c r="E6593" s="26">
        <v>15.021666</v>
      </c>
      <c r="G6593" s="27">
        <v>0.21041666666666667</v>
      </c>
      <c r="J6593" s="30">
        <f>IF(G6593&lt;$H$10,$H$16,IF(G6593&gt;$I$10,$H$16,$H$11))*E6593/600</f>
        <v>5.0072220000000004E-3</v>
      </c>
      <c r="L6593" s="32">
        <f>$J6593*($G6593-$G6592)*60*24</f>
        <v>5.0072219999999822E-3</v>
      </c>
    </row>
    <row r="6594" spans="1:12">
      <c r="A6594" s="22">
        <v>40315.211111111108</v>
      </c>
      <c r="E6594" s="26">
        <v>15.054335999999999</v>
      </c>
      <c r="G6594" s="27">
        <v>0.21111111111111111</v>
      </c>
      <c r="J6594" s="30">
        <f>IF(G6594&lt;$H$10,$H$16,IF(G6594&gt;$I$10,$H$16,$H$11))*E6594/600</f>
        <v>5.0181119999999999E-3</v>
      </c>
      <c r="L6594" s="32">
        <f>$J6594*($G6594-$G6593)*60*24</f>
        <v>5.0181119999999826E-3</v>
      </c>
    </row>
    <row r="6595" spans="1:12">
      <c r="A6595" s="22">
        <v>40315.211805555555</v>
      </c>
      <c r="E6595" s="26">
        <v>15.06087</v>
      </c>
      <c r="G6595" s="27">
        <v>0.21180555555555555</v>
      </c>
      <c r="J6595" s="30">
        <f>IF(G6595&lt;$H$10,$H$16,IF(G6595&gt;$I$10,$H$16,$H$11))*E6595/600</f>
        <v>5.0202900000000002E-3</v>
      </c>
      <c r="L6595" s="32">
        <f>$J6595*($G6595-$G6594)*60*24</f>
        <v>5.0202899999999828E-3</v>
      </c>
    </row>
    <row r="6596" spans="1:12">
      <c r="A6596" s="22">
        <v>40315.212500000001</v>
      </c>
      <c r="E6596" s="26">
        <v>15.06087</v>
      </c>
      <c r="G6596" s="27">
        <v>0.21249999999999999</v>
      </c>
      <c r="J6596" s="30">
        <f>IF(G6596&lt;$H$10,$H$16,IF(G6596&gt;$I$10,$H$16,$H$11))*E6596/600</f>
        <v>5.0202900000000002E-3</v>
      </c>
      <c r="L6596" s="32">
        <f>$J6596*($G6596-$G6595)*60*24</f>
        <v>5.0202899999999828E-3</v>
      </c>
    </row>
    <row r="6597" spans="1:12">
      <c r="A6597" s="22">
        <v>40315.213194444441</v>
      </c>
      <c r="E6597" s="26">
        <v>15.272399999999999</v>
      </c>
      <c r="G6597" s="27">
        <v>0.21319444444444444</v>
      </c>
      <c r="J6597" s="30">
        <f>IF(G6597&lt;$H$10,$H$16,IF(G6597&gt;$I$10,$H$16,$H$11))*E6597/600</f>
        <v>5.0907999999999995E-3</v>
      </c>
      <c r="L6597" s="32">
        <f>$J6597*($G6597-$G6596)*60*24</f>
        <v>5.0907999999999813E-3</v>
      </c>
    </row>
    <row r="6598" spans="1:12">
      <c r="A6598" s="22">
        <v>40315.213888888888</v>
      </c>
      <c r="E6598" s="26">
        <v>15.279</v>
      </c>
      <c r="G6598" s="27">
        <v>0.21388888888888891</v>
      </c>
      <c r="J6598" s="30">
        <f>IF(G6598&lt;$H$10,$H$16,IF(G6598&gt;$I$10,$H$16,$H$11))*E6598/600</f>
        <v>5.0930000000000003E-3</v>
      </c>
      <c r="L6598" s="32">
        <f>$J6598*($G6598-$G6597)*60*24</f>
        <v>5.0930000000001859E-3</v>
      </c>
    </row>
    <row r="6599" spans="1:12">
      <c r="A6599" s="22">
        <v>40315.214583333334</v>
      </c>
      <c r="E6599" s="26">
        <v>15.418457999999999</v>
      </c>
      <c r="G6599" s="27">
        <v>0.21458333333333335</v>
      </c>
      <c r="J6599" s="30">
        <f>IF(G6599&lt;$H$10,$H$16,IF(G6599&gt;$I$10,$H$16,$H$11))*E6599/600</f>
        <v>5.1394859999999995E-3</v>
      </c>
      <c r="L6599" s="32">
        <f>$J6599*($G6599-$G6598)*60*24</f>
        <v>5.1394859999999813E-3</v>
      </c>
    </row>
    <row r="6600" spans="1:12">
      <c r="A6600" s="22">
        <v>40315.215277777781</v>
      </c>
      <c r="E6600" s="26">
        <v>15.451788000000001</v>
      </c>
      <c r="G6600" s="27">
        <v>0.21527777777777779</v>
      </c>
      <c r="J6600" s="30">
        <f>IF(G6600&lt;$H$10,$H$16,IF(G6600&gt;$I$10,$H$16,$H$11))*E6600/600</f>
        <v>5.1505960000000003E-3</v>
      </c>
      <c r="L6600" s="32">
        <f>$J6600*($G6600-$G6599)*60*24</f>
        <v>5.1505959999999813E-3</v>
      </c>
    </row>
    <row r="6601" spans="1:12">
      <c r="A6601" s="22">
        <v>40315.21597222222</v>
      </c>
      <c r="E6601" s="26">
        <v>15.405125999999999</v>
      </c>
      <c r="G6601" s="27">
        <v>0.21597222222222223</v>
      </c>
      <c r="J6601" s="30">
        <f>IF(G6601&lt;$H$10,$H$16,IF(G6601&gt;$I$10,$H$16,$H$11))*E6601/600</f>
        <v>5.1350420000000003E-3</v>
      </c>
      <c r="L6601" s="32">
        <f>$J6601*($G6601-$G6600)*60*24</f>
        <v>5.135041999999982E-3</v>
      </c>
    </row>
    <row r="6602" spans="1:12">
      <c r="A6602" s="22">
        <v>40315.216666666667</v>
      </c>
      <c r="E6602" s="26">
        <v>15.246</v>
      </c>
      <c r="G6602" s="27">
        <v>0.21666666666666667</v>
      </c>
      <c r="J6602" s="30">
        <f>IF(G6602&lt;$H$10,$H$16,IF(G6602&gt;$I$10,$H$16,$H$11))*E6602/600</f>
        <v>5.0820000000000006E-3</v>
      </c>
      <c r="L6602" s="32">
        <f>$J6602*($G6602-$G6601)*60*24</f>
        <v>5.0819999999999824E-3</v>
      </c>
    </row>
    <row r="6603" spans="1:12">
      <c r="A6603" s="22">
        <v>40315.217361111114</v>
      </c>
      <c r="E6603" s="26">
        <v>15.279</v>
      </c>
      <c r="G6603" s="27">
        <v>0.21736111111111112</v>
      </c>
      <c r="J6603" s="30">
        <f>IF(G6603&lt;$H$10,$H$16,IF(G6603&gt;$I$10,$H$16,$H$11))*E6603/600</f>
        <v>5.0930000000000003E-3</v>
      </c>
      <c r="L6603" s="32">
        <f>$J6603*($G6603-$G6602)*60*24</f>
        <v>5.0929999999999821E-3</v>
      </c>
    </row>
    <row r="6604" spans="1:12">
      <c r="A6604" s="22">
        <v>40315.218055555553</v>
      </c>
      <c r="E6604" s="26">
        <v>15.272399999999999</v>
      </c>
      <c r="G6604" s="27">
        <v>0.21805555555555556</v>
      </c>
      <c r="J6604" s="30">
        <f>IF(G6604&lt;$H$10,$H$16,IF(G6604&gt;$I$10,$H$16,$H$11))*E6604/600</f>
        <v>5.0907999999999995E-3</v>
      </c>
      <c r="L6604" s="32">
        <f>$J6604*($G6604-$G6603)*60*24</f>
        <v>5.0907999999999813E-3</v>
      </c>
    </row>
    <row r="6605" spans="1:12">
      <c r="A6605" s="22">
        <v>40315.21875</v>
      </c>
      <c r="E6605" s="26">
        <v>15.365130000000001</v>
      </c>
      <c r="G6605" s="27">
        <v>0.21875</v>
      </c>
      <c r="J6605" s="30">
        <f>IF(G6605&lt;$H$10,$H$16,IF(G6605&gt;$I$10,$H$16,$H$11))*E6605/600</f>
        <v>5.1217100000000007E-3</v>
      </c>
      <c r="L6605" s="32">
        <f>$J6605*($G6605-$G6604)*60*24</f>
        <v>5.1217099999999825E-3</v>
      </c>
    </row>
    <row r="6606" spans="1:12">
      <c r="A6606" s="22">
        <v>40315.219444444447</v>
      </c>
      <c r="E6606" s="26">
        <v>15.318467999999999</v>
      </c>
      <c r="G6606" s="27">
        <v>0.21944444444444444</v>
      </c>
      <c r="J6606" s="30">
        <f>IF(G6606&lt;$H$10,$H$16,IF(G6606&gt;$I$10,$H$16,$H$11))*E6606/600</f>
        <v>5.1061560000000006E-3</v>
      </c>
      <c r="L6606" s="32">
        <f>$J6606*($G6606-$G6605)*60*24</f>
        <v>5.1061559999999824E-3</v>
      </c>
    </row>
    <row r="6607" spans="1:12">
      <c r="A6607" s="22">
        <v>40315.220138888886</v>
      </c>
      <c r="E6607" s="26">
        <v>15.318467999999999</v>
      </c>
      <c r="G6607" s="27">
        <v>0.22013888888888888</v>
      </c>
      <c r="J6607" s="30">
        <f>IF(G6607&lt;$H$10,$H$16,IF(G6607&gt;$I$10,$H$16,$H$11))*E6607/600</f>
        <v>5.1061560000000006E-3</v>
      </c>
      <c r="L6607" s="32">
        <f>$J6607*($G6607-$G6606)*60*24</f>
        <v>5.1061559999999824E-3</v>
      </c>
    </row>
    <row r="6608" spans="1:12">
      <c r="A6608" s="22">
        <v>40315.220833333333</v>
      </c>
      <c r="E6608" s="26">
        <v>15.092935000000001</v>
      </c>
      <c r="G6608" s="27">
        <v>0.22083333333333333</v>
      </c>
      <c r="J6608" s="30">
        <f>IF(G6608&lt;$H$10,$H$16,IF(G6608&gt;$I$10,$H$16,$H$11))*E6608/600</f>
        <v>5.0309783333333333E-3</v>
      </c>
      <c r="L6608" s="32">
        <f>$J6608*($G6608-$G6607)*60*24</f>
        <v>5.030978333333316E-3</v>
      </c>
    </row>
    <row r="6609" spans="1:12">
      <c r="A6609" s="22">
        <v>40315.22152777778</v>
      </c>
      <c r="E6609" s="26">
        <v>15.119194999999999</v>
      </c>
      <c r="G6609" s="27">
        <v>0.22152777777777777</v>
      </c>
      <c r="J6609" s="30">
        <f>IF(G6609&lt;$H$10,$H$16,IF(G6609&gt;$I$10,$H$16,$H$11))*E6609/600</f>
        <v>5.0397316666666667E-3</v>
      </c>
      <c r="L6609" s="32">
        <f>$J6609*($G6609-$G6608)*60*24</f>
        <v>5.0397316666666494E-3</v>
      </c>
    </row>
    <row r="6610" spans="1:12">
      <c r="A6610" s="22">
        <v>40315.222222222219</v>
      </c>
      <c r="E6610" s="26">
        <v>15.145455</v>
      </c>
      <c r="G6610" s="27">
        <v>0.22222222222222221</v>
      </c>
      <c r="J6610" s="30">
        <f>IF(G6610&lt;$H$10,$H$16,IF(G6610&gt;$I$10,$H$16,$H$11))*E6610/600</f>
        <v>5.0484850000000001E-3</v>
      </c>
      <c r="L6610" s="32">
        <f>$J6610*($G6610-$G6609)*60*24</f>
        <v>5.0484849999999828E-3</v>
      </c>
    </row>
    <row r="6611" spans="1:12">
      <c r="A6611" s="22">
        <v>40315.222916666666</v>
      </c>
      <c r="E6611" s="26">
        <v>15.39846</v>
      </c>
      <c r="G6611" s="27">
        <v>0.22291666666666665</v>
      </c>
      <c r="J6611" s="30">
        <f>IF(G6611&lt;$H$10,$H$16,IF(G6611&gt;$I$10,$H$16,$H$11))*E6611/600</f>
        <v>5.1328199999999997E-3</v>
      </c>
      <c r="L6611" s="32">
        <f>$J6611*($G6611-$G6610)*60*24</f>
        <v>5.1328199999999815E-3</v>
      </c>
    </row>
    <row r="6612" spans="1:12">
      <c r="A6612" s="22">
        <v>40315.223611111112</v>
      </c>
      <c r="E6612" s="26">
        <v>15.145455</v>
      </c>
      <c r="G6612" s="27">
        <v>0.22361111111111109</v>
      </c>
      <c r="J6612" s="30">
        <f>IF(G6612&lt;$H$10,$H$16,IF(G6612&gt;$I$10,$H$16,$H$11))*E6612/600</f>
        <v>5.0484850000000001E-3</v>
      </c>
      <c r="L6612" s="32">
        <f>$J6612*($G6612-$G6611)*60*24</f>
        <v>5.0484849999999828E-3</v>
      </c>
    </row>
    <row r="6613" spans="1:12">
      <c r="A6613" s="22">
        <v>40315.224305555559</v>
      </c>
      <c r="E6613" s="26">
        <v>15.438456</v>
      </c>
      <c r="G6613" s="27">
        <v>0.22430555555555556</v>
      </c>
      <c r="J6613" s="30">
        <f>IF(G6613&lt;$H$10,$H$16,IF(G6613&gt;$I$10,$H$16,$H$11))*E6613/600</f>
        <v>5.1461520000000002E-3</v>
      </c>
      <c r="L6613" s="32">
        <f>$J6613*($G6613-$G6612)*60*24</f>
        <v>5.1461520000001875E-3</v>
      </c>
    </row>
    <row r="6614" spans="1:12">
      <c r="A6614" s="22">
        <v>40315.224999999999</v>
      </c>
      <c r="E6614" s="26">
        <v>15.191409999999999</v>
      </c>
      <c r="G6614" s="27">
        <v>0.22500000000000001</v>
      </c>
      <c r="J6614" s="30">
        <f>IF(G6614&lt;$H$10,$H$16,IF(G6614&gt;$I$10,$H$16,$H$11))*E6614/600</f>
        <v>5.0638033333333336E-3</v>
      </c>
      <c r="L6614" s="32">
        <f>$J6614*($G6614-$G6613)*60*24</f>
        <v>5.0638033333333162E-3</v>
      </c>
    </row>
    <row r="6615" spans="1:12">
      <c r="A6615" s="22">
        <v>40315.225694444445</v>
      </c>
      <c r="E6615" s="26">
        <v>15.38823</v>
      </c>
      <c r="G6615" s="27">
        <v>0.22569444444444445</v>
      </c>
      <c r="J6615" s="30">
        <f>IF(G6615&lt;$H$10,$H$16,IF(G6615&gt;$I$10,$H$16,$H$11))*E6615/600</f>
        <v>5.12941E-3</v>
      </c>
      <c r="L6615" s="32">
        <f>$J6615*($G6615-$G6614)*60*24</f>
        <v>5.1294099999999818E-3</v>
      </c>
    </row>
    <row r="6616" spans="1:12">
      <c r="A6616" s="22">
        <v>40315.226388888892</v>
      </c>
      <c r="E6616" s="26">
        <v>15.401490000000001</v>
      </c>
      <c r="G6616" s="27">
        <v>0.22638888888888889</v>
      </c>
      <c r="J6616" s="30">
        <f>IF(G6616&lt;$H$10,$H$16,IF(G6616&gt;$I$10,$H$16,$H$11))*E6616/600</f>
        <v>5.1338300000000007E-3</v>
      </c>
      <c r="L6616" s="32">
        <f>$J6616*($G6616-$G6615)*60*24</f>
        <v>5.1338299999999833E-3</v>
      </c>
    </row>
    <row r="6617" spans="1:12">
      <c r="A6617" s="22">
        <v>40315.227083333331</v>
      </c>
      <c r="E6617" s="26">
        <v>15.21767</v>
      </c>
      <c r="G6617" s="27">
        <v>0.22708333333333333</v>
      </c>
      <c r="J6617" s="30">
        <f>IF(G6617&lt;$H$10,$H$16,IF(G6617&gt;$I$10,$H$16,$H$11))*E6617/600</f>
        <v>5.0725566666666669E-3</v>
      </c>
      <c r="L6617" s="32">
        <f>$J6617*($G6617-$G6616)*60*24</f>
        <v>5.0725566666666496E-3</v>
      </c>
    </row>
    <row r="6618" spans="1:12">
      <c r="A6618" s="22">
        <v>40315.227777777778</v>
      </c>
      <c r="E6618" s="26">
        <v>15.224235</v>
      </c>
      <c r="G6618" s="27">
        <v>0.22777777777777777</v>
      </c>
      <c r="J6618" s="30">
        <f>IF(G6618&lt;$H$10,$H$16,IF(G6618&gt;$I$10,$H$16,$H$11))*E6618/600</f>
        <v>5.0747450000000003E-3</v>
      </c>
      <c r="L6618" s="32">
        <f>$J6618*($G6618-$G6617)*60*24</f>
        <v>5.074744999999983E-3</v>
      </c>
    </row>
    <row r="6619" spans="1:12">
      <c r="A6619" s="22">
        <v>40315.228472222225</v>
      </c>
      <c r="E6619" s="26">
        <v>15.243930000000001</v>
      </c>
      <c r="G6619" s="27">
        <v>0.22847222222222222</v>
      </c>
      <c r="J6619" s="30">
        <f>IF(G6619&lt;$H$10,$H$16,IF(G6619&gt;$I$10,$H$16,$H$11))*E6619/600</f>
        <v>5.0813100000000003E-3</v>
      </c>
      <c r="L6619" s="32">
        <f>$J6619*($G6619-$G6618)*60*24</f>
        <v>5.081309999999983E-3</v>
      </c>
    </row>
    <row r="6620" spans="1:12">
      <c r="A6620" s="22">
        <v>40315.229166666664</v>
      </c>
      <c r="E6620" s="26">
        <v>15.224235</v>
      </c>
      <c r="G6620" s="27">
        <v>0.22916666666666666</v>
      </c>
      <c r="J6620" s="30">
        <f>IF(G6620&lt;$H$10,$H$16,IF(G6620&gt;$I$10,$H$16,$H$11))*E6620/600</f>
        <v>5.0747450000000003E-3</v>
      </c>
      <c r="L6620" s="32">
        <f>$J6620*($G6620-$G6619)*60*24</f>
        <v>5.074744999999983E-3</v>
      </c>
    </row>
    <row r="6621" spans="1:12">
      <c r="A6621" s="22">
        <v>40315.229861111111</v>
      </c>
      <c r="E6621" s="26">
        <v>15.21767</v>
      </c>
      <c r="G6621" s="27">
        <v>0.2298611111111111</v>
      </c>
      <c r="J6621" s="30">
        <f>IF(G6621&lt;$H$10,$H$16,IF(G6621&gt;$I$10,$H$16,$H$11))*E6621/600</f>
        <v>5.0725566666666669E-3</v>
      </c>
      <c r="L6621" s="32">
        <f>$J6621*($G6621-$G6620)*60*24</f>
        <v>5.0725566666666496E-3</v>
      </c>
    </row>
    <row r="6622" spans="1:12">
      <c r="A6622" s="22">
        <v>40315.230555555558</v>
      </c>
      <c r="E6622" s="26">
        <v>15.224235</v>
      </c>
      <c r="G6622" s="27">
        <v>0.23055555555555554</v>
      </c>
      <c r="J6622" s="30">
        <f>IF(G6622&lt;$H$10,$H$16,IF(G6622&gt;$I$10,$H$16,$H$11))*E6622/600</f>
        <v>5.0747450000000003E-3</v>
      </c>
      <c r="L6622" s="32">
        <f>$J6622*($G6622-$G6621)*60*24</f>
        <v>5.074744999999983E-3</v>
      </c>
    </row>
    <row r="6623" spans="1:12">
      <c r="A6623" s="22">
        <v>40315.231249999997</v>
      </c>
      <c r="E6623" s="26">
        <v>15.060499999999999</v>
      </c>
      <c r="G6623" s="27">
        <v>0.23124999999999998</v>
      </c>
      <c r="J6623" s="30">
        <f>IF(G6623&lt;$H$10,$H$16,IF(G6623&gt;$I$10,$H$16,$H$11))*E6623/600</f>
        <v>5.0201666666666667E-3</v>
      </c>
      <c r="L6623" s="32">
        <f>$J6623*($G6623-$G6622)*60*24</f>
        <v>5.0201666666666485E-3</v>
      </c>
    </row>
    <row r="6624" spans="1:12">
      <c r="A6624" s="22">
        <v>40315.231944444444</v>
      </c>
      <c r="E6624" s="26">
        <v>15.12576</v>
      </c>
      <c r="G6624" s="27">
        <v>0.23194444444444443</v>
      </c>
      <c r="J6624" s="30">
        <f>IF(G6624&lt;$H$10,$H$16,IF(G6624&gt;$I$10,$H$16,$H$11))*E6624/600</f>
        <v>5.0419200000000001E-3</v>
      </c>
      <c r="L6624" s="32">
        <f>$J6624*($G6624-$G6623)*60*24</f>
        <v>5.0419199999999827E-3</v>
      </c>
    </row>
    <row r="6625" spans="1:12">
      <c r="A6625" s="22">
        <v>40315.232638888891</v>
      </c>
      <c r="E6625" s="26">
        <v>15.158585</v>
      </c>
      <c r="G6625" s="27">
        <v>0.23263888888888887</v>
      </c>
      <c r="J6625" s="30">
        <f>IF(G6625&lt;$H$10,$H$16,IF(G6625&gt;$I$10,$H$16,$H$11))*E6625/600</f>
        <v>5.0528616666666677E-3</v>
      </c>
      <c r="L6625" s="32">
        <f>$J6625*($G6625-$G6624)*60*24</f>
        <v>5.0528616666666495E-3</v>
      </c>
    </row>
    <row r="6626" spans="1:12">
      <c r="A6626" s="22">
        <v>40315.23333333333</v>
      </c>
      <c r="E6626" s="26">
        <v>14.9695</v>
      </c>
      <c r="G6626" s="27">
        <v>0.23333333333333331</v>
      </c>
      <c r="J6626" s="30">
        <f>IF(G6626&lt;$H$10,$H$16,IF(G6626&gt;$I$10,$H$16,$H$11))*E6626/600</f>
        <v>4.9898333333333331E-3</v>
      </c>
      <c r="L6626" s="32">
        <f>$J6626*($G6626-$G6625)*60*24</f>
        <v>4.9898333333333149E-3</v>
      </c>
    </row>
    <row r="6627" spans="1:12">
      <c r="A6627" s="22">
        <v>40315.234027777777</v>
      </c>
      <c r="E6627" s="26">
        <v>15.106064999999999</v>
      </c>
      <c r="G6627" s="27">
        <v>0.23402777777777781</v>
      </c>
      <c r="J6627" s="30">
        <f>IF(G6627&lt;$H$10,$H$16,IF(G6627&gt;$I$10,$H$16,$H$11))*E6627/600</f>
        <v>5.035355E-3</v>
      </c>
      <c r="L6627" s="32">
        <f>$J6627*($G6627-$G6626)*60*24</f>
        <v>5.0353550000003843E-3</v>
      </c>
    </row>
    <row r="6628" spans="1:12">
      <c r="A6628" s="22">
        <v>40315.234722222223</v>
      </c>
      <c r="E6628" s="26">
        <v>15.112629999999999</v>
      </c>
      <c r="G6628" s="27">
        <v>0.23472222222222219</v>
      </c>
      <c r="J6628" s="30">
        <f>IF(G6628&lt;$H$10,$H$16,IF(G6628&gt;$I$10,$H$16,$H$11))*E6628/600</f>
        <v>5.0375433333333334E-3</v>
      </c>
      <c r="L6628" s="32">
        <f>$J6628*($G6628-$G6627)*60*24</f>
        <v>5.0375433333329127E-3</v>
      </c>
    </row>
    <row r="6629" spans="1:12">
      <c r="A6629" s="22">
        <v>40315.23541666667</v>
      </c>
      <c r="E6629" s="26">
        <v>14.975232</v>
      </c>
      <c r="G6629" s="27">
        <v>0.23541666666666669</v>
      </c>
      <c r="J6629" s="30">
        <f>IF(G6629&lt;$H$10,$H$16,IF(G6629&gt;$I$10,$H$16,$H$11))*E6629/600</f>
        <v>4.9917440000000002E-3</v>
      </c>
      <c r="L6629" s="32">
        <f>$J6629*($G6629-$G6628)*60*24</f>
        <v>4.9917440000003819E-3</v>
      </c>
    </row>
    <row r="6630" spans="1:12">
      <c r="A6630" s="22">
        <v>40315.236111111109</v>
      </c>
      <c r="E6630" s="26">
        <v>15.014155000000001</v>
      </c>
      <c r="G6630" s="27">
        <v>0.23611111111111113</v>
      </c>
      <c r="J6630" s="30">
        <f>IF(G6630&lt;$H$10,$H$16,IF(G6630&gt;$I$10,$H$16,$H$11))*E6630/600</f>
        <v>5.004718333333334E-3</v>
      </c>
      <c r="L6630" s="32">
        <f>$J6630*($G6630-$G6629)*60*24</f>
        <v>5.0047183333333158E-3</v>
      </c>
    </row>
    <row r="6631" spans="1:12">
      <c r="A6631" s="22">
        <v>40315.236805555556</v>
      </c>
      <c r="E6631" s="26">
        <v>15.04698</v>
      </c>
      <c r="G6631" s="27">
        <v>0.23680555555555557</v>
      </c>
      <c r="J6631" s="30">
        <f>IF(G6631&lt;$H$10,$H$16,IF(G6631&gt;$I$10,$H$16,$H$11))*E6631/600</f>
        <v>5.0156599999999999E-3</v>
      </c>
      <c r="L6631" s="32">
        <f>$J6631*($G6631-$G6630)*60*24</f>
        <v>5.0156599999999826E-3</v>
      </c>
    </row>
    <row r="6632" spans="1:12">
      <c r="A6632" s="22">
        <v>40315.237500000003</v>
      </c>
      <c r="E6632" s="26">
        <v>15.066675</v>
      </c>
      <c r="G6632" s="27">
        <v>0.23750000000000002</v>
      </c>
      <c r="J6632" s="30">
        <f>IF(G6632&lt;$H$10,$H$16,IF(G6632&gt;$I$10,$H$16,$H$11))*E6632/600</f>
        <v>5.022225E-3</v>
      </c>
      <c r="L6632" s="32">
        <f>$J6632*($G6632-$G6631)*60*24</f>
        <v>5.0222249999999826E-3</v>
      </c>
    </row>
    <row r="6633" spans="1:12">
      <c r="A6633" s="22">
        <v>40315.238194444442</v>
      </c>
      <c r="E6633" s="26">
        <v>15.07324</v>
      </c>
      <c r="G6633" s="27">
        <v>0.23819444444444446</v>
      </c>
      <c r="J6633" s="30">
        <f>IF(G6633&lt;$H$10,$H$16,IF(G6633&gt;$I$10,$H$16,$H$11))*E6633/600</f>
        <v>5.0244133333333333E-3</v>
      </c>
      <c r="L6633" s="32">
        <f>$J6633*($G6633-$G6632)*60*24</f>
        <v>5.024413333333316E-3</v>
      </c>
    </row>
    <row r="6634" spans="1:12">
      <c r="A6634" s="22">
        <v>40315.238888888889</v>
      </c>
      <c r="E6634" s="26">
        <v>15.053545</v>
      </c>
      <c r="G6634" s="27">
        <v>0.2388888888888889</v>
      </c>
      <c r="J6634" s="30">
        <f>IF(G6634&lt;$H$10,$H$16,IF(G6634&gt;$I$10,$H$16,$H$11))*E6634/600</f>
        <v>5.0178483333333341E-3</v>
      </c>
      <c r="L6634" s="32">
        <f>$J6634*($G6634-$G6633)*60*24</f>
        <v>5.0178483333333168E-3</v>
      </c>
    </row>
    <row r="6635" spans="1:12">
      <c r="A6635" s="22">
        <v>40315.239583333336</v>
      </c>
      <c r="E6635" s="26">
        <v>15.020720000000001</v>
      </c>
      <c r="G6635" s="27">
        <v>0.23958333333333334</v>
      </c>
      <c r="J6635" s="30">
        <f>IF(G6635&lt;$H$10,$H$16,IF(G6635&gt;$I$10,$H$16,$H$11))*E6635/600</f>
        <v>5.0069066666666665E-3</v>
      </c>
      <c r="L6635" s="32">
        <f>$J6635*($G6635-$G6634)*60*24</f>
        <v>5.0069066666666492E-3</v>
      </c>
    </row>
    <row r="6636" spans="1:12">
      <c r="A6636" s="22">
        <v>40315.240277777775</v>
      </c>
      <c r="E6636" s="26">
        <v>14.883839999999999</v>
      </c>
      <c r="G6636" s="27">
        <v>0.24027777777777778</v>
      </c>
      <c r="J6636" s="30">
        <f>IF(G6636&lt;$H$10,$H$16,IF(G6636&gt;$I$10,$H$16,$H$11))*E6636/600</f>
        <v>4.9612799999999993E-3</v>
      </c>
      <c r="L6636" s="32">
        <f>$J6636*($G6636-$G6635)*60*24</f>
        <v>4.961279999999982E-3</v>
      </c>
    </row>
    <row r="6637" spans="1:12">
      <c r="A6637" s="22">
        <v>40315.240972222222</v>
      </c>
      <c r="E6637" s="26">
        <v>14.798976</v>
      </c>
      <c r="G6637" s="27">
        <v>0.24097222222222223</v>
      </c>
      <c r="J6637" s="30">
        <f>IF(G6637&lt;$H$10,$H$16,IF(G6637&gt;$I$10,$H$16,$H$11))*E6637/600</f>
        <v>4.9329920000000006E-3</v>
      </c>
      <c r="L6637" s="32">
        <f>$J6637*($G6637-$G6636)*60*24</f>
        <v>4.9329919999999833E-3</v>
      </c>
    </row>
    <row r="6638" spans="1:12">
      <c r="A6638" s="22">
        <v>40315.241666666669</v>
      </c>
      <c r="E6638" s="26">
        <v>14.768208</v>
      </c>
      <c r="G6638" s="27">
        <v>0.24166666666666667</v>
      </c>
      <c r="J6638" s="30">
        <f>IF(G6638&lt;$H$10,$H$16,IF(G6638&gt;$I$10,$H$16,$H$11))*E6638/600</f>
        <v>4.9227360000000005E-3</v>
      </c>
      <c r="L6638" s="32">
        <f>$J6638*($G6638-$G6637)*60*24</f>
        <v>4.9227359999999831E-3</v>
      </c>
    </row>
    <row r="6639" spans="1:12">
      <c r="A6639" s="22">
        <v>40315.242361111108</v>
      </c>
      <c r="E6639" s="26">
        <v>14.949120000000001</v>
      </c>
      <c r="G6639" s="27">
        <v>0.24236111111111111</v>
      </c>
      <c r="J6639" s="30">
        <f>IF(G6639&lt;$H$10,$H$16,IF(G6639&gt;$I$10,$H$16,$H$11))*E6639/600</f>
        <v>4.9830400000000011E-3</v>
      </c>
      <c r="L6639" s="32">
        <f>$J6639*($G6639-$G6638)*60*24</f>
        <v>4.9830399999999837E-3</v>
      </c>
    </row>
    <row r="6640" spans="1:12">
      <c r="A6640" s="22">
        <v>40315.243055555555</v>
      </c>
      <c r="E6640" s="26">
        <v>14.864255999999999</v>
      </c>
      <c r="G6640" s="27">
        <v>0.24305555555555555</v>
      </c>
      <c r="J6640" s="30">
        <f>IF(G6640&lt;$H$10,$H$16,IF(G6640&gt;$I$10,$H$16,$H$11))*E6640/600</f>
        <v>4.9547519999999998E-3</v>
      </c>
      <c r="L6640" s="32">
        <f>$J6640*($G6640-$G6639)*60*24</f>
        <v>4.9547519999999816E-3</v>
      </c>
    </row>
    <row r="6641" spans="1:12">
      <c r="A6641" s="22">
        <v>40315.243750000001</v>
      </c>
      <c r="E6641" s="26">
        <v>14.883839999999999</v>
      </c>
      <c r="G6641" s="27">
        <v>0.24374999999999999</v>
      </c>
      <c r="J6641" s="30">
        <f>IF(G6641&lt;$H$10,$H$16,IF(G6641&gt;$I$10,$H$16,$H$11))*E6641/600</f>
        <v>4.9612799999999993E-3</v>
      </c>
      <c r="L6641" s="32">
        <f>$J6641*($G6641-$G6640)*60*24</f>
        <v>4.961279999999982E-3</v>
      </c>
    </row>
    <row r="6642" spans="1:12">
      <c r="A6642" s="22">
        <v>40315.244444444441</v>
      </c>
      <c r="E6642" s="26">
        <v>14.712064</v>
      </c>
      <c r="G6642" s="27">
        <v>0.24444444444444446</v>
      </c>
      <c r="J6642" s="30">
        <f>IF(G6642&lt;$H$10,$H$16,IF(G6642&gt;$I$10,$H$16,$H$11))*E6642/600</f>
        <v>4.9040213333333338E-3</v>
      </c>
      <c r="L6642" s="32">
        <f>$J6642*($G6642-$G6641)*60*24</f>
        <v>4.9040213333335124E-3</v>
      </c>
    </row>
    <row r="6643" spans="1:12">
      <c r="A6643" s="22">
        <v>40315.245138888888</v>
      </c>
      <c r="E6643" s="26">
        <v>14.812032</v>
      </c>
      <c r="G6643" s="27">
        <v>0.24513888888888888</v>
      </c>
      <c r="J6643" s="30">
        <f>IF(G6643&lt;$H$10,$H$16,IF(G6643&gt;$I$10,$H$16,$H$11))*E6643/600</f>
        <v>4.9373440000000006E-3</v>
      </c>
      <c r="L6643" s="32">
        <f>$J6643*($G6643-$G6642)*60*24</f>
        <v>4.9373439999997855E-3</v>
      </c>
    </row>
    <row r="6644" spans="1:12">
      <c r="A6644" s="22">
        <v>40315.245833333334</v>
      </c>
      <c r="E6644" s="26">
        <v>14.857728</v>
      </c>
      <c r="G6644" s="27">
        <v>0.24583333333333335</v>
      </c>
      <c r="J6644" s="30">
        <f>IF(G6644&lt;$H$10,$H$16,IF(G6644&gt;$I$10,$H$16,$H$11))*E6644/600</f>
        <v>4.9525760000000002E-3</v>
      </c>
      <c r="L6644" s="32">
        <f>$J6644*($G6644-$G6643)*60*24</f>
        <v>4.9525760000001806E-3</v>
      </c>
    </row>
    <row r="6645" spans="1:12">
      <c r="A6645" s="22">
        <v>40315.246527777781</v>
      </c>
      <c r="E6645" s="26">
        <v>14.948505000000001</v>
      </c>
      <c r="G6645" s="27">
        <v>0.24652777777777779</v>
      </c>
      <c r="J6645" s="30">
        <f>IF(G6645&lt;$H$10,$H$16,IF(G6645&gt;$I$10,$H$16,$H$11))*E6645/600</f>
        <v>4.9828350000000006E-3</v>
      </c>
      <c r="L6645" s="32">
        <f>$J6645*($G6645-$G6644)*60*24</f>
        <v>4.9828349999999832E-3</v>
      </c>
    </row>
    <row r="6646" spans="1:12">
      <c r="A6646" s="22">
        <v>40315.24722222222</v>
      </c>
      <c r="E6646" s="26">
        <v>14.772864</v>
      </c>
      <c r="G6646" s="27">
        <v>0.24722222222222223</v>
      </c>
      <c r="J6646" s="30">
        <f>IF(G6646&lt;$H$10,$H$16,IF(G6646&gt;$I$10,$H$16,$H$11))*E6646/600</f>
        <v>4.9242880000000006E-3</v>
      </c>
      <c r="L6646" s="32">
        <f>$J6646*($G6646-$G6645)*60*24</f>
        <v>4.9242879999999833E-3</v>
      </c>
    </row>
    <row r="6647" spans="1:12">
      <c r="A6647" s="22">
        <v>40315.247916666667</v>
      </c>
      <c r="E6647" s="26">
        <v>14.628031999999999</v>
      </c>
      <c r="G6647" s="27">
        <v>0.24791666666666667</v>
      </c>
      <c r="J6647" s="30">
        <f>IF(G6647&lt;$H$10,$H$16,IF(G6647&gt;$I$10,$H$16,$H$11))*E6647/600</f>
        <v>4.8760106666666664E-3</v>
      </c>
      <c r="L6647" s="32">
        <f>$J6647*($G6647-$G6646)*60*24</f>
        <v>4.876010666666649E-3</v>
      </c>
    </row>
    <row r="6648" spans="1:12">
      <c r="A6648" s="22">
        <v>40315.248611111114</v>
      </c>
      <c r="E6648" s="26">
        <v>14.9682</v>
      </c>
      <c r="G6648" s="27">
        <v>0.24861111111111112</v>
      </c>
      <c r="J6648" s="30">
        <f>IF(G6648&lt;$H$10,$H$16,IF(G6648&gt;$I$10,$H$16,$H$11))*E6648/600</f>
        <v>4.9893999999999997E-3</v>
      </c>
      <c r="L6648" s="32">
        <f>$J6648*($G6648-$G6647)*60*24</f>
        <v>4.9893999999999824E-3</v>
      </c>
    </row>
    <row r="6649" spans="1:12">
      <c r="A6649" s="22">
        <v>40315.249305555553</v>
      </c>
      <c r="E6649" s="26">
        <v>15.041</v>
      </c>
      <c r="G6649" s="27">
        <v>0.24930555555555556</v>
      </c>
      <c r="J6649" s="30">
        <f>IF(G6649&lt;$H$10,$H$16,IF(G6649&gt;$I$10,$H$16,$H$11))*E6649/600</f>
        <v>5.0136666666666671E-3</v>
      </c>
      <c r="L6649" s="32">
        <f>$J6649*($G6649-$G6648)*60*24</f>
        <v>5.0136666666666498E-3</v>
      </c>
    </row>
    <row r="6650" spans="1:12">
      <c r="A6650" s="22">
        <v>40315.25</v>
      </c>
      <c r="E6650" s="26">
        <v>15.028</v>
      </c>
      <c r="G6650" s="27">
        <v>0.25</v>
      </c>
      <c r="J6650" s="30">
        <f>IF(G6650&lt;$H$10,$H$16,IF(G6650&gt;$I$10,$H$16,$H$11))*E6650/600</f>
        <v>5.0093333333333335E-3</v>
      </c>
      <c r="L6650" s="32">
        <f>$J6650*($G6650-$G6649)*60*24</f>
        <v>5.0093333333333162E-3</v>
      </c>
    </row>
    <row r="6651" spans="1:12">
      <c r="A6651" s="22">
        <v>40315.250694444447</v>
      </c>
      <c r="E6651" s="26">
        <v>15.015000000000001</v>
      </c>
      <c r="G6651" s="27">
        <v>0.25069444444444444</v>
      </c>
      <c r="J6651" s="30">
        <f>IF(G6651&lt;$H$10,$H$16,IF(G6651&gt;$I$10,$H$16,$H$11))*E6651/600</f>
        <v>5.0049999999999999E-3</v>
      </c>
      <c r="L6651" s="32">
        <f>$J6651*($G6651-$G6650)*60*24</f>
        <v>5.0049999999999826E-3</v>
      </c>
    </row>
    <row r="6652" spans="1:12">
      <c r="A6652" s="22">
        <v>40315.251388888886</v>
      </c>
      <c r="E6652" s="26">
        <v>15.07324</v>
      </c>
      <c r="G6652" s="27">
        <v>0.25138888888888888</v>
      </c>
      <c r="J6652" s="30">
        <f>IF(G6652&lt;$H$10,$H$16,IF(G6652&gt;$I$10,$H$16,$H$11))*E6652/600</f>
        <v>5.0244133333333333E-3</v>
      </c>
      <c r="L6652" s="32">
        <f>$J6652*($G6652-$G6651)*60*24</f>
        <v>5.024413333333316E-3</v>
      </c>
    </row>
    <row r="6653" spans="1:12">
      <c r="A6653" s="22">
        <v>40315.252083333333</v>
      </c>
      <c r="E6653" s="26">
        <v>14.9825</v>
      </c>
      <c r="G6653" s="27">
        <v>0.25208333333333333</v>
      </c>
      <c r="J6653" s="30">
        <f>IF(G6653&lt;$H$10,$H$16,IF(G6653&gt;$I$10,$H$16,$H$11))*E6653/600</f>
        <v>4.9941666666666667E-3</v>
      </c>
      <c r="L6653" s="32">
        <f>$J6653*($G6653-$G6652)*60*24</f>
        <v>4.9941666666666485E-3</v>
      </c>
    </row>
    <row r="6654" spans="1:12">
      <c r="A6654" s="22">
        <v>40315.25277777778</v>
      </c>
      <c r="E6654" s="26">
        <v>15.12576</v>
      </c>
      <c r="G6654" s="27">
        <v>0.25277777777777777</v>
      </c>
      <c r="J6654" s="30">
        <f>IF(G6654&lt;$H$10,$H$16,IF(G6654&gt;$I$10,$H$16,$H$11))*E6654/600</f>
        <v>5.0419200000000001E-3</v>
      </c>
      <c r="L6654" s="32">
        <f>$J6654*($G6654-$G6653)*60*24</f>
        <v>5.0419199999999827E-3</v>
      </c>
    </row>
    <row r="6655" spans="1:12">
      <c r="A6655" s="22">
        <v>40315.253472222219</v>
      </c>
      <c r="E6655" s="26">
        <v>14.962999999999999</v>
      </c>
      <c r="G6655" s="27">
        <v>0.25347222222222221</v>
      </c>
      <c r="J6655" s="30">
        <f>IF(G6655&lt;$H$10,$H$16,IF(G6655&gt;$I$10,$H$16,$H$11))*E6655/600</f>
        <v>4.9876666666666663E-3</v>
      </c>
      <c r="L6655" s="32">
        <f>$J6655*($G6655-$G6654)*60*24</f>
        <v>4.9876666666666489E-3</v>
      </c>
    </row>
    <row r="6656" spans="1:12">
      <c r="A6656" s="22">
        <v>40315.254166666666</v>
      </c>
      <c r="E6656" s="26">
        <v>15.086370000000001</v>
      </c>
      <c r="G6656" s="27">
        <v>0.25416666666666665</v>
      </c>
      <c r="J6656" s="30">
        <f>IF(G6656&lt;$H$10,$H$16,IF(G6656&gt;$I$10,$H$16,$H$11))*E6656/600</f>
        <v>5.0287900000000009E-3</v>
      </c>
      <c r="L6656" s="32">
        <f>$J6656*($G6656-$G6655)*60*24</f>
        <v>5.0287899999999826E-3</v>
      </c>
    </row>
    <row r="6657" spans="1:12">
      <c r="A6657" s="22">
        <v>40315.254861111112</v>
      </c>
      <c r="E6657" s="26">
        <v>14.976000000000001</v>
      </c>
      <c r="G6657" s="27">
        <v>0.25486111111111109</v>
      </c>
      <c r="J6657" s="30">
        <f>IF(G6657&lt;$H$10,$H$16,IF(G6657&gt;$I$10,$H$16,$H$11))*E6657/600</f>
        <v>4.9920000000000008E-3</v>
      </c>
      <c r="L6657" s="32">
        <f>$J6657*($G6657-$G6656)*60*24</f>
        <v>4.9919999999999834E-3</v>
      </c>
    </row>
    <row r="6658" spans="1:12">
      <c r="A6658" s="22">
        <v>40315.255555555559</v>
      </c>
      <c r="E6658" s="26">
        <v>14.936999999999999</v>
      </c>
      <c r="G6658" s="27">
        <v>0.25555555555555559</v>
      </c>
      <c r="J6658" s="30">
        <f>IF(G6658&lt;$H$10,$H$16,IF(G6658&gt;$I$10,$H$16,$H$11))*E6658/600</f>
        <v>4.9789999999999999E-3</v>
      </c>
      <c r="L6658" s="32">
        <f>$J6658*($G6658-$G6657)*60*24</f>
        <v>4.9790000000003807E-3</v>
      </c>
    </row>
    <row r="6659" spans="1:12">
      <c r="A6659" s="22">
        <v>40315.256249999999</v>
      </c>
      <c r="E6659" s="26">
        <v>14.9175</v>
      </c>
      <c r="G6659" s="27">
        <v>0.25625000000000003</v>
      </c>
      <c r="J6659" s="30">
        <f>IF(G6659&lt;$H$10,$H$16,IF(G6659&gt;$I$10,$H$16,$H$11))*E6659/600</f>
        <v>4.9725000000000004E-3</v>
      </c>
      <c r="L6659" s="32">
        <f>$J6659*($G6659-$G6658)*60*24</f>
        <v>4.9724999999999821E-3</v>
      </c>
    </row>
    <row r="6660" spans="1:12">
      <c r="A6660" s="22">
        <v>40315.256944444445</v>
      </c>
      <c r="E6660" s="26">
        <v>14.987895</v>
      </c>
      <c r="G6660" s="27">
        <v>0.25694444444444448</v>
      </c>
      <c r="J6660" s="30">
        <f>IF(G6660&lt;$H$10,$H$16,IF(G6660&gt;$I$10,$H$16,$H$11))*E6660/600</f>
        <v>4.9959649999999998E-3</v>
      </c>
      <c r="L6660" s="32">
        <f>$J6660*($G6660-$G6659)*60*24</f>
        <v>4.9959649999999824E-3</v>
      </c>
    </row>
    <row r="6661" spans="1:12">
      <c r="A6661" s="22">
        <v>40315.257638888892</v>
      </c>
      <c r="E6661" s="26">
        <v>14.98133</v>
      </c>
      <c r="G6661" s="27">
        <v>0.25763888888888892</v>
      </c>
      <c r="J6661" s="30">
        <f>IF(G6661&lt;$H$10,$H$16,IF(G6661&gt;$I$10,$H$16,$H$11))*E6661/600</f>
        <v>4.9937766666666673E-3</v>
      </c>
      <c r="L6661" s="32">
        <f>$J6661*($G6661-$G6660)*60*24</f>
        <v>4.99377666666665E-3</v>
      </c>
    </row>
    <row r="6662" spans="1:12">
      <c r="A6662" s="22">
        <v>40315.258333333331</v>
      </c>
      <c r="E6662" s="26">
        <v>14.844671999999999</v>
      </c>
      <c r="G6662" s="27">
        <v>0.25833333333333336</v>
      </c>
      <c r="J6662" s="30">
        <f>IF(G6662&lt;$H$10,$H$16,IF(G6662&gt;$I$10,$H$16,$H$11))*E6662/600</f>
        <v>4.9482240000000002E-3</v>
      </c>
      <c r="L6662" s="32">
        <f>$J6662*($G6662-$G6661)*60*24</f>
        <v>4.9482239999999829E-3</v>
      </c>
    </row>
    <row r="6663" spans="1:12">
      <c r="A6663" s="22">
        <v>40315.259027777778</v>
      </c>
      <c r="E6663" s="26">
        <v>15.086370000000001</v>
      </c>
      <c r="G6663" s="27">
        <v>0.2590277777777778</v>
      </c>
      <c r="J6663" s="30">
        <f>IF(G6663&lt;$H$10,$H$16,IF(G6663&gt;$I$10,$H$16,$H$11))*E6663/600</f>
        <v>5.0287900000000009E-3</v>
      </c>
      <c r="L6663" s="32">
        <f>$J6663*($G6663-$G6662)*60*24</f>
        <v>5.0287899999999826E-3</v>
      </c>
    </row>
    <row r="6664" spans="1:12">
      <c r="A6664" s="22">
        <v>40315.259722222225</v>
      </c>
      <c r="E6664" s="26">
        <v>14.9565</v>
      </c>
      <c r="G6664" s="27">
        <v>0.25972222222222224</v>
      </c>
      <c r="J6664" s="30">
        <f>IF(G6664&lt;$H$10,$H$16,IF(G6664&gt;$I$10,$H$16,$H$11))*E6664/600</f>
        <v>4.9855000000000003E-3</v>
      </c>
      <c r="L6664" s="32">
        <f>$J6664*($G6664-$G6663)*60*24</f>
        <v>4.985499999999983E-3</v>
      </c>
    </row>
    <row r="6665" spans="1:12">
      <c r="A6665" s="22">
        <v>40315.260416666664</v>
      </c>
      <c r="E6665" s="26">
        <v>15.001025</v>
      </c>
      <c r="G6665" s="27">
        <v>0.26041666666666669</v>
      </c>
      <c r="J6665" s="30">
        <f>IF(G6665&lt;$H$10,$H$16,IF(G6665&gt;$I$10,$H$16,$H$11))*E6665/600</f>
        <v>5.0003416666666673E-3</v>
      </c>
      <c r="L6665" s="32">
        <f>$J6665*($G6665-$G6664)*60*24</f>
        <v>5.00034166666665E-3</v>
      </c>
    </row>
    <row r="6666" spans="1:12">
      <c r="A6666" s="22">
        <v>40315.261111111111</v>
      </c>
      <c r="E6666" s="26">
        <v>15.00759</v>
      </c>
      <c r="G6666" s="27">
        <v>0.26111111111111113</v>
      </c>
      <c r="J6666" s="30">
        <f>IF(G6666&lt;$H$10,$H$16,IF(G6666&gt;$I$10,$H$16,$H$11))*E6666/600</f>
        <v>5.0025300000000007E-3</v>
      </c>
      <c r="L6666" s="32">
        <f>$J6666*($G6666-$G6665)*60*24</f>
        <v>5.0025299999999833E-3</v>
      </c>
    </row>
    <row r="6667" spans="1:12">
      <c r="A6667" s="22">
        <v>40315.261805555558</v>
      </c>
      <c r="E6667" s="26">
        <v>15.2658</v>
      </c>
      <c r="G6667" s="27">
        <v>0.26180555555555557</v>
      </c>
      <c r="J6667" s="30">
        <f>IF(G6667&lt;$H$10,$H$16,IF(G6667&gt;$I$10,$H$16,$H$11))*E6667/600</f>
        <v>5.0886000000000004E-3</v>
      </c>
      <c r="L6667" s="32">
        <f>$J6667*($G6667-$G6666)*60*24</f>
        <v>5.0885999999999822E-3</v>
      </c>
    </row>
    <row r="6668" spans="1:12">
      <c r="A6668" s="22">
        <v>40315.262499999997</v>
      </c>
      <c r="E6668" s="26">
        <v>15.067</v>
      </c>
      <c r="G6668" s="27">
        <v>0.26250000000000001</v>
      </c>
      <c r="J6668" s="30">
        <f>IF(G6668&lt;$H$10,$H$16,IF(G6668&gt;$I$10,$H$16,$H$11))*E6668/600</f>
        <v>5.0223333333333335E-3</v>
      </c>
      <c r="L6668" s="32">
        <f>$J6668*($G6668-$G6667)*60*24</f>
        <v>5.0223333333333153E-3</v>
      </c>
    </row>
    <row r="6669" spans="1:12">
      <c r="A6669" s="22">
        <v>40315.263194444444</v>
      </c>
      <c r="E6669" s="26">
        <v>15.3186</v>
      </c>
      <c r="G6669" s="27">
        <v>0.26319444444444445</v>
      </c>
      <c r="J6669" s="30">
        <f>IF(G6669&lt;$H$10,$H$16,IF(G6669&gt;$I$10,$H$16,$H$11))*E6669/600</f>
        <v>5.1062E-3</v>
      </c>
      <c r="L6669" s="32">
        <f>$J6669*($G6669-$G6668)*60*24</f>
        <v>5.1061999999999818E-3</v>
      </c>
    </row>
    <row r="6670" spans="1:12">
      <c r="A6670" s="22">
        <v>40315.263888888891</v>
      </c>
      <c r="E6670" s="26">
        <v>15.073499999999999</v>
      </c>
      <c r="G6670" s="27">
        <v>0.2638888888888889</v>
      </c>
      <c r="J6670" s="30">
        <f>IF(G6670&lt;$H$10,$H$16,IF(G6670&gt;$I$10,$H$16,$H$11))*E6670/600</f>
        <v>5.0245000000000003E-3</v>
      </c>
      <c r="L6670" s="32">
        <f>$J6670*($G6670-$G6669)*60*24</f>
        <v>5.0244999999999821E-3</v>
      </c>
    </row>
    <row r="6671" spans="1:12">
      <c r="A6671" s="22">
        <v>40315.26458333333</v>
      </c>
      <c r="E6671" s="26">
        <v>15.331799999999999</v>
      </c>
      <c r="G6671" s="27">
        <v>0.26458333333333334</v>
      </c>
      <c r="J6671" s="30">
        <f>IF(G6671&lt;$H$10,$H$16,IF(G6671&gt;$I$10,$H$16,$H$11))*E6671/600</f>
        <v>5.1105999999999999E-3</v>
      </c>
      <c r="L6671" s="32">
        <f>$J6671*($G6671-$G6670)*60*24</f>
        <v>5.1105999999999817E-3</v>
      </c>
    </row>
    <row r="6672" spans="1:12">
      <c r="A6672" s="22">
        <v>40315.265277777777</v>
      </c>
      <c r="E6672" s="26">
        <v>15.351599999999999</v>
      </c>
      <c r="G6672" s="27">
        <v>0.26527777777777778</v>
      </c>
      <c r="J6672" s="30">
        <f>IF(G6672&lt;$H$10,$H$16,IF(G6672&gt;$I$10,$H$16,$H$11))*E6672/600</f>
        <v>5.1172000000000006E-3</v>
      </c>
      <c r="L6672" s="32">
        <f>$J6672*($G6672-$G6671)*60*24</f>
        <v>5.1171999999999824E-3</v>
      </c>
    </row>
    <row r="6673" spans="1:12">
      <c r="A6673" s="22">
        <v>40315.265972222223</v>
      </c>
      <c r="E6673" s="26">
        <v>15.243822</v>
      </c>
      <c r="G6673" s="27">
        <v>0.26597222222222222</v>
      </c>
      <c r="J6673" s="30">
        <f>IF(G6673&lt;$H$10,$H$16,IF(G6673&gt;$I$10,$H$16,$H$11))*E6673/600</f>
        <v>5.0812740000000002E-3</v>
      </c>
      <c r="L6673" s="32">
        <f>$J6673*($G6673-$G6672)*60*24</f>
        <v>5.081273999999982E-3</v>
      </c>
    </row>
    <row r="6674" spans="1:12">
      <c r="A6674" s="22">
        <v>40315.26666666667</v>
      </c>
      <c r="E6674" s="26">
        <v>15.4176</v>
      </c>
      <c r="G6674" s="27">
        <v>0.26666666666666666</v>
      </c>
      <c r="J6674" s="30">
        <f>IF(G6674&lt;$H$10,$H$16,IF(G6674&gt;$I$10,$H$16,$H$11))*E6674/600</f>
        <v>5.1392E-3</v>
      </c>
      <c r="L6674" s="32">
        <f>$J6674*($G6674-$G6673)*60*24</f>
        <v>5.1391999999999818E-3</v>
      </c>
    </row>
    <row r="6675" spans="1:12">
      <c r="A6675" s="22">
        <v>40315.267361111109</v>
      </c>
      <c r="E6675" s="26">
        <v>15.4572</v>
      </c>
      <c r="G6675" s="27">
        <v>0.2673611111111111</v>
      </c>
      <c r="J6675" s="30">
        <f>IF(G6675&lt;$H$10,$H$16,IF(G6675&gt;$I$10,$H$16,$H$11))*E6675/600</f>
        <v>5.1524000000000006E-3</v>
      </c>
      <c r="L6675" s="32">
        <f>$J6675*($G6675-$G6674)*60*24</f>
        <v>5.1523999999999823E-3</v>
      </c>
    </row>
    <row r="6676" spans="1:12">
      <c r="A6676" s="22">
        <v>40315.268055555556</v>
      </c>
      <c r="E6676" s="26">
        <v>15.42801</v>
      </c>
      <c r="G6676" s="27">
        <v>0.26805555555555555</v>
      </c>
      <c r="J6676" s="30">
        <f>IF(G6676&lt;$H$10,$H$16,IF(G6676&gt;$I$10,$H$16,$H$11))*E6676/600</f>
        <v>5.1426700000000002E-3</v>
      </c>
      <c r="L6676" s="32">
        <f>$J6676*($G6676-$G6675)*60*24</f>
        <v>5.1426699999999829E-3</v>
      </c>
    </row>
    <row r="6677" spans="1:12">
      <c r="A6677" s="22">
        <v>40315.268750000003</v>
      </c>
      <c r="E6677" s="26">
        <v>15.52083</v>
      </c>
      <c r="G6677" s="27">
        <v>0.26874999999999999</v>
      </c>
      <c r="J6677" s="30">
        <f>IF(G6677&lt;$H$10,$H$16,IF(G6677&gt;$I$10,$H$16,$H$11))*E6677/600</f>
        <v>5.1736100000000004E-3</v>
      </c>
      <c r="L6677" s="32">
        <f>$J6677*($G6677-$G6676)*60*24</f>
        <v>5.1736099999999821E-3</v>
      </c>
    </row>
    <row r="6678" spans="1:12">
      <c r="A6678" s="22">
        <v>40315.269444444442</v>
      </c>
      <c r="E6678" s="26">
        <v>15.243930000000001</v>
      </c>
      <c r="G6678" s="27">
        <v>0.26944444444444443</v>
      </c>
      <c r="J6678" s="30">
        <f>IF(G6678&lt;$H$10,$H$16,IF(G6678&gt;$I$10,$H$16,$H$11))*E6678/600</f>
        <v>5.0813100000000003E-3</v>
      </c>
      <c r="L6678" s="32">
        <f>$J6678*($G6678-$G6677)*60*24</f>
        <v>5.081309999999983E-3</v>
      </c>
    </row>
    <row r="6679" spans="1:12">
      <c r="A6679" s="22">
        <v>40315.270138888889</v>
      </c>
      <c r="E6679" s="26">
        <v>15.21767</v>
      </c>
      <c r="G6679" s="27">
        <v>0.27013888888888887</v>
      </c>
      <c r="J6679" s="30">
        <f>IF(G6679&lt;$H$10,$H$16,IF(G6679&gt;$I$10,$H$16,$H$11))*E6679/600</f>
        <v>5.0725566666666669E-3</v>
      </c>
      <c r="L6679" s="32">
        <f>$J6679*($G6679-$G6678)*60*24</f>
        <v>5.0725566666666496E-3</v>
      </c>
    </row>
    <row r="6680" spans="1:12">
      <c r="A6680" s="22">
        <v>40315.270833333336</v>
      </c>
      <c r="E6680" s="26">
        <v>15.2308</v>
      </c>
      <c r="G6680" s="27">
        <v>0.27083333333333331</v>
      </c>
      <c r="J6680" s="30">
        <f>IF(G6680&lt;$H$10,$H$16,IF(G6680&gt;$I$10,$H$16,$H$11))*E6680/600</f>
        <v>5.0769333333333336E-3</v>
      </c>
      <c r="L6680" s="32">
        <f>$J6680*($G6680-$G6679)*60*24</f>
        <v>5.0769333333333163E-3</v>
      </c>
    </row>
    <row r="6681" spans="1:12">
      <c r="A6681" s="22">
        <v>40315.271527777775</v>
      </c>
      <c r="E6681" s="26">
        <v>15.211105</v>
      </c>
      <c r="G6681" s="27">
        <v>0.27152777777777776</v>
      </c>
      <c r="J6681" s="30">
        <f>IF(G6681&lt;$H$10,$H$16,IF(G6681&gt;$I$10,$H$16,$H$11))*E6681/600</f>
        <v>5.0703683333333336E-3</v>
      </c>
      <c r="L6681" s="32">
        <f>$J6681*($G6681-$G6680)*60*24</f>
        <v>5.0703683333333154E-3</v>
      </c>
    </row>
    <row r="6682" spans="1:12">
      <c r="A6682" s="22">
        <v>40315.272222222222</v>
      </c>
      <c r="E6682" s="26">
        <v>15.171715000000001</v>
      </c>
      <c r="G6682" s="27">
        <v>0.2722222222222222</v>
      </c>
      <c r="J6682" s="30">
        <f>IF(G6682&lt;$H$10,$H$16,IF(G6682&gt;$I$10,$H$16,$H$11))*E6682/600</f>
        <v>5.0572383333333335E-3</v>
      </c>
      <c r="L6682" s="32">
        <f>$J6682*($G6682-$G6681)*60*24</f>
        <v>5.0572383333333162E-3</v>
      </c>
    </row>
    <row r="6683" spans="1:12">
      <c r="A6683" s="22">
        <v>40315.272916666669</v>
      </c>
      <c r="E6683" s="26">
        <v>15.067</v>
      </c>
      <c r="G6683" s="27">
        <v>0.27291666666666664</v>
      </c>
      <c r="J6683" s="30">
        <f>IF(G6683&lt;$H$10,$H$16,IF(G6683&gt;$I$10,$H$16,$H$11))*E6683/600</f>
        <v>5.0223333333333335E-3</v>
      </c>
      <c r="L6683" s="32">
        <f>$J6683*($G6683-$G6682)*60*24</f>
        <v>5.0223333333333153E-3</v>
      </c>
    </row>
    <row r="6684" spans="1:12">
      <c r="A6684" s="22">
        <v>40315.273611111108</v>
      </c>
      <c r="E6684" s="26">
        <v>15.20454</v>
      </c>
      <c r="G6684" s="27">
        <v>0.27361111111111108</v>
      </c>
      <c r="J6684" s="30">
        <f>IF(G6684&lt;$H$10,$H$16,IF(G6684&gt;$I$10,$H$16,$H$11))*E6684/600</f>
        <v>5.0681800000000003E-3</v>
      </c>
      <c r="L6684" s="32">
        <f>$J6684*($G6684-$G6683)*60*24</f>
        <v>5.0681799999999829E-3</v>
      </c>
    </row>
    <row r="6685" spans="1:12">
      <c r="A6685" s="22">
        <v>40315.274305555555</v>
      </c>
      <c r="E6685" s="26">
        <v>15.197975</v>
      </c>
      <c r="G6685" s="27">
        <v>0.27430555555555552</v>
      </c>
      <c r="J6685" s="30">
        <f>IF(G6685&lt;$H$10,$H$16,IF(G6685&gt;$I$10,$H$16,$H$11))*E6685/600</f>
        <v>5.0659916666666669E-3</v>
      </c>
      <c r="L6685" s="32">
        <f>$J6685*($G6685-$G6684)*60*24</f>
        <v>5.0659916666666496E-3</v>
      </c>
    </row>
    <row r="6686" spans="1:12">
      <c r="A6686" s="22">
        <v>40315.275000000001</v>
      </c>
      <c r="E6686" s="26">
        <v>12.43411</v>
      </c>
      <c r="G6686" s="27">
        <v>0.27499999999999997</v>
      </c>
      <c r="J6686" s="30">
        <f>IF(G6686&lt;$H$10,$H$16,IF(G6686&gt;$I$10,$H$16,$H$11))*E6686/600</f>
        <v>4.1447033333333336E-3</v>
      </c>
      <c r="L6686" s="32">
        <f>$J6686*($G6686-$G6685)*60*24</f>
        <v>4.1447033333333189E-3</v>
      </c>
    </row>
    <row r="6687" spans="1:12">
      <c r="A6687" s="22">
        <v>40315.275694444441</v>
      </c>
      <c r="E6687" s="26">
        <v>15.0144</v>
      </c>
      <c r="G6687" s="27">
        <v>0.27569444444444446</v>
      </c>
      <c r="J6687" s="30">
        <f>IF(G6687&lt;$H$10,$H$16,IF(G6687&gt;$I$10,$H$16,$H$11))*E6687/600</f>
        <v>5.0048000000000002E-3</v>
      </c>
      <c r="L6687" s="32">
        <f>$J6687*($G6687-$G6686)*60*24</f>
        <v>5.0048000000003827E-3</v>
      </c>
    </row>
    <row r="6688" spans="1:12">
      <c r="A6688" s="22">
        <v>40315.276388888888</v>
      </c>
      <c r="E6688" s="26">
        <v>15.053568</v>
      </c>
      <c r="G6688" s="27">
        <v>0.27638888888888885</v>
      </c>
      <c r="J6688" s="30">
        <f>IF(G6688&lt;$H$10,$H$16,IF(G6688&gt;$I$10,$H$16,$H$11))*E6688/600</f>
        <v>5.0178560000000002E-3</v>
      </c>
      <c r="L6688" s="32">
        <f>$J6688*($G6688-$G6687)*60*24</f>
        <v>5.0178559999995813E-3</v>
      </c>
    </row>
    <row r="6689" spans="1:12">
      <c r="A6689" s="22">
        <v>40315.277083333334</v>
      </c>
      <c r="E6689" s="26">
        <v>15.187968</v>
      </c>
      <c r="G6689" s="27">
        <v>0.27708333333333335</v>
      </c>
      <c r="J6689" s="30">
        <f>IF(G6689&lt;$H$10,$H$16,IF(G6689&gt;$I$10,$H$16,$H$11))*E6689/600</f>
        <v>5.0626560000000004E-3</v>
      </c>
      <c r="L6689" s="32">
        <f>$J6689*($G6689-$G6688)*60*24</f>
        <v>5.0626560000003873E-3</v>
      </c>
    </row>
    <row r="6690" spans="1:12">
      <c r="A6690" s="22">
        <v>40315.277777777781</v>
      </c>
      <c r="E6690" s="26">
        <v>15.148415999999999</v>
      </c>
      <c r="G6690" s="27">
        <v>0.27777777777777779</v>
      </c>
      <c r="J6690" s="30">
        <f>IF(G6690&lt;$H$10,$H$16,IF(G6690&gt;$I$10,$H$16,$H$11))*E6690/600</f>
        <v>5.0494720000000002E-3</v>
      </c>
      <c r="L6690" s="32">
        <f>$J6690*($G6690-$G6689)*60*24</f>
        <v>5.0494719999999819E-3</v>
      </c>
    </row>
    <row r="6691" spans="1:12">
      <c r="A6691" s="22">
        <v>40315.27847222222</v>
      </c>
      <c r="E6691" s="26">
        <v>14.994816</v>
      </c>
      <c r="G6691" s="27">
        <v>0.27847222222222223</v>
      </c>
      <c r="J6691" s="30">
        <f>IF(G6691&lt;$H$10,$H$16,IF(G6691&gt;$I$10,$H$16,$H$11))*E6691/600</f>
        <v>4.9982720000000007E-3</v>
      </c>
      <c r="L6691" s="32">
        <f>$J6691*($G6691-$G6690)*60*24</f>
        <v>4.9982719999999824E-3</v>
      </c>
    </row>
    <row r="6692" spans="1:12">
      <c r="A6692" s="22">
        <v>40315.279166666667</v>
      </c>
      <c r="E6692" s="26">
        <v>14.98176</v>
      </c>
      <c r="G6692" s="27">
        <v>0.27916666666666667</v>
      </c>
      <c r="J6692" s="30">
        <f>IF(G6692&lt;$H$10,$H$16,IF(G6692&gt;$I$10,$H$16,$H$11))*E6692/600</f>
        <v>4.9939199999999998E-3</v>
      </c>
      <c r="L6692" s="32">
        <f>$J6692*($G6692-$G6691)*60*24</f>
        <v>4.9939199999999816E-3</v>
      </c>
    </row>
    <row r="6693" spans="1:12">
      <c r="A6693" s="22">
        <v>40315.279861111114</v>
      </c>
      <c r="E6693" s="26">
        <v>15.001344</v>
      </c>
      <c r="G6693" s="27">
        <v>0.27986111111111112</v>
      </c>
      <c r="J6693" s="30">
        <f>IF(G6693&lt;$H$10,$H$16,IF(G6693&gt;$I$10,$H$16,$H$11))*E6693/600</f>
        <v>5.0004480000000002E-3</v>
      </c>
      <c r="L6693" s="32">
        <f>$J6693*($G6693-$G6692)*60*24</f>
        <v>5.000447999999982E-3</v>
      </c>
    </row>
    <row r="6694" spans="1:12">
      <c r="A6694" s="22">
        <v>40315.280555555553</v>
      </c>
      <c r="E6694" s="26">
        <v>14.879277</v>
      </c>
      <c r="G6694" s="27">
        <v>0.28055555555555556</v>
      </c>
      <c r="J6694" s="30">
        <f>IF(G6694&lt;$H$10,$H$16,IF(G6694&gt;$I$10,$H$16,$H$11))*E6694/600</f>
        <v>4.9597590000000002E-3</v>
      </c>
      <c r="L6694" s="32">
        <f>$J6694*($G6694-$G6693)*60*24</f>
        <v>4.9597589999999829E-3</v>
      </c>
    </row>
    <row r="6695" spans="1:12">
      <c r="A6695" s="22">
        <v>40315.28125</v>
      </c>
      <c r="E6695" s="26">
        <v>15.187968</v>
      </c>
      <c r="G6695" s="27">
        <v>0.28125</v>
      </c>
      <c r="J6695" s="30">
        <f>IF(G6695&lt;$H$10,$H$16,IF(G6695&gt;$I$10,$H$16,$H$11))*E6695/600</f>
        <v>5.0626560000000004E-3</v>
      </c>
      <c r="L6695" s="32">
        <f>$J6695*($G6695-$G6694)*60*24</f>
        <v>5.0626559999999822E-3</v>
      </c>
    </row>
    <row r="6696" spans="1:12">
      <c r="A6696" s="22">
        <v>40315.281944444447</v>
      </c>
      <c r="E6696" s="26">
        <v>15.303015</v>
      </c>
      <c r="G6696" s="27">
        <v>0.28194444444444444</v>
      </c>
      <c r="J6696" s="30">
        <f>IF(G6696&lt;$H$10,$H$16,IF(G6696&gt;$I$10,$H$16,$H$11))*E6696/600</f>
        <v>5.1010050000000005E-3</v>
      </c>
      <c r="L6696" s="32">
        <f>$J6696*($G6696-$G6695)*60*24</f>
        <v>5.1010049999999831E-3</v>
      </c>
    </row>
    <row r="6697" spans="1:12">
      <c r="A6697" s="22">
        <v>40315.282638888886</v>
      </c>
      <c r="E6697" s="26">
        <v>15.329275000000001</v>
      </c>
      <c r="G6697" s="27">
        <v>0.28263888888888888</v>
      </c>
      <c r="J6697" s="30">
        <f>IF(G6697&lt;$H$10,$H$16,IF(G6697&gt;$I$10,$H$16,$H$11))*E6697/600</f>
        <v>5.1097583333333339E-3</v>
      </c>
      <c r="L6697" s="32">
        <f>$J6697*($G6697-$G6696)*60*24</f>
        <v>5.1097583333333165E-3</v>
      </c>
    </row>
    <row r="6698" spans="1:12">
      <c r="A6698" s="22">
        <v>40315.283333333333</v>
      </c>
      <c r="E6698" s="26">
        <v>15.316145000000001</v>
      </c>
      <c r="G6698" s="27">
        <v>0.28333333333333333</v>
      </c>
      <c r="J6698" s="30">
        <f>IF(G6698&lt;$H$10,$H$16,IF(G6698&gt;$I$10,$H$16,$H$11))*E6698/600</f>
        <v>5.1053816666666672E-3</v>
      </c>
      <c r="L6698" s="32">
        <f>$J6698*($G6698-$G6697)*60*24</f>
        <v>5.105381666666649E-3</v>
      </c>
    </row>
    <row r="6699" spans="1:12">
      <c r="A6699" s="22">
        <v>40315.28402777778</v>
      </c>
      <c r="E6699" s="26">
        <v>15.303015</v>
      </c>
      <c r="G6699" s="27">
        <v>0.28402777777777777</v>
      </c>
      <c r="J6699" s="30">
        <f>IF(G6699&lt;$H$10,$H$16,IF(G6699&gt;$I$10,$H$16,$H$11))*E6699/600</f>
        <v>5.1010050000000005E-3</v>
      </c>
      <c r="L6699" s="32">
        <f>$J6699*($G6699-$G6698)*60*24</f>
        <v>5.1010049999999831E-3</v>
      </c>
    </row>
    <row r="6700" spans="1:12">
      <c r="A6700" s="22">
        <v>40315.284722222219</v>
      </c>
      <c r="E6700" s="26">
        <v>15.441269999999999</v>
      </c>
      <c r="G6700" s="27">
        <v>0.28472222222222221</v>
      </c>
      <c r="J6700" s="30">
        <f>IF(G6700&lt;$H$10,$H$16,IF(G6700&gt;$I$10,$H$16,$H$11))*E6700/600</f>
        <v>5.14709E-3</v>
      </c>
      <c r="L6700" s="32">
        <f>$J6700*($G6700-$G6699)*60*24</f>
        <v>5.1470899999999818E-3</v>
      </c>
    </row>
    <row r="6701" spans="1:12">
      <c r="A6701" s="22">
        <v>40315.285416666666</v>
      </c>
      <c r="E6701" s="26">
        <v>15.41475</v>
      </c>
      <c r="G6701" s="27">
        <v>0.28541666666666665</v>
      </c>
      <c r="J6701" s="30">
        <f>IF(G6701&lt;$H$10,$H$16,IF(G6701&gt;$I$10,$H$16,$H$11))*E6701/600</f>
        <v>5.1382500000000005E-3</v>
      </c>
      <c r="L6701" s="32">
        <f>$J6701*($G6701-$G6700)*60*24</f>
        <v>5.1382499999999831E-3</v>
      </c>
    </row>
    <row r="6702" spans="1:12">
      <c r="A6702" s="22">
        <v>40315.286111111112</v>
      </c>
      <c r="E6702" s="26">
        <v>15.47442</v>
      </c>
      <c r="G6702" s="27">
        <v>0.28611111111111115</v>
      </c>
      <c r="J6702" s="30">
        <f>IF(G6702&lt;$H$10,$H$16,IF(G6702&gt;$I$10,$H$16,$H$11))*E6702/600</f>
        <v>5.1581400000000003E-3</v>
      </c>
      <c r="L6702" s="32">
        <f>$J6702*($G6702-$G6701)*60*24</f>
        <v>5.1581400000003941E-3</v>
      </c>
    </row>
    <row r="6703" spans="1:12">
      <c r="A6703" s="22">
        <v>40315.286805555559</v>
      </c>
      <c r="E6703" s="26">
        <v>15.401490000000001</v>
      </c>
      <c r="G6703" s="27">
        <v>0.28680555555555554</v>
      </c>
      <c r="J6703" s="30">
        <f>IF(G6703&lt;$H$10,$H$16,IF(G6703&gt;$I$10,$H$16,$H$11))*E6703/600</f>
        <v>5.1338300000000007E-3</v>
      </c>
      <c r="L6703" s="32">
        <f>$J6703*($G6703-$G6702)*60*24</f>
        <v>5.1338299999995722E-3</v>
      </c>
    </row>
    <row r="6704" spans="1:12">
      <c r="A6704" s="22">
        <v>40315.287499999999</v>
      </c>
      <c r="E6704" s="26">
        <v>15.401490000000001</v>
      </c>
      <c r="G6704" s="27">
        <v>0.28750000000000003</v>
      </c>
      <c r="J6704" s="30">
        <f>IF(G6704&lt;$H$10,$H$16,IF(G6704&gt;$I$10,$H$16,$H$11))*E6704/600</f>
        <v>5.1338300000000007E-3</v>
      </c>
      <c r="L6704" s="32">
        <f>$J6704*($G6704-$G6703)*60*24</f>
        <v>5.1338300000003936E-3</v>
      </c>
    </row>
    <row r="6705" spans="1:12">
      <c r="A6705" s="22">
        <v>40315.288194444445</v>
      </c>
      <c r="E6705" s="26">
        <v>15.36171</v>
      </c>
      <c r="G6705" s="27">
        <v>0.28819444444444448</v>
      </c>
      <c r="J6705" s="30">
        <f>IF(G6705&lt;$H$10,$H$16,IF(G6705&gt;$I$10,$H$16,$H$11))*E6705/600</f>
        <v>5.1205700000000005E-3</v>
      </c>
      <c r="L6705" s="32">
        <f>$J6705*($G6705-$G6704)*60*24</f>
        <v>5.1205699999999823E-3</v>
      </c>
    </row>
    <row r="6706" spans="1:12">
      <c r="A6706" s="22">
        <v>40315.288888888892</v>
      </c>
      <c r="E6706" s="26">
        <v>15.247296</v>
      </c>
      <c r="G6706" s="27">
        <v>0.28888888888888892</v>
      </c>
      <c r="J6706" s="30">
        <f>IF(G6706&lt;$H$10,$H$16,IF(G6706&gt;$I$10,$H$16,$H$11))*E6706/600</f>
        <v>5.0824320000000004E-3</v>
      </c>
      <c r="L6706" s="32">
        <f>$J6706*($G6706-$G6705)*60*24</f>
        <v>5.0824319999999822E-3</v>
      </c>
    </row>
    <row r="6707" spans="1:12">
      <c r="A6707" s="22">
        <v>40315.289583333331</v>
      </c>
      <c r="E6707" s="26">
        <v>15.253888</v>
      </c>
      <c r="G6707" s="27">
        <v>0.28958333333333336</v>
      </c>
      <c r="J6707" s="30">
        <f>IF(G6707&lt;$H$10,$H$16,IF(G6707&gt;$I$10,$H$16,$H$11))*E6707/600</f>
        <v>5.0846293333333334E-3</v>
      </c>
      <c r="L6707" s="32">
        <f>$J6707*($G6707-$G6706)*60*24</f>
        <v>5.0846293333333152E-3</v>
      </c>
    </row>
    <row r="6708" spans="1:12">
      <c r="A6708" s="22">
        <v>40315.290277777778</v>
      </c>
      <c r="E6708" s="26">
        <v>15.280256</v>
      </c>
      <c r="G6708" s="27">
        <v>0.2902777777777778</v>
      </c>
      <c r="J6708" s="30">
        <f>IF(G6708&lt;$H$10,$H$16,IF(G6708&gt;$I$10,$H$16,$H$11))*E6708/600</f>
        <v>5.0934186666666669E-3</v>
      </c>
      <c r="L6708" s="32">
        <f>$J6708*($G6708-$G6707)*60*24</f>
        <v>5.0934186666666487E-3</v>
      </c>
    </row>
    <row r="6709" spans="1:12">
      <c r="A6709" s="22">
        <v>40315.290972222225</v>
      </c>
      <c r="E6709" s="26">
        <v>15.3264</v>
      </c>
      <c r="G6709" s="27">
        <v>0.29097222222222224</v>
      </c>
      <c r="J6709" s="30">
        <f>IF(G6709&lt;$H$10,$H$16,IF(G6709&gt;$I$10,$H$16,$H$11))*E6709/600</f>
        <v>5.1088000000000001E-3</v>
      </c>
      <c r="L6709" s="32">
        <f>$J6709*($G6709-$G6708)*60*24</f>
        <v>5.1087999999999819E-3</v>
      </c>
    </row>
    <row r="6710" spans="1:12">
      <c r="A6710" s="22">
        <v>40315.291666666664</v>
      </c>
      <c r="E6710" s="26">
        <v>15.063048</v>
      </c>
      <c r="G6710" s="27">
        <v>0.29166666666666669</v>
      </c>
      <c r="J6710" s="30">
        <f>IF(G6710&lt;$H$10,$H$16,IF(G6710&gt;$I$10,$H$16,$H$11))*E6710/600</f>
        <v>5.0210160000000005E-3</v>
      </c>
      <c r="L6710" s="32">
        <f>$J6710*($G6710-$G6709)*60*24</f>
        <v>5.0210159999999832E-3</v>
      </c>
    </row>
    <row r="6711" spans="1:12">
      <c r="A6711" s="22">
        <v>40315.292361111111</v>
      </c>
      <c r="E6711" s="26">
        <v>15.240959999999999</v>
      </c>
      <c r="G6711" s="27">
        <v>0.29236111111111113</v>
      </c>
      <c r="J6711" s="30">
        <f>IF(G6711&lt;$H$10,$H$16,IF(G6711&gt;$I$10,$H$16,$H$11))*E6711/600</f>
        <v>5.0803200000000001E-3</v>
      </c>
      <c r="L6711" s="32">
        <f>$J6711*($G6711-$G6710)*60*24</f>
        <v>5.0803199999999819E-3</v>
      </c>
    </row>
    <row r="6712" spans="1:12">
      <c r="A6712" s="22">
        <v>40315.293055555558</v>
      </c>
      <c r="E6712" s="26">
        <v>15.260805</v>
      </c>
      <c r="G6712" s="27">
        <v>0.29305555555555557</v>
      </c>
      <c r="J6712" s="30">
        <f>IF(G6712&lt;$H$10,$H$16,IF(G6712&gt;$I$10,$H$16,$H$11))*E6712/600</f>
        <v>5.0869349999999999E-3</v>
      </c>
      <c r="L6712" s="32">
        <f>$J6712*($G6712-$G6711)*60*24</f>
        <v>5.0869349999999825E-3</v>
      </c>
    </row>
    <row r="6713" spans="1:12">
      <c r="A6713" s="22">
        <v>40315.293749999997</v>
      </c>
      <c r="E6713" s="26">
        <v>15.30711</v>
      </c>
      <c r="G6713" s="27">
        <v>0.29375000000000001</v>
      </c>
      <c r="J6713" s="30">
        <f>IF(G6713&lt;$H$10,$H$16,IF(G6713&gt;$I$10,$H$16,$H$11))*E6713/600</f>
        <v>5.1023700000000002E-3</v>
      </c>
      <c r="L6713" s="32">
        <f>$J6713*($G6713-$G6712)*60*24</f>
        <v>5.102369999999982E-3</v>
      </c>
    </row>
    <row r="6714" spans="1:12">
      <c r="A6714" s="22">
        <v>40315.294444444444</v>
      </c>
      <c r="E6714" s="26">
        <v>15.37326</v>
      </c>
      <c r="G6714" s="27">
        <v>0.29444444444444445</v>
      </c>
      <c r="J6714" s="30">
        <f>IF(G6714&lt;$H$10,$H$16,IF(G6714&gt;$I$10,$H$16,$H$11))*E6714/600</f>
        <v>5.1244200000000011E-3</v>
      </c>
      <c r="L6714" s="32">
        <f>$J6714*($G6714-$G6713)*60*24</f>
        <v>5.1244199999999828E-3</v>
      </c>
    </row>
    <row r="6715" spans="1:12">
      <c r="A6715" s="22">
        <v>40315.295138888891</v>
      </c>
      <c r="E6715" s="26">
        <v>15.260805</v>
      </c>
      <c r="G6715" s="27">
        <v>0.2951388888888889</v>
      </c>
      <c r="J6715" s="30">
        <f>IF(G6715&lt;$H$10,$H$16,IF(G6715&gt;$I$10,$H$16,$H$11))*E6715/600</f>
        <v>5.0869349999999999E-3</v>
      </c>
      <c r="L6715" s="32">
        <f>$J6715*($G6715-$G6714)*60*24</f>
        <v>5.0869349999999825E-3</v>
      </c>
    </row>
    <row r="6716" spans="1:12">
      <c r="A6716" s="22">
        <v>40315.29583333333</v>
      </c>
      <c r="E6716" s="26">
        <v>15.260805</v>
      </c>
      <c r="G6716" s="27">
        <v>0.29583333333333334</v>
      </c>
      <c r="J6716" s="30">
        <f>IF(G6716&lt;$H$10,$H$16,IF(G6716&gt;$I$10,$H$16,$H$11))*E6716/600</f>
        <v>5.0869349999999999E-3</v>
      </c>
      <c r="L6716" s="32">
        <f>$J6716*($G6716-$G6715)*60*24</f>
        <v>5.0869349999999825E-3</v>
      </c>
    </row>
    <row r="6717" spans="1:12">
      <c r="A6717" s="22">
        <v>40315.296527777777</v>
      </c>
      <c r="E6717" s="26">
        <v>15.076152</v>
      </c>
      <c r="G6717" s="27">
        <v>0.29652777777777778</v>
      </c>
      <c r="J6717" s="30">
        <f>IF(G6717&lt;$H$10,$H$16,IF(G6717&gt;$I$10,$H$16,$H$11))*E6717/600</f>
        <v>5.0253839999999999E-3</v>
      </c>
      <c r="L6717" s="32">
        <f>$J6717*($G6717-$G6716)*60*24</f>
        <v>5.0253839999999817E-3</v>
      </c>
    </row>
    <row r="6718" spans="1:12">
      <c r="A6718" s="22">
        <v>40315.297222222223</v>
      </c>
      <c r="E6718" s="26">
        <v>15.076152</v>
      </c>
      <c r="G6718" s="27">
        <v>0.29722222222222222</v>
      </c>
      <c r="J6718" s="30">
        <f>IF(G6718&lt;$H$10,$H$16,IF(G6718&gt;$I$10,$H$16,$H$11))*E6718/600</f>
        <v>5.0253839999999999E-3</v>
      </c>
      <c r="L6718" s="32">
        <f>$J6718*($G6718-$G6717)*60*24</f>
        <v>5.0253839999999817E-3</v>
      </c>
    </row>
    <row r="6719" spans="1:12">
      <c r="A6719" s="22">
        <v>40315.29791666667</v>
      </c>
      <c r="E6719" s="26">
        <v>15.240959999999999</v>
      </c>
      <c r="G6719" s="27">
        <v>0.29791666666666666</v>
      </c>
      <c r="J6719" s="30">
        <f>IF(G6719&lt;$H$10,$H$16,IF(G6719&gt;$I$10,$H$16,$H$11))*E6719/600</f>
        <v>5.0803200000000001E-3</v>
      </c>
      <c r="L6719" s="32">
        <f>$J6719*($G6719-$G6718)*60*24</f>
        <v>5.0803199999999819E-3</v>
      </c>
    </row>
    <row r="6720" spans="1:12">
      <c r="A6720" s="22">
        <v>40315.298611111109</v>
      </c>
      <c r="E6720" s="26">
        <v>15.194654999999999</v>
      </c>
      <c r="G6720" s="27">
        <v>0.2986111111111111</v>
      </c>
      <c r="J6720" s="30">
        <f>IF(G6720&lt;$H$10,$H$16,IF(G6720&gt;$I$10,$H$16,$H$11))*E6720/600</f>
        <v>5.0648849999999999E-3</v>
      </c>
      <c r="L6720" s="32">
        <f>$J6720*($G6720-$G6719)*60*24</f>
        <v>5.0648849999999817E-3</v>
      </c>
    </row>
    <row r="6721" spans="1:12">
      <c r="A6721" s="22">
        <v>40315.299305555556</v>
      </c>
      <c r="E6721" s="26">
        <v>15.161580000000001</v>
      </c>
      <c r="G6721" s="27">
        <v>0.29930555555555555</v>
      </c>
      <c r="J6721" s="30">
        <f>IF(G6721&lt;$H$10,$H$16,IF(G6721&gt;$I$10,$H$16,$H$11))*E6721/600</f>
        <v>5.0538600000000003E-3</v>
      </c>
      <c r="L6721" s="32">
        <f>$J6721*($G6721-$G6720)*60*24</f>
        <v>5.0538599999999821E-3</v>
      </c>
    </row>
    <row r="6722" spans="1:12">
      <c r="A6722" s="22">
        <v>40315.300000000003</v>
      </c>
      <c r="E6722" s="26">
        <v>15.043392000000001</v>
      </c>
      <c r="G6722" s="27">
        <v>0.3</v>
      </c>
      <c r="J6722" s="30">
        <f>IF(G6722&lt;$H$10,$H$16,IF(G6722&gt;$I$10,$H$16,$H$11))*E6722/600</f>
        <v>5.0144640000000006E-3</v>
      </c>
      <c r="L6722" s="32">
        <f>$J6722*($G6722-$G6721)*60*24</f>
        <v>5.0144639999999832E-3</v>
      </c>
    </row>
    <row r="6723" spans="1:12">
      <c r="A6723" s="22">
        <v>40315.300694444442</v>
      </c>
      <c r="E6723" s="26">
        <v>15.128568</v>
      </c>
      <c r="G6723" s="27">
        <v>0.30069444444444443</v>
      </c>
      <c r="J6723" s="30">
        <f>IF(G6723&lt;$H$10,$H$16,IF(G6723&gt;$I$10,$H$16,$H$11))*E6723/600</f>
        <v>5.0428560000000001E-3</v>
      </c>
      <c r="L6723" s="32">
        <f>$J6723*($G6723-$G6722)*60*24</f>
        <v>5.0428559999999827E-3</v>
      </c>
    </row>
    <row r="6724" spans="1:12">
      <c r="A6724" s="22">
        <v>40315.301388888889</v>
      </c>
      <c r="E6724" s="26">
        <v>15.135120000000001</v>
      </c>
      <c r="G6724" s="27">
        <v>0.30138888888888887</v>
      </c>
      <c r="J6724" s="30">
        <f>IF(G6724&lt;$H$10,$H$16,IF(G6724&gt;$I$10,$H$16,$H$11))*E6724/600</f>
        <v>5.0450400000000006E-3</v>
      </c>
      <c r="L6724" s="32">
        <f>$J6724*($G6724-$G6723)*60*24</f>
        <v>5.0450399999999824E-3</v>
      </c>
    </row>
    <row r="6725" spans="1:12">
      <c r="A6725" s="22">
        <v>40315.302083333336</v>
      </c>
      <c r="E6725" s="26">
        <v>15.161327999999999</v>
      </c>
      <c r="G6725" s="27">
        <v>0.30208333333333331</v>
      </c>
      <c r="J6725" s="30">
        <f>IF(G6725&lt;$H$10,$H$16,IF(G6725&gt;$I$10,$H$16,$H$11))*E6725/600</f>
        <v>5.0537760000000003E-3</v>
      </c>
      <c r="L6725" s="32">
        <f>$J6725*($G6725-$G6724)*60*24</f>
        <v>5.0537759999999821E-3</v>
      </c>
    </row>
    <row r="6726" spans="1:12">
      <c r="A6726" s="22">
        <v>40315.302777777775</v>
      </c>
      <c r="E6726" s="26">
        <v>15.240959999999999</v>
      </c>
      <c r="G6726" s="27">
        <v>0.30277777777777776</v>
      </c>
      <c r="J6726" s="30">
        <f>IF(G6726&lt;$H$10,$H$16,IF(G6726&gt;$I$10,$H$16,$H$11))*E6726/600</f>
        <v>5.0803200000000001E-3</v>
      </c>
      <c r="L6726" s="32">
        <f>$J6726*($G6726-$G6725)*60*24</f>
        <v>5.0803199999999819E-3</v>
      </c>
    </row>
    <row r="6727" spans="1:12">
      <c r="A6727" s="22">
        <v>40315.303472222222</v>
      </c>
      <c r="E6727" s="26">
        <v>15.168195000000001</v>
      </c>
      <c r="G6727" s="27">
        <v>0.3034722222222222</v>
      </c>
      <c r="J6727" s="30">
        <f>IF(G6727&lt;$H$10,$H$16,IF(G6727&gt;$I$10,$H$16,$H$11))*E6727/600</f>
        <v>5.0560650000000011E-3</v>
      </c>
      <c r="L6727" s="32">
        <f>$J6727*($G6727-$G6726)*60*24</f>
        <v>5.0560649999999837E-3</v>
      </c>
    </row>
    <row r="6728" spans="1:12">
      <c r="A6728" s="22">
        <v>40315.304166666669</v>
      </c>
      <c r="E6728" s="26">
        <v>15.102045</v>
      </c>
      <c r="G6728" s="27">
        <v>0.30416666666666664</v>
      </c>
      <c r="J6728" s="30">
        <f>IF(G6728&lt;$H$10,$H$16,IF(G6728&gt;$I$10,$H$16,$H$11))*E6728/600</f>
        <v>5.0340150000000002E-3</v>
      </c>
      <c r="L6728" s="32">
        <f>$J6728*($G6728-$G6727)*60*24</f>
        <v>5.034014999999982E-3</v>
      </c>
    </row>
    <row r="6729" spans="1:12">
      <c r="A6729" s="22">
        <v>40315.304861111108</v>
      </c>
      <c r="E6729" s="26">
        <v>15.069596000000001</v>
      </c>
      <c r="G6729" s="27">
        <v>0.30486111111111108</v>
      </c>
      <c r="J6729" s="30">
        <f>IF(G6729&lt;$H$10,$H$16,IF(G6729&gt;$I$10,$H$16,$H$11))*E6729/600</f>
        <v>5.0231986666666667E-3</v>
      </c>
      <c r="L6729" s="32">
        <f>$J6729*($G6729-$G6728)*60*24</f>
        <v>5.0231986666666485E-3</v>
      </c>
    </row>
    <row r="6730" spans="1:12">
      <c r="A6730" s="22">
        <v>40315.305555555555</v>
      </c>
      <c r="E6730" s="26">
        <v>14.76468</v>
      </c>
      <c r="G6730" s="27">
        <v>0.30555555555555552</v>
      </c>
      <c r="J6730" s="30">
        <f>IF(G6730&lt;$H$10,$H$16,IF(G6730&gt;$I$10,$H$16,$H$11))*E6730/600</f>
        <v>4.9215600000000002E-3</v>
      </c>
      <c r="L6730" s="32">
        <f>$J6730*($G6730-$G6729)*60*24</f>
        <v>4.9215599999999828E-3</v>
      </c>
    </row>
    <row r="6731" spans="1:12">
      <c r="A6731" s="22">
        <v>40315.306250000001</v>
      </c>
      <c r="E6731" s="26">
        <v>14.754016</v>
      </c>
      <c r="G6731" s="27">
        <v>0.30624999999999997</v>
      </c>
      <c r="J6731" s="30">
        <f>IF(G6731&lt;$H$10,$H$16,IF(G6731&gt;$I$10,$H$16,$H$11))*E6731/600</f>
        <v>4.9180053333333336E-3</v>
      </c>
      <c r="L6731" s="32">
        <f>$J6731*($G6731-$G6730)*60*24</f>
        <v>4.9180053333333163E-3</v>
      </c>
    </row>
    <row r="6732" spans="1:12">
      <c r="A6732" s="22">
        <v>40315.306944444441</v>
      </c>
      <c r="E6732" s="26">
        <v>14.740996000000001</v>
      </c>
      <c r="G6732" s="27">
        <v>0.30694444444444441</v>
      </c>
      <c r="J6732" s="30">
        <f>IF(G6732&lt;$H$10,$H$16,IF(G6732&gt;$I$10,$H$16,$H$11))*E6732/600</f>
        <v>4.9136653333333342E-3</v>
      </c>
      <c r="L6732" s="32">
        <f>$J6732*($G6732-$G6731)*60*24</f>
        <v>4.9136653333333169E-3</v>
      </c>
    </row>
    <row r="6733" spans="1:12">
      <c r="A6733" s="22">
        <v>40315.307638888888</v>
      </c>
      <c r="E6733" s="26">
        <v>14.984159999999999</v>
      </c>
      <c r="G6733" s="27">
        <v>0.30763888888888891</v>
      </c>
      <c r="J6733" s="30">
        <f>IF(G6733&lt;$H$10,$H$16,IF(G6733&gt;$I$10,$H$16,$H$11))*E6733/600</f>
        <v>4.9947200000000002E-3</v>
      </c>
      <c r="L6733" s="32">
        <f>$J6733*($G6733-$G6732)*60*24</f>
        <v>4.9947200000003827E-3</v>
      </c>
    </row>
    <row r="6734" spans="1:12">
      <c r="A6734" s="22">
        <v>40315.308333333334</v>
      </c>
      <c r="E6734" s="26">
        <v>14.81986</v>
      </c>
      <c r="G6734" s="27">
        <v>0.30833333333333335</v>
      </c>
      <c r="J6734" s="30">
        <f>IF(G6734&lt;$H$10,$H$16,IF(G6734&gt;$I$10,$H$16,$H$11))*E6734/600</f>
        <v>4.9399533333333336E-3</v>
      </c>
      <c r="L6734" s="32">
        <f>$J6734*($G6734-$G6733)*60*24</f>
        <v>4.9399533333333162E-3</v>
      </c>
    </row>
    <row r="6735" spans="1:12">
      <c r="A6735" s="22">
        <v>40315.309027777781</v>
      </c>
      <c r="E6735" s="26">
        <v>35.732640000000004</v>
      </c>
      <c r="G6735" s="27">
        <v>0.30902777777777779</v>
      </c>
      <c r="J6735" s="30">
        <f>IF(G6735&lt;$H$10,$H$16,IF(G6735&gt;$I$10,$H$16,$H$11))*E6735/600</f>
        <v>1.1910880000000002E-2</v>
      </c>
      <c r="L6735" s="32">
        <f>$J6735*($G6735-$G6734)*60*24</f>
        <v>1.1910879999999961E-2</v>
      </c>
    </row>
    <row r="6736" spans="1:12">
      <c r="A6736" s="22">
        <v>40315.30972222222</v>
      </c>
      <c r="E6736" s="26">
        <v>174.08902499999999</v>
      </c>
      <c r="G6736" s="27">
        <v>0.30972222222222223</v>
      </c>
      <c r="J6736" s="30">
        <f>IF(G6736&lt;$H$10,$H$16,IF(G6736&gt;$I$10,$H$16,$H$11))*E6736/600</f>
        <v>5.8029675000000003E-2</v>
      </c>
      <c r="L6736" s="32">
        <f>$J6736*($G6736-$G6735)*60*24</f>
        <v>5.8029674999999795E-2</v>
      </c>
    </row>
    <row r="6737" spans="1:12">
      <c r="A6737" s="22">
        <v>40315.310416666667</v>
      </c>
      <c r="E6737" s="26">
        <v>161.547032</v>
      </c>
      <c r="G6737" s="27">
        <v>0.31041666666666667</v>
      </c>
      <c r="J6737" s="30">
        <f>IF(G6737&lt;$H$10,$H$16,IF(G6737&gt;$I$10,$H$16,$H$11))*E6737/600</f>
        <v>5.3849010666666669E-2</v>
      </c>
      <c r="L6737" s="32">
        <f>$J6737*($G6737-$G6736)*60*24</f>
        <v>5.3849010666666475E-2</v>
      </c>
    </row>
    <row r="6738" spans="1:12">
      <c r="A6738" s="22">
        <v>40315.311111111114</v>
      </c>
      <c r="E6738" s="26">
        <v>161.93692799999999</v>
      </c>
      <c r="G6738" s="27">
        <v>0.31111111111111112</v>
      </c>
      <c r="J6738" s="30">
        <f>IF(G6738&lt;$H$10,$H$16,IF(G6738&gt;$I$10,$H$16,$H$11))*E6738/600</f>
        <v>5.3978976000000005E-2</v>
      </c>
      <c r="L6738" s="32">
        <f>$J6738*($G6738-$G6737)*60*24</f>
        <v>5.3978975999999811E-2</v>
      </c>
    </row>
    <row r="6739" spans="1:12">
      <c r="A6739" s="22">
        <v>40315.311805555553</v>
      </c>
      <c r="E6739" s="26">
        <v>166.56093999999999</v>
      </c>
      <c r="G6739" s="27">
        <v>0.31180555555555556</v>
      </c>
      <c r="J6739" s="30">
        <f>IF(G6739&lt;$H$10,$H$16,IF(G6739&gt;$I$10,$H$16,$H$11))*E6739/600</f>
        <v>5.5520313333333335E-2</v>
      </c>
      <c r="L6739" s="32">
        <f>$J6739*($G6739-$G6738)*60*24</f>
        <v>5.5520313333333141E-2</v>
      </c>
    </row>
    <row r="6740" spans="1:12">
      <c r="A6740" s="22">
        <v>40315.3125</v>
      </c>
      <c r="E6740" s="26">
        <v>178.172934</v>
      </c>
      <c r="G6740" s="27">
        <v>0.3125</v>
      </c>
      <c r="J6740" s="30">
        <f>IF(G6740&lt;$H$10,$H$16,IF(G6740&gt;$I$10,$H$16,$H$11))*E6740/600</f>
        <v>5.9390978000000004E-2</v>
      </c>
      <c r="L6740" s="32">
        <f>$J6740*($G6740-$G6739)*60*24</f>
        <v>5.9390977999999789E-2</v>
      </c>
    </row>
    <row r="6741" spans="1:12">
      <c r="A6741" s="22">
        <v>40315.313194444447</v>
      </c>
      <c r="E6741" s="26">
        <v>159.95166</v>
      </c>
      <c r="G6741" s="27">
        <v>0.31319444444444444</v>
      </c>
      <c r="J6741" s="30">
        <f>IF(G6741&lt;$H$10,$H$16,IF(G6741&gt;$I$10,$H$16,$H$11))*E6741/600</f>
        <v>5.3317220000000005E-2</v>
      </c>
      <c r="L6741" s="32">
        <f>$J6741*($G6741-$G6740)*60*24</f>
        <v>5.3317219999999818E-2</v>
      </c>
    </row>
    <row r="6742" spans="1:12">
      <c r="A6742" s="22">
        <v>40315.313888888886</v>
      </c>
      <c r="E6742" s="26">
        <v>160.92410000000001</v>
      </c>
      <c r="G6742" s="27">
        <v>0.31388888888888888</v>
      </c>
      <c r="J6742" s="30">
        <f>IF(G6742&lt;$H$10,$H$16,IF(G6742&gt;$I$10,$H$16,$H$11))*E6742/600</f>
        <v>5.3641366666666669E-2</v>
      </c>
      <c r="L6742" s="32">
        <f>$J6742*($G6742-$G6741)*60*24</f>
        <v>5.3641366666666482E-2</v>
      </c>
    </row>
    <row r="6743" spans="1:12">
      <c r="A6743" s="22">
        <v>40315.314583333333</v>
      </c>
      <c r="E6743" s="26">
        <v>155.59935300000001</v>
      </c>
      <c r="G6743" s="27">
        <v>0.31458333333333333</v>
      </c>
      <c r="J6743" s="30">
        <f>IF(G6743&lt;$H$10,$H$16,IF(G6743&gt;$I$10,$H$16,$H$11))*E6743/600</f>
        <v>5.1866451000000001E-2</v>
      </c>
      <c r="L6743" s="32">
        <f>$J6743*($G6743-$G6742)*60*24</f>
        <v>5.1866450999999814E-2</v>
      </c>
    </row>
    <row r="6744" spans="1:12">
      <c r="A6744" s="22">
        <v>40315.31527777778</v>
      </c>
      <c r="E6744" s="26">
        <v>155.04216</v>
      </c>
      <c r="G6744" s="27">
        <v>0.31527777777777777</v>
      </c>
      <c r="J6744" s="30">
        <f>IF(G6744&lt;$H$10,$H$16,IF(G6744&gt;$I$10,$H$16,$H$11))*E6744/600</f>
        <v>5.1680719999999999E-2</v>
      </c>
      <c r="L6744" s="32">
        <f>$J6744*($G6744-$G6743)*60*24</f>
        <v>5.1680719999999812E-2</v>
      </c>
    </row>
    <row r="6745" spans="1:12">
      <c r="A6745" s="22">
        <v>40315.315972222219</v>
      </c>
      <c r="E6745" s="26">
        <v>155.860705</v>
      </c>
      <c r="G6745" s="27">
        <v>0.31597222222222221</v>
      </c>
      <c r="J6745" s="30">
        <f>IF(G6745&lt;$H$10,$H$16,IF(G6745&gt;$I$10,$H$16,$H$11))*E6745/600</f>
        <v>5.1953568333333332E-2</v>
      </c>
      <c r="L6745" s="32">
        <f>$J6745*($G6745-$G6744)*60*24</f>
        <v>5.1953568333333144E-2</v>
      </c>
    </row>
    <row r="6746" spans="1:12">
      <c r="A6746" s="22">
        <v>40315.316666666666</v>
      </c>
      <c r="E6746" s="26">
        <v>154.76615699999999</v>
      </c>
      <c r="G6746" s="27">
        <v>0.31666666666666665</v>
      </c>
      <c r="J6746" s="30">
        <f>IF(G6746&lt;$H$10,$H$16,IF(G6746&gt;$I$10,$H$16,$H$11))*E6746/600</f>
        <v>5.1588718999999998E-2</v>
      </c>
      <c r="L6746" s="32">
        <f>$J6746*($G6746-$G6745)*60*24</f>
        <v>5.1588718999999818E-2</v>
      </c>
    </row>
    <row r="6747" spans="1:12">
      <c r="A6747" s="22">
        <v>40315.317361111112</v>
      </c>
      <c r="E6747" s="26">
        <v>154.65568300000001</v>
      </c>
      <c r="G6747" s="27">
        <v>0.31736111111111115</v>
      </c>
      <c r="J6747" s="30">
        <f>IF(G6747&lt;$H$10,$H$16,IF(G6747&gt;$I$10,$H$16,$H$11))*E6747/600</f>
        <v>5.1551894333333334E-2</v>
      </c>
      <c r="L6747" s="32">
        <f>$J6747*($G6747-$G6746)*60*24</f>
        <v>5.1551894333337275E-2</v>
      </c>
    </row>
    <row r="6748" spans="1:12">
      <c r="A6748" s="22">
        <v>40315.318055555559</v>
      </c>
      <c r="E6748" s="26">
        <v>152.67251999999999</v>
      </c>
      <c r="G6748" s="27">
        <v>0.31805555555555554</v>
      </c>
      <c r="J6748" s="30">
        <f>IF(G6748&lt;$H$10,$H$16,IF(G6748&gt;$I$10,$H$16,$H$11))*E6748/600</f>
        <v>5.089084E-2</v>
      </c>
      <c r="L6748" s="32">
        <f>$J6748*($G6748-$G6747)*60*24</f>
        <v>5.089083999999576E-2</v>
      </c>
    </row>
    <row r="6749" spans="1:12">
      <c r="A6749" s="22">
        <v>40315.318749999999</v>
      </c>
      <c r="E6749" s="26">
        <v>152.80228600000001</v>
      </c>
      <c r="G6749" s="27">
        <v>0.31875000000000003</v>
      </c>
      <c r="J6749" s="30">
        <f>IF(G6749&lt;$H$10,$H$16,IF(G6749&gt;$I$10,$H$16,$H$11))*E6749/600</f>
        <v>5.0934095333333339E-2</v>
      </c>
      <c r="L6749" s="32">
        <f>$J6749*($G6749-$G6748)*60*24</f>
        <v>5.0934095333337225E-2</v>
      </c>
    </row>
    <row r="6750" spans="1:12">
      <c r="A6750" s="22">
        <v>40315.319444444445</v>
      </c>
      <c r="E6750" s="26">
        <v>152.59244000000001</v>
      </c>
      <c r="G6750" s="27">
        <v>0.31944444444444448</v>
      </c>
      <c r="J6750" s="30">
        <f>IF(G6750&lt;$H$10,$H$16,IF(G6750&gt;$I$10,$H$16,$H$11))*E6750/600</f>
        <v>5.0864146666666672E-2</v>
      </c>
      <c r="L6750" s="32">
        <f>$J6750*($G6750-$G6749)*60*24</f>
        <v>5.0864146666666485E-2</v>
      </c>
    </row>
    <row r="6751" spans="1:12">
      <c r="A6751" s="22">
        <v>40315.320138888892</v>
      </c>
      <c r="E6751" s="26">
        <v>152.59244000000001</v>
      </c>
      <c r="G6751" s="27">
        <v>0.32013888888888892</v>
      </c>
      <c r="J6751" s="30">
        <f>IF(G6751&lt;$H$10,$H$16,IF(G6751&gt;$I$10,$H$16,$H$11))*E6751/600</f>
        <v>5.0864146666666672E-2</v>
      </c>
      <c r="L6751" s="32">
        <f>$J6751*($G6751-$G6750)*60*24</f>
        <v>5.0864146666666485E-2</v>
      </c>
    </row>
    <row r="6752" spans="1:12">
      <c r="A6752" s="22">
        <v>40315.320833333331</v>
      </c>
      <c r="E6752" s="26">
        <v>151.987472</v>
      </c>
      <c r="G6752" s="27">
        <v>0.32083333333333336</v>
      </c>
      <c r="J6752" s="30">
        <f>IF(G6752&lt;$H$10,$H$16,IF(G6752&gt;$I$10,$H$16,$H$11))*E6752/600</f>
        <v>5.0662490666666664E-2</v>
      </c>
      <c r="L6752" s="32">
        <f>$J6752*($G6752-$G6751)*60*24</f>
        <v>5.066249066666649E-2</v>
      </c>
    </row>
    <row r="6753" spans="1:12">
      <c r="A6753" s="22">
        <v>40315.321527777778</v>
      </c>
      <c r="E6753" s="26">
        <v>152.39970199999999</v>
      </c>
      <c r="G6753" s="27">
        <v>0.3215277777777778</v>
      </c>
      <c r="J6753" s="30">
        <f>IF(G6753&lt;$H$10,$H$16,IF(G6753&gt;$I$10,$H$16,$H$11))*E6753/600</f>
        <v>5.0799900666666668E-2</v>
      </c>
      <c r="L6753" s="32">
        <f>$J6753*($G6753-$G6752)*60*24</f>
        <v>5.0799900666666488E-2</v>
      </c>
    </row>
    <row r="6754" spans="1:12">
      <c r="A6754" s="22">
        <v>40315.322222222225</v>
      </c>
      <c r="E6754" s="26">
        <v>163.83111600000001</v>
      </c>
      <c r="G6754" s="27">
        <v>0.32222222222222224</v>
      </c>
      <c r="J6754" s="30">
        <f>IF(G6754&lt;$H$10,$H$16,IF(G6754&gt;$I$10,$H$16,$H$11))*E6754/600</f>
        <v>5.4610372000000011E-2</v>
      </c>
      <c r="L6754" s="32">
        <f>$J6754*($G6754-$G6753)*60*24</f>
        <v>5.4610371999999824E-2</v>
      </c>
    </row>
    <row r="6755" spans="1:12">
      <c r="A6755" s="22">
        <v>40315.322916666664</v>
      </c>
      <c r="E6755" s="26">
        <v>175.389816</v>
      </c>
      <c r="G6755" s="27">
        <v>0.32291666666666669</v>
      </c>
      <c r="J6755" s="30">
        <f>IF(G6755&lt;$H$10,$H$16,IF(G6755&gt;$I$10,$H$16,$H$11))*E6755/600</f>
        <v>5.8463271999999997E-2</v>
      </c>
      <c r="L6755" s="32">
        <f>$J6755*($G6755-$G6754)*60*24</f>
        <v>5.8463271999999795E-2</v>
      </c>
    </row>
    <row r="6756" spans="1:12">
      <c r="A6756" s="22">
        <v>40315.323611111111</v>
      </c>
      <c r="E6756" s="26">
        <v>168.22752</v>
      </c>
      <c r="G6756" s="27">
        <v>0.32361111111111113</v>
      </c>
      <c r="J6756" s="30">
        <f>IF(G6756&lt;$H$10,$H$16,IF(G6756&gt;$I$10,$H$16,$H$11))*E6756/600</f>
        <v>5.6075840000000002E-2</v>
      </c>
      <c r="L6756" s="32">
        <f>$J6756*($G6756-$G6755)*60*24</f>
        <v>5.6075839999999794E-2</v>
      </c>
    </row>
    <row r="6757" spans="1:12">
      <c r="A6757" s="22">
        <v>40315.324305555558</v>
      </c>
      <c r="E6757" s="26">
        <v>152.66378399999999</v>
      </c>
      <c r="G6757" s="27">
        <v>0.32430555555555557</v>
      </c>
      <c r="J6757" s="30">
        <f>IF(G6757&lt;$H$10,$H$16,IF(G6757&gt;$I$10,$H$16,$H$11))*E6757/600</f>
        <v>5.0887927999999999E-2</v>
      </c>
      <c r="L6757" s="32">
        <f>$J6757*($G6757-$G6756)*60*24</f>
        <v>5.0887927999999812E-2</v>
      </c>
    </row>
    <row r="6758" spans="1:12">
      <c r="A6758" s="22">
        <v>40315.324999999997</v>
      </c>
      <c r="E6758" s="26">
        <v>152.924226</v>
      </c>
      <c r="G6758" s="27">
        <v>0.32500000000000001</v>
      </c>
      <c r="J6758" s="30">
        <f>IF(G6758&lt;$H$10,$H$16,IF(G6758&gt;$I$10,$H$16,$H$11))*E6758/600</f>
        <v>5.0974742000000003E-2</v>
      </c>
      <c r="L6758" s="32">
        <f>$J6758*($G6758-$G6757)*60*24</f>
        <v>5.0974741999999823E-2</v>
      </c>
    </row>
    <row r="6759" spans="1:12">
      <c r="A6759" s="22">
        <v>40315.325694444444</v>
      </c>
      <c r="E6759" s="26">
        <v>153.693085</v>
      </c>
      <c r="G6759" s="27">
        <v>0.32569444444444445</v>
      </c>
      <c r="J6759" s="30">
        <f>IF(G6759&lt;$H$10,$H$16,IF(G6759&gt;$I$10,$H$16,$H$11))*E6759/600</f>
        <v>5.1231028333333338E-2</v>
      </c>
      <c r="L6759" s="32">
        <f>$J6759*($G6759-$G6758)*60*24</f>
        <v>5.1231028333333151E-2</v>
      </c>
    </row>
    <row r="6760" spans="1:12">
      <c r="A6760" s="22">
        <v>40315.326388888891</v>
      </c>
      <c r="E6760" s="26">
        <v>159.875024</v>
      </c>
      <c r="G6760" s="27">
        <v>0.3263888888888889</v>
      </c>
      <c r="J6760" s="30">
        <f>IF(G6760&lt;$H$10,$H$16,IF(G6760&gt;$I$10,$H$16,$H$11))*E6760/600</f>
        <v>5.329167466666667E-2</v>
      </c>
      <c r="L6760" s="32">
        <f>$J6760*($G6760-$G6759)*60*24</f>
        <v>5.3291674666666483E-2</v>
      </c>
    </row>
    <row r="6761" spans="1:12">
      <c r="A6761" s="22">
        <v>40315.32708333333</v>
      </c>
      <c r="E6761" s="26">
        <v>167.268328</v>
      </c>
      <c r="G6761" s="27">
        <v>0.32708333333333334</v>
      </c>
      <c r="J6761" s="30">
        <f>IF(G6761&lt;$H$10,$H$16,IF(G6761&gt;$I$10,$H$16,$H$11))*E6761/600</f>
        <v>5.5756109333333331E-2</v>
      </c>
      <c r="L6761" s="32">
        <f>$J6761*($G6761-$G6760)*60*24</f>
        <v>5.5756109333333137E-2</v>
      </c>
    </row>
    <row r="6762" spans="1:12">
      <c r="A6762" s="22">
        <v>40315.327777777777</v>
      </c>
      <c r="E6762" s="26">
        <v>153.865712</v>
      </c>
      <c r="G6762" s="27">
        <v>0.32777777777777778</v>
      </c>
      <c r="J6762" s="30">
        <f>IF(G6762&lt;$H$10,$H$16,IF(G6762&gt;$I$10,$H$16,$H$11))*E6762/600</f>
        <v>5.1288570666666672E-2</v>
      </c>
      <c r="L6762" s="32">
        <f>$J6762*($G6762-$G6761)*60*24</f>
        <v>5.1288570666666491E-2</v>
      </c>
    </row>
    <row r="6763" spans="1:12">
      <c r="A6763" s="22">
        <v>40315.328472222223</v>
      </c>
      <c r="E6763" s="26">
        <v>154.09375800000001</v>
      </c>
      <c r="G6763" s="27">
        <v>0.32847222222222222</v>
      </c>
      <c r="J6763" s="30">
        <f>IF(G6763&lt;$H$10,$H$16,IF(G6763&gt;$I$10,$H$16,$H$11))*E6763/600</f>
        <v>5.1364586000000004E-2</v>
      </c>
      <c r="L6763" s="32">
        <f>$J6763*($G6763-$G6762)*60*24</f>
        <v>5.1364585999999823E-2</v>
      </c>
    </row>
    <row r="6764" spans="1:12">
      <c r="A6764" s="22">
        <v>40315.32916666667</v>
      </c>
      <c r="E6764" s="26">
        <v>154.11177599999999</v>
      </c>
      <c r="G6764" s="27">
        <v>0.32916666666666666</v>
      </c>
      <c r="J6764" s="30">
        <f>IF(G6764&lt;$H$10,$H$16,IF(G6764&gt;$I$10,$H$16,$H$11))*E6764/600</f>
        <v>5.1370592E-2</v>
      </c>
      <c r="L6764" s="32">
        <f>$J6764*($G6764-$G6763)*60*24</f>
        <v>5.1370591999999812E-2</v>
      </c>
    </row>
    <row r="6765" spans="1:12">
      <c r="A6765" s="22">
        <v>40315.329861111109</v>
      </c>
      <c r="E6765" s="26">
        <v>159.48760100000001</v>
      </c>
      <c r="G6765" s="27">
        <v>0.3298611111111111</v>
      </c>
      <c r="J6765" s="30">
        <f>IF(G6765&lt;$H$10,$H$16,IF(G6765&gt;$I$10,$H$16,$H$11))*E6765/600</f>
        <v>5.3162533666666671E-2</v>
      </c>
      <c r="L6765" s="32">
        <f>$J6765*($G6765-$G6764)*60*24</f>
        <v>5.3162533666666484E-2</v>
      </c>
    </row>
    <row r="6766" spans="1:12">
      <c r="A6766" s="22">
        <v>40315.330555555556</v>
      </c>
      <c r="E6766" s="26">
        <v>166.59580800000001</v>
      </c>
      <c r="G6766" s="27">
        <v>0.33055555555555555</v>
      </c>
      <c r="J6766" s="30">
        <f>IF(G6766&lt;$H$10,$H$16,IF(G6766&gt;$I$10,$H$16,$H$11))*E6766/600</f>
        <v>5.5531936000000004E-2</v>
      </c>
      <c r="L6766" s="32">
        <f>$J6766*($G6766-$G6765)*60*24</f>
        <v>5.553193599999981E-2</v>
      </c>
    </row>
    <row r="6767" spans="1:12">
      <c r="A6767" s="22">
        <v>40315.331250000003</v>
      </c>
      <c r="E6767" s="26">
        <v>154.30142000000001</v>
      </c>
      <c r="G6767" s="27">
        <v>0.33124999999999999</v>
      </c>
      <c r="J6767" s="30">
        <f>IF(G6767&lt;$H$10,$H$16,IF(G6767&gt;$I$10,$H$16,$H$11))*E6767/600</f>
        <v>5.1433806666666672E-2</v>
      </c>
      <c r="L6767" s="32">
        <f>$J6767*($G6767-$G6766)*60*24</f>
        <v>5.1433806666666484E-2</v>
      </c>
    </row>
    <row r="6768" spans="1:12">
      <c r="A6768" s="22">
        <v>40315.331944444442</v>
      </c>
      <c r="E6768" s="26">
        <v>154.70819</v>
      </c>
      <c r="G6768" s="27">
        <v>0.33194444444444443</v>
      </c>
      <c r="J6768" s="30">
        <f>IF(G6768&lt;$H$10,$H$16,IF(G6768&gt;$I$10,$H$16,$H$11))*E6768/600</f>
        <v>5.156939666666667E-2</v>
      </c>
      <c r="L6768" s="32">
        <f>$J6768*($G6768-$G6767)*60*24</f>
        <v>5.1569396666666489E-2</v>
      </c>
    </row>
    <row r="6769" spans="1:12">
      <c r="A6769" s="22">
        <v>40315.332638888889</v>
      </c>
      <c r="E6769" s="26">
        <v>157.33190200000001</v>
      </c>
      <c r="G6769" s="27">
        <v>0.33263888888888887</v>
      </c>
      <c r="J6769" s="30">
        <f>IF(G6769&lt;$H$10,$H$16,IF(G6769&gt;$I$10,$H$16,$H$11))*E6769/600</f>
        <v>5.2443967333333341E-2</v>
      </c>
      <c r="L6769" s="32">
        <f>$J6769*($G6769-$G6768)*60*24</f>
        <v>5.2443967333333154E-2</v>
      </c>
    </row>
    <row r="6770" spans="1:12">
      <c r="A6770" s="22">
        <v>40315.333333333336</v>
      </c>
      <c r="E6770" s="26">
        <v>166.1842</v>
      </c>
      <c r="G6770" s="27">
        <v>0.33333333333333331</v>
      </c>
      <c r="J6770" s="30">
        <f>IF(G6770&lt;$H$10,$H$16,IF(G6770&gt;$I$10,$H$16,$H$11))*E6770/600</f>
        <v>5.5394733333333335E-2</v>
      </c>
      <c r="L6770" s="32">
        <f>$J6770*($G6770-$G6769)*60*24</f>
        <v>5.539473333333314E-2</v>
      </c>
    </row>
    <row r="6771" spans="1:12">
      <c r="A6771" s="22">
        <v>40315.334027777775</v>
      </c>
      <c r="E6771" s="26">
        <v>157.19977</v>
      </c>
      <c r="G6771" s="27">
        <v>0.33402777777777781</v>
      </c>
      <c r="J6771" s="30">
        <f>IF(G6771&lt;$H$10,$H$16,IF(G6771&gt;$I$10,$H$16,$H$11))*E6771/600</f>
        <v>5.2399923333333334E-2</v>
      </c>
      <c r="L6771" s="32">
        <f>$J6771*($G6771-$G6770)*60*24</f>
        <v>5.2399923333337331E-2</v>
      </c>
    </row>
    <row r="6772" spans="1:12">
      <c r="A6772" s="22">
        <v>40315.334722222222</v>
      </c>
      <c r="E6772" s="26">
        <v>170.22944000000001</v>
      </c>
      <c r="G6772" s="27">
        <v>0.3347222222222222</v>
      </c>
      <c r="J6772" s="30">
        <f>IF(G6772&lt;$H$10,$H$16,IF(G6772&gt;$I$10,$H$16,$H$11))*E6772/600</f>
        <v>5.6743146666666675E-2</v>
      </c>
      <c r="L6772" s="32">
        <f>$J6772*($G6772-$G6771)*60*24</f>
        <v>5.6743146666661942E-2</v>
      </c>
    </row>
    <row r="6773" spans="1:12">
      <c r="A6773" s="22">
        <v>40315.335416666669</v>
      </c>
      <c r="E6773" s="26">
        <v>158.64940000000001</v>
      </c>
      <c r="G6773" s="27">
        <v>0.3354166666666667</v>
      </c>
      <c r="J6773" s="30">
        <f>IF(G6773&lt;$H$10,$H$16,IF(G6773&gt;$I$10,$H$16,$H$11))*E6773/600</f>
        <v>5.2883133333333339E-2</v>
      </c>
      <c r="L6773" s="32">
        <f>$J6773*($G6773-$G6772)*60*24</f>
        <v>5.2883133333337384E-2</v>
      </c>
    </row>
    <row r="6774" spans="1:12">
      <c r="A6774" s="22">
        <v>40315.336111111108</v>
      </c>
      <c r="E6774" s="26">
        <v>152.37039999999999</v>
      </c>
      <c r="G6774" s="27">
        <v>0.33611111111111108</v>
      </c>
      <c r="J6774" s="30">
        <f>IF(G6774&lt;$H$10,$H$16,IF(G6774&gt;$I$10,$H$16,$H$11))*E6774/600</f>
        <v>5.0790133333333334E-2</v>
      </c>
      <c r="L6774" s="32">
        <f>$J6774*($G6774-$G6773)*60*24</f>
        <v>5.0790133333329102E-2</v>
      </c>
    </row>
    <row r="6775" spans="1:12">
      <c r="A6775" s="22">
        <v>40315.336805555555</v>
      </c>
      <c r="E6775" s="26">
        <v>152.060272</v>
      </c>
      <c r="G6775" s="27">
        <v>0.33680555555555558</v>
      </c>
      <c r="J6775" s="30">
        <f>IF(G6775&lt;$H$10,$H$16,IF(G6775&gt;$I$10,$H$16,$H$11))*E6775/600</f>
        <v>5.0686757333333339E-2</v>
      </c>
      <c r="L6775" s="32">
        <f>$J6775*($G6775-$G6774)*60*24</f>
        <v>5.0686757333337204E-2</v>
      </c>
    </row>
    <row r="6776" spans="1:12">
      <c r="A6776" s="22">
        <v>40315.337500000001</v>
      </c>
      <c r="E6776" s="26">
        <v>155.15873099999999</v>
      </c>
      <c r="G6776" s="27">
        <v>0.33749999999999997</v>
      </c>
      <c r="J6776" s="30">
        <f>IF(G6776&lt;$H$10,$H$16,IF(G6776&gt;$I$10,$H$16,$H$11))*E6776/600</f>
        <v>5.1719577000000003E-2</v>
      </c>
      <c r="L6776" s="32">
        <f>$J6776*($G6776-$G6775)*60*24</f>
        <v>5.171957699999568E-2</v>
      </c>
    </row>
    <row r="6777" spans="1:12">
      <c r="A6777" s="22">
        <v>40315.338194444441</v>
      </c>
      <c r="E6777" s="26">
        <v>158.646761</v>
      </c>
      <c r="G6777" s="27">
        <v>0.33819444444444446</v>
      </c>
      <c r="J6777" s="30">
        <f>IF(G6777&lt;$H$10,$H$16,IF(G6777&gt;$I$10,$H$16,$H$11))*E6777/600</f>
        <v>5.288225366666667E-2</v>
      </c>
      <c r="L6777" s="32">
        <f>$J6777*($G6777-$G6776)*60*24</f>
        <v>5.2882253666670709E-2</v>
      </c>
    </row>
    <row r="6778" spans="1:12">
      <c r="A6778" s="22">
        <v>40315.338888888888</v>
      </c>
      <c r="E6778" s="26">
        <v>178.27616399999999</v>
      </c>
      <c r="G6778" s="27">
        <v>0.33888888888888885</v>
      </c>
      <c r="J6778" s="30">
        <f>IF(G6778&lt;$H$10,$H$16,IF(G6778&gt;$I$10,$H$16,$H$11))*E6778/600</f>
        <v>5.9425388000000003E-2</v>
      </c>
      <c r="L6778" s="32">
        <f>$J6778*($G6778-$G6777)*60*24</f>
        <v>5.9425387999995041E-2</v>
      </c>
    </row>
    <row r="6779" spans="1:12">
      <c r="A6779" s="22">
        <v>40315.339583333334</v>
      </c>
      <c r="E6779" s="26">
        <v>176.20428799999999</v>
      </c>
      <c r="G6779" s="27">
        <v>0.33958333333333335</v>
      </c>
      <c r="J6779" s="30">
        <f>IF(G6779&lt;$H$10,$H$16,IF(G6779&gt;$I$10,$H$16,$H$11))*E6779/600</f>
        <v>5.8734762666666662E-2</v>
      </c>
      <c r="L6779" s="32">
        <f>$J6779*($G6779-$G6778)*60*24</f>
        <v>5.8734762666671145E-2</v>
      </c>
    </row>
    <row r="6780" spans="1:12">
      <c r="A6780" s="22">
        <v>40315.340277777781</v>
      </c>
      <c r="E6780" s="26">
        <v>176.48415199999999</v>
      </c>
      <c r="G6780" s="27">
        <v>0.34027777777777773</v>
      </c>
      <c r="J6780" s="30">
        <f>IF(G6780&lt;$H$10,$H$16,IF(G6780&gt;$I$10,$H$16,$H$11))*E6780/600</f>
        <v>5.8828050666666659E-2</v>
      </c>
      <c r="L6780" s="32">
        <f>$J6780*($G6780-$G6779)*60*24</f>
        <v>5.8828050666661746E-2</v>
      </c>
    </row>
    <row r="6781" spans="1:12">
      <c r="A6781" s="22">
        <v>40315.34097222222</v>
      </c>
      <c r="E6781" s="26">
        <v>175.38530399999999</v>
      </c>
      <c r="G6781" s="27">
        <v>0.34097222222222223</v>
      </c>
      <c r="J6781" s="30">
        <f>IF(G6781&lt;$H$10,$H$16,IF(G6781&gt;$I$10,$H$16,$H$11))*E6781/600</f>
        <v>5.8461767999999997E-2</v>
      </c>
      <c r="L6781" s="32">
        <f>$J6781*($G6781-$G6780)*60*24</f>
        <v>5.8461768000004466E-2</v>
      </c>
    </row>
    <row r="6782" spans="1:12">
      <c r="A6782" s="22">
        <v>40315.341666666667</v>
      </c>
      <c r="E6782" s="26">
        <v>182.72788800000001</v>
      </c>
      <c r="G6782" s="27">
        <v>0.34166666666666662</v>
      </c>
      <c r="J6782" s="30">
        <f>IF(G6782&lt;$H$10,$H$16,IF(G6782&gt;$I$10,$H$16,$H$11))*E6782/600</f>
        <v>6.0909296000000002E-2</v>
      </c>
      <c r="L6782" s="32">
        <f>$J6782*($G6782-$G6781)*60*24</f>
        <v>6.0909295999994915E-2</v>
      </c>
    </row>
    <row r="6783" spans="1:12">
      <c r="A6783" s="22">
        <v>40315.342361111114</v>
      </c>
      <c r="E6783" s="26">
        <v>183.26022</v>
      </c>
      <c r="G6783" s="27">
        <v>0.34236111111111112</v>
      </c>
      <c r="J6783" s="30">
        <f>IF(G6783&lt;$H$10,$H$16,IF(G6783&gt;$I$10,$H$16,$H$11))*E6783/600</f>
        <v>6.1086740000000007E-2</v>
      </c>
      <c r="L6783" s="32">
        <f>$J6783*($G6783-$G6782)*60*24</f>
        <v>6.1086740000004677E-2</v>
      </c>
    </row>
    <row r="6784" spans="1:12">
      <c r="A6784" s="22">
        <v>40315.343055555553</v>
      </c>
      <c r="E6784" s="26">
        <v>184.26871199999999</v>
      </c>
      <c r="G6784" s="27">
        <v>0.3430555555555555</v>
      </c>
      <c r="J6784" s="30">
        <f>IF(G6784&lt;$H$10,$H$16,IF(G6784&gt;$I$10,$H$16,$H$11))*E6784/600</f>
        <v>6.1422904E-2</v>
      </c>
      <c r="L6784" s="32">
        <f>$J6784*($G6784-$G6783)*60*24</f>
        <v>6.1422903999994879E-2</v>
      </c>
    </row>
    <row r="6785" spans="1:12">
      <c r="A6785" s="22">
        <v>40315.34375</v>
      </c>
      <c r="E6785" s="26">
        <v>182.8845</v>
      </c>
      <c r="G6785" s="27">
        <v>0.34375</v>
      </c>
      <c r="J6785" s="30">
        <f>IF(G6785&lt;$H$10,$H$16,IF(G6785&gt;$I$10,$H$16,$H$11))*E6785/600</f>
        <v>6.0961500000000002E-2</v>
      </c>
      <c r="L6785" s="32">
        <f>$J6785*($G6785-$G6784)*60*24</f>
        <v>6.0961500000004658E-2</v>
      </c>
    </row>
    <row r="6786" spans="1:12">
      <c r="A6786" s="22">
        <v>40315.344444444447</v>
      </c>
      <c r="E6786" s="26">
        <v>182.98828800000001</v>
      </c>
      <c r="G6786" s="27">
        <v>0.3444444444444445</v>
      </c>
      <c r="J6786" s="30">
        <f>IF(G6786&lt;$H$10,$H$16,IF(G6786&gt;$I$10,$H$16,$H$11))*E6786/600</f>
        <v>6.0996096000000007E-2</v>
      </c>
      <c r="L6786" s="32">
        <f>$J6786*($G6786-$G6785)*60*24</f>
        <v>6.0996096000004676E-2</v>
      </c>
    </row>
    <row r="6787" spans="1:12">
      <c r="A6787" s="22">
        <v>40315.345138888886</v>
      </c>
      <c r="E6787" s="26">
        <v>182.46190799999999</v>
      </c>
      <c r="G6787" s="27">
        <v>0.34513888888888888</v>
      </c>
      <c r="J6787" s="30">
        <f>IF(G6787&lt;$H$10,$H$16,IF(G6787&gt;$I$10,$H$16,$H$11))*E6787/600</f>
        <v>6.0820636000000004E-2</v>
      </c>
      <c r="L6787" s="32">
        <f>$J6787*($G6787-$G6786)*60*24</f>
        <v>6.0820635999994918E-2</v>
      </c>
    </row>
    <row r="6788" spans="1:12">
      <c r="A6788" s="22">
        <v>40315.345833333333</v>
      </c>
      <c r="E6788" s="26">
        <v>181.646916</v>
      </c>
      <c r="G6788" s="27">
        <v>0.34583333333333338</v>
      </c>
      <c r="J6788" s="30">
        <f>IF(G6788&lt;$H$10,$H$16,IF(G6788&gt;$I$10,$H$16,$H$11))*E6788/600</f>
        <v>6.0548972000000006E-2</v>
      </c>
      <c r="L6788" s="32">
        <f>$J6788*($G6788-$G6787)*60*24</f>
        <v>6.0548972000004628E-2</v>
      </c>
    </row>
    <row r="6789" spans="1:12">
      <c r="A6789" s="22">
        <v>40315.34652777778</v>
      </c>
      <c r="E6789" s="26">
        <v>182.26355599999999</v>
      </c>
      <c r="G6789" s="27">
        <v>0.34652777777777777</v>
      </c>
      <c r="J6789" s="30">
        <f>IF(G6789&lt;$H$10,$H$16,IF(G6789&gt;$I$10,$H$16,$H$11))*E6789/600</f>
        <v>6.0754518666666674E-2</v>
      </c>
      <c r="L6789" s="32">
        <f>$J6789*($G6789-$G6788)*60*24</f>
        <v>6.0754518666661594E-2</v>
      </c>
    </row>
    <row r="6790" spans="1:12">
      <c r="A6790" s="22">
        <v>40315.347222222219</v>
      </c>
      <c r="E6790" s="26">
        <v>180.89299800000001</v>
      </c>
      <c r="G6790" s="27">
        <v>0.34722222222222227</v>
      </c>
      <c r="J6790" s="30">
        <f>IF(G6790&lt;$H$10,$H$16,IF(G6790&gt;$I$10,$H$16,$H$11))*E6790/600</f>
        <v>6.0297666000000007E-2</v>
      </c>
      <c r="L6790" s="32">
        <f>$J6790*($G6790-$G6789)*60*24</f>
        <v>6.0297666000004607E-2</v>
      </c>
    </row>
    <row r="6791" spans="1:12">
      <c r="A6791" s="22">
        <v>40315.347916666666</v>
      </c>
      <c r="E6791" s="26">
        <v>180.968886</v>
      </c>
      <c r="G6791" s="27">
        <v>0.34791666666666665</v>
      </c>
      <c r="J6791" s="30">
        <f>IF(G6791&lt;$H$10,$H$16,IF(G6791&gt;$I$10,$H$16,$H$11))*E6791/600</f>
        <v>6.0322962000000001E-2</v>
      </c>
      <c r="L6791" s="32">
        <f>$J6791*($G6791-$G6790)*60*24</f>
        <v>6.032296199999497E-2</v>
      </c>
    </row>
    <row r="6792" spans="1:12">
      <c r="A6792" s="22">
        <v>40315.348611111112</v>
      </c>
      <c r="E6792" s="26">
        <v>181.93534199999999</v>
      </c>
      <c r="G6792" s="27">
        <v>0.34861111111111115</v>
      </c>
      <c r="J6792" s="30">
        <f>IF(G6792&lt;$H$10,$H$16,IF(G6792&gt;$I$10,$H$16,$H$11))*E6792/600</f>
        <v>6.0645113999999993E-2</v>
      </c>
      <c r="L6792" s="32">
        <f>$J6792*($G6792-$G6791)*60*24</f>
        <v>6.0645114000004621E-2</v>
      </c>
    </row>
    <row r="6793" spans="1:12">
      <c r="A6793" s="22">
        <v>40315.349305555559</v>
      </c>
      <c r="E6793" s="26">
        <v>179.13808800000001</v>
      </c>
      <c r="G6793" s="27">
        <v>0.34930555555555554</v>
      </c>
      <c r="J6793" s="30">
        <f>IF(G6793&lt;$H$10,$H$16,IF(G6793&gt;$I$10,$H$16,$H$11))*E6793/600</f>
        <v>5.9712696000000003E-2</v>
      </c>
      <c r="L6793" s="32">
        <f>$J6793*($G6793-$G6792)*60*24</f>
        <v>5.9712695999995014E-2</v>
      </c>
    </row>
    <row r="6794" spans="1:12">
      <c r="A6794" s="22">
        <v>40315.35</v>
      </c>
      <c r="E6794" s="26">
        <v>180.44604000000001</v>
      </c>
      <c r="G6794" s="27">
        <v>0.35000000000000003</v>
      </c>
      <c r="J6794" s="30">
        <f>IF(G6794&lt;$H$10,$H$16,IF(G6794&gt;$I$10,$H$16,$H$11))*E6794/600</f>
        <v>6.014868000000001E-2</v>
      </c>
      <c r="L6794" s="32">
        <f>$J6794*($G6794-$G6793)*60*24</f>
        <v>6.0148680000004603E-2</v>
      </c>
    </row>
    <row r="6795" spans="1:12">
      <c r="A6795" s="22">
        <v>40315.350694444445</v>
      </c>
      <c r="E6795" s="26">
        <v>181.50623999999999</v>
      </c>
      <c r="G6795" s="27">
        <v>0.35069444444444442</v>
      </c>
      <c r="J6795" s="30">
        <f>IF(G6795&lt;$H$10,$H$16,IF(G6795&gt;$I$10,$H$16,$H$11))*E6795/600</f>
        <v>6.050208E-2</v>
      </c>
      <c r="L6795" s="32">
        <f>$J6795*($G6795-$G6794)*60*24</f>
        <v>6.0502079999994948E-2</v>
      </c>
    </row>
    <row r="6796" spans="1:12">
      <c r="A6796" s="22">
        <v>40315.351388888892</v>
      </c>
      <c r="E6796" s="26">
        <v>180.34113600000001</v>
      </c>
      <c r="G6796" s="27">
        <v>0.35138888888888892</v>
      </c>
      <c r="J6796" s="30">
        <f>IF(G6796&lt;$H$10,$H$16,IF(G6796&gt;$I$10,$H$16,$H$11))*E6796/600</f>
        <v>6.0113712000000007E-2</v>
      </c>
      <c r="L6796" s="32">
        <f>$J6796*($G6796-$G6795)*60*24</f>
        <v>6.0113712000004593E-2</v>
      </c>
    </row>
    <row r="6797" spans="1:12">
      <c r="A6797" s="22">
        <v>40315.352083333331</v>
      </c>
      <c r="E6797" s="26">
        <v>181.267416</v>
      </c>
      <c r="G6797" s="27">
        <v>0.3520833333333333</v>
      </c>
      <c r="J6797" s="30">
        <f>IF(G6797&lt;$H$10,$H$16,IF(G6797&gt;$I$10,$H$16,$H$11))*E6797/600</f>
        <v>6.0422471999999998E-2</v>
      </c>
      <c r="L6797" s="32">
        <f>$J6797*($G6797-$G6796)*60*24</f>
        <v>6.0422471999994953E-2</v>
      </c>
    </row>
    <row r="6798" spans="1:12">
      <c r="A6798" s="22">
        <v>40315.352777777778</v>
      </c>
      <c r="E6798" s="26">
        <v>177.31352100000001</v>
      </c>
      <c r="G6798" s="27">
        <v>0.3527777777777778</v>
      </c>
      <c r="J6798" s="30">
        <f>IF(G6798&lt;$H$10,$H$16,IF(G6798&gt;$I$10,$H$16,$H$11))*E6798/600</f>
        <v>5.9104507000000008E-2</v>
      </c>
      <c r="L6798" s="32">
        <f>$J6798*($G6798-$G6797)*60*24</f>
        <v>5.9104507000004525E-2</v>
      </c>
    </row>
    <row r="6799" spans="1:12">
      <c r="A6799" s="22">
        <v>40315.353472222225</v>
      </c>
      <c r="E6799" s="26">
        <v>176.39775</v>
      </c>
      <c r="G6799" s="27">
        <v>0.35347222222222219</v>
      </c>
      <c r="J6799" s="30">
        <f>IF(G6799&lt;$H$10,$H$16,IF(G6799&gt;$I$10,$H$16,$H$11))*E6799/600</f>
        <v>5.8799249999999997E-2</v>
      </c>
      <c r="L6799" s="32">
        <f>$J6799*($G6799-$G6798)*60*24</f>
        <v>5.8799249999995085E-2</v>
      </c>
    </row>
    <row r="6800" spans="1:12">
      <c r="A6800" s="22">
        <v>40315.354166666664</v>
      </c>
      <c r="E6800" s="26">
        <v>172.357551</v>
      </c>
      <c r="G6800" s="27">
        <v>0.35416666666666669</v>
      </c>
      <c r="J6800" s="30">
        <f>IF(G6800&lt;$H$10,$H$16,IF(G6800&gt;$I$10,$H$16,$H$11))*E6800/600</f>
        <v>6.319776869999999E-2</v>
      </c>
      <c r="L6800" s="32">
        <f>$J6800*($G6800-$G6799)*60*24</f>
        <v>6.3197768700004819E-2</v>
      </c>
    </row>
    <row r="6801" spans="1:12">
      <c r="A6801" s="22">
        <v>40315.354861111111</v>
      </c>
      <c r="E6801" s="26">
        <v>172.12681799999999</v>
      </c>
      <c r="G6801" s="27">
        <v>0.35486111111111113</v>
      </c>
      <c r="J6801" s="30">
        <f>IF(G6801&lt;$H$10,$H$16,IF(G6801&gt;$I$10,$H$16,$H$11))*E6801/600</f>
        <v>6.3113166599999992E-2</v>
      </c>
      <c r="L6801" s="32">
        <f>$J6801*($G6801-$G6800)*60*24</f>
        <v>6.311316659999977E-2</v>
      </c>
    </row>
    <row r="6802" spans="1:12">
      <c r="A6802" s="22">
        <v>40315.355555555558</v>
      </c>
      <c r="E6802" s="26">
        <v>170.85681</v>
      </c>
      <c r="G6802" s="27">
        <v>0.35555555555555557</v>
      </c>
      <c r="J6802" s="30">
        <f>IF(G6802&lt;$H$10,$H$16,IF(G6802&gt;$I$10,$H$16,$H$11))*E6802/600</f>
        <v>6.2647496999999996E-2</v>
      </c>
      <c r="L6802" s="32">
        <f>$J6802*($G6802-$G6801)*60*24</f>
        <v>6.2647496999999774E-2</v>
      </c>
    </row>
    <row r="6803" spans="1:12">
      <c r="A6803" s="22">
        <v>40315.356249999997</v>
      </c>
      <c r="E6803" s="26">
        <v>167.05571399999999</v>
      </c>
      <c r="G6803" s="27">
        <v>0.35625000000000001</v>
      </c>
      <c r="J6803" s="30">
        <f>IF(G6803&lt;$H$10,$H$16,IF(G6803&gt;$I$10,$H$16,$H$11))*E6803/600</f>
        <v>6.1253761800000001E-2</v>
      </c>
      <c r="L6803" s="32">
        <f>$J6803*($G6803-$G6802)*60*24</f>
        <v>6.1253761799999779E-2</v>
      </c>
    </row>
    <row r="6804" spans="1:12">
      <c r="A6804" s="22">
        <v>40315.356944444444</v>
      </c>
      <c r="E6804" s="26">
        <v>173.070954</v>
      </c>
      <c r="G6804" s="27">
        <v>0.35694444444444445</v>
      </c>
      <c r="J6804" s="30">
        <f>IF(G6804&lt;$H$10,$H$16,IF(G6804&gt;$I$10,$H$16,$H$11))*E6804/600</f>
        <v>6.3459349800000009E-2</v>
      </c>
      <c r="L6804" s="32">
        <f>$J6804*($G6804-$G6803)*60*24</f>
        <v>6.3459349799999787E-2</v>
      </c>
    </row>
    <row r="6805" spans="1:12">
      <c r="A6805" s="22">
        <v>40315.357638888891</v>
      </c>
      <c r="E6805" s="26">
        <v>172.84049999999999</v>
      </c>
      <c r="G6805" s="27">
        <v>0.3576388888888889</v>
      </c>
      <c r="J6805" s="30">
        <f>IF(G6805&lt;$H$10,$H$16,IF(G6805&gt;$I$10,$H$16,$H$11))*E6805/600</f>
        <v>6.3374849999999996E-2</v>
      </c>
      <c r="L6805" s="32">
        <f>$J6805*($G6805-$G6804)*60*24</f>
        <v>6.3374849999999774E-2</v>
      </c>
    </row>
    <row r="6806" spans="1:12">
      <c r="A6806" s="22">
        <v>40315.35833333333</v>
      </c>
      <c r="E6806" s="26">
        <v>173.526096</v>
      </c>
      <c r="G6806" s="27">
        <v>0.35833333333333334</v>
      </c>
      <c r="J6806" s="30">
        <f>IF(G6806&lt;$H$10,$H$16,IF(G6806&gt;$I$10,$H$16,$H$11))*E6806/600</f>
        <v>6.3626235199999992E-2</v>
      </c>
      <c r="L6806" s="32">
        <f>$J6806*($G6806-$G6805)*60*24</f>
        <v>6.362623519999977E-2</v>
      </c>
    </row>
    <row r="6807" spans="1:12">
      <c r="A6807" s="22">
        <v>40315.359027777777</v>
      </c>
      <c r="E6807" s="26">
        <v>172.328721</v>
      </c>
      <c r="G6807" s="27">
        <v>0.35902777777777778</v>
      </c>
      <c r="J6807" s="30">
        <f>IF(G6807&lt;$H$10,$H$16,IF(G6807&gt;$I$10,$H$16,$H$11))*E6807/600</f>
        <v>6.3187197700000003E-2</v>
      </c>
      <c r="L6807" s="32">
        <f>$J6807*($G6807-$G6806)*60*24</f>
        <v>6.3187197699999781E-2</v>
      </c>
    </row>
    <row r="6808" spans="1:12">
      <c r="A6808" s="22">
        <v>40315.359722222223</v>
      </c>
      <c r="E6808" s="26">
        <v>177.35946300000001</v>
      </c>
      <c r="G6808" s="27">
        <v>0.35972222222222222</v>
      </c>
      <c r="J6808" s="30">
        <f>IF(G6808&lt;$H$10,$H$16,IF(G6808&gt;$I$10,$H$16,$H$11))*E6808/600</f>
        <v>6.5031803099999994E-2</v>
      </c>
      <c r="L6808" s="32">
        <f>$J6808*($G6808-$G6807)*60*24</f>
        <v>6.5031803099999758E-2</v>
      </c>
    </row>
    <row r="6809" spans="1:12">
      <c r="A6809" s="22">
        <v>40315.36041666667</v>
      </c>
      <c r="E6809" s="26">
        <v>170.05608000000001</v>
      </c>
      <c r="G6809" s="27">
        <v>0.36041666666666666</v>
      </c>
      <c r="J6809" s="30">
        <f>IF(G6809&lt;$H$10,$H$16,IF(G6809&gt;$I$10,$H$16,$H$11))*E6809/600</f>
        <v>6.2353895999999999E-2</v>
      </c>
      <c r="L6809" s="32">
        <f>$J6809*($G6809-$G6808)*60*24</f>
        <v>6.235389599999977E-2</v>
      </c>
    </row>
    <row r="6810" spans="1:12">
      <c r="A6810" s="22">
        <v>40315.361111111109</v>
      </c>
      <c r="E6810" s="26">
        <v>182.50896599999999</v>
      </c>
      <c r="G6810" s="27">
        <v>0.3611111111111111</v>
      </c>
      <c r="J6810" s="30">
        <f>IF(G6810&lt;$H$10,$H$16,IF(G6810&gt;$I$10,$H$16,$H$11))*E6810/600</f>
        <v>6.6919954199999993E-2</v>
      </c>
      <c r="L6810" s="32">
        <f>$J6810*($G6810-$G6809)*60*24</f>
        <v>6.6919954199999757E-2</v>
      </c>
    </row>
    <row r="6811" spans="1:12">
      <c r="A6811" s="22">
        <v>40315.361805555556</v>
      </c>
      <c r="E6811" s="26">
        <v>182.12571299999999</v>
      </c>
      <c r="G6811" s="27">
        <v>0.36180555555555555</v>
      </c>
      <c r="J6811" s="30">
        <f>IF(G6811&lt;$H$10,$H$16,IF(G6811&gt;$I$10,$H$16,$H$11))*E6811/600</f>
        <v>6.6779428099999996E-2</v>
      </c>
      <c r="L6811" s="32">
        <f>$J6811*($G6811-$G6810)*60*24</f>
        <v>6.677942809999976E-2</v>
      </c>
    </row>
    <row r="6812" spans="1:12">
      <c r="A6812" s="22">
        <v>40315.362500000003</v>
      </c>
      <c r="E6812" s="26">
        <v>176.68233000000001</v>
      </c>
      <c r="G6812" s="27">
        <v>0.36249999999999999</v>
      </c>
      <c r="J6812" s="30">
        <f>IF(G6812&lt;$H$10,$H$16,IF(G6812&gt;$I$10,$H$16,$H$11))*E6812/600</f>
        <v>6.4783520999999997E-2</v>
      </c>
      <c r="L6812" s="32">
        <f>$J6812*($G6812-$G6811)*60*24</f>
        <v>6.4783520999999761E-2</v>
      </c>
    </row>
    <row r="6813" spans="1:12">
      <c r="A6813" s="22">
        <v>40315.363194444442</v>
      </c>
      <c r="E6813" s="26">
        <v>173.58543</v>
      </c>
      <c r="G6813" s="27">
        <v>0.36319444444444443</v>
      </c>
      <c r="J6813" s="30">
        <f>IF(G6813&lt;$H$10,$H$16,IF(G6813&gt;$I$10,$H$16,$H$11))*E6813/600</f>
        <v>6.3647991000000001E-2</v>
      </c>
      <c r="L6813" s="32">
        <f>$J6813*($G6813-$G6812)*60*24</f>
        <v>6.3647990999999779E-2</v>
      </c>
    </row>
    <row r="6814" spans="1:12">
      <c r="A6814" s="22">
        <v>40315.363888888889</v>
      </c>
      <c r="E6814" s="26">
        <v>172.825062</v>
      </c>
      <c r="G6814" s="27">
        <v>0.36388888888888887</v>
      </c>
      <c r="J6814" s="30">
        <f>IF(G6814&lt;$H$10,$H$16,IF(G6814&gt;$I$10,$H$16,$H$11))*E6814/600</f>
        <v>6.3369189399999998E-2</v>
      </c>
      <c r="L6814" s="32">
        <f>$J6814*($G6814-$G6813)*60*24</f>
        <v>6.3369189399999762E-2</v>
      </c>
    </row>
    <row r="6815" spans="1:12">
      <c r="A6815" s="22">
        <v>40315.364583333336</v>
      </c>
      <c r="E6815" s="26">
        <v>172.895928</v>
      </c>
      <c r="G6815" s="27">
        <v>0.36458333333333331</v>
      </c>
      <c r="J6815" s="30">
        <f>IF(G6815&lt;$H$10,$H$16,IF(G6815&gt;$I$10,$H$16,$H$11))*E6815/600</f>
        <v>6.3395173599999993E-2</v>
      </c>
      <c r="L6815" s="32">
        <f>$J6815*($G6815-$G6814)*60*24</f>
        <v>6.3395173599999771E-2</v>
      </c>
    </row>
    <row r="6816" spans="1:12">
      <c r="A6816" s="22">
        <v>40315.365277777775</v>
      </c>
      <c r="E6816" s="26">
        <v>173.62644299999999</v>
      </c>
      <c r="G6816" s="27">
        <v>0.36527777777777781</v>
      </c>
      <c r="J6816" s="30">
        <f>IF(G6816&lt;$H$10,$H$16,IF(G6816&gt;$I$10,$H$16,$H$11))*E6816/600</f>
        <v>6.366302909999999E-2</v>
      </c>
      <c r="L6816" s="32">
        <f>$J6816*($G6816-$G6815)*60*24</f>
        <v>6.3663029100004848E-2</v>
      </c>
    </row>
    <row r="6817" spans="1:12">
      <c r="A6817" s="22">
        <v>40315.365972222222</v>
      </c>
      <c r="E6817" s="26">
        <v>174.12948</v>
      </c>
      <c r="G6817" s="27">
        <v>0.3659722222222222</v>
      </c>
      <c r="J6817" s="30">
        <f>IF(G6817&lt;$H$10,$H$16,IF(G6817&gt;$I$10,$H$16,$H$11))*E6817/600</f>
        <v>6.3847476E-2</v>
      </c>
      <c r="L6817" s="32">
        <f>$J6817*($G6817-$G6816)*60*24</f>
        <v>6.3847475999994671E-2</v>
      </c>
    </row>
    <row r="6818" spans="1:12">
      <c r="A6818" s="22">
        <v>40315.366666666669</v>
      </c>
      <c r="E6818" s="26">
        <v>178.034085</v>
      </c>
      <c r="G6818" s="27">
        <v>0.3666666666666667</v>
      </c>
      <c r="J6818" s="30">
        <f>IF(G6818&lt;$H$10,$H$16,IF(G6818&gt;$I$10,$H$16,$H$11))*E6818/600</f>
        <v>6.52791645E-2</v>
      </c>
      <c r="L6818" s="32">
        <f>$J6818*($G6818-$G6817)*60*24</f>
        <v>6.5279164500004982E-2</v>
      </c>
    </row>
    <row r="6819" spans="1:12">
      <c r="A6819" s="22">
        <v>40315.367361111108</v>
      </c>
      <c r="E6819" s="26">
        <v>173.46732</v>
      </c>
      <c r="G6819" s="27">
        <v>0.36736111111111108</v>
      </c>
      <c r="J6819" s="30">
        <f>IF(G6819&lt;$H$10,$H$16,IF(G6819&gt;$I$10,$H$16,$H$11))*E6819/600</f>
        <v>6.3604683999999995E-2</v>
      </c>
      <c r="L6819" s="32">
        <f>$J6819*($G6819-$G6818)*60*24</f>
        <v>6.3604683999994679E-2</v>
      </c>
    </row>
    <row r="6820" spans="1:12">
      <c r="A6820" s="22">
        <v>40315.368055555555</v>
      </c>
      <c r="E6820" s="26">
        <v>172.67375100000001</v>
      </c>
      <c r="G6820" s="27">
        <v>0.36805555555555558</v>
      </c>
      <c r="J6820" s="30">
        <f>IF(G6820&lt;$H$10,$H$16,IF(G6820&gt;$I$10,$H$16,$H$11))*E6820/600</f>
        <v>6.3313708700000013E-2</v>
      </c>
      <c r="L6820" s="32">
        <f>$J6820*($G6820-$G6819)*60*24</f>
        <v>6.3313708700004842E-2</v>
      </c>
    </row>
    <row r="6821" spans="1:12">
      <c r="A6821" s="22">
        <v>40315.368750000001</v>
      </c>
      <c r="E6821" s="26">
        <v>173.20357200000001</v>
      </c>
      <c r="G6821" s="27">
        <v>0.36874999999999997</v>
      </c>
      <c r="J6821" s="30">
        <f>IF(G6821&lt;$H$10,$H$16,IF(G6821&gt;$I$10,$H$16,$H$11))*E6821/600</f>
        <v>6.3507976400000013E-2</v>
      </c>
      <c r="L6821" s="32">
        <f>$J6821*($G6821-$G6820)*60*24</f>
        <v>6.3507976399994712E-2</v>
      </c>
    </row>
    <row r="6822" spans="1:12">
      <c r="A6822" s="22">
        <v>40315.369444444441</v>
      </c>
      <c r="E6822" s="26">
        <v>174.91458600000001</v>
      </c>
      <c r="G6822" s="27">
        <v>0.36944444444444446</v>
      </c>
      <c r="J6822" s="30">
        <f>IF(G6822&lt;$H$10,$H$16,IF(G6822&gt;$I$10,$H$16,$H$11))*E6822/600</f>
        <v>6.4135348199999997E-2</v>
      </c>
      <c r="L6822" s="32">
        <f>$J6822*($G6822-$G6821)*60*24</f>
        <v>6.4135348200004896E-2</v>
      </c>
    </row>
    <row r="6823" spans="1:12">
      <c r="A6823" s="22">
        <v>40315.370138888888</v>
      </c>
      <c r="E6823" s="26">
        <v>174.98973000000001</v>
      </c>
      <c r="G6823" s="27">
        <v>0.37013888888888885</v>
      </c>
      <c r="J6823" s="30">
        <f>IF(G6823&lt;$H$10,$H$16,IF(G6823&gt;$I$10,$H$16,$H$11))*E6823/600</f>
        <v>6.4162900999999994E-2</v>
      </c>
      <c r="L6823" s="32">
        <f>$J6823*($G6823-$G6822)*60*24</f>
        <v>6.4162900999994638E-2</v>
      </c>
    </row>
    <row r="6824" spans="1:12">
      <c r="A6824" s="22">
        <v>40315.370833333334</v>
      </c>
      <c r="E6824" s="26">
        <v>177.67631399999999</v>
      </c>
      <c r="G6824" s="27">
        <v>0.37083333333333335</v>
      </c>
      <c r="J6824" s="30">
        <f>IF(G6824&lt;$H$10,$H$16,IF(G6824&gt;$I$10,$H$16,$H$11))*E6824/600</f>
        <v>6.5147981799999991E-2</v>
      </c>
      <c r="L6824" s="32">
        <f>$J6824*($G6824-$G6823)*60*24</f>
        <v>6.5147981800004973E-2</v>
      </c>
    </row>
    <row r="6825" spans="1:12">
      <c r="A6825" s="22">
        <v>40315.371527777781</v>
      </c>
      <c r="E6825" s="26">
        <v>173.85884999999999</v>
      </c>
      <c r="G6825" s="27">
        <v>0.37152777777777773</v>
      </c>
      <c r="J6825" s="30">
        <f>IF(G6825&lt;$H$10,$H$16,IF(G6825&gt;$I$10,$H$16,$H$11))*E6825/600</f>
        <v>6.3748244999999995E-2</v>
      </c>
      <c r="L6825" s="32">
        <f>$J6825*($G6825-$G6824)*60*24</f>
        <v>6.374824499999468E-2</v>
      </c>
    </row>
    <row r="6826" spans="1:12">
      <c r="A6826" s="22">
        <v>40315.37222222222</v>
      </c>
      <c r="E6826" s="26">
        <v>169.91546399999999</v>
      </c>
      <c r="G6826" s="27">
        <v>0.37222222222222223</v>
      </c>
      <c r="J6826" s="30">
        <f>IF(G6826&lt;$H$10,$H$16,IF(G6826&gt;$I$10,$H$16,$H$11))*E6826/600</f>
        <v>6.230233679999999E-2</v>
      </c>
      <c r="L6826" s="32">
        <f>$J6826*($G6826-$G6825)*60*24</f>
        <v>6.2302336800004743E-2</v>
      </c>
    </row>
    <row r="6827" spans="1:12">
      <c r="A6827" s="22">
        <v>40315.372916666667</v>
      </c>
      <c r="E6827" s="26">
        <v>171.73817099999999</v>
      </c>
      <c r="G6827" s="27">
        <v>0.37291666666666662</v>
      </c>
      <c r="J6827" s="30">
        <f>IF(G6827&lt;$H$10,$H$16,IF(G6827&gt;$I$10,$H$16,$H$11))*E6827/600</f>
        <v>6.2970662699999999E-2</v>
      </c>
      <c r="L6827" s="32">
        <f>$J6827*($G6827-$G6826)*60*24</f>
        <v>6.2970662699994753E-2</v>
      </c>
    </row>
    <row r="6828" spans="1:12">
      <c r="A6828" s="22">
        <v>40315.373611111114</v>
      </c>
      <c r="E6828" s="26">
        <v>172.975257</v>
      </c>
      <c r="G6828" s="27">
        <v>0.37361111111111112</v>
      </c>
      <c r="J6828" s="30">
        <f>IF(G6828&lt;$H$10,$H$16,IF(G6828&gt;$I$10,$H$16,$H$11))*E6828/600</f>
        <v>6.3424260900000001E-2</v>
      </c>
      <c r="L6828" s="32">
        <f>$J6828*($G6828-$G6827)*60*24</f>
        <v>6.3424260900004845E-2</v>
      </c>
    </row>
    <row r="6829" spans="1:12">
      <c r="A6829" s="22">
        <v>40315.374305555553</v>
      </c>
      <c r="E6829" s="26">
        <v>172.84440599999999</v>
      </c>
      <c r="G6829" s="27">
        <v>0.3743055555555555</v>
      </c>
      <c r="J6829" s="30">
        <f>IF(G6829&lt;$H$10,$H$16,IF(G6829&gt;$I$10,$H$16,$H$11))*E6829/600</f>
        <v>6.3376282200000009E-2</v>
      </c>
      <c r="L6829" s="32">
        <f>$J6829*($G6829-$G6828)*60*24</f>
        <v>6.3376282199994721E-2</v>
      </c>
    </row>
    <row r="6830" spans="1:12">
      <c r="A6830" s="22">
        <v>40315.375</v>
      </c>
      <c r="E6830" s="26">
        <v>171.61559700000001</v>
      </c>
      <c r="G6830" s="27">
        <v>0.375</v>
      </c>
      <c r="J6830" s="30">
        <f>IF(G6830&lt;$H$10,$H$16,IF(G6830&gt;$I$10,$H$16,$H$11))*E6830/600</f>
        <v>6.2925718899999997E-2</v>
      </c>
      <c r="L6830" s="32">
        <f>$J6830*($G6830-$G6829)*60*24</f>
        <v>6.2925718900004812E-2</v>
      </c>
    </row>
    <row r="6831" spans="1:12">
      <c r="A6831" s="22">
        <v>40315.375694444447</v>
      </c>
      <c r="E6831" s="26">
        <v>172.95842400000001</v>
      </c>
      <c r="G6831" s="27">
        <v>0.3756944444444445</v>
      </c>
      <c r="J6831" s="30">
        <f>IF(G6831&lt;$H$10,$H$16,IF(G6831&gt;$I$10,$H$16,$H$11))*E6831/600</f>
        <v>6.3418088800000008E-2</v>
      </c>
      <c r="L6831" s="32">
        <f>$J6831*($G6831-$G6830)*60*24</f>
        <v>6.3418088800004851E-2</v>
      </c>
    </row>
    <row r="6832" spans="1:12">
      <c r="A6832" s="22">
        <v>40315.376388888886</v>
      </c>
      <c r="E6832" s="26">
        <v>172.901601</v>
      </c>
      <c r="G6832" s="27">
        <v>0.37638888888888888</v>
      </c>
      <c r="J6832" s="30">
        <f>IF(G6832&lt;$H$10,$H$16,IF(G6832&gt;$I$10,$H$16,$H$11))*E6832/600</f>
        <v>6.3397253700000003E-2</v>
      </c>
      <c r="L6832" s="32">
        <f>$J6832*($G6832-$G6831)*60*24</f>
        <v>6.3397253699994716E-2</v>
      </c>
    </row>
    <row r="6833" spans="1:12">
      <c r="A6833" s="22">
        <v>40315.377083333333</v>
      </c>
      <c r="E6833" s="26">
        <v>172.994136</v>
      </c>
      <c r="G6833" s="27">
        <v>0.37708333333333338</v>
      </c>
      <c r="J6833" s="30">
        <f>IF(G6833&lt;$H$10,$H$16,IF(G6833&gt;$I$10,$H$16,$H$11))*E6833/600</f>
        <v>6.3431183199999991E-2</v>
      </c>
      <c r="L6833" s="32">
        <f>$J6833*($G6833-$G6832)*60*24</f>
        <v>6.3431183200004834E-2</v>
      </c>
    </row>
    <row r="6834" spans="1:12">
      <c r="A6834" s="22">
        <v>40315.37777777778</v>
      </c>
      <c r="E6834" s="26">
        <v>173.18646000000001</v>
      </c>
      <c r="G6834" s="27">
        <v>0.37777777777777777</v>
      </c>
      <c r="J6834" s="30">
        <f>IF(G6834&lt;$H$10,$H$16,IF(G6834&gt;$I$10,$H$16,$H$11))*E6834/600</f>
        <v>6.3501702000000007E-2</v>
      </c>
      <c r="L6834" s="32">
        <f>$J6834*($G6834-$G6833)*60*24</f>
        <v>6.3501701999994706E-2</v>
      </c>
    </row>
    <row r="6835" spans="1:12">
      <c r="A6835" s="22">
        <v>40315.378472222219</v>
      </c>
      <c r="E6835" s="26">
        <v>172.422</v>
      </c>
      <c r="G6835" s="27">
        <v>0.37847222222222227</v>
      </c>
      <c r="J6835" s="30">
        <f>IF(G6835&lt;$H$10,$H$16,IF(G6835&gt;$I$10,$H$16,$H$11))*E6835/600</f>
        <v>6.3221399999999997E-2</v>
      </c>
      <c r="L6835" s="32">
        <f>$J6835*($G6835-$G6834)*60*24</f>
        <v>6.3221400000004813E-2</v>
      </c>
    </row>
    <row r="6836" spans="1:12">
      <c r="A6836" s="22">
        <v>40315.379166666666</v>
      </c>
      <c r="E6836" s="26">
        <v>172.61506800000001</v>
      </c>
      <c r="G6836" s="27">
        <v>0.37916666666666665</v>
      </c>
      <c r="J6836" s="30">
        <f>IF(G6836&lt;$H$10,$H$16,IF(G6836&gt;$I$10,$H$16,$H$11))*E6836/600</f>
        <v>6.3292191599999992E-2</v>
      </c>
      <c r="L6836" s="32">
        <f>$J6836*($G6836-$G6835)*60*24</f>
        <v>6.3292191599994718E-2</v>
      </c>
    </row>
    <row r="6837" spans="1:12">
      <c r="A6837" s="22">
        <v>40315.379861111112</v>
      </c>
      <c r="E6837" s="26">
        <v>176.15418299999999</v>
      </c>
      <c r="G6837" s="27">
        <v>0.37986111111111115</v>
      </c>
      <c r="J6837" s="30">
        <f>IF(G6837&lt;$H$10,$H$16,IF(G6837&gt;$I$10,$H$16,$H$11))*E6837/600</f>
        <v>6.4589867100000004E-2</v>
      </c>
      <c r="L6837" s="32">
        <f>$J6837*($G6837-$G6836)*60*24</f>
        <v>6.4589867100004944E-2</v>
      </c>
    </row>
    <row r="6838" spans="1:12">
      <c r="A6838" s="22">
        <v>40315.380555555559</v>
      </c>
      <c r="E6838" s="26">
        <v>173.11019999999999</v>
      </c>
      <c r="G6838" s="27">
        <v>0.38055555555555554</v>
      </c>
      <c r="J6838" s="30">
        <f>IF(G6838&lt;$H$10,$H$16,IF(G6838&gt;$I$10,$H$16,$H$11))*E6838/600</f>
        <v>6.3473740000000001E-2</v>
      </c>
      <c r="L6838" s="32">
        <f>$J6838*($G6838-$G6837)*60*24</f>
        <v>6.3473739999994699E-2</v>
      </c>
    </row>
    <row r="6839" spans="1:12">
      <c r="A6839" s="22">
        <v>40315.381249999999</v>
      </c>
      <c r="E6839" s="26">
        <v>173.753016</v>
      </c>
      <c r="G6839" s="27">
        <v>0.38125000000000003</v>
      </c>
      <c r="J6839" s="30">
        <f>IF(G6839&lt;$H$10,$H$16,IF(G6839&gt;$I$10,$H$16,$H$11))*E6839/600</f>
        <v>6.3709439199999995E-2</v>
      </c>
      <c r="L6839" s="32">
        <f>$J6839*($G6839-$G6838)*60*24</f>
        <v>6.3709439200004866E-2</v>
      </c>
    </row>
    <row r="6840" spans="1:12">
      <c r="A6840" s="22">
        <v>40315.381944444445</v>
      </c>
      <c r="E6840" s="26">
        <v>174.69566399999999</v>
      </c>
      <c r="G6840" s="27">
        <v>0.38194444444444442</v>
      </c>
      <c r="J6840" s="30">
        <f>IF(G6840&lt;$H$10,$H$16,IF(G6840&gt;$I$10,$H$16,$H$11))*E6840/600</f>
        <v>6.4055076799999999E-2</v>
      </c>
      <c r="L6840" s="32">
        <f>$J6840*($G6840-$G6839)*60*24</f>
        <v>6.4055076799994642E-2</v>
      </c>
    </row>
    <row r="6841" spans="1:12">
      <c r="A6841" s="22">
        <v>40315.382638888892</v>
      </c>
      <c r="E6841" s="26">
        <v>173.584686</v>
      </c>
      <c r="G6841" s="27">
        <v>0.38263888888888892</v>
      </c>
      <c r="J6841" s="30">
        <f>IF(G6841&lt;$H$10,$H$16,IF(G6841&gt;$I$10,$H$16,$H$11))*E6841/600</f>
        <v>6.3647718200000009E-2</v>
      </c>
      <c r="L6841" s="32">
        <f>$J6841*($G6841-$G6840)*60*24</f>
        <v>6.3647718200004866E-2</v>
      </c>
    </row>
    <row r="6842" spans="1:12">
      <c r="A6842" s="22">
        <v>40315.383333333331</v>
      </c>
      <c r="E6842" s="26">
        <v>173.65778399999999</v>
      </c>
      <c r="G6842" s="27">
        <v>0.3833333333333333</v>
      </c>
      <c r="J6842" s="30">
        <f>IF(G6842&lt;$H$10,$H$16,IF(G6842&gt;$I$10,$H$16,$H$11))*E6842/600</f>
        <v>6.3674520799999995E-2</v>
      </c>
      <c r="L6842" s="32">
        <f>$J6842*($G6842-$G6841)*60*24</f>
        <v>6.367452079999468E-2</v>
      </c>
    </row>
    <row r="6843" spans="1:12">
      <c r="A6843" s="22">
        <v>40315.384027777778</v>
      </c>
      <c r="E6843" s="26">
        <v>177.04912200000001</v>
      </c>
      <c r="G6843" s="27">
        <v>0.3840277777777778</v>
      </c>
      <c r="J6843" s="30">
        <f>IF(G6843&lt;$H$10,$H$16,IF(G6843&gt;$I$10,$H$16,$H$11))*E6843/600</f>
        <v>6.4918011400000003E-2</v>
      </c>
      <c r="L6843" s="32">
        <f>$J6843*($G6843-$G6842)*60*24</f>
        <v>6.4918011400004957E-2</v>
      </c>
    </row>
    <row r="6844" spans="1:12">
      <c r="A6844" s="22">
        <v>40315.384722222225</v>
      </c>
      <c r="E6844" s="26">
        <v>178.64351400000001</v>
      </c>
      <c r="G6844" s="27">
        <v>0.38472222222222219</v>
      </c>
      <c r="J6844" s="30">
        <f>IF(G6844&lt;$H$10,$H$16,IF(G6844&gt;$I$10,$H$16,$H$11))*E6844/600</f>
        <v>6.5502621800000008E-2</v>
      </c>
      <c r="L6844" s="32">
        <f>$J6844*($G6844-$G6843)*60*24</f>
        <v>6.550262179999454E-2</v>
      </c>
    </row>
    <row r="6845" spans="1:12">
      <c r="A6845" s="22">
        <v>40315.385416666664</v>
      </c>
      <c r="E6845" s="26">
        <v>178.63374899999999</v>
      </c>
      <c r="G6845" s="27">
        <v>0.38541666666666669</v>
      </c>
      <c r="J6845" s="30">
        <f>IF(G6845&lt;$H$10,$H$16,IF(G6845&gt;$I$10,$H$16,$H$11))*E6845/600</f>
        <v>6.5499041300000005E-2</v>
      </c>
      <c r="L6845" s="32">
        <f>$J6845*($G6845-$G6844)*60*24</f>
        <v>6.5499041300005001E-2</v>
      </c>
    </row>
    <row r="6846" spans="1:12">
      <c r="A6846" s="22">
        <v>40315.386111111111</v>
      </c>
      <c r="E6846" s="26">
        <v>175.52792099999999</v>
      </c>
      <c r="G6846" s="27">
        <v>0.38611111111111113</v>
      </c>
      <c r="J6846" s="30">
        <f>IF(G6846&lt;$H$10,$H$16,IF(G6846&gt;$I$10,$H$16,$H$11))*E6846/600</f>
        <v>6.4360237700000003E-2</v>
      </c>
      <c r="L6846" s="32">
        <f>$J6846*($G6846-$G6845)*60*24</f>
        <v>6.4360237699999767E-2</v>
      </c>
    </row>
    <row r="6847" spans="1:12">
      <c r="A6847" s="22">
        <v>40315.386805555558</v>
      </c>
      <c r="E6847" s="26">
        <v>174.86883</v>
      </c>
      <c r="G6847" s="27">
        <v>0.38680555555555557</v>
      </c>
      <c r="J6847" s="30">
        <f>IF(G6847&lt;$H$10,$H$16,IF(G6847&gt;$I$10,$H$16,$H$11))*E6847/600</f>
        <v>6.4118570999999999E-2</v>
      </c>
      <c r="L6847" s="32">
        <f>$J6847*($G6847-$G6846)*60*24</f>
        <v>6.4118570999999763E-2</v>
      </c>
    </row>
    <row r="6848" spans="1:12">
      <c r="A6848" s="22">
        <v>40315.387499999997</v>
      </c>
      <c r="E6848" s="26">
        <v>174.15142800000001</v>
      </c>
      <c r="G6848" s="27">
        <v>0.38750000000000001</v>
      </c>
      <c r="J6848" s="30">
        <f>IF(G6848&lt;$H$10,$H$16,IF(G6848&gt;$I$10,$H$16,$H$11))*E6848/600</f>
        <v>6.3855523600000005E-2</v>
      </c>
      <c r="L6848" s="32">
        <f>$J6848*($G6848-$G6847)*60*24</f>
        <v>6.3855523599999783E-2</v>
      </c>
    </row>
    <row r="6849" spans="1:12">
      <c r="A6849" s="22">
        <v>40315.388194444444</v>
      </c>
      <c r="E6849" s="26">
        <v>174.25893600000001</v>
      </c>
      <c r="G6849" s="27">
        <v>0.38819444444444445</v>
      </c>
      <c r="J6849" s="30">
        <f>IF(G6849&lt;$H$10,$H$16,IF(G6849&gt;$I$10,$H$16,$H$11))*E6849/600</f>
        <v>6.3894943200000012E-2</v>
      </c>
      <c r="L6849" s="32">
        <f>$J6849*($G6849-$G6848)*60*24</f>
        <v>6.3894943199999776E-2</v>
      </c>
    </row>
    <row r="6850" spans="1:12">
      <c r="A6850" s="22">
        <v>40315.388888888891</v>
      </c>
      <c r="E6850" s="26">
        <v>174.75630000000001</v>
      </c>
      <c r="G6850" s="27">
        <v>0.3888888888888889</v>
      </c>
      <c r="J6850" s="30">
        <f>IF(G6850&lt;$H$10,$H$16,IF(G6850&gt;$I$10,$H$16,$H$11))*E6850/600</f>
        <v>6.4077310000000012E-2</v>
      </c>
      <c r="L6850" s="32">
        <f>$J6850*($G6850-$G6849)*60*24</f>
        <v>6.4077309999999776E-2</v>
      </c>
    </row>
    <row r="6851" spans="1:12">
      <c r="A6851" s="22">
        <v>40315.38958333333</v>
      </c>
      <c r="E6851" s="26">
        <v>174.437682</v>
      </c>
      <c r="G6851" s="27">
        <v>0.38958333333333334</v>
      </c>
      <c r="J6851" s="30">
        <f>IF(G6851&lt;$H$10,$H$16,IF(G6851&gt;$I$10,$H$16,$H$11))*E6851/600</f>
        <v>6.3960483400000004E-2</v>
      </c>
      <c r="L6851" s="32">
        <f>$J6851*($G6851-$G6850)*60*24</f>
        <v>6.3960483399999782E-2</v>
      </c>
    </row>
    <row r="6852" spans="1:12">
      <c r="A6852" s="22">
        <v>40315.390277777777</v>
      </c>
      <c r="E6852" s="26">
        <v>174.528357</v>
      </c>
      <c r="G6852" s="27">
        <v>0.39027777777777778</v>
      </c>
      <c r="J6852" s="30">
        <f>IF(G6852&lt;$H$10,$H$16,IF(G6852&gt;$I$10,$H$16,$H$11))*E6852/600</f>
        <v>6.3993730900000004E-2</v>
      </c>
      <c r="L6852" s="32">
        <f>$J6852*($G6852-$G6851)*60*24</f>
        <v>6.3993730899999782E-2</v>
      </c>
    </row>
    <row r="6853" spans="1:12">
      <c r="A6853" s="22">
        <v>40315.390972222223</v>
      </c>
      <c r="E6853" s="26">
        <v>174.924723</v>
      </c>
      <c r="G6853" s="27">
        <v>0.39097222222222222</v>
      </c>
      <c r="J6853" s="30">
        <f>IF(G6853&lt;$H$10,$H$16,IF(G6853&gt;$I$10,$H$16,$H$11))*E6853/600</f>
        <v>6.4139065100000003E-2</v>
      </c>
      <c r="L6853" s="32">
        <f>$J6853*($G6853-$G6852)*60*24</f>
        <v>6.4139065099999767E-2</v>
      </c>
    </row>
    <row r="6854" spans="1:12">
      <c r="A6854" s="22">
        <v>40315.39166666667</v>
      </c>
      <c r="E6854" s="26">
        <v>175.54679999999999</v>
      </c>
      <c r="G6854" s="27">
        <v>0.39166666666666666</v>
      </c>
      <c r="J6854" s="30">
        <f>IF(G6854&lt;$H$10,$H$16,IF(G6854&gt;$I$10,$H$16,$H$11))*E6854/600</f>
        <v>6.4367159999999993E-2</v>
      </c>
      <c r="L6854" s="32">
        <f>$J6854*($G6854-$G6853)*60*24</f>
        <v>6.4367159999999757E-2</v>
      </c>
    </row>
    <row r="6855" spans="1:12">
      <c r="A6855" s="22">
        <v>40315.392361111109</v>
      </c>
      <c r="E6855" s="26">
        <v>174.133386</v>
      </c>
      <c r="G6855" s="27">
        <v>0.3923611111111111</v>
      </c>
      <c r="J6855" s="30">
        <f>IF(G6855&lt;$H$10,$H$16,IF(G6855&gt;$I$10,$H$16,$H$11))*E6855/600</f>
        <v>6.3848908199999999E-2</v>
      </c>
      <c r="L6855" s="32">
        <f>$J6855*($G6855-$G6854)*60*24</f>
        <v>6.3848908199999777E-2</v>
      </c>
    </row>
    <row r="6856" spans="1:12">
      <c r="A6856" s="22">
        <v>40315.393055555556</v>
      </c>
      <c r="E6856" s="26">
        <v>174.10158000000001</v>
      </c>
      <c r="G6856" s="27">
        <v>0.39305555555555555</v>
      </c>
      <c r="J6856" s="30">
        <f>IF(G6856&lt;$H$10,$H$16,IF(G6856&gt;$I$10,$H$16,$H$11))*E6856/600</f>
        <v>6.3837246000000014E-2</v>
      </c>
      <c r="L6856" s="32">
        <f>$J6856*($G6856-$G6855)*60*24</f>
        <v>6.3837245999999792E-2</v>
      </c>
    </row>
    <row r="6857" spans="1:12">
      <c r="A6857" s="22">
        <v>40315.393750000003</v>
      </c>
      <c r="E6857" s="26">
        <v>173.889261</v>
      </c>
      <c r="G6857" s="27">
        <v>0.39374999999999999</v>
      </c>
      <c r="J6857" s="30">
        <f>IF(G6857&lt;$H$10,$H$16,IF(G6857&gt;$I$10,$H$16,$H$11))*E6857/600</f>
        <v>6.3759395699999999E-2</v>
      </c>
      <c r="L6857" s="32">
        <f>$J6857*($G6857-$G6856)*60*24</f>
        <v>6.3759395699999777E-2</v>
      </c>
    </row>
    <row r="6858" spans="1:12">
      <c r="A6858" s="22">
        <v>40315.394444444442</v>
      </c>
      <c r="E6858" s="26">
        <v>175.06822199999999</v>
      </c>
      <c r="G6858" s="27">
        <v>0.39444444444444443</v>
      </c>
      <c r="J6858" s="30">
        <f>IF(G6858&lt;$H$10,$H$16,IF(G6858&gt;$I$10,$H$16,$H$11))*E6858/600</f>
        <v>6.4191681400000006E-2</v>
      </c>
      <c r="L6858" s="32">
        <f>$J6858*($G6858-$G6857)*60*24</f>
        <v>6.4191681399999784E-2</v>
      </c>
    </row>
    <row r="6859" spans="1:12">
      <c r="A6859" s="22">
        <v>40315.395138888889</v>
      </c>
      <c r="E6859" s="26">
        <v>174.33705599999999</v>
      </c>
      <c r="G6859" s="27">
        <v>0.39513888888888887</v>
      </c>
      <c r="J6859" s="30">
        <f>IF(G6859&lt;$H$10,$H$16,IF(G6859&gt;$I$10,$H$16,$H$11))*E6859/600</f>
        <v>6.3923587199999993E-2</v>
      </c>
      <c r="L6859" s="32">
        <f>$J6859*($G6859-$G6858)*60*24</f>
        <v>6.3923587199999771E-2</v>
      </c>
    </row>
    <row r="6860" spans="1:12">
      <c r="A6860" s="22">
        <v>40315.395833333336</v>
      </c>
      <c r="E6860" s="26">
        <v>174.01230000000001</v>
      </c>
      <c r="G6860" s="27">
        <v>0.39583333333333331</v>
      </c>
      <c r="J6860" s="30">
        <f>IF(G6860&lt;$H$10,$H$16,IF(G6860&gt;$I$10,$H$16,$H$11))*E6860/600</f>
        <v>6.3804510000000009E-2</v>
      </c>
      <c r="L6860" s="32">
        <f>$J6860*($G6860-$G6859)*60*24</f>
        <v>6.3804509999999787E-2</v>
      </c>
    </row>
    <row r="6861" spans="1:12">
      <c r="A6861" s="22">
        <v>40315.396527777775</v>
      </c>
      <c r="E6861" s="26">
        <v>174.56025600000001</v>
      </c>
      <c r="G6861" s="27">
        <v>0.39652777777777781</v>
      </c>
      <c r="J6861" s="30">
        <f>IF(G6861&lt;$H$10,$H$16,IF(G6861&gt;$I$10,$H$16,$H$11))*E6861/600</f>
        <v>6.4005427200000006E-2</v>
      </c>
      <c r="L6861" s="32">
        <f>$J6861*($G6861-$G6860)*60*24</f>
        <v>6.4005427200004891E-2</v>
      </c>
    </row>
    <row r="6862" spans="1:12">
      <c r="A6862" s="22">
        <v>40315.397222222222</v>
      </c>
      <c r="E6862" s="26">
        <v>174.29501999999999</v>
      </c>
      <c r="G6862" s="27">
        <v>0.3972222222222222</v>
      </c>
      <c r="J6862" s="30">
        <f>IF(G6862&lt;$H$10,$H$16,IF(G6862&gt;$I$10,$H$16,$H$11))*E6862/600</f>
        <v>6.3908173999999998E-2</v>
      </c>
      <c r="L6862" s="32">
        <f>$J6862*($G6862-$G6861)*60*24</f>
        <v>6.3908173999994655E-2</v>
      </c>
    </row>
    <row r="6863" spans="1:12">
      <c r="A6863" s="22">
        <v>40315.397916666669</v>
      </c>
      <c r="E6863" s="26">
        <v>173.51121599999999</v>
      </c>
      <c r="G6863" s="27">
        <v>0.3979166666666667</v>
      </c>
      <c r="J6863" s="30">
        <f>IF(G6863&lt;$H$10,$H$16,IF(G6863&gt;$I$10,$H$16,$H$11))*E6863/600</f>
        <v>6.3620779199999991E-2</v>
      </c>
      <c r="L6863" s="32">
        <f>$J6863*($G6863-$G6862)*60*24</f>
        <v>6.3620779200004848E-2</v>
      </c>
    </row>
    <row r="6864" spans="1:12">
      <c r="A6864" s="22">
        <v>40315.398611111108</v>
      </c>
      <c r="E6864" s="26">
        <v>172.833339</v>
      </c>
      <c r="G6864" s="27">
        <v>0.39861111111111108</v>
      </c>
      <c r="J6864" s="30">
        <f>IF(G6864&lt;$H$10,$H$16,IF(G6864&gt;$I$10,$H$16,$H$11))*E6864/600</f>
        <v>6.3372224299999988E-2</v>
      </c>
      <c r="L6864" s="32">
        <f>$J6864*($G6864-$G6863)*60*24</f>
        <v>6.3372224299994701E-2</v>
      </c>
    </row>
    <row r="6865" spans="1:12">
      <c r="A6865" s="22">
        <v>40315.399305555555</v>
      </c>
      <c r="E6865" s="26">
        <v>173.84043600000001</v>
      </c>
      <c r="G6865" s="27">
        <v>0.39930555555555558</v>
      </c>
      <c r="J6865" s="30">
        <f>IF(G6865&lt;$H$10,$H$16,IF(G6865&gt;$I$10,$H$16,$H$11))*E6865/600</f>
        <v>6.3741493200000013E-2</v>
      </c>
      <c r="L6865" s="32">
        <f>$J6865*($G6865-$G6864)*60*24</f>
        <v>6.3741493200004884E-2</v>
      </c>
    </row>
    <row r="6866" spans="1:12">
      <c r="A6866" s="22">
        <v>40315.4</v>
      </c>
      <c r="E6866" s="26">
        <v>174.56844000000001</v>
      </c>
      <c r="G6866" s="27">
        <v>0.39999999999999997</v>
      </c>
      <c r="J6866" s="30">
        <f>IF(G6866&lt;$H$10,$H$16,IF(G6866&gt;$I$10,$H$16,$H$11))*E6866/600</f>
        <v>6.4008428000000006E-2</v>
      </c>
      <c r="L6866" s="32">
        <f>$J6866*($G6866-$G6865)*60*24</f>
        <v>6.4008427999994649E-2</v>
      </c>
    </row>
    <row r="6867" spans="1:12">
      <c r="A6867" s="22">
        <v>40315.400694444441</v>
      </c>
      <c r="E6867" s="26">
        <v>173.37822600000001</v>
      </c>
      <c r="G6867" s="27">
        <v>0.40069444444444446</v>
      </c>
      <c r="J6867" s="30">
        <f>IF(G6867&lt;$H$10,$H$16,IF(G6867&gt;$I$10,$H$16,$H$11))*E6867/600</f>
        <v>6.3572016199999998E-2</v>
      </c>
      <c r="L6867" s="32">
        <f>$J6867*($G6867-$G6866)*60*24</f>
        <v>6.3572016200004855E-2</v>
      </c>
    </row>
    <row r="6868" spans="1:12">
      <c r="A6868" s="22">
        <v>40315.401388888888</v>
      </c>
      <c r="E6868" s="26">
        <v>173.12666100000001</v>
      </c>
      <c r="G6868" s="27">
        <v>0.40138888888888885</v>
      </c>
      <c r="J6868" s="30">
        <f>IF(G6868&lt;$H$10,$H$16,IF(G6868&gt;$I$10,$H$16,$H$11))*E6868/600</f>
        <v>6.3479775700000005E-2</v>
      </c>
      <c r="L6868" s="32">
        <f>$J6868*($G6868-$G6867)*60*24</f>
        <v>6.3479775699994689E-2</v>
      </c>
    </row>
    <row r="6869" spans="1:12">
      <c r="A6869" s="22">
        <v>40315.402083333334</v>
      </c>
      <c r="E6869" s="26">
        <v>173.36874</v>
      </c>
      <c r="G6869" s="27">
        <v>0.40208333333333335</v>
      </c>
      <c r="J6869" s="30">
        <f>IF(G6869&lt;$H$10,$H$16,IF(G6869&gt;$I$10,$H$16,$H$11))*E6869/600</f>
        <v>6.3568537999999994E-2</v>
      </c>
      <c r="L6869" s="32">
        <f>$J6869*($G6869-$G6868)*60*24</f>
        <v>6.3568538000004851E-2</v>
      </c>
    </row>
    <row r="6870" spans="1:12">
      <c r="A6870" s="22">
        <v>40315.402777777781</v>
      </c>
      <c r="E6870" s="26">
        <v>168.60258300000001</v>
      </c>
      <c r="G6870" s="27">
        <v>0.40277777777777773</v>
      </c>
      <c r="J6870" s="30">
        <f>IF(G6870&lt;$H$10,$H$16,IF(G6870&gt;$I$10,$H$16,$H$11))*E6870/600</f>
        <v>6.1820947100000002E-2</v>
      </c>
      <c r="L6870" s="32">
        <f>$J6870*($G6870-$G6869)*60*24</f>
        <v>6.1820947099994833E-2</v>
      </c>
    </row>
    <row r="6871" spans="1:12">
      <c r="A6871" s="22">
        <v>40315.40347222222</v>
      </c>
      <c r="E6871" s="26">
        <v>171.54073199999999</v>
      </c>
      <c r="G6871" s="27">
        <v>0.40347222222222223</v>
      </c>
      <c r="J6871" s="30">
        <f>IF(G6871&lt;$H$10,$H$16,IF(G6871&gt;$I$10,$H$16,$H$11))*E6871/600</f>
        <v>6.2898268399999999E-2</v>
      </c>
      <c r="L6871" s="32">
        <f>$J6871*($G6871-$G6870)*60*24</f>
        <v>6.28982684000048E-2</v>
      </c>
    </row>
    <row r="6872" spans="1:12">
      <c r="A6872" s="22">
        <v>40315.404166666667</v>
      </c>
      <c r="E6872" s="26">
        <v>173.357394</v>
      </c>
      <c r="G6872" s="27">
        <v>0.40416666666666662</v>
      </c>
      <c r="J6872" s="30">
        <f>IF(G6872&lt;$H$10,$H$16,IF(G6872&gt;$I$10,$H$16,$H$11))*E6872/600</f>
        <v>6.3564377800000002E-2</v>
      </c>
      <c r="L6872" s="32">
        <f>$J6872*($G6872-$G6871)*60*24</f>
        <v>6.3564377799994687E-2</v>
      </c>
    </row>
    <row r="6873" spans="1:12">
      <c r="A6873" s="22">
        <v>40315.404861111114</v>
      </c>
      <c r="E6873" s="26">
        <v>176.29662400000001</v>
      </c>
      <c r="G6873" s="27">
        <v>0.40486111111111112</v>
      </c>
      <c r="J6873" s="30">
        <f>IF(G6873&lt;$H$10,$H$16,IF(G6873&gt;$I$10,$H$16,$H$11))*E6873/600</f>
        <v>6.4642095466666674E-2</v>
      </c>
      <c r="L6873" s="32">
        <f>$J6873*($G6873-$G6872)*60*24</f>
        <v>6.4642095466671615E-2</v>
      </c>
    </row>
    <row r="6874" spans="1:12">
      <c r="A6874" s="22">
        <v>40315.405555555553</v>
      </c>
      <c r="E6874" s="26">
        <v>175.63298399999999</v>
      </c>
      <c r="G6874" s="27">
        <v>0.4055555555555555</v>
      </c>
      <c r="J6874" s="30">
        <f>IF(G6874&lt;$H$10,$H$16,IF(G6874&gt;$I$10,$H$16,$H$11))*E6874/600</f>
        <v>6.4398760799999996E-2</v>
      </c>
      <c r="L6874" s="32">
        <f>$J6874*($G6874-$G6873)*60*24</f>
        <v>6.4398760799994612E-2</v>
      </c>
    </row>
    <row r="6875" spans="1:12">
      <c r="A6875" s="22">
        <v>40315.40625</v>
      </c>
      <c r="E6875" s="26">
        <v>173.99851200000001</v>
      </c>
      <c r="G6875" s="27">
        <v>0.40625</v>
      </c>
      <c r="J6875" s="30">
        <f>IF(G6875&lt;$H$10,$H$16,IF(G6875&gt;$I$10,$H$16,$H$11))*E6875/600</f>
        <v>6.3799454399999997E-2</v>
      </c>
      <c r="L6875" s="32">
        <f>$J6875*($G6875-$G6874)*60*24</f>
        <v>6.3799454400004868E-2</v>
      </c>
    </row>
    <row r="6876" spans="1:12">
      <c r="A6876" s="22">
        <v>40315.406944444447</v>
      </c>
      <c r="E6876" s="26">
        <v>174.142144</v>
      </c>
      <c r="G6876" s="27">
        <v>0.4069444444444445</v>
      </c>
      <c r="J6876" s="30">
        <f>IF(G6876&lt;$H$10,$H$16,IF(G6876&gt;$I$10,$H$16,$H$11))*E6876/600</f>
        <v>6.3852119466666662E-2</v>
      </c>
      <c r="L6876" s="32">
        <f>$J6876*($G6876-$G6875)*60*24</f>
        <v>6.3852119466671534E-2</v>
      </c>
    </row>
    <row r="6877" spans="1:12">
      <c r="A6877" s="22">
        <v>40315.407638888886</v>
      </c>
      <c r="E6877" s="26">
        <v>173.143215</v>
      </c>
      <c r="G6877" s="27">
        <v>0.40763888888888888</v>
      </c>
      <c r="J6877" s="30">
        <f>IF(G6877&lt;$H$10,$H$16,IF(G6877&gt;$I$10,$H$16,$H$11))*E6877/600</f>
        <v>6.3485845499999999E-2</v>
      </c>
      <c r="L6877" s="32">
        <f>$J6877*($G6877-$G6876)*60*24</f>
        <v>6.3485845499994698E-2</v>
      </c>
    </row>
    <row r="6878" spans="1:12">
      <c r="A6878" s="22">
        <v>40315.408333333333</v>
      </c>
      <c r="E6878" s="26">
        <v>172.782375</v>
      </c>
      <c r="G6878" s="27">
        <v>0.40833333333333338</v>
      </c>
      <c r="J6878" s="30">
        <f>IF(G6878&lt;$H$10,$H$16,IF(G6878&gt;$I$10,$H$16,$H$11))*E6878/600</f>
        <v>6.3353537500000001E-2</v>
      </c>
      <c r="L6878" s="32">
        <f>$J6878*($G6878-$G6877)*60*24</f>
        <v>6.3353537500004831E-2</v>
      </c>
    </row>
    <row r="6879" spans="1:12">
      <c r="A6879" s="22">
        <v>40315.40902777778</v>
      </c>
      <c r="E6879" s="26">
        <v>175.188928</v>
      </c>
      <c r="G6879" s="27">
        <v>0.40902777777777777</v>
      </c>
      <c r="J6879" s="30">
        <f>IF(G6879&lt;$H$10,$H$16,IF(G6879&gt;$I$10,$H$16,$H$11))*E6879/600</f>
        <v>6.4235940266666666E-2</v>
      </c>
      <c r="L6879" s="32">
        <f>$J6879*($G6879-$G6878)*60*24</f>
        <v>6.4235940266661296E-2</v>
      </c>
    </row>
    <row r="6880" spans="1:12">
      <c r="A6880" s="22">
        <v>40315.409722222219</v>
      </c>
      <c r="E6880" s="26">
        <v>172.67402999999999</v>
      </c>
      <c r="G6880" s="27">
        <v>0.40972222222222227</v>
      </c>
      <c r="J6880" s="30">
        <f>IF(G6880&lt;$H$10,$H$16,IF(G6880&gt;$I$10,$H$16,$H$11))*E6880/600</f>
        <v>6.3313810999999998E-2</v>
      </c>
      <c r="L6880" s="32">
        <f>$J6880*($G6880-$G6879)*60*24</f>
        <v>6.3313811000004827E-2</v>
      </c>
    </row>
    <row r="6881" spans="1:12">
      <c r="A6881" s="22">
        <v>40315.410416666666</v>
      </c>
      <c r="E6881" s="26">
        <v>170.99686800000001</v>
      </c>
      <c r="G6881" s="27">
        <v>0.41041666666666665</v>
      </c>
      <c r="J6881" s="30">
        <f>IF(G6881&lt;$H$10,$H$16,IF(G6881&gt;$I$10,$H$16,$H$11))*E6881/600</f>
        <v>6.2698851599999994E-2</v>
      </c>
      <c r="L6881" s="32">
        <f>$J6881*($G6881-$G6880)*60*24</f>
        <v>6.2698851599994762E-2</v>
      </c>
    </row>
    <row r="6882" spans="1:12">
      <c r="A6882" s="22">
        <v>40315.411111111112</v>
      </c>
      <c r="E6882" s="26">
        <v>171.51152999999999</v>
      </c>
      <c r="G6882" s="27">
        <v>0.41111111111111115</v>
      </c>
      <c r="J6882" s="30">
        <f>IF(G6882&lt;$H$10,$H$16,IF(G6882&gt;$I$10,$H$16,$H$11))*E6882/600</f>
        <v>6.2887560999999995E-2</v>
      </c>
      <c r="L6882" s="32">
        <f>$J6882*($G6882-$G6881)*60*24</f>
        <v>6.2887561000004796E-2</v>
      </c>
    </row>
    <row r="6883" spans="1:12">
      <c r="A6883" s="22">
        <v>40315.411805555559</v>
      </c>
      <c r="E6883" s="26">
        <v>171.70803900000001</v>
      </c>
      <c r="G6883" s="27">
        <v>0.41180555555555554</v>
      </c>
      <c r="J6883" s="30">
        <f>IF(G6883&lt;$H$10,$H$16,IF(G6883&gt;$I$10,$H$16,$H$11))*E6883/600</f>
        <v>6.2959614300000008E-2</v>
      </c>
      <c r="L6883" s="32">
        <f>$J6883*($G6883-$G6882)*60*24</f>
        <v>6.2959614299994748E-2</v>
      </c>
    </row>
    <row r="6884" spans="1:12">
      <c r="A6884" s="22">
        <v>40315.412499999999</v>
      </c>
      <c r="E6884" s="26">
        <v>175.509693</v>
      </c>
      <c r="G6884" s="27">
        <v>0.41250000000000003</v>
      </c>
      <c r="J6884" s="30">
        <f>IF(G6884&lt;$H$10,$H$16,IF(G6884&gt;$I$10,$H$16,$H$11))*E6884/600</f>
        <v>6.4353554100000002E-2</v>
      </c>
      <c r="L6884" s="32">
        <f>$J6884*($G6884-$G6883)*60*24</f>
        <v>6.4353554100004914E-2</v>
      </c>
    </row>
    <row r="6885" spans="1:12">
      <c r="A6885" s="22">
        <v>40315.413194444445</v>
      </c>
      <c r="E6885" s="26">
        <v>172.72890000000001</v>
      </c>
      <c r="G6885" s="27">
        <v>0.41319444444444442</v>
      </c>
      <c r="J6885" s="30">
        <f>IF(G6885&lt;$H$10,$H$16,IF(G6885&gt;$I$10,$H$16,$H$11))*E6885/600</f>
        <v>6.333393000000001E-2</v>
      </c>
      <c r="L6885" s="32">
        <f>$J6885*($G6885-$G6884)*60*24</f>
        <v>6.3333929999994723E-2</v>
      </c>
    </row>
    <row r="6886" spans="1:12">
      <c r="A6886" s="22">
        <v>40315.413888888892</v>
      </c>
      <c r="E6886" s="26">
        <v>171.94993199999999</v>
      </c>
      <c r="G6886" s="27">
        <v>0.41388888888888892</v>
      </c>
      <c r="J6886" s="30">
        <f>IF(G6886&lt;$H$10,$H$16,IF(G6886&gt;$I$10,$H$16,$H$11))*E6886/600</f>
        <v>6.3048308400000003E-2</v>
      </c>
      <c r="L6886" s="32">
        <f>$J6886*($G6886-$G6885)*60*24</f>
        <v>6.3048308400004818E-2</v>
      </c>
    </row>
    <row r="6887" spans="1:12">
      <c r="A6887" s="22">
        <v>40315.414583333331</v>
      </c>
      <c r="E6887" s="26">
        <v>172.57293899999999</v>
      </c>
      <c r="G6887" s="27">
        <v>0.4145833333333333</v>
      </c>
      <c r="J6887" s="30">
        <f>IF(G6887&lt;$H$10,$H$16,IF(G6887&gt;$I$10,$H$16,$H$11))*E6887/600</f>
        <v>6.3276744299999993E-2</v>
      </c>
      <c r="L6887" s="32">
        <f>$J6887*($G6887-$G6886)*60*24</f>
        <v>6.3276744299994706E-2</v>
      </c>
    </row>
    <row r="6888" spans="1:12">
      <c r="A6888" s="22">
        <v>40315.415277777778</v>
      </c>
      <c r="E6888" s="26">
        <v>176.58002999999999</v>
      </c>
      <c r="G6888" s="27">
        <v>0.4152777777777778</v>
      </c>
      <c r="J6888" s="30">
        <f>IF(G6888&lt;$H$10,$H$16,IF(G6888&gt;$I$10,$H$16,$H$11))*E6888/600</f>
        <v>6.4746010999999992E-2</v>
      </c>
      <c r="L6888" s="32">
        <f>$J6888*($G6888-$G6887)*60*24</f>
        <v>6.4746011000004933E-2</v>
      </c>
    </row>
    <row r="6889" spans="1:12">
      <c r="A6889" s="22">
        <v>40315.415972222225</v>
      </c>
      <c r="E6889" s="26">
        <v>179.29860600000001</v>
      </c>
      <c r="G6889" s="27">
        <v>0.41597222222222219</v>
      </c>
      <c r="J6889" s="30">
        <f>IF(G6889&lt;$H$10,$H$16,IF(G6889&gt;$I$10,$H$16,$H$11))*E6889/600</f>
        <v>6.5742822200000009E-2</v>
      </c>
      <c r="L6889" s="32">
        <f>$J6889*($G6889-$G6888)*60*24</f>
        <v>6.5742822199994527E-2</v>
      </c>
    </row>
    <row r="6890" spans="1:12">
      <c r="A6890" s="22">
        <v>40315.416666666664</v>
      </c>
      <c r="E6890" s="26">
        <v>175.45194000000001</v>
      </c>
      <c r="G6890" s="27">
        <v>0.41666666666666669</v>
      </c>
      <c r="J6890" s="30">
        <f>IF(G6890&lt;$H$10,$H$16,IF(G6890&gt;$I$10,$H$16,$H$11))*E6890/600</f>
        <v>6.4332378000000009E-2</v>
      </c>
      <c r="L6890" s="32">
        <f>$J6890*($G6890-$G6889)*60*24</f>
        <v>6.4332378000004922E-2</v>
      </c>
    </row>
    <row r="6891" spans="1:12">
      <c r="A6891" s="22">
        <v>40315.417361111111</v>
      </c>
      <c r="E6891" s="26">
        <v>172.388892</v>
      </c>
      <c r="G6891" s="27">
        <v>0.41736111111111113</v>
      </c>
      <c r="J6891" s="30">
        <f>IF(G6891&lt;$H$10,$H$16,IF(G6891&gt;$I$10,$H$16,$H$11))*E6891/600</f>
        <v>6.3209260399999995E-2</v>
      </c>
      <c r="L6891" s="32">
        <f>$J6891*($G6891-$G6890)*60*24</f>
        <v>6.3209260399999773E-2</v>
      </c>
    </row>
    <row r="6892" spans="1:12">
      <c r="A6892" s="22">
        <v>40315.418055555558</v>
      </c>
      <c r="E6892" s="26">
        <v>175.18968000000001</v>
      </c>
      <c r="G6892" s="27">
        <v>0.41805555555555557</v>
      </c>
      <c r="J6892" s="30">
        <f>IF(G6892&lt;$H$10,$H$16,IF(G6892&gt;$I$10,$H$16,$H$11))*E6892/600</f>
        <v>6.4236216000000013E-2</v>
      </c>
      <c r="L6892" s="32">
        <f>$J6892*($G6892-$G6891)*60*24</f>
        <v>6.4236215999999791E-2</v>
      </c>
    </row>
    <row r="6893" spans="1:12">
      <c r="A6893" s="22">
        <v>40315.418749999997</v>
      </c>
      <c r="E6893" s="26">
        <v>175.509972</v>
      </c>
      <c r="G6893" s="27">
        <v>0.41875000000000001</v>
      </c>
      <c r="J6893" s="30">
        <f>IF(G6893&lt;$H$10,$H$16,IF(G6893&gt;$I$10,$H$16,$H$11))*E6893/600</f>
        <v>6.4353656400000001E-2</v>
      </c>
      <c r="L6893" s="32">
        <f>$J6893*($G6893-$G6892)*60*24</f>
        <v>6.4353656399999765E-2</v>
      </c>
    </row>
    <row r="6894" spans="1:12">
      <c r="A6894" s="22">
        <v>40315.419444444444</v>
      </c>
      <c r="E6894" s="26">
        <v>172.93536</v>
      </c>
      <c r="G6894" s="27">
        <v>0.41944444444444445</v>
      </c>
      <c r="J6894" s="30">
        <f>IF(G6894&lt;$H$10,$H$16,IF(G6894&gt;$I$10,$H$16,$H$11))*E6894/600</f>
        <v>6.3409631999999994E-2</v>
      </c>
      <c r="L6894" s="32">
        <f>$J6894*($G6894-$G6893)*60*24</f>
        <v>6.3409631999999758E-2</v>
      </c>
    </row>
    <row r="6895" spans="1:12">
      <c r="A6895" s="22">
        <v>40315.420138888891</v>
      </c>
      <c r="E6895" s="26">
        <v>180.34838999999999</v>
      </c>
      <c r="G6895" s="27">
        <v>0.4201388888888889</v>
      </c>
      <c r="J6895" s="30">
        <f>IF(G6895&lt;$H$10,$H$16,IF(G6895&gt;$I$10,$H$16,$H$11))*E6895/600</f>
        <v>6.6127742999999989E-2</v>
      </c>
      <c r="L6895" s="32">
        <f>$J6895*($G6895-$G6894)*60*24</f>
        <v>6.6127742999999753E-2</v>
      </c>
    </row>
    <row r="6896" spans="1:12">
      <c r="A6896" s="22">
        <v>40315.42083333333</v>
      </c>
      <c r="E6896" s="26">
        <v>181.421424</v>
      </c>
      <c r="G6896" s="27">
        <v>0.42083333333333334</v>
      </c>
      <c r="J6896" s="30">
        <f>IF(G6896&lt;$H$10,$H$16,IF(G6896&gt;$I$10,$H$16,$H$11))*E6896/600</f>
        <v>6.6521188799999992E-2</v>
      </c>
      <c r="L6896" s="32">
        <f>$J6896*($G6896-$G6895)*60*24</f>
        <v>6.6521188799999756E-2</v>
      </c>
    </row>
    <row r="6897" spans="1:12">
      <c r="A6897" s="22">
        <v>40315.421527777777</v>
      </c>
      <c r="E6897" s="26">
        <v>173.81895299999999</v>
      </c>
      <c r="G6897" s="27">
        <v>0.42152777777777778</v>
      </c>
      <c r="J6897" s="30">
        <f>IF(G6897&lt;$H$10,$H$16,IF(G6897&gt;$I$10,$H$16,$H$11))*E6897/600</f>
        <v>6.3733616100000001E-2</v>
      </c>
      <c r="L6897" s="32">
        <f>$J6897*($G6897-$G6896)*60*24</f>
        <v>6.3733616099999779E-2</v>
      </c>
    </row>
    <row r="6898" spans="1:12">
      <c r="A6898" s="22">
        <v>40315.422222222223</v>
      </c>
      <c r="E6898" s="26">
        <v>172.77437699999999</v>
      </c>
      <c r="G6898" s="27">
        <v>0.42222222222222222</v>
      </c>
      <c r="J6898" s="30">
        <f>IF(G6898&lt;$H$10,$H$16,IF(G6898&gt;$I$10,$H$16,$H$11))*E6898/600</f>
        <v>6.3350604899999996E-2</v>
      </c>
      <c r="L6898" s="32">
        <f>$J6898*($G6898-$G6897)*60*24</f>
        <v>6.335060489999976E-2</v>
      </c>
    </row>
    <row r="6899" spans="1:12">
      <c r="A6899" s="22">
        <v>40315.42291666667</v>
      </c>
      <c r="E6899" s="26">
        <v>171.391932</v>
      </c>
      <c r="G6899" s="27">
        <v>0.42291666666666666</v>
      </c>
      <c r="J6899" s="30">
        <f>IF(G6899&lt;$H$10,$H$16,IF(G6899&gt;$I$10,$H$16,$H$11))*E6899/600</f>
        <v>6.2843708400000003E-2</v>
      </c>
      <c r="L6899" s="32">
        <f>$J6899*($G6899-$G6898)*60*24</f>
        <v>6.2843708399999781E-2</v>
      </c>
    </row>
    <row r="6900" spans="1:12">
      <c r="A6900" s="22">
        <v>40315.423611111109</v>
      </c>
      <c r="E6900" s="26">
        <v>172.22205</v>
      </c>
      <c r="G6900" s="27">
        <v>0.4236111111111111</v>
      </c>
      <c r="J6900" s="30">
        <f>IF(G6900&lt;$H$10,$H$16,IF(G6900&gt;$I$10,$H$16,$H$11))*E6900/600</f>
        <v>6.3148085000000007E-2</v>
      </c>
      <c r="L6900" s="32">
        <f>$J6900*($G6900-$G6899)*60*24</f>
        <v>6.3148084999999771E-2</v>
      </c>
    </row>
    <row r="6901" spans="1:12">
      <c r="A6901" s="22">
        <v>40315.424305555556</v>
      </c>
      <c r="E6901" s="26">
        <v>177.67464000000001</v>
      </c>
      <c r="G6901" s="27">
        <v>0.42430555555555555</v>
      </c>
      <c r="J6901" s="30">
        <f>IF(G6901&lt;$H$10,$H$16,IF(G6901&gt;$I$10,$H$16,$H$11))*E6901/600</f>
        <v>6.5147367999999997E-2</v>
      </c>
      <c r="L6901" s="32">
        <f>$J6901*($G6901-$G6900)*60*24</f>
        <v>6.5147367999999761E-2</v>
      </c>
    </row>
    <row r="6902" spans="1:12">
      <c r="A6902" s="22">
        <v>40315.425000000003</v>
      </c>
      <c r="E6902" s="26">
        <v>180.92591999999999</v>
      </c>
      <c r="G6902" s="27">
        <v>0.42499999999999999</v>
      </c>
      <c r="J6902" s="30">
        <f>IF(G6902&lt;$H$10,$H$16,IF(G6902&gt;$I$10,$H$16,$H$11))*E6902/600</f>
        <v>6.6339503999999994E-2</v>
      </c>
      <c r="L6902" s="32">
        <f>$J6902*($G6902-$G6901)*60*24</f>
        <v>6.6339503999999758E-2</v>
      </c>
    </row>
    <row r="6903" spans="1:12">
      <c r="A6903" s="22">
        <v>40315.425694444442</v>
      </c>
      <c r="E6903" s="26">
        <v>176.85847200000001</v>
      </c>
      <c r="G6903" s="27">
        <v>0.42569444444444443</v>
      </c>
      <c r="J6903" s="30">
        <f>IF(G6903&lt;$H$10,$H$16,IF(G6903&gt;$I$10,$H$16,$H$11))*E6903/600</f>
        <v>6.4848106400000008E-2</v>
      </c>
      <c r="L6903" s="32">
        <f>$J6903*($G6903-$G6902)*60*24</f>
        <v>6.4848106399999772E-2</v>
      </c>
    </row>
    <row r="6904" spans="1:12">
      <c r="A6904" s="22">
        <v>40315.426388888889</v>
      </c>
      <c r="E6904" s="26">
        <v>172.194615</v>
      </c>
      <c r="G6904" s="27">
        <v>0.42638888888888887</v>
      </c>
      <c r="J6904" s="30">
        <f>IF(G6904&lt;$H$10,$H$16,IF(G6904&gt;$I$10,$H$16,$H$11))*E6904/600</f>
        <v>6.31380255E-2</v>
      </c>
      <c r="L6904" s="32">
        <f>$J6904*($G6904-$G6903)*60*24</f>
        <v>6.3138025499999778E-2</v>
      </c>
    </row>
    <row r="6905" spans="1:12">
      <c r="A6905" s="22">
        <v>40315.427083333336</v>
      </c>
      <c r="E6905" s="26">
        <v>175.41288</v>
      </c>
      <c r="G6905" s="27">
        <v>0.42708333333333331</v>
      </c>
      <c r="J6905" s="30">
        <f>IF(G6905&lt;$H$10,$H$16,IF(G6905&gt;$I$10,$H$16,$H$11))*E6905/600</f>
        <v>6.4318056000000012E-2</v>
      </c>
      <c r="L6905" s="32">
        <f>$J6905*($G6905-$G6904)*60*24</f>
        <v>6.4318055999999776E-2</v>
      </c>
    </row>
    <row r="6906" spans="1:12">
      <c r="A6906" s="22">
        <v>40315.427777777775</v>
      </c>
      <c r="E6906" s="26">
        <v>175.37361999999999</v>
      </c>
      <c r="G6906" s="27">
        <v>0.42777777777777781</v>
      </c>
      <c r="J6906" s="30">
        <f>IF(G6906&lt;$H$10,$H$16,IF(G6906&gt;$I$10,$H$16,$H$11))*E6906/600</f>
        <v>6.4303660666666665E-2</v>
      </c>
      <c r="L6906" s="32">
        <f>$J6906*($G6906-$G6905)*60*24</f>
        <v>6.4303660666671578E-2</v>
      </c>
    </row>
    <row r="6907" spans="1:12">
      <c r="A6907" s="22">
        <v>40315.428472222222</v>
      </c>
      <c r="E6907" s="26">
        <v>173.372646</v>
      </c>
      <c r="G6907" s="27">
        <v>0.4284722222222222</v>
      </c>
      <c r="J6907" s="30">
        <f>IF(G6907&lt;$H$10,$H$16,IF(G6907&gt;$I$10,$H$16,$H$11))*E6907/600</f>
        <v>6.3569970200000006E-2</v>
      </c>
      <c r="L6907" s="32">
        <f>$J6907*($G6907-$G6906)*60*24</f>
        <v>6.3569970199994691E-2</v>
      </c>
    </row>
    <row r="6908" spans="1:12">
      <c r="A6908" s="22">
        <v>40315.429166666669</v>
      </c>
      <c r="E6908" s="26">
        <v>176.668938</v>
      </c>
      <c r="G6908" s="27">
        <v>0.4291666666666667</v>
      </c>
      <c r="J6908" s="30">
        <f>IF(G6908&lt;$H$10,$H$16,IF(G6908&gt;$I$10,$H$16,$H$11))*E6908/600</f>
        <v>6.4778610599999994E-2</v>
      </c>
      <c r="L6908" s="32">
        <f>$J6908*($G6908-$G6907)*60*24</f>
        <v>6.4778610600004949E-2</v>
      </c>
    </row>
    <row r="6909" spans="1:12">
      <c r="A6909" s="22">
        <v>40315.429861111108</v>
      </c>
      <c r="E6909" s="26">
        <v>175.10411999999999</v>
      </c>
      <c r="G6909" s="27">
        <v>0.42986111111111108</v>
      </c>
      <c r="J6909" s="30">
        <f>IF(G6909&lt;$H$10,$H$16,IF(G6909&gt;$I$10,$H$16,$H$11))*E6909/600</f>
        <v>6.4204843999999997E-2</v>
      </c>
      <c r="L6909" s="32">
        <f>$J6909*($G6909-$G6908)*60*24</f>
        <v>6.420484399999464E-2</v>
      </c>
    </row>
    <row r="6910" spans="1:12">
      <c r="A6910" s="22">
        <v>40315.430555555555</v>
      </c>
      <c r="E6910" s="26">
        <v>175.77697499999999</v>
      </c>
      <c r="G6910" s="27">
        <v>0.43055555555555558</v>
      </c>
      <c r="J6910" s="30">
        <f>IF(G6910&lt;$H$10,$H$16,IF(G6910&gt;$I$10,$H$16,$H$11))*E6910/600</f>
        <v>6.4451557500000006E-2</v>
      </c>
      <c r="L6910" s="32">
        <f>$J6910*($G6910-$G6909)*60*24</f>
        <v>6.4451557500004919E-2</v>
      </c>
    </row>
    <row r="6911" spans="1:12">
      <c r="A6911" s="22">
        <v>40315.431250000001</v>
      </c>
      <c r="E6911" s="26">
        <v>172.30403999999999</v>
      </c>
      <c r="G6911" s="27">
        <v>0.43124999999999997</v>
      </c>
      <c r="J6911" s="30">
        <f>IF(G6911&lt;$H$10,$H$16,IF(G6911&gt;$I$10,$H$16,$H$11))*E6911/600</f>
        <v>6.317814799999999E-2</v>
      </c>
      <c r="L6911" s="32">
        <f>$J6911*($G6911-$G6910)*60*24</f>
        <v>6.3178147999994716E-2</v>
      </c>
    </row>
    <row r="6912" spans="1:12">
      <c r="A6912" s="22">
        <v>40315.431944444441</v>
      </c>
      <c r="E6912" s="26">
        <v>179.86572000000001</v>
      </c>
      <c r="G6912" s="27">
        <v>0.43194444444444446</v>
      </c>
      <c r="J6912" s="30">
        <f>IF(G6912&lt;$H$10,$H$16,IF(G6912&gt;$I$10,$H$16,$H$11))*E6912/600</f>
        <v>6.5950763999999995E-2</v>
      </c>
      <c r="L6912" s="32">
        <f>$J6912*($G6912-$G6911)*60*24</f>
        <v>6.5950764000005033E-2</v>
      </c>
    </row>
    <row r="6913" spans="1:12">
      <c r="A6913" s="22">
        <v>40315.432638888888</v>
      </c>
      <c r="E6913" s="26">
        <v>179.06331599999999</v>
      </c>
      <c r="G6913" s="27">
        <v>0.43263888888888885</v>
      </c>
      <c r="J6913" s="30">
        <f>IF(G6913&lt;$H$10,$H$16,IF(G6913&gt;$I$10,$H$16,$H$11))*E6913/600</f>
        <v>6.5656549199999997E-2</v>
      </c>
      <c r="L6913" s="32">
        <f>$J6913*($G6913-$G6912)*60*24</f>
        <v>6.5656549199994529E-2</v>
      </c>
    </row>
    <row r="6914" spans="1:12">
      <c r="A6914" s="22">
        <v>40315.433333333334</v>
      </c>
      <c r="E6914" s="26">
        <v>176.68790999999999</v>
      </c>
      <c r="G6914" s="27">
        <v>0.43333333333333335</v>
      </c>
      <c r="J6914" s="30">
        <f>IF(G6914&lt;$H$10,$H$16,IF(G6914&gt;$I$10,$H$16,$H$11))*E6914/600</f>
        <v>6.4785567000000002E-2</v>
      </c>
      <c r="L6914" s="32">
        <f>$J6914*($G6914-$G6913)*60*24</f>
        <v>6.4785567000004943E-2</v>
      </c>
    </row>
    <row r="6915" spans="1:12">
      <c r="A6915" s="22">
        <v>40315.434027777781</v>
      </c>
      <c r="E6915" s="26">
        <v>172.0308</v>
      </c>
      <c r="G6915" s="27">
        <v>0.43402777777777773</v>
      </c>
      <c r="J6915" s="30">
        <f>IF(G6915&lt;$H$10,$H$16,IF(G6915&gt;$I$10,$H$16,$H$11))*E6915/600</f>
        <v>6.3077960000000002E-2</v>
      </c>
      <c r="L6915" s="32">
        <f>$J6915*($G6915-$G6914)*60*24</f>
        <v>6.3077959999994729E-2</v>
      </c>
    </row>
    <row r="6916" spans="1:12">
      <c r="A6916" s="22">
        <v>40315.43472222222</v>
      </c>
      <c r="E6916" s="26">
        <v>170.20367999999999</v>
      </c>
      <c r="G6916" s="27">
        <v>0.43472222222222223</v>
      </c>
      <c r="J6916" s="30">
        <f>IF(G6916&lt;$H$10,$H$16,IF(G6916&gt;$I$10,$H$16,$H$11))*E6916/600</f>
        <v>6.2408015999999997E-2</v>
      </c>
      <c r="L6916" s="32">
        <f>$J6916*($G6916-$G6915)*60*24</f>
        <v>6.2408016000004757E-2</v>
      </c>
    </row>
    <row r="6917" spans="1:12">
      <c r="A6917" s="22">
        <v>40315.435416666667</v>
      </c>
      <c r="E6917" s="26">
        <v>171.85231999999999</v>
      </c>
      <c r="G6917" s="27">
        <v>0.43541666666666662</v>
      </c>
      <c r="J6917" s="30">
        <f>IF(G6917&lt;$H$10,$H$16,IF(G6917&gt;$I$10,$H$16,$H$11))*E6917/600</f>
        <v>6.3012517333333337E-2</v>
      </c>
      <c r="L6917" s="32">
        <f>$J6917*($G6917-$G6916)*60*24</f>
        <v>6.3012517333328077E-2</v>
      </c>
    </row>
    <row r="6918" spans="1:12">
      <c r="A6918" s="22">
        <v>40315.436111111114</v>
      </c>
      <c r="E6918" s="26">
        <v>171.089088</v>
      </c>
      <c r="G6918" s="27">
        <v>0.43611111111111112</v>
      </c>
      <c r="J6918" s="30">
        <f>IF(G6918&lt;$H$10,$H$16,IF(G6918&gt;$I$10,$H$16,$H$11))*E6918/600</f>
        <v>6.2732665600000001E-2</v>
      </c>
      <c r="L6918" s="32">
        <f>$J6918*($G6918-$G6917)*60*24</f>
        <v>6.2732665600004789E-2</v>
      </c>
    </row>
    <row r="6919" spans="1:12">
      <c r="A6919" s="22">
        <v>40315.436805555553</v>
      </c>
      <c r="E6919" s="26">
        <v>174.14398800000001</v>
      </c>
      <c r="G6919" s="27">
        <v>0.4368055555555555</v>
      </c>
      <c r="J6919" s="30">
        <f>IF(G6919&lt;$H$10,$H$16,IF(G6919&gt;$I$10,$H$16,$H$11))*E6919/600</f>
        <v>6.3852795600000012E-2</v>
      </c>
      <c r="L6919" s="32">
        <f>$J6919*($G6919-$G6918)*60*24</f>
        <v>6.3852795599994683E-2</v>
      </c>
    </row>
    <row r="6920" spans="1:12">
      <c r="A6920" s="22">
        <v>40315.4375</v>
      </c>
      <c r="E6920" s="26">
        <v>171.79344</v>
      </c>
      <c r="G6920" s="27">
        <v>0.4375</v>
      </c>
      <c r="J6920" s="30">
        <f>IF(G6920&lt;$H$10,$H$16,IF(G6920&gt;$I$10,$H$16,$H$11))*E6920/600</f>
        <v>6.2990928000000002E-2</v>
      </c>
      <c r="L6920" s="32">
        <f>$J6920*($G6920-$G6919)*60*24</f>
        <v>6.2990928000004803E-2</v>
      </c>
    </row>
    <row r="6921" spans="1:12">
      <c r="A6921" s="22">
        <v>40315.438194444447</v>
      </c>
      <c r="E6921" s="26">
        <v>170.936092</v>
      </c>
      <c r="G6921" s="27">
        <v>0.4381944444444445</v>
      </c>
      <c r="J6921" s="30">
        <f>IF(G6921&lt;$H$10,$H$16,IF(G6921&gt;$I$10,$H$16,$H$11))*E6921/600</f>
        <v>6.2676567066666675E-2</v>
      </c>
      <c r="L6921" s="32">
        <f>$J6921*($G6921-$G6920)*60*24</f>
        <v>6.2676567066671462E-2</v>
      </c>
    </row>
    <row r="6922" spans="1:12">
      <c r="A6922" s="22">
        <v>40315.438888888886</v>
      </c>
      <c r="E6922" s="26">
        <v>170.21968799999999</v>
      </c>
      <c r="G6922" s="27">
        <v>0.43888888888888888</v>
      </c>
      <c r="J6922" s="30">
        <f>IF(G6922&lt;$H$10,$H$16,IF(G6922&gt;$I$10,$H$16,$H$11))*E6922/600</f>
        <v>6.2413885599999996E-2</v>
      </c>
      <c r="L6922" s="32">
        <f>$J6922*($G6922-$G6921)*60*24</f>
        <v>6.2413885599994792E-2</v>
      </c>
    </row>
    <row r="6923" spans="1:12">
      <c r="A6923" s="22">
        <v>40315.439583333333</v>
      </c>
      <c r="E6923" s="26">
        <v>180.48407700000001</v>
      </c>
      <c r="G6923" s="27">
        <v>0.43958333333333338</v>
      </c>
      <c r="J6923" s="30">
        <f>IF(G6923&lt;$H$10,$H$16,IF(G6923&gt;$I$10,$H$16,$H$11))*E6923/600</f>
        <v>6.6177494900000008E-2</v>
      </c>
      <c r="L6923" s="32">
        <f>$J6923*($G6923-$G6922)*60*24</f>
        <v>6.6177494900005074E-2</v>
      </c>
    </row>
    <row r="6924" spans="1:12">
      <c r="A6924" s="22">
        <v>40315.44027777778</v>
      </c>
      <c r="E6924" s="26">
        <v>182.98903200000001</v>
      </c>
      <c r="G6924" s="27">
        <v>0.44027777777777777</v>
      </c>
      <c r="J6924" s="30">
        <f>IF(G6924&lt;$H$10,$H$16,IF(G6924&gt;$I$10,$H$16,$H$11))*E6924/600</f>
        <v>6.7095978400000006E-2</v>
      </c>
      <c r="L6924" s="32">
        <f>$J6924*($G6924-$G6923)*60*24</f>
        <v>6.7095978399994399E-2</v>
      </c>
    </row>
    <row r="6925" spans="1:12">
      <c r="A6925" s="22">
        <v>40315.440972222219</v>
      </c>
      <c r="E6925" s="26">
        <v>183.27882</v>
      </c>
      <c r="G6925" s="27">
        <v>0.44097222222222227</v>
      </c>
      <c r="J6925" s="30">
        <f>IF(G6925&lt;$H$10,$H$16,IF(G6925&gt;$I$10,$H$16,$H$11))*E6925/600</f>
        <v>6.7202234E-2</v>
      </c>
      <c r="L6925" s="32">
        <f>$J6925*($G6925-$G6924)*60*24</f>
        <v>6.7202234000005134E-2</v>
      </c>
    </row>
    <row r="6926" spans="1:12">
      <c r="A6926" s="22">
        <v>40315.441666666666</v>
      </c>
      <c r="E6926" s="26">
        <v>172.35372000000001</v>
      </c>
      <c r="G6926" s="27">
        <v>0.44166666666666665</v>
      </c>
      <c r="J6926" s="30">
        <f>IF(G6926&lt;$H$10,$H$16,IF(G6926&gt;$I$10,$H$16,$H$11))*E6926/600</f>
        <v>6.3196364000000005E-2</v>
      </c>
      <c r="L6926" s="32">
        <f>$J6926*($G6926-$G6925)*60*24</f>
        <v>6.3196363999994731E-2</v>
      </c>
    </row>
    <row r="6927" spans="1:12">
      <c r="A6927" s="22">
        <v>40315.442361111112</v>
      </c>
      <c r="E6927" s="26">
        <v>170.957528</v>
      </c>
      <c r="G6927" s="27">
        <v>0.44236111111111115</v>
      </c>
      <c r="J6927" s="30">
        <f>IF(G6927&lt;$H$10,$H$16,IF(G6927&gt;$I$10,$H$16,$H$11))*E6927/600</f>
        <v>6.2684426933333329E-2</v>
      </c>
      <c r="L6927" s="32">
        <f>$J6927*($G6927-$G6926)*60*24</f>
        <v>6.2684426933338117E-2</v>
      </c>
    </row>
    <row r="6928" spans="1:12">
      <c r="A6928" s="22">
        <v>40315.443055555559</v>
      </c>
      <c r="E6928" s="26">
        <v>176.604489</v>
      </c>
      <c r="G6928" s="27">
        <v>0.44305555555555554</v>
      </c>
      <c r="J6928" s="30">
        <f>IF(G6928&lt;$H$10,$H$16,IF(G6928&gt;$I$10,$H$16,$H$11))*E6928/600</f>
        <v>6.4754979300000001E-2</v>
      </c>
      <c r="L6928" s="32">
        <f>$J6928*($G6928-$G6927)*60*24</f>
        <v>6.4754979299994589E-2</v>
      </c>
    </row>
    <row r="6929" spans="1:12">
      <c r="A6929" s="22">
        <v>40315.443749999999</v>
      </c>
      <c r="E6929" s="26">
        <v>177.23474999999999</v>
      </c>
      <c r="G6929" s="27">
        <v>0.44375000000000003</v>
      </c>
      <c r="J6929" s="30">
        <f>IF(G6929&lt;$H$10,$H$16,IF(G6929&gt;$I$10,$H$16,$H$11))*E6929/600</f>
        <v>6.498607499999999E-2</v>
      </c>
      <c r="L6929" s="32">
        <f>$J6929*($G6929-$G6928)*60*24</f>
        <v>6.4986075000004959E-2</v>
      </c>
    </row>
    <row r="6930" spans="1:12">
      <c r="A6930" s="22">
        <v>40315.444444444445</v>
      </c>
      <c r="E6930" s="26">
        <v>178.06003200000001</v>
      </c>
      <c r="G6930" s="27">
        <v>0.44444444444444442</v>
      </c>
      <c r="J6930" s="30">
        <f>IF(G6930&lt;$H$10,$H$16,IF(G6930&gt;$I$10,$H$16,$H$11))*E6930/600</f>
        <v>6.5288678400000008E-2</v>
      </c>
      <c r="L6930" s="32">
        <f>$J6930*($G6930-$G6929)*60*24</f>
        <v>6.5288678399994554E-2</v>
      </c>
    </row>
    <row r="6931" spans="1:12">
      <c r="A6931" s="22">
        <v>40315.445138888892</v>
      </c>
      <c r="E6931" s="26">
        <v>173.61193499999999</v>
      </c>
      <c r="G6931" s="27">
        <v>0.44513888888888892</v>
      </c>
      <c r="J6931" s="30">
        <f>IF(G6931&lt;$H$10,$H$16,IF(G6931&gt;$I$10,$H$16,$H$11))*E6931/600</f>
        <v>6.3657709499999993E-2</v>
      </c>
      <c r="L6931" s="32">
        <f>$J6931*($G6931-$G6930)*60*24</f>
        <v>6.365770950000485E-2</v>
      </c>
    </row>
    <row r="6932" spans="1:12">
      <c r="A6932" s="22">
        <v>40315.445833333331</v>
      </c>
      <c r="E6932" s="26">
        <v>174.95197200000001</v>
      </c>
      <c r="G6932" s="27">
        <v>0.4458333333333333</v>
      </c>
      <c r="J6932" s="30">
        <f>IF(G6932&lt;$H$10,$H$16,IF(G6932&gt;$I$10,$H$16,$H$11))*E6932/600</f>
        <v>6.4149056400000001E-2</v>
      </c>
      <c r="L6932" s="32">
        <f>$J6932*($G6932-$G6931)*60*24</f>
        <v>6.4149056399994644E-2</v>
      </c>
    </row>
    <row r="6933" spans="1:12">
      <c r="A6933" s="22">
        <v>40315.446527777778</v>
      </c>
      <c r="E6933" s="26">
        <v>175.33727099999999</v>
      </c>
      <c r="G6933" s="27">
        <v>0.4465277777777778</v>
      </c>
      <c r="J6933" s="30">
        <f>IF(G6933&lt;$H$10,$H$16,IF(G6933&gt;$I$10,$H$16,$H$11))*E6933/600</f>
        <v>6.4290332699999994E-2</v>
      </c>
      <c r="L6933" s="32">
        <f>$J6933*($G6933-$G6932)*60*24</f>
        <v>6.4290332700004907E-2</v>
      </c>
    </row>
    <row r="6934" spans="1:12">
      <c r="A6934" s="22">
        <v>40315.447222222225</v>
      </c>
      <c r="E6934" s="26">
        <v>170.698272</v>
      </c>
      <c r="G6934" s="27">
        <v>0.44722222222222219</v>
      </c>
      <c r="J6934" s="30">
        <f>IF(G6934&lt;$H$10,$H$16,IF(G6934&gt;$I$10,$H$16,$H$11))*E6934/600</f>
        <v>6.2589366399999999E-2</v>
      </c>
      <c r="L6934" s="32">
        <f>$J6934*($G6934-$G6933)*60*24</f>
        <v>6.2589366399994767E-2</v>
      </c>
    </row>
    <row r="6935" spans="1:12">
      <c r="A6935" s="22">
        <v>40315.447916666664</v>
      </c>
      <c r="E6935" s="26">
        <v>169.99539200000001</v>
      </c>
      <c r="G6935" s="27">
        <v>0.44791666666666669</v>
      </c>
      <c r="J6935" s="30">
        <f>IF(G6935&lt;$H$10,$H$16,IF(G6935&gt;$I$10,$H$16,$H$11))*E6935/600</f>
        <v>6.2331643733333331E-2</v>
      </c>
      <c r="L6935" s="32">
        <f>$J6935*($G6935-$G6934)*60*24</f>
        <v>6.2331643733338091E-2</v>
      </c>
    </row>
    <row r="6936" spans="1:12">
      <c r="A6936" s="22">
        <v>40315.448611111111</v>
      </c>
      <c r="E6936" s="26">
        <v>166.198092</v>
      </c>
      <c r="G6936" s="27">
        <v>0.44861111111111113</v>
      </c>
      <c r="J6936" s="30">
        <f>IF(G6936&lt;$H$10,$H$16,IF(G6936&gt;$I$10,$H$16,$H$11))*E6936/600</f>
        <v>6.09393004E-2</v>
      </c>
      <c r="L6936" s="32">
        <f>$J6936*($G6936-$G6935)*60*24</f>
        <v>6.0939300399999785E-2</v>
      </c>
    </row>
    <row r="6937" spans="1:12">
      <c r="A6937" s="22">
        <v>40315.449305555558</v>
      </c>
      <c r="E6937" s="26">
        <v>153.70746299999999</v>
      </c>
      <c r="G6937" s="27">
        <v>0.44930555555555557</v>
      </c>
      <c r="J6937" s="30">
        <f>IF(G6937&lt;$H$10,$H$16,IF(G6937&gt;$I$10,$H$16,$H$11))*E6937/600</f>
        <v>5.6359403099999997E-2</v>
      </c>
      <c r="L6937" s="32">
        <f>$J6937*($G6937-$G6936)*60*24</f>
        <v>5.6359403099999789E-2</v>
      </c>
    </row>
    <row r="6938" spans="1:12">
      <c r="A6938" s="22">
        <v>40315.449999999997</v>
      </c>
      <c r="E6938" s="26">
        <v>154.81766300000001</v>
      </c>
      <c r="G6938" s="27">
        <v>0.45</v>
      </c>
      <c r="J6938" s="30">
        <f>IF(G6938&lt;$H$10,$H$16,IF(G6938&gt;$I$10,$H$16,$H$11))*E6938/600</f>
        <v>5.6766476433333338E-2</v>
      </c>
      <c r="L6938" s="32">
        <f>$J6938*($G6938-$G6937)*60*24</f>
        <v>5.676647643333313E-2</v>
      </c>
    </row>
    <row r="6939" spans="1:12">
      <c r="A6939" s="22">
        <v>40315.450694444444</v>
      </c>
      <c r="E6939" s="26">
        <v>155.67224400000001</v>
      </c>
      <c r="G6939" s="27">
        <v>0.45069444444444445</v>
      </c>
      <c r="J6939" s="30">
        <f>IF(G6939&lt;$H$10,$H$16,IF(G6939&gt;$I$10,$H$16,$H$11))*E6939/600</f>
        <v>5.7079822800000006E-2</v>
      </c>
      <c r="L6939" s="32">
        <f>$J6939*($G6939-$G6938)*60*24</f>
        <v>5.7079822799999798E-2</v>
      </c>
    </row>
    <row r="6940" spans="1:12">
      <c r="A6940" s="22">
        <v>40315.451388888891</v>
      </c>
      <c r="E6940" s="26">
        <v>155.27047899999999</v>
      </c>
      <c r="G6940" s="27">
        <v>0.4513888888888889</v>
      </c>
      <c r="J6940" s="30">
        <f>IF(G6940&lt;$H$10,$H$16,IF(G6940&gt;$I$10,$H$16,$H$11))*E6940/600</f>
        <v>5.6932508966666663E-2</v>
      </c>
      <c r="L6940" s="32">
        <f>$J6940*($G6940-$G6939)*60*24</f>
        <v>5.6932508966666455E-2</v>
      </c>
    </row>
    <row r="6941" spans="1:12">
      <c r="A6941" s="22">
        <v>40315.45208333333</v>
      </c>
      <c r="E6941" s="26">
        <v>155.564955</v>
      </c>
      <c r="G6941" s="27">
        <v>0.45208333333333334</v>
      </c>
      <c r="J6941" s="30">
        <f>IF(G6941&lt;$H$10,$H$16,IF(G6941&gt;$I$10,$H$16,$H$11))*E6941/600</f>
        <v>5.7040483499999996E-2</v>
      </c>
      <c r="L6941" s="32">
        <f>$J6941*($G6941-$G6940)*60*24</f>
        <v>5.7040483499999795E-2</v>
      </c>
    </row>
    <row r="6942" spans="1:12">
      <c r="A6942" s="22">
        <v>40315.452777777777</v>
      </c>
      <c r="E6942" s="26">
        <v>154.59680599999999</v>
      </c>
      <c r="G6942" s="27">
        <v>0.45277777777777778</v>
      </c>
      <c r="J6942" s="30">
        <f>IF(G6942&lt;$H$10,$H$16,IF(G6942&gt;$I$10,$H$16,$H$11))*E6942/600</f>
        <v>5.6685495533333331E-2</v>
      </c>
      <c r="L6942" s="32">
        <f>$J6942*($G6942-$G6941)*60*24</f>
        <v>5.668549553333313E-2</v>
      </c>
    </row>
    <row r="6943" spans="1:12">
      <c r="A6943" s="22">
        <v>40315.453472222223</v>
      </c>
      <c r="E6943" s="26">
        <v>156.41853499999999</v>
      </c>
      <c r="G6943" s="27">
        <v>0.45347222222222222</v>
      </c>
      <c r="J6943" s="30">
        <f>IF(G6943&lt;$H$10,$H$16,IF(G6943&gt;$I$10,$H$16,$H$11))*E6943/600</f>
        <v>5.7353462833333327E-2</v>
      </c>
      <c r="L6943" s="32">
        <f>$J6943*($G6943-$G6942)*60*24</f>
        <v>5.7353462833333119E-2</v>
      </c>
    </row>
    <row r="6944" spans="1:12">
      <c r="A6944" s="22">
        <v>40315.45416666667</v>
      </c>
      <c r="E6944" s="26">
        <v>155.64549</v>
      </c>
      <c r="G6944" s="27">
        <v>0.45416666666666666</v>
      </c>
      <c r="J6944" s="30">
        <f>IF(G6944&lt;$H$10,$H$16,IF(G6944&gt;$I$10,$H$16,$H$11))*E6944/600</f>
        <v>5.7070012999999996E-2</v>
      </c>
      <c r="L6944" s="32">
        <f>$J6944*($G6944-$G6943)*60*24</f>
        <v>5.7070012999999795E-2</v>
      </c>
    </row>
    <row r="6945" spans="1:12">
      <c r="A6945" s="22">
        <v>40315.454861111109</v>
      </c>
      <c r="E6945" s="26">
        <v>156.08501999999999</v>
      </c>
      <c r="G6945" s="27">
        <v>0.4548611111111111</v>
      </c>
      <c r="J6945" s="30">
        <f>IF(G6945&lt;$H$10,$H$16,IF(G6945&gt;$I$10,$H$16,$H$11))*E6945/600</f>
        <v>5.7231173999999996E-2</v>
      </c>
      <c r="L6945" s="32">
        <f>$J6945*($G6945-$G6944)*60*24</f>
        <v>5.7231173999999795E-2</v>
      </c>
    </row>
    <row r="6946" spans="1:12">
      <c r="A6946" s="22">
        <v>40315.455555555556</v>
      </c>
      <c r="E6946" s="26">
        <v>154.723569</v>
      </c>
      <c r="G6946" s="27">
        <v>0.45555555555555555</v>
      </c>
      <c r="J6946" s="30">
        <f>IF(G6946&lt;$H$10,$H$16,IF(G6946&gt;$I$10,$H$16,$H$11))*E6946/600</f>
        <v>5.6731975299999994E-2</v>
      </c>
      <c r="L6946" s="32">
        <f>$J6946*($G6946-$G6945)*60*24</f>
        <v>5.6731975299999786E-2</v>
      </c>
    </row>
    <row r="6947" spans="1:12">
      <c r="A6947" s="22">
        <v>40315.456250000003</v>
      </c>
      <c r="E6947" s="26">
        <v>155.07619399999999</v>
      </c>
      <c r="G6947" s="27">
        <v>0.45624999999999999</v>
      </c>
      <c r="J6947" s="30">
        <f>IF(G6947&lt;$H$10,$H$16,IF(G6947&gt;$I$10,$H$16,$H$11))*E6947/600</f>
        <v>5.6861271133333335E-2</v>
      </c>
      <c r="L6947" s="32">
        <f>$J6947*($G6947-$G6946)*60*24</f>
        <v>5.6861271133333127E-2</v>
      </c>
    </row>
    <row r="6948" spans="1:12">
      <c r="A6948" s="22">
        <v>40315.456944444442</v>
      </c>
      <c r="E6948" s="26">
        <v>168.302592</v>
      </c>
      <c r="G6948" s="27">
        <v>0.45694444444444443</v>
      </c>
      <c r="J6948" s="30">
        <f>IF(G6948&lt;$H$10,$H$16,IF(G6948&gt;$I$10,$H$16,$H$11))*E6948/600</f>
        <v>6.1710950399999999E-2</v>
      </c>
      <c r="L6948" s="32">
        <f>$J6948*($G6948-$G6947)*60*24</f>
        <v>6.1710950399999784E-2</v>
      </c>
    </row>
    <row r="6949" spans="1:12">
      <c r="A6949" s="22">
        <v>40315.457638888889</v>
      </c>
      <c r="E6949" s="26">
        <v>163.920816</v>
      </c>
      <c r="G6949" s="27">
        <v>0.45763888888888887</v>
      </c>
      <c r="J6949" s="30">
        <f>IF(G6949&lt;$H$10,$H$16,IF(G6949&gt;$I$10,$H$16,$H$11))*E6949/600</f>
        <v>6.0104299200000003E-2</v>
      </c>
      <c r="L6949" s="32">
        <f>$J6949*($G6949-$G6948)*60*24</f>
        <v>6.0104299199999794E-2</v>
      </c>
    </row>
    <row r="6950" spans="1:12">
      <c r="A6950" s="22">
        <v>40315.458333333336</v>
      </c>
      <c r="E6950" s="26">
        <v>164.13646399999999</v>
      </c>
      <c r="G6950" s="27">
        <v>0.45833333333333331</v>
      </c>
      <c r="J6950" s="30">
        <f>IF(G6950&lt;$H$10,$H$16,IF(G6950&gt;$I$10,$H$16,$H$11))*E6950/600</f>
        <v>6.018337013333333E-2</v>
      </c>
      <c r="L6950" s="32">
        <f>$J6950*($G6950-$G6949)*60*24</f>
        <v>6.0183370133333115E-2</v>
      </c>
    </row>
    <row r="6951" spans="1:12">
      <c r="A6951" s="22">
        <v>40315.459027777775</v>
      </c>
      <c r="E6951" s="26">
        <v>159.86655999999999</v>
      </c>
      <c r="G6951" s="27">
        <v>0.45902777777777781</v>
      </c>
      <c r="J6951" s="30">
        <f>IF(G6951&lt;$H$10,$H$16,IF(G6951&gt;$I$10,$H$16,$H$11))*E6951/600</f>
        <v>5.8617738666666669E-2</v>
      </c>
      <c r="L6951" s="32">
        <f>$J6951*($G6951-$G6950)*60*24</f>
        <v>5.8617738666671144E-2</v>
      </c>
    </row>
    <row r="6952" spans="1:12">
      <c r="A6952" s="22">
        <v>40315.459722222222</v>
      </c>
      <c r="E6952" s="26">
        <v>153.40525199999999</v>
      </c>
      <c r="G6952" s="27">
        <v>0.4597222222222222</v>
      </c>
      <c r="J6952" s="30">
        <f>IF(G6952&lt;$H$10,$H$16,IF(G6952&gt;$I$10,$H$16,$H$11))*E6952/600</f>
        <v>5.6248592399999991E-2</v>
      </c>
      <c r="L6952" s="32">
        <f>$J6952*($G6952-$G6951)*60*24</f>
        <v>5.6248592399995287E-2</v>
      </c>
    </row>
    <row r="6953" spans="1:12">
      <c r="A6953" s="22">
        <v>40315.460416666669</v>
      </c>
      <c r="E6953" s="26">
        <v>153.8355</v>
      </c>
      <c r="G6953" s="27">
        <v>0.4604166666666667</v>
      </c>
      <c r="J6953" s="30">
        <f>IF(G6953&lt;$H$10,$H$16,IF(G6953&gt;$I$10,$H$16,$H$11))*E6953/600</f>
        <v>5.6406349999999994E-2</v>
      </c>
      <c r="L6953" s="32">
        <f>$J6953*($G6953-$G6952)*60*24</f>
        <v>5.6406350000004296E-2</v>
      </c>
    </row>
    <row r="6954" spans="1:12">
      <c r="A6954" s="22">
        <v>40315.461111111108</v>
      </c>
      <c r="E6954" s="26">
        <v>153.14098799999999</v>
      </c>
      <c r="G6954" s="27">
        <v>0.46111111111111108</v>
      </c>
      <c r="J6954" s="30">
        <f>IF(G6954&lt;$H$10,$H$16,IF(G6954&gt;$I$10,$H$16,$H$11))*E6954/600</f>
        <v>5.6151695599999996E-2</v>
      </c>
      <c r="L6954" s="32">
        <f>$J6954*($G6954-$G6953)*60*24</f>
        <v>5.6151695599995305E-2</v>
      </c>
    </row>
    <row r="6955" spans="1:12">
      <c r="A6955" s="22">
        <v>40315.461805555555</v>
      </c>
      <c r="E6955" s="26">
        <v>153.216791</v>
      </c>
      <c r="G6955" s="27">
        <v>0.46180555555555558</v>
      </c>
      <c r="J6955" s="30">
        <f>IF(G6955&lt;$H$10,$H$16,IF(G6955&gt;$I$10,$H$16,$H$11))*E6955/600</f>
        <v>5.6179490033333328E-2</v>
      </c>
      <c r="L6955" s="32">
        <f>$J6955*($G6955-$G6954)*60*24</f>
        <v>5.6179490033337623E-2</v>
      </c>
    </row>
    <row r="6956" spans="1:12">
      <c r="A6956" s="22">
        <v>40315.462500000001</v>
      </c>
      <c r="E6956" s="26">
        <v>153.12115</v>
      </c>
      <c r="G6956" s="27">
        <v>0.46249999999999997</v>
      </c>
      <c r="J6956" s="30">
        <f>IF(G6956&lt;$H$10,$H$16,IF(G6956&gt;$I$10,$H$16,$H$11))*E6956/600</f>
        <v>5.6144421666666666E-2</v>
      </c>
      <c r="L6956" s="32">
        <f>$J6956*($G6956-$G6955)*60*24</f>
        <v>5.6144421666661976E-2</v>
      </c>
    </row>
    <row r="6957" spans="1:12">
      <c r="A6957" s="22">
        <v>40315.463194444441</v>
      </c>
      <c r="E6957" s="26">
        <v>153.330905</v>
      </c>
      <c r="G6957" s="27">
        <v>0.46319444444444446</v>
      </c>
      <c r="J6957" s="30">
        <f>IF(G6957&lt;$H$10,$H$16,IF(G6957&gt;$I$10,$H$16,$H$11))*E6957/600</f>
        <v>5.6221331833333332E-2</v>
      </c>
      <c r="L6957" s="32">
        <f>$J6957*($G6957-$G6956)*60*24</f>
        <v>5.6221331833337621E-2</v>
      </c>
    </row>
    <row r="6958" spans="1:12">
      <c r="A6958" s="22">
        <v>40315.463888888888</v>
      </c>
      <c r="E6958" s="26">
        <v>154.11760000000001</v>
      </c>
      <c r="G6958" s="27">
        <v>0.46388888888888885</v>
      </c>
      <c r="J6958" s="30">
        <f>IF(G6958&lt;$H$10,$H$16,IF(G6958&gt;$I$10,$H$16,$H$11))*E6958/600</f>
        <v>5.6509786666666673E-2</v>
      </c>
      <c r="L6958" s="32">
        <f>$J6958*($G6958-$G6957)*60*24</f>
        <v>5.6509786666661954E-2</v>
      </c>
    </row>
    <row r="6959" spans="1:12">
      <c r="A6959" s="22">
        <v>40315.464583333334</v>
      </c>
      <c r="E6959" s="26">
        <v>158.75244000000001</v>
      </c>
      <c r="G6959" s="27">
        <v>0.46458333333333335</v>
      </c>
      <c r="J6959" s="30">
        <f>IF(G6959&lt;$H$10,$H$16,IF(G6959&gt;$I$10,$H$16,$H$11))*E6959/600</f>
        <v>5.8209228000000009E-2</v>
      </c>
      <c r="L6959" s="32">
        <f>$J6959*($G6959-$G6958)*60*24</f>
        <v>5.820922800000445E-2</v>
      </c>
    </row>
    <row r="6960" spans="1:12">
      <c r="A6960" s="22">
        <v>40315.465277777781</v>
      </c>
      <c r="E6960" s="26">
        <v>155.605086</v>
      </c>
      <c r="G6960" s="27">
        <v>0.46527777777777773</v>
      </c>
      <c r="J6960" s="30">
        <f>IF(G6960&lt;$H$10,$H$16,IF(G6960&gt;$I$10,$H$16,$H$11))*E6960/600</f>
        <v>5.7055198200000004E-2</v>
      </c>
      <c r="L6960" s="32">
        <f>$J6960*($G6960-$G6959)*60*24</f>
        <v>5.705519819999523E-2</v>
      </c>
    </row>
    <row r="6961" spans="1:12">
      <c r="A6961" s="22">
        <v>40315.46597222222</v>
      </c>
      <c r="E6961" s="26">
        <v>154.727846</v>
      </c>
      <c r="G6961" s="27">
        <v>0.46597222222222223</v>
      </c>
      <c r="J6961" s="30">
        <f>IF(G6961&lt;$H$10,$H$16,IF(G6961&gt;$I$10,$H$16,$H$11))*E6961/600</f>
        <v>5.673354353333334E-2</v>
      </c>
      <c r="L6961" s="32">
        <f>$J6961*($G6961-$G6960)*60*24</f>
        <v>5.6733543533337677E-2</v>
      </c>
    </row>
    <row r="6962" spans="1:12">
      <c r="A6962" s="22">
        <v>40315.466666666667</v>
      </c>
      <c r="E6962" s="26">
        <v>155.69007999999999</v>
      </c>
      <c r="G6962" s="27">
        <v>0.46666666666666662</v>
      </c>
      <c r="J6962" s="30">
        <f>IF(G6962&lt;$H$10,$H$16,IF(G6962&gt;$I$10,$H$16,$H$11))*E6962/600</f>
        <v>5.7086362666666668E-2</v>
      </c>
      <c r="L6962" s="32">
        <f>$J6962*($G6962-$G6961)*60*24</f>
        <v>5.7086362666661894E-2</v>
      </c>
    </row>
    <row r="6963" spans="1:12">
      <c r="A6963" s="22">
        <v>40315.467361111114</v>
      </c>
      <c r="E6963" s="26">
        <v>154.75414499999999</v>
      </c>
      <c r="G6963" s="27">
        <v>0.46736111111111112</v>
      </c>
      <c r="J6963" s="30">
        <f>IF(G6963&lt;$H$10,$H$16,IF(G6963&gt;$I$10,$H$16,$H$11))*E6963/600</f>
        <v>5.6743186500000001E-2</v>
      </c>
      <c r="L6963" s="32">
        <f>$J6963*($G6963-$G6962)*60*24</f>
        <v>5.6743186500004344E-2</v>
      </c>
    </row>
    <row r="6964" spans="1:12">
      <c r="A6964" s="22">
        <v>40315.468055555553</v>
      </c>
      <c r="E6964" s="26">
        <v>153.37576799999999</v>
      </c>
      <c r="G6964" s="27">
        <v>0.4680555555555555</v>
      </c>
      <c r="J6964" s="30">
        <f>IF(G6964&lt;$H$10,$H$16,IF(G6964&gt;$I$10,$H$16,$H$11))*E6964/600</f>
        <v>5.6237781599999995E-2</v>
      </c>
      <c r="L6964" s="32">
        <f>$J6964*($G6964-$G6963)*60*24</f>
        <v>5.6237781599995304E-2</v>
      </c>
    </row>
    <row r="6965" spans="1:12">
      <c r="A6965" s="22">
        <v>40315.46875</v>
      </c>
      <c r="E6965" s="26">
        <v>156.62292099999999</v>
      </c>
      <c r="G6965" s="27">
        <v>0.46875</v>
      </c>
      <c r="J6965" s="30">
        <f>IF(G6965&lt;$H$10,$H$16,IF(G6965&gt;$I$10,$H$16,$H$11))*E6965/600</f>
        <v>5.7428404366666658E-2</v>
      </c>
      <c r="L6965" s="32">
        <f>$J6965*($G6965-$G6964)*60*24</f>
        <v>5.742840436667105E-2</v>
      </c>
    </row>
    <row r="6966" spans="1:12">
      <c r="A6966" s="22">
        <v>40315.469444444447</v>
      </c>
      <c r="E6966" s="26">
        <v>152.977734</v>
      </c>
      <c r="G6966" s="27">
        <v>0.4694444444444445</v>
      </c>
      <c r="J6966" s="30">
        <f>IF(G6966&lt;$H$10,$H$16,IF(G6966&gt;$I$10,$H$16,$H$11))*E6966/600</f>
        <v>5.6091835799999996E-2</v>
      </c>
      <c r="L6966" s="32">
        <f>$J6966*($G6966-$G6965)*60*24</f>
        <v>5.6091835800004285E-2</v>
      </c>
    </row>
    <row r="6967" spans="1:12">
      <c r="A6967" s="22">
        <v>40315.470138888886</v>
      </c>
      <c r="E6967" s="26">
        <v>155.56322599999999</v>
      </c>
      <c r="G6967" s="27">
        <v>0.47013888888888888</v>
      </c>
      <c r="J6967" s="30">
        <f>IF(G6967&lt;$H$10,$H$16,IF(G6967&gt;$I$10,$H$16,$H$11))*E6967/600</f>
        <v>5.7039849533333326E-2</v>
      </c>
      <c r="L6967" s="32">
        <f>$J6967*($G6967-$G6966)*60*24</f>
        <v>5.7039849533328565E-2</v>
      </c>
    </row>
    <row r="6968" spans="1:12">
      <c r="A6968" s="22">
        <v>40315.470833333333</v>
      </c>
      <c r="E6968" s="26">
        <v>154.60890900000001</v>
      </c>
      <c r="G6968" s="27">
        <v>0.47083333333333338</v>
      </c>
      <c r="J6968" s="30">
        <f>IF(G6968&lt;$H$10,$H$16,IF(G6968&gt;$I$10,$H$16,$H$11))*E6968/600</f>
        <v>5.6689933300000002E-2</v>
      </c>
      <c r="L6968" s="32">
        <f>$J6968*($G6968-$G6967)*60*24</f>
        <v>5.6689933300004325E-2</v>
      </c>
    </row>
    <row r="6969" spans="1:12">
      <c r="A6969" s="22">
        <v>40315.47152777778</v>
      </c>
      <c r="E6969" s="26">
        <v>154.22534400000001</v>
      </c>
      <c r="G6969" s="27">
        <v>0.47152777777777777</v>
      </c>
      <c r="J6969" s="30">
        <f>IF(G6969&lt;$H$10,$H$16,IF(G6969&gt;$I$10,$H$16,$H$11))*E6969/600</f>
        <v>5.6549292799999998E-2</v>
      </c>
      <c r="L6969" s="32">
        <f>$J6969*($G6969-$G6968)*60*24</f>
        <v>5.6549292799995272E-2</v>
      </c>
    </row>
    <row r="6970" spans="1:12">
      <c r="A6970" s="22">
        <v>40315.472222222219</v>
      </c>
      <c r="E6970" s="26">
        <v>158.004392</v>
      </c>
      <c r="G6970" s="27">
        <v>0.47222222222222227</v>
      </c>
      <c r="J6970" s="30">
        <f>IF(G6970&lt;$H$10,$H$16,IF(G6970&gt;$I$10,$H$16,$H$11))*E6970/600</f>
        <v>5.7934943733333334E-2</v>
      </c>
      <c r="L6970" s="32">
        <f>$J6970*($G6970-$G6969)*60*24</f>
        <v>5.7934943733337754E-2</v>
      </c>
    </row>
    <row r="6971" spans="1:12">
      <c r="A6971" s="22">
        <v>40315.472916666666</v>
      </c>
      <c r="E6971" s="26">
        <v>155.55539999999999</v>
      </c>
      <c r="G6971" s="27">
        <v>0.47291666666666665</v>
      </c>
      <c r="J6971" s="30">
        <f>IF(G6971&lt;$H$10,$H$16,IF(G6971&gt;$I$10,$H$16,$H$11))*E6971/600</f>
        <v>5.7036979999999994E-2</v>
      </c>
      <c r="L6971" s="32">
        <f>$J6971*($G6971-$G6970)*60*24</f>
        <v>5.7036979999995227E-2</v>
      </c>
    </row>
    <row r="6972" spans="1:12">
      <c r="A6972" s="22">
        <v>40315.473611111112</v>
      </c>
      <c r="E6972" s="26">
        <v>154.92477</v>
      </c>
      <c r="G6972" s="27">
        <v>0.47361111111111115</v>
      </c>
      <c r="J6972" s="30">
        <f>IF(G6972&lt;$H$10,$H$16,IF(G6972&gt;$I$10,$H$16,$H$11))*E6972/600</f>
        <v>5.6805748999999996E-2</v>
      </c>
      <c r="L6972" s="32">
        <f>$J6972*($G6972-$G6971)*60*24</f>
        <v>5.6805749000004332E-2</v>
      </c>
    </row>
    <row r="6973" spans="1:12">
      <c r="A6973" s="22">
        <v>40315.474305555559</v>
      </c>
      <c r="E6973" s="26">
        <v>152.86525800000001</v>
      </c>
      <c r="G6973" s="27">
        <v>0.47430555555555554</v>
      </c>
      <c r="J6973" s="30">
        <f>IF(G6973&lt;$H$10,$H$16,IF(G6973&gt;$I$10,$H$16,$H$11))*E6973/600</f>
        <v>5.605059460000001E-2</v>
      </c>
      <c r="L6973" s="32">
        <f>$J6973*($G6973-$G6972)*60*24</f>
        <v>5.6050594599995333E-2</v>
      </c>
    </row>
    <row r="6974" spans="1:12">
      <c r="A6974" s="22">
        <v>40315.474999999999</v>
      </c>
      <c r="E6974" s="26">
        <v>152.21606399999999</v>
      </c>
      <c r="G6974" s="27">
        <v>0.47500000000000003</v>
      </c>
      <c r="J6974" s="30">
        <f>IF(G6974&lt;$H$10,$H$16,IF(G6974&gt;$I$10,$H$16,$H$11))*E6974/600</f>
        <v>5.5812556799999996E-2</v>
      </c>
      <c r="L6974" s="32">
        <f>$J6974*($G6974-$G6973)*60*24</f>
        <v>5.5812556800004257E-2</v>
      </c>
    </row>
    <row r="6975" spans="1:12">
      <c r="A6975" s="22">
        <v>40315.475694444445</v>
      </c>
      <c r="E6975" s="26">
        <v>153.40525199999999</v>
      </c>
      <c r="G6975" s="27">
        <v>0.47569444444444442</v>
      </c>
      <c r="J6975" s="30">
        <f>IF(G6975&lt;$H$10,$H$16,IF(G6975&gt;$I$10,$H$16,$H$11))*E6975/600</f>
        <v>5.6248592399999991E-2</v>
      </c>
      <c r="L6975" s="32">
        <f>$J6975*($G6975-$G6974)*60*24</f>
        <v>5.6248592399995287E-2</v>
      </c>
    </row>
    <row r="6976" spans="1:12">
      <c r="A6976" s="22">
        <v>40315.476388888892</v>
      </c>
      <c r="E6976" s="26">
        <v>153.801648</v>
      </c>
      <c r="G6976" s="27">
        <v>0.47638888888888892</v>
      </c>
      <c r="J6976" s="30">
        <f>IF(G6976&lt;$H$10,$H$16,IF(G6976&gt;$I$10,$H$16,$H$11))*E6976/600</f>
        <v>5.6393937599999999E-2</v>
      </c>
      <c r="L6976" s="32">
        <f>$J6976*($G6976-$G6975)*60*24</f>
        <v>5.6393937600004301E-2</v>
      </c>
    </row>
    <row r="6977" spans="1:12">
      <c r="A6977" s="22">
        <v>40315.477083333331</v>
      </c>
      <c r="E6977" s="26">
        <v>153.56086199999999</v>
      </c>
      <c r="G6977" s="27">
        <v>0.4770833333333333</v>
      </c>
      <c r="J6977" s="30">
        <f>IF(G6977&lt;$H$10,$H$16,IF(G6977&gt;$I$10,$H$16,$H$11))*E6977/600</f>
        <v>5.6305649399999991E-2</v>
      </c>
      <c r="L6977" s="32">
        <f>$J6977*($G6977-$G6976)*60*24</f>
        <v>5.6305649399995293E-2</v>
      </c>
    </row>
    <row r="6978" spans="1:12">
      <c r="A6978" s="22">
        <v>40315.477777777778</v>
      </c>
      <c r="E6978" s="26">
        <v>155.818208</v>
      </c>
      <c r="G6978" s="27">
        <v>0.4777777777777778</v>
      </c>
      <c r="J6978" s="30">
        <f>IF(G6978&lt;$H$10,$H$16,IF(G6978&gt;$I$10,$H$16,$H$11))*E6978/600</f>
        <v>5.7133342933333338E-2</v>
      </c>
      <c r="L6978" s="32">
        <f>$J6978*($G6978-$G6977)*60*24</f>
        <v>5.7133342933337695E-2</v>
      </c>
    </row>
    <row r="6979" spans="1:12">
      <c r="A6979" s="22">
        <v>40315.478472222225</v>
      </c>
      <c r="E6979" s="26">
        <v>166.464234</v>
      </c>
      <c r="G6979" s="27">
        <v>0.47847222222222219</v>
      </c>
      <c r="J6979" s="30">
        <f>IF(G6979&lt;$H$10,$H$16,IF(G6979&gt;$I$10,$H$16,$H$11))*E6979/600</f>
        <v>6.1036885800000003E-2</v>
      </c>
      <c r="L6979" s="32">
        <f>$J6979*($G6979-$G6978)*60*24</f>
        <v>6.1036885799994903E-2</v>
      </c>
    </row>
    <row r="6980" spans="1:12">
      <c r="A6980" s="22">
        <v>40315.479166666664</v>
      </c>
      <c r="E6980" s="26">
        <v>163.45446799999999</v>
      </c>
      <c r="G6980" s="27">
        <v>0.47916666666666669</v>
      </c>
      <c r="J6980" s="30">
        <f>IF(G6980&lt;$H$10,$H$16,IF(G6980&gt;$I$10,$H$16,$H$11))*E6980/600</f>
        <v>5.9933304933333327E-2</v>
      </c>
      <c r="L6980" s="32">
        <f>$J6980*($G6980-$G6979)*60*24</f>
        <v>5.9933304933337907E-2</v>
      </c>
    </row>
    <row r="6981" spans="1:12">
      <c r="A6981" s="22">
        <v>40315.479861111111</v>
      </c>
      <c r="E6981" s="26">
        <v>161.662768</v>
      </c>
      <c r="G6981" s="27">
        <v>0.47986111111111113</v>
      </c>
      <c r="J6981" s="30">
        <f>IF(G6981&lt;$H$10,$H$16,IF(G6981&gt;$I$10,$H$16,$H$11))*E6981/600</f>
        <v>5.9276348266666661E-2</v>
      </c>
      <c r="L6981" s="32">
        <f>$J6981*($G6981-$G6980)*60*24</f>
        <v>5.9276348266666445E-2</v>
      </c>
    </row>
    <row r="6982" spans="1:12">
      <c r="A6982" s="22">
        <v>40315.480555555558</v>
      </c>
      <c r="E6982" s="26">
        <v>160.88592</v>
      </c>
      <c r="G6982" s="27">
        <v>0.48055555555555557</v>
      </c>
      <c r="J6982" s="30">
        <f>IF(G6982&lt;$H$10,$H$16,IF(G6982&gt;$I$10,$H$16,$H$11))*E6982/600</f>
        <v>5.8991504E-2</v>
      </c>
      <c r="L6982" s="32">
        <f>$J6982*($G6982-$G6981)*60*24</f>
        <v>5.8991503999999785E-2</v>
      </c>
    </row>
    <row r="6983" spans="1:12">
      <c r="A6983" s="22">
        <v>40315.481249999997</v>
      </c>
      <c r="E6983" s="26">
        <v>173.584686</v>
      </c>
      <c r="G6983" s="27">
        <v>0.48125000000000001</v>
      </c>
      <c r="J6983" s="30">
        <f>IF(G6983&lt;$H$10,$H$16,IF(G6983&gt;$I$10,$H$16,$H$11))*E6983/600</f>
        <v>6.3647718200000009E-2</v>
      </c>
      <c r="L6983" s="32">
        <f>$J6983*($G6983-$G6982)*60*24</f>
        <v>6.3647718199999787E-2</v>
      </c>
    </row>
    <row r="6984" spans="1:12">
      <c r="A6984" s="22">
        <v>40315.481944444444</v>
      </c>
      <c r="E6984" s="26">
        <v>162.71984800000001</v>
      </c>
      <c r="G6984" s="27">
        <v>0.48194444444444445</v>
      </c>
      <c r="J6984" s="30">
        <f>IF(G6984&lt;$H$10,$H$16,IF(G6984&gt;$I$10,$H$16,$H$11))*E6984/600</f>
        <v>5.9663944266666678E-2</v>
      </c>
      <c r="L6984" s="32">
        <f>$J6984*($G6984-$G6983)*60*24</f>
        <v>5.9663944266666463E-2</v>
      </c>
    </row>
    <row r="6985" spans="1:12">
      <c r="A6985" s="22">
        <v>40315.482638888891</v>
      </c>
      <c r="E6985" s="26">
        <v>154.53820200000001</v>
      </c>
      <c r="G6985" s="27">
        <v>0.4826388888888889</v>
      </c>
      <c r="J6985" s="30">
        <f>IF(G6985&lt;$H$10,$H$16,IF(G6985&gt;$I$10,$H$16,$H$11))*E6985/600</f>
        <v>5.6664007400000001E-2</v>
      </c>
      <c r="L6985" s="32">
        <f>$J6985*($G6985-$G6984)*60*24</f>
        <v>5.6664007399999806E-2</v>
      </c>
    </row>
    <row r="6986" spans="1:12">
      <c r="A6986" s="22">
        <v>40315.48333333333</v>
      </c>
      <c r="E6986" s="26">
        <v>148.58725699999999</v>
      </c>
      <c r="G6986" s="27">
        <v>0.48333333333333334</v>
      </c>
      <c r="J6986" s="30">
        <f>IF(G6986&lt;$H$10,$H$16,IF(G6986&gt;$I$10,$H$16,$H$11))*E6986/600</f>
        <v>5.4481994233333331E-2</v>
      </c>
      <c r="L6986" s="32">
        <f>$J6986*($G6986-$G6985)*60*24</f>
        <v>5.4481994233333143E-2</v>
      </c>
    </row>
    <row r="6987" spans="1:12">
      <c r="A6987" s="22">
        <v>40315.484027777777</v>
      </c>
      <c r="E6987" s="26">
        <v>150.3073</v>
      </c>
      <c r="G6987" s="27">
        <v>0.48402777777777778</v>
      </c>
      <c r="J6987" s="30">
        <f>IF(G6987&lt;$H$10,$H$16,IF(G6987&gt;$I$10,$H$16,$H$11))*E6987/600</f>
        <v>5.5112676666666666E-2</v>
      </c>
      <c r="L6987" s="32">
        <f>$J6987*($G6987-$G6986)*60*24</f>
        <v>5.5112676666666471E-2</v>
      </c>
    </row>
    <row r="6988" spans="1:12">
      <c r="A6988" s="22">
        <v>40315.484722222223</v>
      </c>
      <c r="E6988" s="26">
        <v>151.32390000000001</v>
      </c>
      <c r="G6988" s="27">
        <v>0.48472222222222222</v>
      </c>
      <c r="J6988" s="30">
        <f>IF(G6988&lt;$H$10,$H$16,IF(G6988&gt;$I$10,$H$16,$H$11))*E6988/600</f>
        <v>5.5485429999999995E-2</v>
      </c>
      <c r="L6988" s="32">
        <f>$J6988*($G6988-$G6987)*60*24</f>
        <v>5.5485429999999794E-2</v>
      </c>
    </row>
    <row r="6989" spans="1:12">
      <c r="A6989" s="22">
        <v>40315.48541666667</v>
      </c>
      <c r="E6989" s="26">
        <v>154.62538000000001</v>
      </c>
      <c r="G6989" s="27">
        <v>0.48541666666666666</v>
      </c>
      <c r="J6989" s="30">
        <f>IF(G6989&lt;$H$10,$H$16,IF(G6989&gt;$I$10,$H$16,$H$11))*E6989/600</f>
        <v>5.6695972666666671E-2</v>
      </c>
      <c r="L6989" s="32">
        <f>$J6989*($G6989-$G6988)*60*24</f>
        <v>5.6695972666666469E-2</v>
      </c>
    </row>
    <row r="6990" spans="1:12">
      <c r="A6990" s="22">
        <v>40315.486111111109</v>
      </c>
      <c r="E6990" s="26">
        <v>152.93350799999999</v>
      </c>
      <c r="G6990" s="27">
        <v>0.4861111111111111</v>
      </c>
      <c r="J6990" s="30">
        <f>IF(G6990&lt;$H$10,$H$16,IF(G6990&gt;$I$10,$H$16,$H$11))*E6990/600</f>
        <v>5.6075619599999994E-2</v>
      </c>
      <c r="L6990" s="32">
        <f>$J6990*($G6990-$G6989)*60*24</f>
        <v>5.6075619599999807E-2</v>
      </c>
    </row>
    <row r="6991" spans="1:12">
      <c r="A6991" s="22">
        <v>40315.486805555556</v>
      </c>
      <c r="E6991" s="26">
        <v>161.05345199999999</v>
      </c>
      <c r="G6991" s="27">
        <v>0.48680555555555555</v>
      </c>
      <c r="J6991" s="30">
        <f>IF(G6991&lt;$H$10,$H$16,IF(G6991&gt;$I$10,$H$16,$H$11))*E6991/600</f>
        <v>5.9052932400000001E-2</v>
      </c>
      <c r="L6991" s="32">
        <f>$J6991*($G6991-$G6990)*60*24</f>
        <v>5.9052932399999793E-2</v>
      </c>
    </row>
    <row r="6992" spans="1:12">
      <c r="A6992" s="22">
        <v>40315.487500000003</v>
      </c>
      <c r="E6992" s="26">
        <v>160.25866400000001</v>
      </c>
      <c r="G6992" s="27">
        <v>0.48749999999999999</v>
      </c>
      <c r="J6992" s="30">
        <f>IF(G6992&lt;$H$10,$H$16,IF(G6992&gt;$I$10,$H$16,$H$11))*E6992/600</f>
        <v>5.8761510133333333E-2</v>
      </c>
      <c r="L6992" s="32">
        <f>$J6992*($G6992-$G6991)*60*24</f>
        <v>5.8761510133333118E-2</v>
      </c>
    </row>
    <row r="6993" spans="1:12">
      <c r="A6993" s="22">
        <v>40315.488194444442</v>
      </c>
      <c r="E6993" s="26">
        <v>153.397426</v>
      </c>
      <c r="G6993" s="27">
        <v>0.48819444444444443</v>
      </c>
      <c r="J6993" s="30">
        <f>IF(G6993&lt;$H$10,$H$16,IF(G6993&gt;$I$10,$H$16,$H$11))*E6993/600</f>
        <v>5.624572286666666E-2</v>
      </c>
      <c r="L6993" s="32">
        <f>$J6993*($G6993-$G6992)*60*24</f>
        <v>5.6245722866666459E-2</v>
      </c>
    </row>
    <row r="6994" spans="1:12">
      <c r="A6994" s="22">
        <v>40315.488888888889</v>
      </c>
      <c r="E6994" s="26">
        <v>156.078</v>
      </c>
      <c r="G6994" s="27">
        <v>0.48888888888888887</v>
      </c>
      <c r="J6994" s="30">
        <f>IF(G6994&lt;$H$10,$H$16,IF(G6994&gt;$I$10,$H$16,$H$11))*E6994/600</f>
        <v>5.7228600000000004E-2</v>
      </c>
      <c r="L6994" s="32">
        <f>$J6994*($G6994-$G6993)*60*24</f>
        <v>5.7228599999999796E-2</v>
      </c>
    </row>
    <row r="6995" spans="1:12">
      <c r="A6995" s="22">
        <v>40315.489583333336</v>
      </c>
      <c r="E6995" s="26">
        <v>155.93291600000001</v>
      </c>
      <c r="G6995" s="27">
        <v>0.48958333333333331</v>
      </c>
      <c r="J6995" s="30">
        <f>IF(G6995&lt;$H$10,$H$16,IF(G6995&gt;$I$10,$H$16,$H$11))*E6995/600</f>
        <v>5.7175402533333336E-2</v>
      </c>
      <c r="L6995" s="32">
        <f>$J6995*($G6995-$G6994)*60*24</f>
        <v>5.7175402533333135E-2</v>
      </c>
    </row>
    <row r="6996" spans="1:12">
      <c r="A6996" s="22">
        <v>40315.490277777775</v>
      </c>
      <c r="E6996" s="26">
        <v>153.94175999999999</v>
      </c>
      <c r="G6996" s="27">
        <v>0.49027777777777781</v>
      </c>
      <c r="J6996" s="30">
        <f>IF(G6996&lt;$H$10,$H$16,IF(G6996&gt;$I$10,$H$16,$H$11))*E6996/600</f>
        <v>5.6445311999999997E-2</v>
      </c>
      <c r="L6996" s="32">
        <f>$J6996*($G6996-$G6995)*60*24</f>
        <v>5.6445312000004313E-2</v>
      </c>
    </row>
    <row r="6997" spans="1:12">
      <c r="A6997" s="22">
        <v>40315.490972222222</v>
      </c>
      <c r="E6997" s="26">
        <v>155.17823999999999</v>
      </c>
      <c r="G6997" s="27">
        <v>0.4909722222222222</v>
      </c>
      <c r="J6997" s="30">
        <f>IF(G6997&lt;$H$10,$H$16,IF(G6997&gt;$I$10,$H$16,$H$11))*E6997/600</f>
        <v>5.6898687999999996E-2</v>
      </c>
      <c r="L6997" s="32">
        <f>$J6997*($G6997-$G6996)*60*24</f>
        <v>5.6898687999995243E-2</v>
      </c>
    </row>
    <row r="6998" spans="1:12">
      <c r="A6998" s="22">
        <v>40315.491666666669</v>
      </c>
      <c r="E6998" s="26">
        <v>154.88825600000001</v>
      </c>
      <c r="G6998" s="27">
        <v>0.4916666666666667</v>
      </c>
      <c r="J6998" s="30">
        <f>IF(G6998&lt;$H$10,$H$16,IF(G6998&gt;$I$10,$H$16,$H$11))*E6998/600</f>
        <v>5.6792360533333336E-2</v>
      </c>
      <c r="L6998" s="32">
        <f>$J6998*($G6998-$G6997)*60*24</f>
        <v>5.6792360533337666E-2</v>
      </c>
    </row>
    <row r="6999" spans="1:12">
      <c r="A6999" s="22">
        <v>40315.492361111108</v>
      </c>
      <c r="E6999" s="26">
        <v>154.10303999999999</v>
      </c>
      <c r="G6999" s="27">
        <v>0.49236111111111108</v>
      </c>
      <c r="J6999" s="30">
        <f>IF(G6999&lt;$H$10,$H$16,IF(G6999&gt;$I$10,$H$16,$H$11))*E6999/600</f>
        <v>5.6504447999999999E-2</v>
      </c>
      <c r="L6999" s="32">
        <f>$J6999*($G6999-$G6998)*60*24</f>
        <v>5.650444799999528E-2</v>
      </c>
    </row>
    <row r="7000" spans="1:12">
      <c r="A7000" s="22">
        <v>40315.493055555555</v>
      </c>
      <c r="E7000" s="26">
        <v>152.334</v>
      </c>
      <c r="G7000" s="27">
        <v>0.49305555555555558</v>
      </c>
      <c r="J7000" s="30">
        <f>IF(G7000&lt;$H$10,$H$16,IF(G7000&gt;$I$10,$H$16,$H$11))*E7000/600</f>
        <v>5.5855800000000004E-2</v>
      </c>
      <c r="L7000" s="32">
        <f>$J7000*($G7000-$G6999)*60*24</f>
        <v>5.5855800000004271E-2</v>
      </c>
    </row>
    <row r="7001" spans="1:12">
      <c r="A7001" s="22">
        <v>40315.493750000001</v>
      </c>
      <c r="E7001" s="26">
        <v>151.34246400000001</v>
      </c>
      <c r="G7001" s="27">
        <v>0.49374999999999997</v>
      </c>
      <c r="J7001" s="30">
        <f>IF(G7001&lt;$H$10,$H$16,IF(G7001&gt;$I$10,$H$16,$H$11))*E7001/600</f>
        <v>5.5492236800000011E-2</v>
      </c>
      <c r="L7001" s="32">
        <f>$J7001*($G7001-$G7000)*60*24</f>
        <v>5.5492236799995376E-2</v>
      </c>
    </row>
    <row r="7002" spans="1:12">
      <c r="A7002" s="22">
        <v>40315.494444444441</v>
      </c>
      <c r="E7002" s="26">
        <v>149.64949999999999</v>
      </c>
      <c r="G7002" s="27">
        <v>0.49444444444444446</v>
      </c>
      <c r="J7002" s="30">
        <f>IF(G7002&lt;$H$10,$H$16,IF(G7002&gt;$I$10,$H$16,$H$11))*E7002/600</f>
        <v>5.4871483333333325E-2</v>
      </c>
      <c r="L7002" s="32">
        <f>$J7002*($G7002-$G7001)*60*24</f>
        <v>5.4871483333337516E-2</v>
      </c>
    </row>
  </sheetData>
  <conditionalFormatting sqref="G1:G1048576">
    <cfRule type="cellIs" dxfId="0" priority="1" operator="between">
      <formula>$H$10</formula>
      <formula>$I$10</formula>
    </cfRule>
  </conditionalFormatting>
  <pageMargins left="0.7" right="0.7" top="0.75" bottom="0.75" header="0.3" footer="0.3"/>
  <pageSetup paperSize="9" orientation="portrait" copies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/>
  <dimension ref="A1"/>
  <sheetViews>
    <sheetView workbookViewId="0">
      <selection activeCell="F50" sqref="F50"/>
    </sheetView>
  </sheetViews>
  <sheetFormatPr defaultRowHeight="12.75"/>
  <sheetData/>
  <sheetProtection password="F67F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"/>
  <sheetViews>
    <sheetView workbookViewId="0">
      <selection activeCell="C49" sqref="C49"/>
    </sheetView>
  </sheetViews>
  <sheetFormatPr defaultRowHeight="12.75"/>
  <sheetData/>
  <sheetProtection password="F67F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4"/>
  <dimension ref="A1:F29"/>
  <sheetViews>
    <sheetView zoomScale="200" zoomScaleNormal="200" workbookViewId="0">
      <selection activeCell="B9" sqref="B9"/>
    </sheetView>
  </sheetViews>
  <sheetFormatPr defaultRowHeight="12.75"/>
  <cols>
    <col min="1" max="1" width="5.33203125" style="57" customWidth="1"/>
    <col min="2" max="2" width="9" style="57" customWidth="1"/>
    <col min="3" max="3" width="11" style="57" customWidth="1"/>
    <col min="4" max="4" width="7.5" style="57" customWidth="1"/>
    <col min="5" max="5" width="8" style="57" customWidth="1"/>
    <col min="6" max="6" width="9.33203125" style="57"/>
  </cols>
  <sheetData>
    <row r="1" spans="1:6">
      <c r="A1" s="57" t="s">
        <v>26</v>
      </c>
      <c r="B1" s="57" t="s">
        <v>27</v>
      </c>
      <c r="C1" s="57" t="s">
        <v>28</v>
      </c>
      <c r="D1" s="57" t="s">
        <v>29</v>
      </c>
      <c r="E1" s="57" t="s">
        <v>30</v>
      </c>
      <c r="F1" s="64" t="s">
        <v>31</v>
      </c>
    </row>
    <row r="2" spans="1:6">
      <c r="A2" s="57">
        <v>0</v>
      </c>
      <c r="B2" s="58">
        <v>7.5641050683333266E-2</v>
      </c>
      <c r="C2" s="59">
        <v>0.2</v>
      </c>
      <c r="D2" s="57">
        <v>300</v>
      </c>
      <c r="E2" s="61">
        <f>B2/D2*60000</f>
        <v>15.128210136666652</v>
      </c>
      <c r="F2" s="62">
        <f>E2*C2/1000*100</f>
        <v>0.30256420273333307</v>
      </c>
    </row>
    <row r="3" spans="1:6">
      <c r="A3" s="57">
        <v>1</v>
      </c>
      <c r="B3" s="58">
        <v>7.6422211933333303E-2</v>
      </c>
      <c r="C3" s="59">
        <v>0.2</v>
      </c>
      <c r="D3" s="57">
        <v>300</v>
      </c>
      <c r="E3" s="61">
        <f t="shared" ref="E3:E25" si="0">B3/D3*60000</f>
        <v>15.28444238666666</v>
      </c>
      <c r="F3" s="62">
        <f t="shared" ref="F3:F25" si="1">E3*C3/1000*100</f>
        <v>0.30568884773333321</v>
      </c>
    </row>
    <row r="4" spans="1:6">
      <c r="A4" s="57">
        <v>2</v>
      </c>
      <c r="B4" s="58">
        <v>7.5971841383333308E-2</v>
      </c>
      <c r="C4" s="59">
        <v>0.2</v>
      </c>
      <c r="D4" s="57">
        <v>300</v>
      </c>
      <c r="E4" s="61">
        <f t="shared" si="0"/>
        <v>15.194368276666662</v>
      </c>
      <c r="F4" s="62">
        <f t="shared" si="1"/>
        <v>0.30388736553333329</v>
      </c>
    </row>
    <row r="5" spans="1:6">
      <c r="A5" s="57">
        <v>3</v>
      </c>
      <c r="B5" s="58">
        <v>7.5279536133333297E-2</v>
      </c>
      <c r="C5" s="59">
        <v>0.2</v>
      </c>
      <c r="D5" s="57">
        <v>300</v>
      </c>
      <c r="E5" s="61">
        <f t="shared" si="0"/>
        <v>15.055907226666658</v>
      </c>
      <c r="F5" s="62">
        <f t="shared" si="1"/>
        <v>0.30111814453333319</v>
      </c>
    </row>
    <row r="6" spans="1:6">
      <c r="A6" s="57">
        <v>4</v>
      </c>
      <c r="B6" s="58">
        <v>7.52595602333333E-2</v>
      </c>
      <c r="C6" s="59">
        <v>0.2</v>
      </c>
      <c r="D6" s="57">
        <v>300</v>
      </c>
      <c r="E6" s="61">
        <f t="shared" si="0"/>
        <v>15.05191204666666</v>
      </c>
      <c r="F6" s="62">
        <f t="shared" si="1"/>
        <v>0.3010382409333332</v>
      </c>
    </row>
    <row r="7" spans="1:6">
      <c r="A7" s="57">
        <v>5</v>
      </c>
      <c r="B7" s="58">
        <v>0.10653893059999996</v>
      </c>
      <c r="C7" s="59">
        <v>0.2</v>
      </c>
      <c r="D7" s="57">
        <v>300</v>
      </c>
      <c r="E7" s="61">
        <f t="shared" si="0"/>
        <v>21.307786119999992</v>
      </c>
      <c r="F7" s="62">
        <f t="shared" si="1"/>
        <v>0.42615572239999994</v>
      </c>
    </row>
    <row r="8" spans="1:6">
      <c r="A8" s="57">
        <v>6</v>
      </c>
      <c r="B8" s="58">
        <v>0.3080234617</v>
      </c>
      <c r="C8" s="59">
        <v>0.2</v>
      </c>
      <c r="D8" s="57">
        <v>300</v>
      </c>
      <c r="E8" s="61">
        <f t="shared" si="0"/>
        <v>61.604692340000007</v>
      </c>
      <c r="F8" s="62">
        <f t="shared" si="1"/>
        <v>1.2320938468000002</v>
      </c>
    </row>
    <row r="9" spans="1:6">
      <c r="A9" s="57">
        <v>7</v>
      </c>
      <c r="B9" s="58">
        <v>0.66977252864999981</v>
      </c>
      <c r="C9" s="59">
        <v>0.2</v>
      </c>
      <c r="D9" s="57">
        <v>300</v>
      </c>
      <c r="E9" s="61">
        <f t="shared" si="0"/>
        <v>133.95450572999997</v>
      </c>
      <c r="F9" s="62">
        <f t="shared" si="1"/>
        <v>2.6790901145999997</v>
      </c>
    </row>
    <row r="10" spans="1:6">
      <c r="A10" s="57">
        <v>8</v>
      </c>
      <c r="B10" s="58">
        <v>0.71659115936666673</v>
      </c>
      <c r="C10" s="59">
        <v>0.2</v>
      </c>
      <c r="D10" s="57">
        <v>300</v>
      </c>
      <c r="E10" s="61">
        <f t="shared" si="0"/>
        <v>143.31823187333336</v>
      </c>
      <c r="F10" s="62">
        <f t="shared" si="1"/>
        <v>2.8663646374666674</v>
      </c>
    </row>
    <row r="11" spans="1:6">
      <c r="A11" s="57">
        <v>9</v>
      </c>
      <c r="B11" s="58">
        <v>0.67002459423333338</v>
      </c>
      <c r="C11" s="59">
        <v>0.22</v>
      </c>
      <c r="D11" s="57">
        <v>300</v>
      </c>
      <c r="E11" s="61">
        <f t="shared" si="0"/>
        <v>134.00491884666667</v>
      </c>
      <c r="F11" s="62">
        <f t="shared" si="1"/>
        <v>2.9481082146266666</v>
      </c>
    </row>
    <row r="12" spans="1:6">
      <c r="A12" s="57">
        <v>10</v>
      </c>
      <c r="B12" s="58">
        <v>0.65421950843333365</v>
      </c>
      <c r="C12" s="59">
        <v>0.22</v>
      </c>
      <c r="D12" s="57">
        <v>300</v>
      </c>
      <c r="E12" s="61">
        <f t="shared" si="0"/>
        <v>130.84390168666673</v>
      </c>
      <c r="F12" s="62">
        <f t="shared" si="1"/>
        <v>2.878565837106668</v>
      </c>
    </row>
    <row r="13" spans="1:6">
      <c r="A13" s="57">
        <v>11</v>
      </c>
      <c r="B13" s="58">
        <v>0.63008495785000018</v>
      </c>
      <c r="C13" s="59">
        <v>0.22</v>
      </c>
      <c r="D13" s="57">
        <v>293</v>
      </c>
      <c r="E13" s="61">
        <f t="shared" si="0"/>
        <v>129.02763641979527</v>
      </c>
      <c r="F13" s="62">
        <f t="shared" si="1"/>
        <v>2.8386080012354959</v>
      </c>
    </row>
    <row r="14" spans="1:6">
      <c r="A14" s="57">
        <v>12</v>
      </c>
      <c r="B14" s="58">
        <v>0.62053759778333328</v>
      </c>
      <c r="C14" s="59">
        <v>0.22</v>
      </c>
      <c r="D14" s="57">
        <v>240</v>
      </c>
      <c r="E14" s="61">
        <f t="shared" si="0"/>
        <v>155.13439944583331</v>
      </c>
      <c r="F14" s="62">
        <f t="shared" si="1"/>
        <v>3.4129567878083327</v>
      </c>
    </row>
    <row r="15" spans="1:6">
      <c r="A15" s="57">
        <v>13</v>
      </c>
      <c r="B15" s="58">
        <v>0.63436358978333385</v>
      </c>
      <c r="C15" s="59">
        <v>0.22</v>
      </c>
      <c r="D15" s="57">
        <v>240</v>
      </c>
      <c r="E15" s="61">
        <f t="shared" si="0"/>
        <v>158.59089744583346</v>
      </c>
      <c r="F15" s="62">
        <f t="shared" si="1"/>
        <v>3.488999743808336</v>
      </c>
    </row>
    <row r="16" spans="1:6">
      <c r="A16" s="57">
        <v>14</v>
      </c>
      <c r="B16" s="58">
        <v>0.68582937046666625</v>
      </c>
      <c r="C16" s="59">
        <v>0.22</v>
      </c>
      <c r="D16" s="57">
        <v>254</v>
      </c>
      <c r="E16" s="61">
        <f t="shared" si="0"/>
        <v>162.00693790551171</v>
      </c>
      <c r="F16" s="62">
        <f t="shared" si="1"/>
        <v>3.5641526339212573</v>
      </c>
    </row>
    <row r="17" spans="1:6">
      <c r="A17" s="57">
        <v>15</v>
      </c>
      <c r="B17" s="58">
        <v>0.67606979235000009</v>
      </c>
      <c r="C17" s="59">
        <v>0.22</v>
      </c>
      <c r="D17" s="57">
        <v>273</v>
      </c>
      <c r="E17" s="61">
        <f t="shared" si="0"/>
        <v>148.58676754945054</v>
      </c>
      <c r="F17" s="62">
        <f t="shared" si="1"/>
        <v>3.2689088860879116</v>
      </c>
    </row>
    <row r="18" spans="1:6">
      <c r="A18" s="57">
        <v>16</v>
      </c>
      <c r="B18" s="58">
        <v>0.79321068533333328</v>
      </c>
      <c r="C18" s="59">
        <v>0.22</v>
      </c>
      <c r="D18" s="57">
        <v>300</v>
      </c>
      <c r="E18" s="61">
        <f t="shared" si="0"/>
        <v>158.64213706666666</v>
      </c>
      <c r="F18" s="62">
        <f t="shared" si="1"/>
        <v>3.4901270154666668</v>
      </c>
    </row>
    <row r="19" spans="1:6">
      <c r="A19" s="57">
        <v>17</v>
      </c>
      <c r="B19" s="58">
        <v>0.78653044736666655</v>
      </c>
      <c r="C19" s="59">
        <v>0.22</v>
      </c>
      <c r="D19" s="57">
        <v>300</v>
      </c>
      <c r="E19" s="61">
        <f t="shared" si="0"/>
        <v>157.30608947333332</v>
      </c>
      <c r="F19" s="62">
        <f t="shared" si="1"/>
        <v>3.4607339684133329</v>
      </c>
    </row>
    <row r="20" spans="1:6">
      <c r="A20" s="57">
        <v>18</v>
      </c>
      <c r="B20" s="58">
        <v>0.78977669864999922</v>
      </c>
      <c r="C20" s="59">
        <v>0.2</v>
      </c>
      <c r="D20" s="57">
        <v>300</v>
      </c>
      <c r="E20" s="61">
        <f t="shared" si="0"/>
        <v>157.95533972999985</v>
      </c>
      <c r="F20" s="62">
        <f t="shared" si="1"/>
        <v>3.1591067945999973</v>
      </c>
    </row>
    <row r="21" spans="1:6">
      <c r="A21" s="57">
        <v>19</v>
      </c>
      <c r="B21" s="58">
        <v>0.68882488923333363</v>
      </c>
      <c r="C21" s="59">
        <v>0.2</v>
      </c>
      <c r="D21" s="57">
        <v>300</v>
      </c>
      <c r="E21" s="61">
        <f t="shared" si="0"/>
        <v>137.76497784666674</v>
      </c>
      <c r="F21" s="62">
        <f t="shared" si="1"/>
        <v>2.7552995569333349</v>
      </c>
    </row>
    <row r="22" spans="1:6">
      <c r="A22" s="57">
        <v>20</v>
      </c>
      <c r="B22" s="58">
        <v>0.4470300509833332</v>
      </c>
      <c r="C22" s="59">
        <v>0.2</v>
      </c>
      <c r="D22" s="57">
        <v>300</v>
      </c>
      <c r="E22" s="61">
        <f t="shared" si="0"/>
        <v>89.406010196666642</v>
      </c>
      <c r="F22" s="62">
        <f t="shared" si="1"/>
        <v>1.7881202039333326</v>
      </c>
    </row>
    <row r="23" spans="1:6">
      <c r="A23" s="57">
        <v>21</v>
      </c>
      <c r="B23" s="58">
        <v>0.30729416576666685</v>
      </c>
      <c r="C23" s="59">
        <v>0.2</v>
      </c>
      <c r="D23" s="57">
        <v>300</v>
      </c>
      <c r="E23" s="61">
        <f t="shared" si="0"/>
        <v>61.458833153333373</v>
      </c>
      <c r="F23" s="62">
        <f t="shared" si="1"/>
        <v>1.2291766630666676</v>
      </c>
    </row>
    <row r="24" spans="1:6">
      <c r="A24" s="57">
        <v>22</v>
      </c>
      <c r="B24" s="58">
        <v>0.11444425096666666</v>
      </c>
      <c r="C24" s="59">
        <v>0.2</v>
      </c>
      <c r="D24" s="57">
        <v>300</v>
      </c>
      <c r="E24" s="61">
        <f t="shared" si="0"/>
        <v>22.888850193333333</v>
      </c>
      <c r="F24" s="62">
        <f t="shared" si="1"/>
        <v>0.45777700386666664</v>
      </c>
    </row>
    <row r="25" spans="1:6">
      <c r="A25" s="57">
        <v>23</v>
      </c>
      <c r="B25" s="58">
        <v>7.583667731666667E-2</v>
      </c>
      <c r="C25" s="59">
        <v>0.2</v>
      </c>
      <c r="D25" s="57">
        <v>300</v>
      </c>
      <c r="E25" s="61">
        <f t="shared" si="0"/>
        <v>15.167335463333334</v>
      </c>
      <c r="F25" s="62">
        <f t="shared" si="1"/>
        <v>0.30334670926666668</v>
      </c>
    </row>
    <row r="27" spans="1:6">
      <c r="B27" s="60" t="s">
        <v>32</v>
      </c>
      <c r="C27" s="59">
        <f>SUM(F2:F26)/100</f>
        <v>0.47761989142874667</v>
      </c>
    </row>
    <row r="28" spans="1:6">
      <c r="B28" s="60" t="s">
        <v>33</v>
      </c>
      <c r="C28" s="63">
        <f>C27*30.4</f>
        <v>14.519644699433899</v>
      </c>
    </row>
    <row r="29" spans="1:6">
      <c r="B29" s="60" t="s">
        <v>34</v>
      </c>
      <c r="C29" s="63">
        <f>C28*12</f>
        <v>174.23573639320679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Dati-CSV</vt:lpstr>
      <vt:lpstr>Pot.Att</vt:lpstr>
      <vt:lpstr>Costi</vt:lpstr>
      <vt:lpstr>Distribuzione</vt:lpstr>
    </vt:vector>
  </TitlesOfParts>
  <Company>Studio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Tommasi</dc:creator>
  <cp:lastModifiedBy>Livio Tommasi</cp:lastModifiedBy>
  <dcterms:created xsi:type="dcterms:W3CDTF">2010-05-13T16:09:30Z</dcterms:created>
  <dcterms:modified xsi:type="dcterms:W3CDTF">2010-05-21T15:41:23Z</dcterms:modified>
</cp:coreProperties>
</file>